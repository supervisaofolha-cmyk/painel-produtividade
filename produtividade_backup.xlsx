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'Produtividade'!$A$1:$O$4700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164" fontId="0" fillId="0" borderId="0" applyAlignment="1" pivotButton="0" quotePrefix="0" xfId="0">
      <alignment horizontal="center" vertical="center"/>
    </xf>
    <xf numFmtId="164" fontId="0" fillId="0" borderId="0" pivotButton="0" quotePrefix="0" xfId="0"/>
    <xf numFmtId="14" fontId="0" fillId="0" borderId="0" pivotButton="0" quotePrefix="0" xfId="0"/>
    <xf numFmtId="2" fontId="0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955"/>
  <sheetViews>
    <sheetView tabSelected="1" zoomScale="85" zoomScaleNormal="85" workbookViewId="0">
      <selection activeCell="I4507" sqref="I4507:L4955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1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3.85546875" bestFit="1" customWidth="1" style="12" min="15" max="15"/>
    <col width="9.140625" customWidth="1" style="3" min="16" max="16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3" t="inlineStr">
        <is>
          <t>Votação</t>
        </is>
      </c>
      <c r="P1" s="1" t="n"/>
    </row>
    <row r="2">
      <c r="A2" s="10" t="n">
        <v>46143</v>
      </c>
      <c r="B2" t="inlineStr">
        <is>
          <t>Anna Luiza Rezende Tavares</t>
        </is>
      </c>
      <c r="C2" s="1" t="inlineStr">
        <is>
          <t>Estágio</t>
        </is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>
        <f>IF(K2&lt;-5,"CRÍTICO",IF(K2&lt;0,"ATENÇÃO",IF(K2&lt;=5,"OPORTUNO","MUITO BOM")))</f>
        <v/>
      </c>
      <c r="M2" s="3" t="n">
        <v>0</v>
      </c>
      <c r="N2" s="3" t="n">
        <v>99.25</v>
      </c>
      <c r="O2" s="12" t="n">
        <v>20.40816326530612</v>
      </c>
    </row>
    <row r="3">
      <c r="A3" s="5" t="n">
        <v>46146</v>
      </c>
      <c r="B3" s="6" t="inlineStr">
        <is>
          <t>Anna Luiza Rezende Tavares</t>
        </is>
      </c>
      <c r="C3" s="1" t="inlineStr">
        <is>
          <t>Estágio</t>
        </is>
      </c>
      <c r="D3" s="3" t="n">
        <v>48</v>
      </c>
      <c r="E3" s="3" t="n">
        <v>36</v>
      </c>
      <c r="F3" s="3" t="n">
        <v>10.4</v>
      </c>
      <c r="G3" s="3" t="n">
        <v>0</v>
      </c>
      <c r="H3" s="3" t="n">
        <v>0</v>
      </c>
      <c r="I3" s="3">
        <f>E3+G3+H3</f>
        <v/>
      </c>
      <c r="J3" s="3">
        <f>ROUND(MIN(IF(C3="Técnico III",35,IF(C3="Técnico II",28,IF(C3="Técnico I",23,IF(C3="JR",20,IF(C3="Estágio",10,0))))),IF(C3="Técnico III",SUMIFS($D:$D,$A:$A,$A3,$B:$B,"&lt;&gt;Patrícia Karla de Sousa Araújo",$B:$B,"&lt;&gt;Lorena Dias de Araujo",$B:$B,"&lt;&gt;Lucas Luiz Romero")*(35/1083),IF(C3="Técnico II",SUMIFS($D:$D,$A:$A,$A3,$B:$B,"&lt;&gt;Patrícia Karla de Sousa Araújo",$B:$B,"&lt;&gt;Lorena Dias de Araujo",$B:$B,"&lt;&gt;Lucas Luiz Romero")*(28/1083),IF(C3="Técnico I",SUMIFS($D:$D,$A:$A,$A3,$B:$B,"&lt;&gt;Patrícia Karla de Sousa Araújo",$B:$B,"&lt;&gt;Lorena Dias de Araujo",$B:$B,"&lt;&gt;Lucas Luiz Romero")*(23/1083),IF(C3="JR",SUMIFS($D:$D,$A:$A,$A3,$B:$B,"&lt;&gt;Patrícia Karla de Sousa Araújo",$B:$B,"&lt;&gt;Lorena Dias de Araujo",$B:$B,"&lt;&gt;Lucas Luiz Romero")*(20/1083),IF(C3="Estágio",SUMIFS($D:$D,$A:$A,$A3,$B:$B,"&lt;&gt;Patrícia Karla de Sousa Araújo",$B:$B,"&lt;&gt;Lorena Dias de Araujo",$B:$B,"&lt;&gt;Lucas Luiz Romero")*(10/1083),0)))))),0)</f>
        <v/>
      </c>
      <c r="K3" s="3">
        <f>I3-J3</f>
        <v/>
      </c>
      <c r="L3" s="3">
        <f>IF(K3&lt;-5,"CRÍTICO",IF(K3&lt;0,"ATENÇÃO",IF(K3&lt;=5,"BOM","EXCELENTE")))</f>
        <v/>
      </c>
      <c r="M3" s="3" t="n">
        <v>29</v>
      </c>
      <c r="N3" s="3" t="n">
        <v>99.25</v>
      </c>
      <c r="O3" s="12" t="n">
        <v>20.40816326530612</v>
      </c>
    </row>
    <row r="4">
      <c r="A4" s="5" t="n">
        <v>46147</v>
      </c>
      <c r="B4" s="6" t="inlineStr">
        <is>
          <t>Anna Luiza Rezende Tavares</t>
        </is>
      </c>
      <c r="C4" s="1" t="inlineStr">
        <is>
          <t>Estágio</t>
        </is>
      </c>
      <c r="D4" s="3" t="n">
        <v>36</v>
      </c>
      <c r="E4" s="3" t="n">
        <v>35</v>
      </c>
      <c r="F4" s="3" t="n">
        <v>17.29</v>
      </c>
      <c r="G4" s="3" t="n">
        <v>0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3" t="n">
        <v>33</v>
      </c>
      <c r="N4" s="3" t="n">
        <v>99.25</v>
      </c>
      <c r="O4" s="12" t="n">
        <v>20.40816326530612</v>
      </c>
    </row>
    <row r="5">
      <c r="A5" s="5" t="n">
        <v>46148</v>
      </c>
      <c r="B5" s="6" t="inlineStr">
        <is>
          <t>Anna Luiza Rezende Tavares</t>
        </is>
      </c>
      <c r="C5" s="1" t="inlineStr">
        <is>
          <t>Estágio</t>
        </is>
      </c>
      <c r="D5" s="3" t="n">
        <v>27</v>
      </c>
      <c r="E5" s="3" t="n">
        <v>26</v>
      </c>
      <c r="F5" s="3" t="n">
        <v>23.4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3" t="n">
        <v>25</v>
      </c>
      <c r="N5" s="3" t="n">
        <v>99.25</v>
      </c>
      <c r="O5" s="12" t="n">
        <v>20.40816326530612</v>
      </c>
    </row>
    <row r="6">
      <c r="A6" s="10" t="n">
        <v>46083</v>
      </c>
      <c r="B6" t="inlineStr">
        <is>
          <t>Michelle G Santos</t>
        </is>
      </c>
      <c r="C6" s="1" t="inlineStr">
        <is>
          <t>Estágio</t>
        </is>
      </c>
      <c r="D6" s="3" t="n">
        <v>6</v>
      </c>
      <c r="E6" s="3" t="n">
        <v>6</v>
      </c>
      <c r="F6" s="3" t="n">
        <v>53.33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3" t="n">
        <v>5</v>
      </c>
      <c r="N6" s="3" t="n">
        <v>95.83</v>
      </c>
      <c r="O6" s="12" t="n">
        <v>25.77319587628866</v>
      </c>
    </row>
    <row r="7">
      <c r="A7" s="10" t="n">
        <v>46083</v>
      </c>
      <c r="B7" t="inlineStr">
        <is>
          <t>Quirino Diogo Leite Torres</t>
        </is>
      </c>
      <c r="C7" s="1" t="inlineStr">
        <is>
          <t>Estágio</t>
        </is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>
        <f>IF(K7&lt;-5,"CRÍTICO",IF(K7&lt;0,"ATENÇÃO",IF(K7&lt;=5,"BOM","EXCELENTE")))</f>
        <v/>
      </c>
      <c r="M7" s="3" t="n">
        <v>0</v>
      </c>
      <c r="N7" s="3" t="n">
        <v>100</v>
      </c>
      <c r="O7" s="12" t="n">
        <v>35</v>
      </c>
    </row>
    <row r="8">
      <c r="A8" s="5" t="n">
        <v>46149</v>
      </c>
      <c r="B8" s="6" t="inlineStr">
        <is>
          <t>Anna Luiza Rezende Tavares</t>
        </is>
      </c>
      <c r="C8" s="1" t="inlineStr">
        <is>
          <t>Estágio</t>
        </is>
      </c>
      <c r="D8" s="3" t="n">
        <v>33</v>
      </c>
      <c r="E8" s="3" t="n">
        <v>32</v>
      </c>
      <c r="F8" s="3" t="n">
        <v>19.09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3" t="n">
        <v>30</v>
      </c>
      <c r="N8" s="3" t="n">
        <v>99.25</v>
      </c>
      <c r="O8" s="12" t="n">
        <v>20.40816326530612</v>
      </c>
    </row>
    <row r="9">
      <c r="A9" s="5" t="n">
        <v>46150</v>
      </c>
      <c r="B9" s="6" t="inlineStr">
        <is>
          <t>Anna Luiza Rezende Tavares</t>
        </is>
      </c>
      <c r="C9" s="1" t="inlineStr">
        <is>
          <t>Estágio</t>
        </is>
      </c>
      <c r="D9" s="3" t="n">
        <v>38</v>
      </c>
      <c r="E9" s="3" t="n">
        <v>35</v>
      </c>
      <c r="F9" s="3" t="n">
        <v>15.27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3" t="n">
        <v>29</v>
      </c>
      <c r="N9" s="3" t="n">
        <v>99.25</v>
      </c>
      <c r="O9" s="12" t="n">
        <v>20.40816326530612</v>
      </c>
    </row>
    <row r="10">
      <c r="A10" s="5" t="n">
        <v>46153</v>
      </c>
      <c r="B10" s="6" t="inlineStr">
        <is>
          <t>Anna Luiza Rezende Tavares</t>
        </is>
      </c>
      <c r="C10" s="1" t="inlineStr">
        <is>
          <t>Estágio</t>
        </is>
      </c>
      <c r="D10" s="3" t="n">
        <v>32</v>
      </c>
      <c r="E10" s="3" t="n">
        <v>32</v>
      </c>
      <c r="F10" s="3" t="n">
        <v>15.35</v>
      </c>
      <c r="G10" s="3" t="n">
        <v>0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3" t="n">
        <v>29</v>
      </c>
      <c r="N10" s="3" t="n">
        <v>99.25</v>
      </c>
      <c r="O10" s="12" t="n">
        <v>20.40816326530612</v>
      </c>
    </row>
    <row r="11">
      <c r="A11" s="5" t="n">
        <v>46154</v>
      </c>
      <c r="B11" s="6" t="inlineStr">
        <is>
          <t>Anna Luiza Rezende Tavares</t>
        </is>
      </c>
      <c r="C11" s="1" t="inlineStr">
        <is>
          <t>Estágio</t>
        </is>
      </c>
      <c r="D11" s="3" t="n">
        <v>25</v>
      </c>
      <c r="E11" s="3" t="n">
        <v>25</v>
      </c>
      <c r="F11" s="3" t="n">
        <v>20.14</v>
      </c>
      <c r="G11" s="3" t="n">
        <v>0</v>
      </c>
      <c r="H11" s="3" t="n">
        <v>0</v>
      </c>
      <c r="I11" s="3">
        <f>E11+G11+H11</f>
        <v/>
      </c>
      <c r="J11" s="3">
        <f>ROUND(MIN(IF(C11="Técnico III",35,IF(C11="Técnico II",28,IF(C11="Técnico I",23,IF(C11="JR",20,IF(C11="Estágio",10,0))))),IF(C11="Técnico III",SUMIFS($D:$D,$A:$A,$A11,$B:$B,"&lt;&gt;Patrícia Karla de Sousa Araújo",$B:$B,"&lt;&gt;Lorena Dias de Araujo",$B:$B,"&lt;&gt;Lucas Luiz Romero")*(35/1083),IF(C11="Técnico II",SUMIFS($D:$D,$A:$A,$A11,$B:$B,"&lt;&gt;Patrícia Karla de Sousa Araújo",$B:$B,"&lt;&gt;Lorena Dias de Araujo",$B:$B,"&lt;&gt;Lucas Luiz Romero")*(28/1083),IF(C11="Técnico I",SUMIFS($D:$D,$A:$A,$A11,$B:$B,"&lt;&gt;Patrícia Karla de Sousa Araújo",$B:$B,"&lt;&gt;Lorena Dias de Araujo",$B:$B,"&lt;&gt;Lucas Luiz Romero")*(23/1083),IF(C11="JR",SUMIFS($D:$D,$A:$A,$A11,$B:$B,"&lt;&gt;Patrícia Karla de Sousa Araújo",$B:$B,"&lt;&gt;Lorena Dias de Araujo",$B:$B,"&lt;&gt;Lucas Luiz Romero")*(20/1083),IF(C11="Estágio",SUMIFS($D:$D,$A:$A,$A11,$B:$B,"&lt;&gt;Patrícia Karla de Sousa Araújo",$B:$B,"&lt;&gt;Lorena Dias de Araujo",$B:$B,"&lt;&gt;Lucas Luiz Romero")*(10/1083),0)))))),0)</f>
        <v/>
      </c>
      <c r="K11" s="3">
        <f>I11-J11</f>
        <v/>
      </c>
      <c r="L11" s="3">
        <f>IF(K11&lt;-5,"CRÍTICO",IF(K11&lt;0,"ATENÇÃO",IF(K11&lt;=5,"BOM","EXCELENTE")))</f>
        <v/>
      </c>
      <c r="M11" s="3" t="n">
        <v>18</v>
      </c>
      <c r="N11" s="3" t="n">
        <v>99.25</v>
      </c>
      <c r="O11" s="12" t="n">
        <v>20.40816326530612</v>
      </c>
    </row>
    <row r="12">
      <c r="A12" s="10" t="n">
        <v>46084</v>
      </c>
      <c r="B12" t="inlineStr">
        <is>
          <t>Michelle G Santos</t>
        </is>
      </c>
      <c r="C12" s="1" t="inlineStr">
        <is>
          <t>Estágio</t>
        </is>
      </c>
      <c r="D12" s="3" t="n">
        <v>15</v>
      </c>
      <c r="E12" s="3" t="n">
        <v>13</v>
      </c>
      <c r="F12" s="3" t="n">
        <v>42.31</v>
      </c>
      <c r="G12" s="3" t="n">
        <v>0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3" t="n">
        <v>4</v>
      </c>
      <c r="N12" s="3" t="n">
        <v>95.83</v>
      </c>
      <c r="O12" s="12" t="n">
        <v>25.77319587628866</v>
      </c>
    </row>
    <row r="13">
      <c r="A13" s="10" t="n">
        <v>46084</v>
      </c>
      <c r="B13" t="inlineStr">
        <is>
          <t>Quirino Diogo Leite Torres</t>
        </is>
      </c>
      <c r="C13" s="1" t="inlineStr">
        <is>
          <t>Estágio</t>
        </is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3" t="n">
        <v>0</v>
      </c>
      <c r="L13" s="3">
        <f>IF(K13&lt;-5,"CRÍTICO",IF(K13&lt;0,"ATENÇÃO",IF(K13&lt;=5,"BOM","EXCELENTE")))</f>
        <v/>
      </c>
      <c r="M13" s="3" t="n">
        <v>0</v>
      </c>
      <c r="N13" s="3" t="n">
        <v>100</v>
      </c>
      <c r="O13" s="12" t="n">
        <v>35</v>
      </c>
    </row>
    <row r="14">
      <c r="A14" s="5" t="n">
        <v>46155</v>
      </c>
      <c r="B14" s="6" t="inlineStr">
        <is>
          <t>Anna Luiza Rezende Tavares</t>
        </is>
      </c>
      <c r="C14" s="1" t="inlineStr">
        <is>
          <t>Estágio</t>
        </is>
      </c>
      <c r="D14" s="3" t="n">
        <v>23</v>
      </c>
      <c r="E14" s="3" t="n">
        <v>23</v>
      </c>
      <c r="F14" s="3" t="n">
        <v>15.57</v>
      </c>
      <c r="G14" s="3" t="n">
        <v>0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3" t="n">
        <v>18</v>
      </c>
      <c r="N14" s="3" t="n">
        <v>99.25</v>
      </c>
      <c r="O14" s="12" t="n">
        <v>20.40816326530612</v>
      </c>
    </row>
    <row r="15">
      <c r="A15" s="5" t="n">
        <v>46156</v>
      </c>
      <c r="B15" s="6" t="inlineStr">
        <is>
          <t>Anna Luiza Rezende Tavares</t>
        </is>
      </c>
      <c r="C15" s="1" t="inlineStr">
        <is>
          <t>Estágio</t>
        </is>
      </c>
      <c r="D15" s="3" t="n">
        <v>31</v>
      </c>
      <c r="E15" s="3" t="n">
        <v>29</v>
      </c>
      <c r="F15" s="3" t="n">
        <v>18.5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3" t="n">
        <v>26</v>
      </c>
      <c r="N15" s="3" t="n">
        <v>99.25</v>
      </c>
      <c r="O15" s="12" t="n">
        <v>20.40816326530612</v>
      </c>
    </row>
    <row r="16">
      <c r="A16" s="5" t="n">
        <v>46157</v>
      </c>
      <c r="B16" s="6" t="inlineStr">
        <is>
          <t>Anna Luiza Rezende Tavares</t>
        </is>
      </c>
      <c r="C16" s="1" t="inlineStr">
        <is>
          <t>Estágio</t>
        </is>
      </c>
      <c r="D16" s="3" t="n">
        <v>42</v>
      </c>
      <c r="E16" s="3" t="n">
        <v>40</v>
      </c>
      <c r="F16" s="3" t="n">
        <v>15.42</v>
      </c>
      <c r="G16" s="3" t="n">
        <v>0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3" t="n">
        <v>34</v>
      </c>
      <c r="N16" s="3" t="n">
        <v>99.25</v>
      </c>
      <c r="O16" s="12" t="n">
        <v>20.40816326530612</v>
      </c>
    </row>
    <row r="17">
      <c r="A17" s="5" t="n">
        <v>46160</v>
      </c>
      <c r="B17" s="6" t="inlineStr">
        <is>
          <t>Anna Luiza Rezende Tavares</t>
        </is>
      </c>
      <c r="C17" s="1" t="inlineStr">
        <is>
          <t>JR</t>
        </is>
      </c>
      <c r="D17" s="3" t="n">
        <v>27</v>
      </c>
      <c r="E17" s="3" t="n">
        <v>26</v>
      </c>
      <c r="F17" s="3" t="n">
        <v>5.09</v>
      </c>
      <c r="G17" s="3" t="n">
        <v>0</v>
      </c>
      <c r="H17" s="3" t="n">
        <v>0</v>
      </c>
      <c r="I17" s="3" t="n">
        <v>26</v>
      </c>
      <c r="J17" s="3" t="n">
        <v>15</v>
      </c>
      <c r="K17" s="3" t="n">
        <v>11</v>
      </c>
      <c r="L17" s="3" t="inlineStr">
        <is>
          <t>EXCELENTE</t>
        </is>
      </c>
      <c r="M17" s="3" t="n">
        <v>28</v>
      </c>
      <c r="N17" s="3" t="n">
        <v>99.25</v>
      </c>
      <c r="O17" s="12" t="n">
        <v>20.40816326530612</v>
      </c>
    </row>
    <row r="18">
      <c r="A18" s="10" t="n">
        <v>46085</v>
      </c>
      <c r="B18" t="inlineStr">
        <is>
          <t>Michelle G Santos</t>
        </is>
      </c>
      <c r="C18" s="1" t="inlineStr">
        <is>
          <t>Estágio</t>
        </is>
      </c>
      <c r="D18" s="3" t="n">
        <v>7</v>
      </c>
      <c r="E18" s="3" t="n">
        <v>7</v>
      </c>
      <c r="F18" s="3" t="n">
        <v>63.21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3" t="n">
        <v>2</v>
      </c>
      <c r="N18" s="3" t="n">
        <v>95.83</v>
      </c>
      <c r="O18" s="12" t="n">
        <v>25.77319587628866</v>
      </c>
    </row>
    <row r="19">
      <c r="A19" s="10" t="n">
        <v>46024</v>
      </c>
      <c r="B19" t="inlineStr">
        <is>
          <t>Gabriel Gomes de Andrade</t>
        </is>
      </c>
      <c r="C19" s="1" t="inlineStr">
        <is>
          <t>Técnico I</t>
        </is>
      </c>
      <c r="D19" s="3" t="n">
        <v>17</v>
      </c>
      <c r="E19" s="3" t="n">
        <v>17</v>
      </c>
      <c r="F19" s="3" t="n">
        <v>27.06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M19" s="3" t="n">
        <v>14</v>
      </c>
      <c r="N19" s="3" t="n">
        <v>98.91</v>
      </c>
      <c r="O19" s="12" t="n">
        <v>31.36729222520107</v>
      </c>
    </row>
    <row r="20">
      <c r="A20" s="10" t="n">
        <v>46085</v>
      </c>
      <c r="B20" t="inlineStr">
        <is>
          <t>Quirino Diogo Leite Torres</t>
        </is>
      </c>
      <c r="C20" s="1" t="inlineStr">
        <is>
          <t>Estágio</t>
        </is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3" t="n">
        <v>0</v>
      </c>
      <c r="J20" s="3" t="n">
        <v>0</v>
      </c>
      <c r="K20" s="3" t="n">
        <v>0</v>
      </c>
      <c r="L20" s="3">
        <f>IF(K20&lt;-5,"CRÍTICO",IF(K20&lt;0,"ATENÇÃO",IF(K20&lt;=5,"BOM","EXCELENTE")))</f>
        <v/>
      </c>
      <c r="M20" s="3" t="n">
        <v>0</v>
      </c>
      <c r="N20" s="3" t="n">
        <v>100</v>
      </c>
      <c r="O20" s="12" t="n">
        <v>35</v>
      </c>
    </row>
    <row r="21">
      <c r="A21" s="7" t="n">
        <v>46161</v>
      </c>
      <c r="B21" s="8" t="inlineStr">
        <is>
          <t>Anna Luiza Rezende Tavares</t>
        </is>
      </c>
      <c r="C21" s="1" t="inlineStr">
        <is>
          <t>JR</t>
        </is>
      </c>
      <c r="D21" s="3" t="n">
        <v>30</v>
      </c>
      <c r="E21" s="3" t="n">
        <v>29</v>
      </c>
      <c r="F21" s="3" t="n">
        <v>18.21</v>
      </c>
      <c r="G21" s="3" t="n">
        <v>0</v>
      </c>
      <c r="H21" s="3" t="n">
        <v>0</v>
      </c>
      <c r="I21" s="3" t="n">
        <v>29</v>
      </c>
      <c r="J21" s="3" t="n">
        <v>17</v>
      </c>
      <c r="K21" s="3" t="n">
        <v>12</v>
      </c>
      <c r="L21" s="3" t="inlineStr">
        <is>
          <t>EXCELENTE</t>
        </is>
      </c>
      <c r="M21" s="3" t="n">
        <v>28</v>
      </c>
      <c r="N21" s="3" t="n">
        <v>99.25</v>
      </c>
      <c r="O21" s="12" t="n">
        <v>20.40816326530612</v>
      </c>
    </row>
    <row r="22">
      <c r="A22" s="7" t="n">
        <v>46162</v>
      </c>
      <c r="B22" s="8" t="inlineStr">
        <is>
          <t>Anna Luiza Rezende Tavares</t>
        </is>
      </c>
      <c r="C22" s="1" t="inlineStr">
        <is>
          <t>JR</t>
        </is>
      </c>
      <c r="D22" s="3" t="n">
        <v>33</v>
      </c>
      <c r="E22" s="3" t="n">
        <v>33</v>
      </c>
      <c r="F22" s="3" t="n">
        <v>14.07</v>
      </c>
      <c r="G22" s="3" t="n">
        <v>0</v>
      </c>
      <c r="H22" s="3" t="n">
        <v>0</v>
      </c>
      <c r="I22" s="3" t="n">
        <v>33</v>
      </c>
      <c r="J22" s="3" t="n">
        <v>15</v>
      </c>
      <c r="K22" s="3" t="n">
        <v>18</v>
      </c>
      <c r="L22" s="3" t="inlineStr">
        <is>
          <t>EXCELENTE</t>
        </is>
      </c>
      <c r="M22" s="3" t="n">
        <v>32</v>
      </c>
      <c r="N22" s="3" t="n">
        <v>99.25</v>
      </c>
      <c r="O22" s="12" t="n">
        <v>20.40816326530612</v>
      </c>
    </row>
    <row r="23">
      <c r="A23" s="5" t="n">
        <v>46163</v>
      </c>
      <c r="B23" s="6" t="inlineStr">
        <is>
          <t>Anna Luiza Rezende Tavares</t>
        </is>
      </c>
      <c r="C23" s="1" t="inlineStr">
        <is>
          <t>JR</t>
        </is>
      </c>
      <c r="D23" s="3" t="n">
        <v>24</v>
      </c>
      <c r="E23" s="3" t="n">
        <v>22</v>
      </c>
      <c r="F23" s="3" t="n">
        <v>15.57</v>
      </c>
      <c r="G23" s="3" t="n">
        <v>0</v>
      </c>
      <c r="H23" s="3" t="n">
        <v>0</v>
      </c>
      <c r="I23" s="3" t="n">
        <v>22</v>
      </c>
      <c r="J23" s="3" t="n">
        <v>13</v>
      </c>
      <c r="K23" s="3" t="n">
        <v>9</v>
      </c>
      <c r="L23" s="3" t="inlineStr">
        <is>
          <t>EXCELENTE</t>
        </is>
      </c>
      <c r="M23" s="3" t="n">
        <v>20</v>
      </c>
      <c r="N23" s="3" t="n">
        <v>99.25</v>
      </c>
      <c r="O23" s="12" t="n">
        <v>20.40816326530612</v>
      </c>
    </row>
    <row r="24">
      <c r="A24" s="9" t="n">
        <v>46164</v>
      </c>
      <c r="B24" s="6" t="inlineStr">
        <is>
          <t>Anna Luiza Rezende Tavares</t>
        </is>
      </c>
      <c r="C24" s="1" t="inlineStr">
        <is>
          <t>JR</t>
        </is>
      </c>
      <c r="D24" s="3" t="n">
        <v>20</v>
      </c>
      <c r="E24" s="3" t="n">
        <v>19</v>
      </c>
      <c r="F24" s="3" t="n">
        <v>22.07</v>
      </c>
      <c r="G24" s="3" t="n">
        <v>0</v>
      </c>
      <c r="H24" s="3" t="n">
        <v>0</v>
      </c>
      <c r="I24" s="3" t="n">
        <v>19</v>
      </c>
      <c r="J24" s="3" t="n">
        <v>11</v>
      </c>
      <c r="K24" s="3" t="n">
        <v>8</v>
      </c>
      <c r="L24" s="3" t="inlineStr">
        <is>
          <t>EXCELENTE</t>
        </is>
      </c>
      <c r="M24" s="3" t="n">
        <v>18</v>
      </c>
      <c r="N24" s="3" t="n">
        <v>99.25</v>
      </c>
      <c r="O24" s="12" t="n">
        <v>20.40816326530612</v>
      </c>
    </row>
    <row r="25">
      <c r="A25" s="10" t="n">
        <v>46086</v>
      </c>
      <c r="B25" t="inlineStr">
        <is>
          <t>Michelle G Santos</t>
        </is>
      </c>
      <c r="C25" s="1" t="inlineStr">
        <is>
          <t>Estágio</t>
        </is>
      </c>
      <c r="D25" s="3" t="n">
        <v>15</v>
      </c>
      <c r="E25" s="3" t="n">
        <v>14</v>
      </c>
      <c r="F25" s="3" t="n">
        <v>33.55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3" t="n">
        <v>12</v>
      </c>
      <c r="N25" s="3" t="n">
        <v>95.83</v>
      </c>
      <c r="O25" s="12" t="n">
        <v>25.77319587628866</v>
      </c>
    </row>
    <row r="26">
      <c r="A26" s="10" t="n">
        <v>46086</v>
      </c>
      <c r="B26" t="inlineStr">
        <is>
          <t>Quirino Diogo Leite Torres</t>
        </is>
      </c>
      <c r="C26" s="1" t="inlineStr">
        <is>
          <t>Estágio</t>
        </is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0</v>
      </c>
      <c r="K26" s="3" t="n">
        <v>0</v>
      </c>
      <c r="L26" s="3">
        <f>IF(K26&lt;-5,"CRÍTICO",IF(K26&lt;0,"ATENÇÃO",IF(K26&lt;=5,"OPORTUNO","MUITO BOM")))</f>
        <v/>
      </c>
      <c r="M26" s="3" t="n">
        <v>0</v>
      </c>
      <c r="N26" s="3" t="n">
        <v>100</v>
      </c>
      <c r="O26" s="12" t="n">
        <v>35</v>
      </c>
    </row>
    <row r="27">
      <c r="A27" s="10" t="n">
        <v>46167</v>
      </c>
      <c r="B27" t="inlineStr">
        <is>
          <t>Anna Luiza Rezende Tavares</t>
        </is>
      </c>
      <c r="C27" s="1" t="inlineStr">
        <is>
          <t>JR</t>
        </is>
      </c>
      <c r="D27" s="3" t="n">
        <v>25</v>
      </c>
      <c r="E27" s="3" t="n">
        <v>25</v>
      </c>
      <c r="F27" s="3" t="n">
        <v>15.22</v>
      </c>
      <c r="G27" s="3" t="n">
        <v>0</v>
      </c>
      <c r="H27" s="3" t="n">
        <v>0</v>
      </c>
      <c r="I27" s="3" t="n">
        <v>25</v>
      </c>
      <c r="J27" s="3" t="n">
        <v>13</v>
      </c>
      <c r="K27" s="3" t="n">
        <v>12</v>
      </c>
      <c r="L27" s="3" t="inlineStr">
        <is>
          <t>EXCELENTE</t>
        </is>
      </c>
      <c r="M27" s="3" t="n">
        <v>25</v>
      </c>
      <c r="N27" s="3" t="n">
        <v>99.25</v>
      </c>
      <c r="O27" s="12" t="n">
        <v>20.40816326530612</v>
      </c>
    </row>
    <row r="28">
      <c r="A28" s="10" t="n">
        <v>46168</v>
      </c>
      <c r="B28" t="inlineStr">
        <is>
          <t>Anna Luiza Rezende Tavares</t>
        </is>
      </c>
      <c r="C28" s="1" t="inlineStr">
        <is>
          <t>JR</t>
        </is>
      </c>
      <c r="D28" s="3" t="n">
        <v>27</v>
      </c>
      <c r="E28" s="3" t="n">
        <v>27</v>
      </c>
      <c r="F28" s="3" t="n">
        <v>19.04</v>
      </c>
      <c r="G28" s="3" t="n">
        <v>0</v>
      </c>
      <c r="H28" s="3" t="n">
        <v>0</v>
      </c>
      <c r="I28" s="3" t="n">
        <v>27</v>
      </c>
      <c r="J28" s="3" t="n">
        <v>16</v>
      </c>
      <c r="K28" s="3" t="n">
        <v>11</v>
      </c>
      <c r="L28" s="3" t="inlineStr">
        <is>
          <t>EXCELENTE</t>
        </is>
      </c>
      <c r="M28" s="3" t="n">
        <v>22</v>
      </c>
      <c r="N28" s="3" t="n">
        <v>99.25</v>
      </c>
      <c r="O28" s="12" t="n">
        <v>21.7687074829932</v>
      </c>
    </row>
    <row r="29">
      <c r="A29" s="10" t="n">
        <v>46169</v>
      </c>
      <c r="B29" t="inlineStr">
        <is>
          <t>Anna Luiza Rezende Tavares</t>
        </is>
      </c>
      <c r="C29" s="1" t="inlineStr">
        <is>
          <t>JR</t>
        </is>
      </c>
      <c r="D29" s="3" t="n">
        <v>40</v>
      </c>
      <c r="E29" s="3" t="n">
        <v>38</v>
      </c>
      <c r="F29" s="3" t="n">
        <v>12.23</v>
      </c>
      <c r="G29" s="3" t="n">
        <v>0</v>
      </c>
      <c r="H29" s="3" t="n">
        <v>0</v>
      </c>
      <c r="I29" s="3" t="n">
        <v>38</v>
      </c>
      <c r="J29" s="3" t="n">
        <v>16</v>
      </c>
      <c r="K29" s="3" t="n">
        <v>22</v>
      </c>
      <c r="L29" s="3" t="inlineStr">
        <is>
          <t>EXCELENTE</t>
        </is>
      </c>
      <c r="M29" s="3" t="n">
        <v>32</v>
      </c>
      <c r="N29" s="3" t="n">
        <v>99.3</v>
      </c>
      <c r="O29" s="12" t="n">
        <v>20.93023255813954</v>
      </c>
    </row>
    <row r="30">
      <c r="A30" s="10" t="n">
        <v>46170</v>
      </c>
      <c r="B30" t="inlineStr">
        <is>
          <t>Anna Luiza Rezende Tavares</t>
        </is>
      </c>
      <c r="C30" s="1" t="inlineStr">
        <is>
          <t>JR</t>
        </is>
      </c>
      <c r="D30" s="3" t="n">
        <v>29</v>
      </c>
      <c r="E30" s="3" t="n">
        <v>29</v>
      </c>
      <c r="F30" s="3" t="n">
        <v>20.08</v>
      </c>
      <c r="G30" s="3" t="n">
        <v>0</v>
      </c>
      <c r="H30" s="3" t="n">
        <v>0</v>
      </c>
      <c r="I30" s="3" t="n">
        <v>29</v>
      </c>
      <c r="J30" s="3" t="n">
        <v>15</v>
      </c>
      <c r="K30" s="3" t="n">
        <v>14</v>
      </c>
      <c r="L30" s="3" t="inlineStr">
        <is>
          <t>EXCELENTE</t>
        </is>
      </c>
      <c r="M30" s="3" t="n">
        <v>23</v>
      </c>
      <c r="N30" s="3" t="n">
        <v>99.33</v>
      </c>
      <c r="O30" s="12" t="n">
        <v>22.17741935483871</v>
      </c>
    </row>
    <row r="31">
      <c r="A31" s="10" t="n">
        <v>46087</v>
      </c>
      <c r="B31" t="inlineStr">
        <is>
          <t>Michelle G Santos</t>
        </is>
      </c>
      <c r="C31" s="1" t="inlineStr">
        <is>
          <t>Estágio</t>
        </is>
      </c>
      <c r="D31" s="3" t="n">
        <v>5</v>
      </c>
      <c r="E31" s="3" t="n">
        <v>4</v>
      </c>
      <c r="F31" s="3" t="n">
        <v>75.33</v>
      </c>
      <c r="G31" s="3" t="n">
        <v>0</v>
      </c>
      <c r="H31" s="3" t="n">
        <v>0</v>
      </c>
      <c r="I31" s="3">
        <f>E31+G31+H31</f>
        <v/>
      </c>
      <c r="J31" s="3">
        <f>ROUND(MIN(IF(C31="Técnico III",35,IF(C31="Técnico II",28,IF(C31="Técnico I",23,IF(C31="JR",20,IF(C31="Estágio",10,0))))),IF(C31="Técnico III",SUMIFS($D:$D,$A:$A,$A31,$B:$B,"&lt;&gt;Patrícia Karla de Sousa Araújo",$B:$B,"&lt;&gt;Lorena Dias de Araujo",$B:$B,"&lt;&gt;Lucas Luiz Romero")*(35/1083),IF(C31="Técnico II",SUMIFS($D:$D,$A:$A,$A31,$B:$B,"&lt;&gt;Patrícia Karla de Sousa Araújo",$B:$B,"&lt;&gt;Lorena Dias de Araujo",$B:$B,"&lt;&gt;Lucas Luiz Romero")*(28/1083),IF(C31="Técnico I",SUMIFS($D:$D,$A:$A,$A31,$B:$B,"&lt;&gt;Patrícia Karla de Sousa Araújo",$B:$B,"&lt;&gt;Lorena Dias de Araujo",$B:$B,"&lt;&gt;Lucas Luiz Romero")*(23/1083),IF(C31="JR",SUMIFS($D:$D,$A:$A,$A31,$B:$B,"&lt;&gt;Patrícia Karla de Sousa Araújo",$B:$B,"&lt;&gt;Lorena Dias de Araujo",$B:$B,"&lt;&gt;Lucas Luiz Romero")*(20/1083),IF(C31="Estágio",SUMIFS($D:$D,$A:$A,$A31,$B:$B,"&lt;&gt;Patrícia Karla de Sousa Araújo",$B:$B,"&lt;&gt;Lorena Dias de Araujo",$B:$B,"&lt;&gt;Lucas Luiz Romero")*(10/1083),0)))))),0)</f>
        <v/>
      </c>
      <c r="K31" s="3">
        <f>I31-J31</f>
        <v/>
      </c>
      <c r="L31" s="3">
        <f>IF(K31&lt;-5,"CRÍTICO",IF(K31&lt;0,"ATENÇÃO",IF(K31&lt;=5,"OPORTUNO","MUITO BOM")))</f>
        <v/>
      </c>
      <c r="M31" s="3" t="n">
        <v>2</v>
      </c>
      <c r="N31" s="3" t="n">
        <v>95.83</v>
      </c>
      <c r="O31" s="12" t="n">
        <v>25.77319587628866</v>
      </c>
    </row>
    <row r="32">
      <c r="A32" s="10" t="n">
        <v>46087</v>
      </c>
      <c r="B32" t="inlineStr">
        <is>
          <t>Quirino Diogo Leite Torres</t>
        </is>
      </c>
      <c r="C32" s="1" t="inlineStr">
        <is>
          <t>Estágio</t>
        </is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0</v>
      </c>
      <c r="I32" s="3" t="n">
        <v>0</v>
      </c>
      <c r="J32" s="3" t="n">
        <v>0</v>
      </c>
      <c r="K32" s="3" t="n">
        <v>0</v>
      </c>
      <c r="L32" s="3">
        <f>IF(K32&lt;-5,"CRÍTICO",IF(K32&lt;0,"ATENÇÃO",IF(K32&lt;=5,"OPORTUNO","MUITO BOM")))</f>
        <v/>
      </c>
      <c r="M32" s="3" t="n">
        <v>0</v>
      </c>
      <c r="N32" s="3" t="n">
        <v>100</v>
      </c>
      <c r="O32" s="12" t="n">
        <v>35</v>
      </c>
    </row>
    <row r="33">
      <c r="A33" s="5" t="n">
        <v>46146</v>
      </c>
      <c r="B33" s="6" t="inlineStr">
        <is>
          <t>Amanda Moura Ferreira</t>
        </is>
      </c>
      <c r="C33" s="1" t="inlineStr">
        <is>
          <t>Técnico III</t>
        </is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0</v>
      </c>
      <c r="K33" s="3" t="n">
        <v>0</v>
      </c>
      <c r="L33" s="3">
        <f>IF(K33&lt;-5,"CRÍTICO",IF(K33&lt;0,"ATENÇÃO",IF(K33&lt;=5,"OPORTUNO","MUITO BOM")))</f>
        <v/>
      </c>
      <c r="M33" s="3" t="n">
        <v>0</v>
      </c>
      <c r="N33" s="3" t="n">
        <v>100</v>
      </c>
      <c r="O33" s="12" t="n">
        <v>0</v>
      </c>
    </row>
    <row r="34">
      <c r="A34" s="5" t="n">
        <v>46146</v>
      </c>
      <c r="B34" s="6" t="inlineStr">
        <is>
          <t>Ana Paula Da Luz Silva Aleixo</t>
        </is>
      </c>
      <c r="C34" s="1" t="inlineStr">
        <is>
          <t>Técnico III</t>
        </is>
      </c>
      <c r="D34" s="3" t="n">
        <v>30</v>
      </c>
      <c r="E34" s="3" t="n">
        <v>27</v>
      </c>
      <c r="F34" s="3" t="n">
        <v>17.2</v>
      </c>
      <c r="G34" s="3" t="n">
        <v>0</v>
      </c>
      <c r="H34" s="3" t="n">
        <v>0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IF(K34&lt;-5,"CRÍTICO",IF(K34&lt;0,"ATENÇÃO",IF(K34&lt;=5,"OPORTUNO","MUITO BOM")))</f>
        <v/>
      </c>
      <c r="M34" s="3" t="n">
        <v>31</v>
      </c>
      <c r="N34" s="3" t="n">
        <v>96.94</v>
      </c>
      <c r="O34" s="12" t="n">
        <v>19.61325966850829</v>
      </c>
    </row>
    <row r="35">
      <c r="A35" s="5" t="n">
        <v>46146</v>
      </c>
      <c r="B35" s="6" t="inlineStr">
        <is>
          <t>Cristiane Ramos da Silva Rocha</t>
        </is>
      </c>
      <c r="C35" s="1" t="inlineStr">
        <is>
          <t>Técnico III</t>
        </is>
      </c>
      <c r="D35" s="3" t="n">
        <v>38</v>
      </c>
      <c r="E35" s="3" t="n">
        <v>37</v>
      </c>
      <c r="F35" s="3" t="n">
        <v>13.54</v>
      </c>
      <c r="G35" s="3" t="n">
        <v>1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IF(K35&lt;-5,"CRÍTICO",IF(K35&lt;0,"ATENÇÃO",IF(K35&lt;=5,"OPORTUNO","MUITO BOM")))</f>
        <v/>
      </c>
      <c r="M35" s="3" t="n">
        <v>32</v>
      </c>
      <c r="N35" s="3" t="n">
        <v>92.81</v>
      </c>
      <c r="O35" s="12" t="n">
        <v>25.47770700636943</v>
      </c>
    </row>
    <row r="36">
      <c r="A36" s="5" t="n">
        <v>46146</v>
      </c>
      <c r="B36" s="6" t="inlineStr">
        <is>
          <t>Davylla Rodrigues Freitas Silva</t>
        </is>
      </c>
      <c r="C36" s="1" t="inlineStr">
        <is>
          <t>Técnico III</t>
        </is>
      </c>
      <c r="D36" s="3" t="n">
        <v>21</v>
      </c>
      <c r="E36" s="3" t="n">
        <v>20</v>
      </c>
      <c r="F36" s="3" t="n">
        <v>21.4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IF(K36&lt;-5,"CRÍTICO",IF(K36&lt;0,"ATENÇÃO",IF(K36&lt;=5,"OPORTUNO","MUITO BOM")))</f>
        <v/>
      </c>
      <c r="M36" s="3" t="n">
        <v>25</v>
      </c>
      <c r="N36" s="3" t="n">
        <v>99.19</v>
      </c>
      <c r="O36" s="12" t="n">
        <v>28.40466926070039</v>
      </c>
    </row>
    <row r="37">
      <c r="A37" s="10" t="n">
        <v>46090</v>
      </c>
      <c r="B37" t="inlineStr">
        <is>
          <t>Michelle G Santos</t>
        </is>
      </c>
      <c r="C37" s="1" t="inlineStr">
        <is>
          <t>Estágio</t>
        </is>
      </c>
      <c r="D37" s="3" t="n">
        <v>3</v>
      </c>
      <c r="E37" s="3" t="n">
        <v>3</v>
      </c>
      <c r="F37" s="3" t="n">
        <v>90.51000000000001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IF(K37&lt;-5,"CRÍTICO",IF(K37&lt;0,"ATENÇÃO",IF(K37&lt;=5,"OPORTUNO","MUITO BOM")))</f>
        <v/>
      </c>
      <c r="M37" s="3" t="n">
        <v>3</v>
      </c>
      <c r="N37" s="3" t="n">
        <v>95.83</v>
      </c>
      <c r="O37" s="12" t="n">
        <v>25.77319587628866</v>
      </c>
    </row>
    <row r="38">
      <c r="A38" s="10" t="n">
        <v>46090</v>
      </c>
      <c r="B38" t="inlineStr">
        <is>
          <t>Quirino Diogo Leite Torres</t>
        </is>
      </c>
      <c r="C38" s="1" t="inlineStr">
        <is>
          <t>Estágio</t>
        </is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0</v>
      </c>
      <c r="I38" s="3" t="n">
        <v>0</v>
      </c>
      <c r="J38" s="3" t="n">
        <v>0</v>
      </c>
      <c r="K38" s="3" t="n">
        <v>0</v>
      </c>
      <c r="L38" s="3">
        <f>IF(K38&lt;-5,"CRÍTICO",IF(K38&lt;0,"ATENÇÃO",IF(K38&lt;=5,"OPORTUNO","MUITO BOM")))</f>
        <v/>
      </c>
      <c r="M38" s="3" t="n">
        <v>0</v>
      </c>
      <c r="N38" s="3" t="n">
        <v>100</v>
      </c>
      <c r="O38" s="12" t="n">
        <v>35</v>
      </c>
    </row>
    <row r="39">
      <c r="A39" s="5" t="n">
        <v>46146</v>
      </c>
      <c r="B39" s="6" t="inlineStr">
        <is>
          <t>Francielson de Oliveira</t>
        </is>
      </c>
      <c r="C39" s="1" t="inlineStr">
        <is>
          <t>Técnico III</t>
        </is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0</v>
      </c>
      <c r="I39" s="3" t="n">
        <v>0</v>
      </c>
      <c r="J39" s="3" t="n">
        <v>0</v>
      </c>
      <c r="K39" s="3" t="n">
        <v>0</v>
      </c>
      <c r="L39" s="3">
        <f>IF(K39&lt;-5,"CRÍTICO",IF(K39&lt;0,"ATENÇÃO",IF(K39&lt;=5,"OPORTUNO","MUITO BOM")))</f>
        <v/>
      </c>
      <c r="M39" s="3" t="n">
        <v>0</v>
      </c>
      <c r="N39" s="3" t="n">
        <v>100</v>
      </c>
      <c r="O39" s="12" t="n">
        <v>13.51351351351351</v>
      </c>
    </row>
    <row r="40">
      <c r="A40" s="5" t="n">
        <v>46146</v>
      </c>
      <c r="B40" s="6" t="inlineStr">
        <is>
          <t>Janaina Lima dos Reis Urany</t>
        </is>
      </c>
      <c r="C40" s="1" t="inlineStr">
        <is>
          <t>Técnico III</t>
        </is>
      </c>
      <c r="D40" s="3" t="n">
        <v>47</v>
      </c>
      <c r="E40" s="3" t="n">
        <v>44</v>
      </c>
      <c r="F40" s="3" t="n">
        <v>12.18</v>
      </c>
      <c r="G40" s="3" t="n">
        <v>5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IF(K40&lt;-5,"CRÍTICO",IF(K40&lt;0,"ATENÇÃO",IF(K40&lt;=5,"OPORTUNO","MUITO BOM")))</f>
        <v/>
      </c>
      <c r="M40" s="3" t="n">
        <v>46</v>
      </c>
      <c r="N40" s="3" t="n">
        <v>99</v>
      </c>
      <c r="O40" s="12" t="n">
        <v>22.27414330218069</v>
      </c>
    </row>
    <row r="41">
      <c r="A41" s="5" t="n">
        <v>46146</v>
      </c>
      <c r="B41" s="6" t="inlineStr">
        <is>
          <t>Jaqueline Evangelista da Silva Martins</t>
        </is>
      </c>
      <c r="C41" s="1" t="inlineStr">
        <is>
          <t>Técnico III</t>
        </is>
      </c>
      <c r="D41" s="3" t="n">
        <v>11</v>
      </c>
      <c r="E41" s="3" t="n">
        <v>11</v>
      </c>
      <c r="F41" s="3" t="n">
        <v>22</v>
      </c>
      <c r="G41" s="3" t="n">
        <v>5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IF(K41&lt;-5,"CRÍTICO",IF(K41&lt;0,"ATENÇÃO",IF(K41&lt;=5,"OPORTUNO","MUITO BOM")))</f>
        <v/>
      </c>
      <c r="M41" s="3" t="n">
        <v>18</v>
      </c>
      <c r="N41" s="3" t="n">
        <v>97.04000000000001</v>
      </c>
      <c r="O41" s="12" t="n">
        <v>29.82885085574572</v>
      </c>
    </row>
    <row r="42">
      <c r="A42" s="5" t="n">
        <v>46146</v>
      </c>
      <c r="B42" s="6" t="inlineStr">
        <is>
          <t>Jéssica Fé Moura</t>
        </is>
      </c>
      <c r="C42" s="1" t="inlineStr">
        <is>
          <t>Técnico III</t>
        </is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3" t="n">
        <v>0</v>
      </c>
      <c r="J42" s="3" t="n">
        <v>0</v>
      </c>
      <c r="K42" s="3" t="n">
        <v>0</v>
      </c>
      <c r="L42" s="3">
        <f>IF(K42&lt;-5,"CRÍTICO",IF(K42&lt;0,"ATENÇÃO",IF(K42&lt;=5,"OPORTUNO","MUITO BOM")))</f>
        <v/>
      </c>
      <c r="M42" s="3" t="n">
        <v>0</v>
      </c>
      <c r="N42" s="3" t="n">
        <v>0</v>
      </c>
      <c r="O42" s="12" t="n">
        <v>0</v>
      </c>
    </row>
    <row r="43">
      <c r="A43" s="10" t="n">
        <v>46091</v>
      </c>
      <c r="B43" t="inlineStr">
        <is>
          <t>Michelle G Santos</t>
        </is>
      </c>
      <c r="C43" s="1" t="inlineStr">
        <is>
          <t>Estágio</t>
        </is>
      </c>
      <c r="D43" s="3" t="n">
        <v>4</v>
      </c>
      <c r="E43" s="3" t="n">
        <v>4</v>
      </c>
      <c r="F43" s="3" t="n">
        <v>85.25</v>
      </c>
      <c r="G43" s="3" t="n">
        <v>0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IF(K43&lt;-5,"CRÍTICO",IF(K43&lt;0,"ATENÇÃO",IF(K43&lt;=5,"OPORTUNO","MUITO BOM")))</f>
        <v/>
      </c>
      <c r="M43" s="3" t="n">
        <v>3</v>
      </c>
      <c r="N43" s="3" t="n">
        <v>95.83</v>
      </c>
      <c r="O43" s="12" t="n">
        <v>25.77319587628866</v>
      </c>
    </row>
    <row r="44">
      <c r="A44" s="10" t="n">
        <v>46091</v>
      </c>
      <c r="B44" t="inlineStr">
        <is>
          <t>Quirino Diogo Leite Torres</t>
        </is>
      </c>
      <c r="C44" s="1" t="inlineStr">
        <is>
          <t>Estágio</t>
        </is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3" t="n">
        <v>0</v>
      </c>
      <c r="J44" s="3" t="n">
        <v>0</v>
      </c>
      <c r="K44" s="3" t="n">
        <v>0</v>
      </c>
      <c r="L44" s="3">
        <f>IF(K44&lt;-5,"CRÍTICO",IF(K44&lt;0,"ATENÇÃO",IF(K44&lt;=5,"OPORTUNO","MUITO BOM")))</f>
        <v/>
      </c>
      <c r="M44" s="3" t="n">
        <v>0</v>
      </c>
      <c r="N44" s="3" t="n">
        <v>100</v>
      </c>
      <c r="O44" s="12" t="n">
        <v>35</v>
      </c>
    </row>
    <row r="45">
      <c r="A45" s="5" t="n">
        <v>46146</v>
      </c>
      <c r="B45" s="6" t="inlineStr">
        <is>
          <t>Kerollen Cristielly de Jesus Siqueira</t>
        </is>
      </c>
      <c r="C45" s="1" t="inlineStr">
        <is>
          <t>Técnico III</t>
        </is>
      </c>
      <c r="D45" s="3" t="n">
        <v>20</v>
      </c>
      <c r="E45" s="3" t="n">
        <v>20</v>
      </c>
      <c r="F45" s="3" t="n">
        <v>20.48</v>
      </c>
      <c r="G45" s="3" t="n">
        <v>0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IF(K45&lt;-5,"CRÍTICO",IF(K45&lt;0,"ATENÇÃO",IF(K45&lt;=5,"OPORTUNO","MUITO BOM")))</f>
        <v/>
      </c>
      <c r="M45" s="3" t="n">
        <v>20</v>
      </c>
      <c r="N45" s="3" t="n">
        <v>96.84</v>
      </c>
      <c r="O45" s="12" t="n">
        <v>16.33802816901408</v>
      </c>
    </row>
    <row r="46">
      <c r="A46" s="5" t="n">
        <v>46146</v>
      </c>
      <c r="B46" s="6" t="inlineStr">
        <is>
          <t>Leandro Oliveira de Sousa</t>
        </is>
      </c>
      <c r="C46" s="1" t="inlineStr">
        <is>
          <t>Técnico III</t>
        </is>
      </c>
      <c r="D46" s="3" t="n">
        <v>32</v>
      </c>
      <c r="E46" s="3" t="n">
        <v>29</v>
      </c>
      <c r="F46" s="3" t="n">
        <v>15.44</v>
      </c>
      <c r="G46" s="3" t="n">
        <v>0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IF(K46&lt;-5,"CRÍTICO",IF(K46&lt;0,"ATENÇÃO",IF(K46&lt;=5,"OPORTUNO","MUITO BOM")))</f>
        <v/>
      </c>
      <c r="M46" s="3" t="n">
        <v>27</v>
      </c>
      <c r="N46" s="3" t="n">
        <v>100</v>
      </c>
      <c r="O46" s="12" t="n">
        <v>18.24480369515012</v>
      </c>
    </row>
    <row r="47">
      <c r="A47" s="5" t="n">
        <v>46146</v>
      </c>
      <c r="B47" s="6" t="inlineStr">
        <is>
          <t>Lucas Luiz Romero</t>
        </is>
      </c>
      <c r="C47" s="1" t="inlineStr">
        <is>
          <t>Técnico III</t>
        </is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>
        <f>IF(K47&lt;-5,"CRÍTICO",IF(K47&lt;0,"ATENÇÃO",IF(K47&lt;=5,"OPORTUNO","MUITO BOM")))</f>
        <v/>
      </c>
      <c r="M47" s="3" t="n">
        <v>0</v>
      </c>
      <c r="N47" s="3" t="n">
        <v>100</v>
      </c>
      <c r="O47" s="12" t="n">
        <v>15.78947368421053</v>
      </c>
    </row>
    <row r="48">
      <c r="A48" s="5" t="n">
        <v>46146</v>
      </c>
      <c r="B48" s="6" t="inlineStr">
        <is>
          <t>Maysa Victoria Dias Moura</t>
        </is>
      </c>
      <c r="C48" s="1" t="inlineStr">
        <is>
          <t>Técnico III</t>
        </is>
      </c>
      <c r="D48" s="3" t="n">
        <v>40</v>
      </c>
      <c r="E48" s="3" t="n">
        <v>37</v>
      </c>
      <c r="F48" s="3" t="n">
        <v>10.48</v>
      </c>
      <c r="G48" s="3" t="n">
        <v>1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IF(K48&lt;-5,"CRÍTICO",IF(K48&lt;0,"ATENÇÃO",IF(K48&lt;=5,"OPORTUNO","MUITO BOM")))</f>
        <v/>
      </c>
      <c r="M48" s="3" t="n">
        <v>33</v>
      </c>
      <c r="N48" s="3" t="n">
        <v>96.38</v>
      </c>
      <c r="O48" s="12" t="n">
        <v>23.1981981981982</v>
      </c>
    </row>
    <row r="49">
      <c r="A49" s="10" t="n">
        <v>46092</v>
      </c>
      <c r="B49" t="inlineStr">
        <is>
          <t>Michelle G Santos</t>
        </is>
      </c>
      <c r="C49" s="1" t="inlineStr">
        <is>
          <t>Estágio</t>
        </is>
      </c>
      <c r="D49" s="3" t="n">
        <v>6</v>
      </c>
      <c r="E49" s="3" t="n">
        <v>5</v>
      </c>
      <c r="F49" s="3" t="n">
        <v>46.5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IF(K49&lt;-5,"CRÍTICO",IF(K49&lt;0,"ATENÇÃO",IF(K49&lt;=5,"OPORTUNO","MUITO BOM")))</f>
        <v/>
      </c>
      <c r="M49" s="3" t="n">
        <v>5</v>
      </c>
      <c r="N49" s="3" t="n">
        <v>95.83</v>
      </c>
      <c r="O49" s="12" t="n">
        <v>25.77319587628866</v>
      </c>
    </row>
    <row r="50">
      <c r="A50" s="10" t="n">
        <v>46092</v>
      </c>
      <c r="B50" t="inlineStr">
        <is>
          <t>Quirino Diogo Leite Torres</t>
        </is>
      </c>
      <c r="C50" s="1" t="inlineStr">
        <is>
          <t>Estágio</t>
        </is>
      </c>
      <c r="D50" s="3" t="n">
        <v>0</v>
      </c>
      <c r="E50" s="3" t="n">
        <v>0</v>
      </c>
      <c r="F50" s="3" t="n">
        <v>0</v>
      </c>
      <c r="G50" s="3" t="n">
        <v>0</v>
      </c>
      <c r="H50" s="3" t="n">
        <v>0</v>
      </c>
      <c r="I50" s="3" t="n">
        <v>0</v>
      </c>
      <c r="J50" s="3" t="n">
        <v>0</v>
      </c>
      <c r="K50" s="3" t="n">
        <v>0</v>
      </c>
      <c r="L50" s="3">
        <f>IF(K50&lt;-5,"CRÍTICO",IF(K50&lt;0,"ATENÇÃO",IF(K50&lt;=5,"OPORTUNO","MUITO BOM")))</f>
        <v/>
      </c>
      <c r="M50" s="3" t="n">
        <v>0</v>
      </c>
      <c r="N50" s="3" t="n">
        <v>100</v>
      </c>
      <c r="O50" s="12" t="n">
        <v>35</v>
      </c>
    </row>
    <row r="51">
      <c r="A51" s="5" t="n">
        <v>46146</v>
      </c>
      <c r="B51" s="6" t="inlineStr">
        <is>
          <t>Rafael Gomes de Morais</t>
        </is>
      </c>
      <c r="C51" s="1" t="inlineStr">
        <is>
          <t>Técnico III</t>
        </is>
      </c>
      <c r="D51" s="3" t="n">
        <v>50</v>
      </c>
      <c r="E51" s="3" t="n">
        <v>46</v>
      </c>
      <c r="F51" s="3" t="n">
        <v>12.23</v>
      </c>
      <c r="G51" s="3" t="n">
        <v>1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IF(K51&lt;-5,"CRÍTICO",IF(K51&lt;0,"ATENÇÃO",IF(K51&lt;=5,"OPORTUNO","MUITO BOM")))</f>
        <v/>
      </c>
      <c r="M51" s="3" t="n">
        <v>32</v>
      </c>
      <c r="N51" s="3" t="n">
        <v>99.39</v>
      </c>
      <c r="O51" s="12" t="n">
        <v>25.20325203252033</v>
      </c>
    </row>
    <row r="52">
      <c r="A52" s="5" t="n">
        <v>46146</v>
      </c>
      <c r="B52" s="6" t="inlineStr">
        <is>
          <t>Sarah Steffanie de Lima Borges</t>
        </is>
      </c>
      <c r="C52" s="1" t="inlineStr">
        <is>
          <t>Técnico III</t>
        </is>
      </c>
      <c r="D52" s="3" t="n">
        <v>26</v>
      </c>
      <c r="E52" s="3" t="n">
        <v>25</v>
      </c>
      <c r="F52" s="3" t="n">
        <v>17.25</v>
      </c>
      <c r="G52" s="3" t="n">
        <v>4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IF(K52&lt;-5,"CRÍTICO",IF(K52&lt;0,"ATENÇÃO",IF(K52&lt;=5,"OPORTUNO","MUITO BOM")))</f>
        <v/>
      </c>
      <c r="M52" s="3" t="n">
        <v>26</v>
      </c>
      <c r="N52" s="3" t="n">
        <v>97</v>
      </c>
      <c r="O52" s="12" t="n">
        <v>20.32520325203252</v>
      </c>
    </row>
    <row r="53">
      <c r="A53" s="5" t="n">
        <v>46146</v>
      </c>
      <c r="B53" s="6" t="inlineStr">
        <is>
          <t>Alisson de Freitas Silva</t>
        </is>
      </c>
      <c r="C53" s="1" t="inlineStr">
        <is>
          <t>Técnico II</t>
        </is>
      </c>
      <c r="D53" s="3" t="n">
        <v>40</v>
      </c>
      <c r="E53" s="3" t="n">
        <v>38</v>
      </c>
      <c r="F53" s="3" t="n">
        <v>13.5</v>
      </c>
      <c r="G53" s="3" t="n">
        <v>4</v>
      </c>
      <c r="H53" s="3" t="n">
        <v>0</v>
      </c>
      <c r="I53" s="3">
        <f>E53+G53+H53</f>
        <v/>
      </c>
      <c r="J53" s="3">
        <f>ROUND(MIN(IF(C53="Técnico III",35,IF(C53="Técnico II",28,IF(C53="Técnico I",23,IF(C53="JR",20,IF(C53="Estágio",10,0))))),IF(C53="Técnico III",SUMIFS($D:$D,$A:$A,$A53,$B:$B,"&lt;&gt;Patrícia Karla de Sousa Araújo",$B:$B,"&lt;&gt;Lorena Dias de Araujo",$B:$B,"&lt;&gt;Lucas Luiz Romero")*(35/1083),IF(C53="Técnico II",SUMIFS($D:$D,$A:$A,$A53,$B:$B,"&lt;&gt;Patrícia Karla de Sousa Araújo",$B:$B,"&lt;&gt;Lorena Dias de Araujo",$B:$B,"&lt;&gt;Lucas Luiz Romero")*(28/1083),IF(C53="Técnico I",SUMIFS($D:$D,$A:$A,$A53,$B:$B,"&lt;&gt;Patrícia Karla de Sousa Araújo",$B:$B,"&lt;&gt;Lorena Dias de Araujo",$B:$B,"&lt;&gt;Lucas Luiz Romero")*(23/1083),IF(C53="JR",SUMIFS($D:$D,$A:$A,$A53,$B:$B,"&lt;&gt;Patrícia Karla de Sousa Araújo",$B:$B,"&lt;&gt;Lorena Dias de Araujo",$B:$B,"&lt;&gt;Lucas Luiz Romero")*(20/1083),IF(C53="Estágio",SUMIFS($D:$D,$A:$A,$A53,$B:$B,"&lt;&gt;Patrícia Karla de Sousa Araújo",$B:$B,"&lt;&gt;Lorena Dias de Araujo",$B:$B,"&lt;&gt;Lucas Luiz Romero")*(10/1083),0)))))),0)</f>
        <v/>
      </c>
      <c r="K53" s="3">
        <f>I53-J53</f>
        <v/>
      </c>
      <c r="L53" s="3">
        <f>IF(K53&lt;-5,"CRÍTICO",IF(K53&lt;0,"ATENÇÃO",IF(K53&lt;=5,"OPORTUNO","MUITO BOM")))</f>
        <v/>
      </c>
      <c r="M53" s="3" t="n">
        <v>36</v>
      </c>
      <c r="N53" s="3" t="n">
        <v>99.18000000000001</v>
      </c>
      <c r="O53" s="12" t="n">
        <v>24.5014245014245</v>
      </c>
    </row>
    <row r="54">
      <c r="A54" s="5" t="n">
        <v>46146</v>
      </c>
      <c r="B54" s="6" t="inlineStr">
        <is>
          <t>Brenda de Menezes Silva</t>
        </is>
      </c>
      <c r="C54" s="1" t="inlineStr">
        <is>
          <t>Técnico II</t>
        </is>
      </c>
      <c r="D54" s="3" t="n">
        <v>41</v>
      </c>
      <c r="E54" s="3" t="n">
        <v>38</v>
      </c>
      <c r="F54" s="3" t="n">
        <v>11.44</v>
      </c>
      <c r="G54" s="3" t="n">
        <v>5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IF(K54&lt;-5,"CRÍTICO",IF(K54&lt;0,"ATENÇÃO",IF(K54&lt;=5,"OPORTUNO","MUITO BOM")))</f>
        <v/>
      </c>
      <c r="M54" s="3" t="n">
        <v>43</v>
      </c>
      <c r="N54" s="3" t="n">
        <v>99.34999999999999</v>
      </c>
      <c r="O54" s="12" t="n">
        <v>19.85294117647059</v>
      </c>
    </row>
    <row r="55">
      <c r="A55" s="10" t="n">
        <v>46093</v>
      </c>
      <c r="B55" t="inlineStr">
        <is>
          <t>Michelle G Santos</t>
        </is>
      </c>
      <c r="C55" s="1" t="inlineStr">
        <is>
          <t>Estágio</t>
        </is>
      </c>
      <c r="D55" s="3" t="n">
        <v>6</v>
      </c>
      <c r="E55" s="3" t="n">
        <v>6</v>
      </c>
      <c r="F55" s="3" t="n">
        <v>43.49</v>
      </c>
      <c r="G55" s="3" t="n">
        <v>0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IF(K55&lt;-5,"CRÍTICO",IF(K55&lt;0,"ATENÇÃO",IF(K55&lt;=5,"OPORTUNO","MUITO BOM")))</f>
        <v/>
      </c>
      <c r="M55" s="3" t="n">
        <v>3</v>
      </c>
      <c r="N55" s="3" t="n">
        <v>95.83</v>
      </c>
      <c r="O55" s="12" t="n">
        <v>25.77319587628866</v>
      </c>
    </row>
    <row r="56">
      <c r="A56" s="10" t="n">
        <v>46093</v>
      </c>
      <c r="B56" t="inlineStr">
        <is>
          <t>Quirino Diogo Leite Torres</t>
        </is>
      </c>
      <c r="C56" s="1" t="inlineStr">
        <is>
          <t>Estágio</t>
        </is>
      </c>
      <c r="D56" s="3" t="n">
        <v>0</v>
      </c>
      <c r="E56" s="3" t="n">
        <v>0</v>
      </c>
      <c r="F56" s="3" t="n">
        <v>0</v>
      </c>
      <c r="G56" s="3" t="n">
        <v>0</v>
      </c>
      <c r="H56" s="3" t="n">
        <v>0</v>
      </c>
      <c r="I56" s="3" t="n">
        <v>0</v>
      </c>
      <c r="J56" s="3" t="n">
        <v>0</v>
      </c>
      <c r="K56" s="3" t="n">
        <v>0</v>
      </c>
      <c r="L56" s="3">
        <f>IF(K56&lt;-5,"CRÍTICO",IF(K56&lt;0,"ATENÇÃO",IF(K56&lt;=5,"OPORTUNO","MUITO BOM")))</f>
        <v/>
      </c>
      <c r="M56" s="3" t="n">
        <v>0</v>
      </c>
      <c r="N56" s="3" t="n">
        <v>100</v>
      </c>
      <c r="O56" s="12" t="n">
        <v>35</v>
      </c>
    </row>
    <row r="57">
      <c r="A57" s="5" t="n">
        <v>46146</v>
      </c>
      <c r="B57" s="6" t="inlineStr">
        <is>
          <t>Carlos Mateus Cassimiro Nunes</t>
        </is>
      </c>
      <c r="C57" s="1" t="inlineStr">
        <is>
          <t>Técnico II</t>
        </is>
      </c>
      <c r="D57" s="3" t="n">
        <v>31</v>
      </c>
      <c r="E57" s="3" t="n">
        <v>29</v>
      </c>
      <c r="F57" s="3" t="n">
        <v>20.3</v>
      </c>
      <c r="G57" s="3" t="n">
        <v>0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IF(K57&lt;-5,"CRÍTICO",IF(K57&lt;0,"ATENÇÃO",IF(K57&lt;=5,"OPORTUNO","MUITO BOM")))</f>
        <v/>
      </c>
      <c r="M57" s="3" t="n">
        <v>28</v>
      </c>
      <c r="N57" s="3" t="n">
        <v>99.06999999999999</v>
      </c>
      <c r="O57" s="12" t="n">
        <v>20.09803921568627</v>
      </c>
    </row>
    <row r="58">
      <c r="A58" s="5" t="n">
        <v>46146</v>
      </c>
      <c r="B58" s="6" t="inlineStr">
        <is>
          <t>Damyllis Lorraine de Oliveira Gonçalves</t>
        </is>
      </c>
      <c r="C58" s="1" t="inlineStr">
        <is>
          <t>Técnico II</t>
        </is>
      </c>
      <c r="D58" s="3" t="n">
        <v>37</v>
      </c>
      <c r="E58" s="3" t="n">
        <v>30</v>
      </c>
      <c r="F58" s="3" t="n">
        <v>15.15</v>
      </c>
      <c r="G58" s="3" t="n">
        <v>0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IF(K58&lt;-5,"CRÍTICO",IF(K58&lt;0,"ATENÇÃO",IF(K58&lt;=5,"OPORTUNO","MUITO BOM")))</f>
        <v/>
      </c>
      <c r="M58" s="3" t="n">
        <v>25</v>
      </c>
      <c r="N58" s="3" t="n">
        <v>98.81</v>
      </c>
      <c r="O58" s="12" t="n">
        <v>22.76785714285714</v>
      </c>
    </row>
    <row r="59">
      <c r="A59" s="5" t="n">
        <v>46146</v>
      </c>
      <c r="B59" s="6" t="inlineStr">
        <is>
          <t>Emilly Kamilly Medeiros Miranda</t>
        </is>
      </c>
      <c r="C59" s="1" t="inlineStr">
        <is>
          <t>Técnico II</t>
        </is>
      </c>
      <c r="D59" s="3" t="n">
        <v>31</v>
      </c>
      <c r="E59" s="3" t="n">
        <v>28</v>
      </c>
      <c r="F59" s="3" t="n">
        <v>15.09</v>
      </c>
      <c r="G59" s="3" t="n">
        <v>7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IF(K59&lt;-5,"CRÍTICO",IF(K59&lt;0,"ATENÇÃO",IF(K59&lt;=5,"OPORTUNO","MUITO BOM")))</f>
        <v/>
      </c>
      <c r="M59" s="3" t="n">
        <v>29</v>
      </c>
      <c r="N59" s="3" t="n">
        <v>99.01000000000001</v>
      </c>
      <c r="O59" s="12" t="n">
        <v>17.76649746192894</v>
      </c>
    </row>
    <row r="60">
      <c r="A60" s="5" t="n">
        <v>46146</v>
      </c>
      <c r="B60" s="6" t="inlineStr">
        <is>
          <t>Francilene Ferreira de Jesus</t>
        </is>
      </c>
      <c r="C60" s="1" t="inlineStr">
        <is>
          <t>Técnico II</t>
        </is>
      </c>
      <c r="D60" s="3" t="n">
        <v>36</v>
      </c>
      <c r="E60" s="3" t="n">
        <v>33</v>
      </c>
      <c r="F60" s="3" t="n">
        <v>18.37</v>
      </c>
      <c r="G60" s="3" t="n">
        <v>0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IF(K60&lt;-5,"CRÍTICO",IF(K60&lt;0,"ATENÇÃO",IF(K60&lt;=5,"OPORTUNO","MUITO BOM")))</f>
        <v/>
      </c>
      <c r="M60" s="3" t="n">
        <v>29</v>
      </c>
      <c r="N60" s="3" t="n">
        <v>100</v>
      </c>
      <c r="O60" s="12" t="n">
        <v>17.24137931034483</v>
      </c>
    </row>
    <row r="61">
      <c r="A61" s="10" t="n">
        <v>46094</v>
      </c>
      <c r="B61" t="inlineStr">
        <is>
          <t>Michelle G Santos</t>
        </is>
      </c>
      <c r="C61" s="1" t="inlineStr">
        <is>
          <t>Estágio</t>
        </is>
      </c>
      <c r="D61" s="3" t="n">
        <v>6</v>
      </c>
      <c r="E61" s="3" t="n">
        <v>6</v>
      </c>
      <c r="F61" s="3" t="n">
        <v>48.34</v>
      </c>
      <c r="G61" s="3" t="n">
        <v>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IF(K61&lt;-5,"CRÍTICO",IF(K61&lt;0,"ATENÇÃO",IF(K61&lt;=5,"OPORTUNO","MUITO BOM")))</f>
        <v/>
      </c>
      <c r="M61" s="3" t="n">
        <v>5</v>
      </c>
      <c r="N61" s="3" t="n">
        <v>95.83</v>
      </c>
      <c r="O61" s="12" t="n">
        <v>25.77319587628866</v>
      </c>
    </row>
    <row r="62">
      <c r="A62" s="10" t="n">
        <v>46094</v>
      </c>
      <c r="B62" t="inlineStr">
        <is>
          <t>Quirino Diogo Leite Torres</t>
        </is>
      </c>
      <c r="C62" s="1" t="inlineStr">
        <is>
          <t>Estágio</t>
        </is>
      </c>
      <c r="D62" s="3" t="n">
        <v>0</v>
      </c>
      <c r="E62" s="3" t="n">
        <v>0</v>
      </c>
      <c r="F62" s="3" t="n">
        <v>0</v>
      </c>
      <c r="G62" s="3" t="n">
        <v>0</v>
      </c>
      <c r="H62" s="3" t="n">
        <v>0</v>
      </c>
      <c r="I62" s="3" t="n">
        <v>0</v>
      </c>
      <c r="J62" s="3" t="n">
        <v>0</v>
      </c>
      <c r="K62" s="3" t="n">
        <v>0</v>
      </c>
      <c r="L62" s="3">
        <f>IF(K62&lt;-5,"CRÍTICO",IF(K62&lt;0,"ATENÇÃO",IF(K62&lt;=5,"OPORTUNO","MUITO BOM")))</f>
        <v/>
      </c>
      <c r="M62" s="3" t="n">
        <v>0</v>
      </c>
      <c r="N62" s="3" t="n">
        <v>100</v>
      </c>
      <c r="O62" s="12" t="n">
        <v>35</v>
      </c>
    </row>
    <row r="63">
      <c r="A63" s="5" t="n">
        <v>46146</v>
      </c>
      <c r="B63" s="6" t="inlineStr">
        <is>
          <t>Isabella Borges de Oliveira</t>
        </is>
      </c>
      <c r="C63" s="1" t="inlineStr">
        <is>
          <t>Técnico II</t>
        </is>
      </c>
      <c r="D63" s="3" t="n">
        <v>36</v>
      </c>
      <c r="E63" s="3" t="n">
        <v>34</v>
      </c>
      <c r="F63" s="3" t="n">
        <v>14.11</v>
      </c>
      <c r="G63" s="3" t="n">
        <v>0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IF(K63&lt;-5,"CRÍTICO",IF(K63&lt;0,"ATENÇÃO",IF(K63&lt;=5,"OPORTUNO","MUITO BOM")))</f>
        <v/>
      </c>
      <c r="M63" s="3" t="n">
        <v>33</v>
      </c>
      <c r="N63" s="3" t="n">
        <v>98.98</v>
      </c>
      <c r="O63" s="12" t="n">
        <v>19.35483870967742</v>
      </c>
    </row>
    <row r="64">
      <c r="A64" s="5" t="n">
        <v>46146</v>
      </c>
      <c r="B64" s="6" t="inlineStr">
        <is>
          <t>Jessica Faria da Silveira</t>
        </is>
      </c>
      <c r="C64" s="1" t="inlineStr">
        <is>
          <t>Técnico II</t>
        </is>
      </c>
      <c r="D64" s="3" t="n">
        <v>32</v>
      </c>
      <c r="E64" s="3" t="n">
        <v>28</v>
      </c>
      <c r="F64" s="3" t="n">
        <v>14.15</v>
      </c>
      <c r="G64" s="3" t="n">
        <v>4</v>
      </c>
      <c r="H64" s="3" t="n">
        <v>0</v>
      </c>
      <c r="I64" s="3">
        <f>E64+G64+H64</f>
        <v/>
      </c>
      <c r="J64" s="3">
        <f>ROUND(MIN(IF(C64="Técnico III",35,IF(C64="Técnico II",28,IF(C64="Técnico I",23,IF(C64="JR",20,IF(C64="Estágio",10,0))))),IF(C64="Técnico III",SUMIFS($D:$D,$A:$A,$A64,$B:$B,"&lt;&gt;Patrícia Karla de Sousa Araújo",$B:$B,"&lt;&gt;Lorena Dias de Araujo",$B:$B,"&lt;&gt;Lucas Luiz Romero")*(35/1083),IF(C64="Técnico II",SUMIFS($D:$D,$A:$A,$A64,$B:$B,"&lt;&gt;Patrícia Karla de Sousa Araújo",$B:$B,"&lt;&gt;Lorena Dias de Araujo",$B:$B,"&lt;&gt;Lucas Luiz Romero")*(28/1083),IF(C64="Técnico I",SUMIFS($D:$D,$A:$A,$A64,$B:$B,"&lt;&gt;Patrícia Karla de Sousa Araújo",$B:$B,"&lt;&gt;Lorena Dias de Araujo",$B:$B,"&lt;&gt;Lucas Luiz Romero")*(23/1083),IF(C64="JR",SUMIFS($D:$D,$A:$A,$A64,$B:$B,"&lt;&gt;Patrícia Karla de Sousa Araújo",$B:$B,"&lt;&gt;Lorena Dias de Araujo",$B:$B,"&lt;&gt;Lucas Luiz Romero")*(20/1083),IF(C64="Estágio",SUMIFS($D:$D,$A:$A,$A64,$B:$B,"&lt;&gt;Patrícia Karla de Sousa Araújo",$B:$B,"&lt;&gt;Lorena Dias de Araujo",$B:$B,"&lt;&gt;Lucas Luiz Romero")*(10/1083),0)))))),0)</f>
        <v/>
      </c>
      <c r="K64" s="3">
        <f>I64-J64</f>
        <v/>
      </c>
      <c r="L64" s="3">
        <f>IF(K64&lt;-5,"CRÍTICO",IF(K64&lt;0,"ATENÇÃO",IF(K64&lt;=5,"OPORTUNO","MUITO BOM")))</f>
        <v/>
      </c>
      <c r="M64" s="3" t="n">
        <v>31</v>
      </c>
      <c r="N64" s="3" t="n">
        <v>98.94</v>
      </c>
      <c r="O64" s="12" t="n">
        <v>21.2707182320442</v>
      </c>
    </row>
    <row r="65">
      <c r="A65" s="5" t="n">
        <v>46146</v>
      </c>
      <c r="B65" s="6" t="inlineStr">
        <is>
          <t>Lizandra Gomes Duarte</t>
        </is>
      </c>
      <c r="C65" s="1" t="inlineStr">
        <is>
          <t>Técnico II</t>
        </is>
      </c>
      <c r="D65" s="3" t="n">
        <v>29</v>
      </c>
      <c r="E65" s="3" t="n">
        <v>26</v>
      </c>
      <c r="F65" s="3" t="n">
        <v>15.47</v>
      </c>
      <c r="G65" s="3" t="n">
        <v>0</v>
      </c>
      <c r="H65" s="3" t="n">
        <v>0</v>
      </c>
      <c r="I65" s="3">
        <f>E65+G65+H65</f>
        <v/>
      </c>
      <c r="J65" s="3">
        <f>ROUND(MIN(IF(C65="Técnico III",35,IF(C65="Técnico II",28,IF(C65="Técnico I",23,IF(C65="JR",20,IF(C65="Estágio",10,0))))),IF(C65="Técnico III",SUMIFS($D:$D,$A:$A,$A65,$B:$B,"&lt;&gt;Patrícia Karla de Sousa Araújo",$B:$B,"&lt;&gt;Lorena Dias de Araujo",$B:$B,"&lt;&gt;Lucas Luiz Romero")*(35/1083),IF(C65="Técnico II",SUMIFS($D:$D,$A:$A,$A65,$B:$B,"&lt;&gt;Patrícia Karla de Sousa Araújo",$B:$B,"&lt;&gt;Lorena Dias de Araujo",$B:$B,"&lt;&gt;Lucas Luiz Romero")*(28/1083),IF(C65="Técnico I",SUMIFS($D:$D,$A:$A,$A65,$B:$B,"&lt;&gt;Patrícia Karla de Sousa Araújo",$B:$B,"&lt;&gt;Lorena Dias de Araujo",$B:$B,"&lt;&gt;Lucas Luiz Romero")*(23/1083),IF(C65="JR",SUMIFS($D:$D,$A:$A,$A65,$B:$B,"&lt;&gt;Patrícia Karla de Sousa Araújo",$B:$B,"&lt;&gt;Lorena Dias de Araujo",$B:$B,"&lt;&gt;Lucas Luiz Romero")*(20/1083),IF(C65="Estágio",SUMIFS($D:$D,$A:$A,$A65,$B:$B,"&lt;&gt;Patrícia Karla de Sousa Araújo",$B:$B,"&lt;&gt;Lorena Dias de Araujo",$B:$B,"&lt;&gt;Lucas Luiz Romero")*(10/1083),0)))))),0)</f>
        <v/>
      </c>
      <c r="K65" s="3">
        <f>I65-J65</f>
        <v/>
      </c>
      <c r="L65" s="3">
        <f>IF(K65&lt;-5,"CRÍTICO",IF(K65&lt;0,"ATENÇÃO",IF(K65&lt;=5,"OPORTUNO","MUITO BOM")))</f>
        <v/>
      </c>
      <c r="M65" s="3" t="n">
        <v>15</v>
      </c>
      <c r="N65" s="3" t="n">
        <v>99</v>
      </c>
      <c r="O65" s="12" t="n">
        <v>22.01086956521739</v>
      </c>
    </row>
    <row r="66">
      <c r="A66" s="10" t="n">
        <v>46027</v>
      </c>
      <c r="B66" t="inlineStr">
        <is>
          <t>Gabriel Gomes de Andrade</t>
        </is>
      </c>
      <c r="C66" s="1" t="inlineStr">
        <is>
          <t>Técnico I</t>
        </is>
      </c>
      <c r="D66" s="3" t="n">
        <v>21</v>
      </c>
      <c r="E66" s="3" t="n">
        <v>19</v>
      </c>
      <c r="F66" s="3" t="n">
        <v>21.5</v>
      </c>
      <c r="G66" s="3" t="n">
        <v>0</v>
      </c>
      <c r="H66" s="3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M66" s="3" t="n">
        <v>18</v>
      </c>
      <c r="N66" s="3" t="n">
        <v>98.91</v>
      </c>
      <c r="O66" s="12" t="n">
        <v>31.36729222520107</v>
      </c>
    </row>
    <row r="67">
      <c r="A67" s="10" t="n">
        <v>46097</v>
      </c>
      <c r="B67" t="inlineStr">
        <is>
          <t>Michelle G Santos</t>
        </is>
      </c>
      <c r="C67" s="1" t="inlineStr">
        <is>
          <t>Estágio</t>
        </is>
      </c>
      <c r="D67" s="3" t="n">
        <v>4</v>
      </c>
      <c r="E67" s="3" t="n">
        <v>4</v>
      </c>
      <c r="F67" s="3" t="n">
        <v>77.19</v>
      </c>
      <c r="G67" s="3" t="n">
        <v>0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IF(K67&lt;-5,"CRÍTICO",IF(K67&lt;0,"ATENÇÃO",IF(K67&lt;=5,"OPORTUNO","MUITO BOM")))</f>
        <v/>
      </c>
      <c r="M67" s="3" t="n">
        <v>2</v>
      </c>
      <c r="N67" s="3" t="n">
        <v>95.83</v>
      </c>
      <c r="O67" s="12" t="n">
        <v>25.77319587628866</v>
      </c>
    </row>
    <row r="68">
      <c r="A68" s="10" t="n">
        <v>46097</v>
      </c>
      <c r="B68" t="inlineStr">
        <is>
          <t>Quirino Diogo Leite Torres</t>
        </is>
      </c>
      <c r="C68" s="1" t="inlineStr">
        <is>
          <t>Estágio</t>
        </is>
      </c>
      <c r="D68" s="3" t="n">
        <v>0</v>
      </c>
      <c r="E68" s="3" t="n">
        <v>0</v>
      </c>
      <c r="F68" s="3" t="n">
        <v>0</v>
      </c>
      <c r="G68" s="3" t="n">
        <v>0</v>
      </c>
      <c r="H68" s="3" t="n">
        <v>0</v>
      </c>
      <c r="I68" s="3" t="n">
        <v>0</v>
      </c>
      <c r="J68" s="3" t="n">
        <v>0</v>
      </c>
      <c r="K68" s="3" t="n">
        <v>0</v>
      </c>
      <c r="L68" s="3">
        <f>IF(K68&lt;-5,"CRÍTICO",IF(K68&lt;0,"ATENÇÃO",IF(K68&lt;=5,"OPORTUNO","MUITO BOM")))</f>
        <v/>
      </c>
      <c r="M68" s="3" t="n">
        <v>0</v>
      </c>
      <c r="N68" s="3" t="n">
        <v>100</v>
      </c>
      <c r="O68" s="12" t="n">
        <v>35</v>
      </c>
    </row>
    <row r="69">
      <c r="A69" s="5" t="n">
        <v>46146</v>
      </c>
      <c r="B69" s="6" t="inlineStr">
        <is>
          <t>Lorena Dias de Araujo</t>
        </is>
      </c>
      <c r="C69" s="1" t="inlineStr">
        <is>
          <t>Técnico II</t>
        </is>
      </c>
      <c r="D69" s="3" t="n">
        <v>41</v>
      </c>
      <c r="E69" s="3" t="n">
        <v>40</v>
      </c>
      <c r="F69" s="3" t="n">
        <v>15.1</v>
      </c>
      <c r="G69" s="3" t="n">
        <v>0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IF(K69&lt;-5,"CRÍTICO",IF(K69&lt;0,"ATENÇÃO",IF(K69&lt;=5,"OPORTUNO","MUITO BOM")))</f>
        <v/>
      </c>
      <c r="M69" s="3" t="n">
        <v>31</v>
      </c>
      <c r="N69" s="3" t="n">
        <v>100</v>
      </c>
      <c r="O69" s="12" t="n">
        <v>25</v>
      </c>
    </row>
    <row r="70">
      <c r="A70" s="5" t="n">
        <v>46146</v>
      </c>
      <c r="B70" s="6" t="inlineStr">
        <is>
          <t>Patrícia Karla de Sousa Araújo</t>
        </is>
      </c>
      <c r="C70" s="1" t="inlineStr">
        <is>
          <t>Técnico II</t>
        </is>
      </c>
      <c r="D70" s="3" t="n">
        <v>20</v>
      </c>
      <c r="E70" s="3" t="n">
        <v>16</v>
      </c>
      <c r="F70" s="3" t="n">
        <v>16.51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IF(K70&lt;-5,"CRÍTICO",IF(K70&lt;0,"ATENÇÃO",IF(K70&lt;=5,"OPORTUNO","MUITO BOM")))</f>
        <v/>
      </c>
      <c r="M70" s="3" t="n">
        <v>14</v>
      </c>
      <c r="N70" s="3" t="n">
        <v>100</v>
      </c>
      <c r="O70" s="12" t="n">
        <v>20.18348623853211</v>
      </c>
    </row>
    <row r="71">
      <c r="A71" s="5" t="n">
        <v>46146</v>
      </c>
      <c r="B71" s="6" t="inlineStr">
        <is>
          <t>Ana Karollyne Souza Faria</t>
        </is>
      </c>
      <c r="C71" s="1" t="inlineStr">
        <is>
          <t>Técnico I</t>
        </is>
      </c>
      <c r="D71" s="3" t="n">
        <v>41</v>
      </c>
      <c r="E71" s="3" t="n">
        <v>39</v>
      </c>
      <c r="F71" s="3" t="n">
        <v>17.31</v>
      </c>
      <c r="G71" s="3" t="n">
        <v>1</v>
      </c>
      <c r="H71" s="3" t="n">
        <v>0</v>
      </c>
      <c r="I71" s="3">
        <f>E71+G71+H71</f>
        <v/>
      </c>
      <c r="J71" s="3">
        <f>ROUND(MIN(IF(C71="Técnico III",35,IF(C71="Técnico II",28,IF(C71="Técnico I",23,IF(C71="JR",20,IF(C71="Estágio",10,0))))),IF(C71="Técnico III",SUMIFS($D:$D,$A:$A,$A71,$B:$B,"&lt;&gt;Patrícia Karla de Sousa Araújo",$B:$B,"&lt;&gt;Lorena Dias de Araujo",$B:$B,"&lt;&gt;Lucas Luiz Romero")*(35/1083),IF(C71="Técnico II",SUMIFS($D:$D,$A:$A,$A71,$B:$B,"&lt;&gt;Patrícia Karla de Sousa Araújo",$B:$B,"&lt;&gt;Lorena Dias de Araujo",$B:$B,"&lt;&gt;Lucas Luiz Romero")*(28/1083),IF(C71="Técnico I",SUMIFS($D:$D,$A:$A,$A71,$B:$B,"&lt;&gt;Patrícia Karla de Sousa Araújo",$B:$B,"&lt;&gt;Lorena Dias de Araujo",$B:$B,"&lt;&gt;Lucas Luiz Romero")*(23/1083),IF(C71="JR",SUMIFS($D:$D,$A:$A,$A71,$B:$B,"&lt;&gt;Patrícia Karla de Sousa Araújo",$B:$B,"&lt;&gt;Lorena Dias de Araujo",$B:$B,"&lt;&gt;Lucas Luiz Romero")*(20/1083),IF(C71="Estágio",SUMIFS($D:$D,$A:$A,$A71,$B:$B,"&lt;&gt;Patrícia Karla de Sousa Araújo",$B:$B,"&lt;&gt;Lorena Dias de Araujo",$B:$B,"&lt;&gt;Lucas Luiz Romero")*(10/1083),0)))))),0)</f>
        <v/>
      </c>
      <c r="K71" s="3">
        <f>I71-J71</f>
        <v/>
      </c>
      <c r="L71" s="3">
        <f>IF(K71&lt;-5,"CRÍTICO",IF(K71&lt;0,"ATENÇÃO",IF(K71&lt;=5,"OPORTUNO","MUITO BOM")))</f>
        <v/>
      </c>
      <c r="M71" s="3" t="n">
        <v>35</v>
      </c>
      <c r="N71" s="3" t="n">
        <v>96.25</v>
      </c>
      <c r="O71" s="12" t="n">
        <v>25.5863539445629</v>
      </c>
    </row>
    <row r="72">
      <c r="A72" s="10" t="n">
        <v>46098</v>
      </c>
      <c r="B72" t="inlineStr">
        <is>
          <t>Michelle G Santos</t>
        </is>
      </c>
      <c r="C72" s="1" t="inlineStr">
        <is>
          <t>Estágio</t>
        </is>
      </c>
      <c r="D72" s="3" t="n">
        <v>0</v>
      </c>
      <c r="E72" s="3" t="n">
        <v>0</v>
      </c>
      <c r="F72" s="3" t="n">
        <v>0</v>
      </c>
      <c r="G72" s="3" t="n">
        <v>0</v>
      </c>
      <c r="H72" s="3" t="n">
        <v>0</v>
      </c>
      <c r="I72" s="3" t="n">
        <v>0</v>
      </c>
      <c r="J72" s="3" t="n">
        <v>0</v>
      </c>
      <c r="K72" s="3" t="n">
        <v>0</v>
      </c>
      <c r="L72" s="3">
        <f>IF(K72&lt;-5,"CRÍTICO",IF(K72&lt;0,"ATENÇÃO",IF(K72&lt;=5,"OPORTUNO","MUITO BOM")))</f>
        <v/>
      </c>
      <c r="M72" s="3" t="n">
        <v>0</v>
      </c>
      <c r="N72" s="3" t="n">
        <v>95.83</v>
      </c>
      <c r="O72" s="12" t="n">
        <v>25.77319587628866</v>
      </c>
    </row>
    <row r="73">
      <c r="A73" s="10" t="n">
        <v>46098</v>
      </c>
      <c r="B73" t="inlineStr">
        <is>
          <t>Quirino Diogo Leite Torres</t>
        </is>
      </c>
      <c r="C73" s="1" t="inlineStr">
        <is>
          <t>Estágio</t>
        </is>
      </c>
      <c r="D73" s="3" t="n">
        <v>0</v>
      </c>
      <c r="E73" s="3" t="n">
        <v>0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  <c r="K73" s="3" t="n">
        <v>0</v>
      </c>
      <c r="L73" s="3">
        <f>IF(K73&lt;-5,"CRÍTICO",IF(K73&lt;0,"ATENÇÃO",IF(K73&lt;=5,"OPORTUNO","MUITO BOM")))</f>
        <v/>
      </c>
      <c r="M73" s="3" t="n">
        <v>0</v>
      </c>
      <c r="N73" s="3" t="n">
        <v>100</v>
      </c>
      <c r="O73" s="12" t="n">
        <v>35</v>
      </c>
    </row>
    <row r="74">
      <c r="A74" s="5" t="n">
        <v>46146</v>
      </c>
      <c r="B74" s="6" t="inlineStr">
        <is>
          <t>Clessiane Pereira dos Santos</t>
        </is>
      </c>
      <c r="C74" s="1" t="inlineStr">
        <is>
          <t>Técnico I</t>
        </is>
      </c>
      <c r="D74" s="3" t="n">
        <v>32</v>
      </c>
      <c r="E74" s="3" t="n">
        <v>26</v>
      </c>
      <c r="F74" s="3" t="n">
        <v>15.13</v>
      </c>
      <c r="G74" s="3" t="n">
        <v>6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IF(K74&lt;-5,"CRÍTICO",IF(K74&lt;0,"ATENÇÃO",IF(K74&lt;=5,"OPORTUNO","MUITO BOM")))</f>
        <v/>
      </c>
      <c r="M74" s="3" t="n">
        <v>29</v>
      </c>
      <c r="N74" s="3" t="n">
        <v>97.48</v>
      </c>
      <c r="O74" s="12" t="n">
        <v>22.99465240641711</v>
      </c>
    </row>
    <row r="75">
      <c r="A75" s="5" t="n">
        <v>46146</v>
      </c>
      <c r="B75" s="6" t="inlineStr">
        <is>
          <t>Daniel Gomes da Silva</t>
        </is>
      </c>
      <c r="C75" s="1" t="inlineStr">
        <is>
          <t>Técnico I</t>
        </is>
      </c>
      <c r="D75" s="3" t="n">
        <v>28</v>
      </c>
      <c r="E75" s="3" t="n">
        <v>27</v>
      </c>
      <c r="F75" s="3" t="n">
        <v>17.14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IF(K75&lt;-5,"CRÍTICO",IF(K75&lt;0,"ATENÇÃO",IF(K75&lt;=5,"OPORTUNO","MUITO BOM")))</f>
        <v/>
      </c>
      <c r="M75" s="3" t="n">
        <v>16</v>
      </c>
      <c r="N75" s="3" t="n">
        <v>100</v>
      </c>
      <c r="O75" s="12" t="n">
        <v>20.78853046594982</v>
      </c>
    </row>
    <row r="76">
      <c r="A76" s="5" t="n">
        <v>46146</v>
      </c>
      <c r="B76" s="6" t="inlineStr">
        <is>
          <t>Gabriel Gomes de Andrade</t>
        </is>
      </c>
      <c r="C76" s="1" t="inlineStr">
        <is>
          <t>Técnico I</t>
        </is>
      </c>
      <c r="D76" s="3" t="n">
        <v>24</v>
      </c>
      <c r="E76" s="3" t="n">
        <v>20</v>
      </c>
      <c r="F76" s="3" t="n">
        <v>21.45</v>
      </c>
      <c r="G76" s="3" t="n">
        <v>7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IF(K76&lt;-5,"CRÍTICO",IF(K76&lt;0,"ATENÇÃO",IF(K76&lt;=5,"OPORTUNO","MUITO BOM")))</f>
        <v/>
      </c>
      <c r="M76" s="3" t="n">
        <v>22</v>
      </c>
      <c r="N76" s="3" t="n">
        <v>99.06</v>
      </c>
      <c r="O76" s="12" t="n">
        <v>19.41747572815534</v>
      </c>
    </row>
    <row r="77">
      <c r="A77" s="10" t="n">
        <v>46099</v>
      </c>
      <c r="B77" t="inlineStr">
        <is>
          <t>Michelle G Santos</t>
        </is>
      </c>
      <c r="C77" s="1" t="inlineStr">
        <is>
          <t>Estágio</t>
        </is>
      </c>
      <c r="D77" s="3" t="n">
        <v>6</v>
      </c>
      <c r="E77" s="3" t="n">
        <v>6</v>
      </c>
      <c r="F77" s="3" t="n">
        <v>94.02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IF(K77&lt;-5,"CRÍTICO",IF(K77&lt;0,"ATENÇÃO",IF(K77&lt;=5,"OPORTUNO","MUITO BOM")))</f>
        <v/>
      </c>
      <c r="M77" s="3" t="n">
        <v>3</v>
      </c>
      <c r="N77" s="3" t="n">
        <v>95.83</v>
      </c>
      <c r="O77" s="12" t="n">
        <v>25.77319587628866</v>
      </c>
    </row>
    <row r="78">
      <c r="A78" s="10" t="n">
        <v>46099</v>
      </c>
      <c r="B78" t="inlineStr">
        <is>
          <t>Quirino Diogo Leite Torres</t>
        </is>
      </c>
      <c r="C78" s="1" t="inlineStr">
        <is>
          <t>Estágio</t>
        </is>
      </c>
      <c r="D78" s="3" t="n">
        <v>0</v>
      </c>
      <c r="E78" s="3" t="n">
        <v>0</v>
      </c>
      <c r="F78" s="3" t="n">
        <v>0</v>
      </c>
      <c r="G78" s="3" t="n">
        <v>0</v>
      </c>
      <c r="H78" s="3" t="n">
        <v>0</v>
      </c>
      <c r="I78" s="3" t="n">
        <v>0</v>
      </c>
      <c r="J78" s="3" t="n">
        <v>0</v>
      </c>
      <c r="K78" s="3" t="n">
        <v>0</v>
      </c>
      <c r="L78" s="3">
        <f>IF(K78&lt;-5,"CRÍTICO",IF(K78&lt;0,"ATENÇÃO",IF(K78&lt;=5,"OPORTUNO","MUITO BOM")))</f>
        <v/>
      </c>
      <c r="M78" s="3" t="n">
        <v>0</v>
      </c>
      <c r="N78" s="3" t="n">
        <v>100</v>
      </c>
      <c r="O78" s="12" t="n">
        <v>35</v>
      </c>
    </row>
    <row r="79">
      <c r="A79" s="5" t="n">
        <v>46146</v>
      </c>
      <c r="B79" s="6" t="inlineStr">
        <is>
          <t>Luiz Fernando de Carvalho Junior</t>
        </is>
      </c>
      <c r="C79" s="1" t="inlineStr">
        <is>
          <t>Técnico I</t>
        </is>
      </c>
      <c r="D79" s="3" t="n">
        <v>25</v>
      </c>
      <c r="E79" s="3" t="n">
        <v>21</v>
      </c>
      <c r="F79" s="3" t="n">
        <v>17.18</v>
      </c>
      <c r="G79" s="3" t="n">
        <v>4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IF(K79&lt;-5,"CRÍTICO",IF(K79&lt;0,"ATENÇÃO",IF(K79&lt;=5,"OPORTUNO","MUITO BOM")))</f>
        <v/>
      </c>
      <c r="M79" s="3" t="n">
        <v>26</v>
      </c>
      <c r="N79" s="3" t="n">
        <v>94.55</v>
      </c>
      <c r="O79" s="12" t="n">
        <v>23.45013477088949</v>
      </c>
    </row>
    <row r="80">
      <c r="A80" s="5" t="n">
        <v>46146</v>
      </c>
      <c r="B80" s="6" t="inlineStr">
        <is>
          <t>Raane Batista Matos</t>
        </is>
      </c>
      <c r="C80" s="1" t="inlineStr">
        <is>
          <t>Técnico I</t>
        </is>
      </c>
      <c r="D80" s="3" t="n">
        <v>27</v>
      </c>
      <c r="E80" s="3" t="n">
        <v>23</v>
      </c>
      <c r="F80" s="3" t="n">
        <v>14.07</v>
      </c>
      <c r="G80" s="3" t="n">
        <v>4</v>
      </c>
      <c r="H80" s="3" t="n">
        <v>0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IF(K80&lt;-5,"CRÍTICO",IF(K80&lt;0,"ATENÇÃO",IF(K80&lt;=5,"OPORTUNO","MUITO BOM")))</f>
        <v/>
      </c>
      <c r="M80" s="3" t="n">
        <v>20</v>
      </c>
      <c r="N80" s="3" t="n">
        <v>98</v>
      </c>
      <c r="O80" s="12" t="n">
        <v>20.73490813648294</v>
      </c>
    </row>
    <row r="81">
      <c r="A81" s="5" t="n">
        <v>46146</v>
      </c>
      <c r="B81" s="6" t="inlineStr">
        <is>
          <t>Sara Maria Monteiro Lopes</t>
        </is>
      </c>
      <c r="C81" s="1" t="inlineStr">
        <is>
          <t>Técnico I</t>
        </is>
      </c>
      <c r="D81" s="3" t="n">
        <v>20</v>
      </c>
      <c r="E81" s="3" t="n">
        <v>20</v>
      </c>
      <c r="F81" s="3" t="n">
        <v>25.29</v>
      </c>
      <c r="G81" s="3" t="n">
        <v>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IF(K81&lt;-5,"CRÍTICO",IF(K81&lt;0,"ATENÇÃO",IF(K81&lt;=5,"OPORTUNO","MUITO BOM")))</f>
        <v/>
      </c>
      <c r="M81" s="3" t="n">
        <v>20</v>
      </c>
      <c r="N81" s="3" t="n">
        <v>100</v>
      </c>
      <c r="O81" s="12" t="n">
        <v>18</v>
      </c>
    </row>
    <row r="82">
      <c r="A82" s="10" t="n">
        <v>46100</v>
      </c>
      <c r="B82" t="inlineStr">
        <is>
          <t>Michelle G Santos</t>
        </is>
      </c>
      <c r="C82" s="1" t="inlineStr">
        <is>
          <t>Estágio</t>
        </is>
      </c>
      <c r="D82" s="3" t="n">
        <v>6</v>
      </c>
      <c r="E82" s="3" t="n">
        <v>6</v>
      </c>
      <c r="F82" s="3" t="n">
        <v>48.35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IF(K82&lt;-5,"CRÍTICO",IF(K82&lt;0,"ATENÇÃO",IF(K82&lt;=5,"OPORTUNO","MUITO BOM")))</f>
        <v/>
      </c>
      <c r="M82" s="3" t="n">
        <v>4</v>
      </c>
      <c r="N82" s="3" t="n">
        <v>95.83</v>
      </c>
      <c r="O82" s="12" t="n">
        <v>25.77319587628866</v>
      </c>
    </row>
    <row r="83">
      <c r="A83" s="10" t="n">
        <v>46100</v>
      </c>
      <c r="B83" t="inlineStr">
        <is>
          <t>Quirino Diogo Leite Torres</t>
        </is>
      </c>
      <c r="C83" s="1" t="inlineStr">
        <is>
          <t>Estágio</t>
        </is>
      </c>
      <c r="D83" s="3" t="n">
        <v>0</v>
      </c>
      <c r="E83" s="3" t="n">
        <v>0</v>
      </c>
      <c r="F83" s="3" t="n">
        <v>0</v>
      </c>
      <c r="G83" s="3" t="n">
        <v>0</v>
      </c>
      <c r="H83" s="3" t="n">
        <v>0</v>
      </c>
      <c r="I83" s="3" t="n">
        <v>0</v>
      </c>
      <c r="J83" s="3" t="n">
        <v>0</v>
      </c>
      <c r="K83" s="3" t="n">
        <v>0</v>
      </c>
      <c r="L83" s="3">
        <f>IF(K83&lt;-5,"CRÍTICO",IF(K83&lt;0,"ATENÇÃO",IF(K83&lt;=5,"OPORTUNO","MUITO BOM")))</f>
        <v/>
      </c>
      <c r="M83" s="3" t="n">
        <v>0</v>
      </c>
      <c r="N83" s="3" t="n">
        <v>100</v>
      </c>
      <c r="O83" s="12" t="n">
        <v>35</v>
      </c>
    </row>
    <row r="84">
      <c r="A84" s="10" t="n">
        <v>46171</v>
      </c>
      <c r="B84" t="inlineStr">
        <is>
          <t>Anna Luiza Rezende Tavares</t>
        </is>
      </c>
      <c r="C84" s="1" t="inlineStr">
        <is>
          <t>JR</t>
        </is>
      </c>
      <c r="D84" s="3" t="n">
        <v>25</v>
      </c>
      <c r="E84" s="3" t="n">
        <v>24</v>
      </c>
      <c r="F84" s="3" t="n">
        <v>18.41</v>
      </c>
      <c r="G84" s="3" t="n">
        <v>0</v>
      </c>
      <c r="H84" s="3" t="n">
        <v>0</v>
      </c>
      <c r="I84" s="3" t="n">
        <v>24</v>
      </c>
      <c r="J84" s="3" t="n">
        <v>16</v>
      </c>
      <c r="K84" s="3" t="n">
        <v>8</v>
      </c>
      <c r="L84" s="3" t="inlineStr">
        <is>
          <t>EXCELENTE</t>
        </is>
      </c>
      <c r="M84" s="3" t="n">
        <v>1</v>
      </c>
      <c r="N84" s="3" t="n">
        <v>99.34999999999999</v>
      </c>
      <c r="O84" s="12" t="n">
        <v>22.13279678068411</v>
      </c>
    </row>
    <row r="85">
      <c r="A85" s="10" t="n">
        <v>46143</v>
      </c>
      <c r="B85" t="inlineStr">
        <is>
          <t>Claudio de Sousa Velasco Filho</t>
        </is>
      </c>
      <c r="C85" s="1" t="inlineStr">
        <is>
          <t>Estágio</t>
        </is>
      </c>
      <c r="D85" s="3" t="n">
        <v>0</v>
      </c>
      <c r="E85" s="3" t="n">
        <v>0</v>
      </c>
      <c r="F85" s="3" t="n">
        <v>0</v>
      </c>
      <c r="G85" s="3" t="n">
        <v>0</v>
      </c>
      <c r="H85" s="3" t="n">
        <v>0</v>
      </c>
      <c r="I85" s="3" t="n">
        <v>0</v>
      </c>
      <c r="J85" s="3" t="n">
        <v>0</v>
      </c>
      <c r="K85" s="3" t="n">
        <v>0</v>
      </c>
      <c r="L85" s="3">
        <f>IF(K85&lt;-5,"CRÍTICO",IF(K85&lt;0,"ATENÇÃO",IF(K85&lt;=5,"OPORTUNO","MUITO BOM")))</f>
        <v/>
      </c>
      <c r="M85" s="3" t="n">
        <v>0</v>
      </c>
      <c r="N85" s="3" t="n">
        <v>97.14</v>
      </c>
      <c r="O85" s="12" t="n">
        <v>24.76190476190476</v>
      </c>
    </row>
    <row r="86">
      <c r="A86" s="5" t="n">
        <v>46146</v>
      </c>
      <c r="B86" s="6" t="inlineStr">
        <is>
          <t>Matheus Farias De Souza</t>
        </is>
      </c>
      <c r="C86" s="1" t="inlineStr">
        <is>
          <t>Técnico III</t>
        </is>
      </c>
      <c r="D86" s="3" t="n">
        <v>32</v>
      </c>
      <c r="E86" s="3" t="n">
        <v>31</v>
      </c>
      <c r="F86" s="3" t="n">
        <v>10.27</v>
      </c>
      <c r="G86" s="3" t="n">
        <v>1</v>
      </c>
      <c r="H86" s="3" t="n">
        <v>25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IF(K86&lt;-5,"CRÍTICO",IF(K86&lt;0,"ATENÇÃO",IF(K86&lt;=5,"OPORTUNO","MUITO BOM")))</f>
        <v/>
      </c>
      <c r="M86" s="3" t="n">
        <v>36</v>
      </c>
      <c r="N86" s="3" t="n">
        <v>98.39</v>
      </c>
      <c r="O86" s="12" t="n">
        <v>8.799999999999999</v>
      </c>
    </row>
    <row r="87">
      <c r="A87" s="10" t="n">
        <v>46101</v>
      </c>
      <c r="B87" t="inlineStr">
        <is>
          <t>Michelle G Santos</t>
        </is>
      </c>
      <c r="C87" s="1" t="inlineStr">
        <is>
          <t>Estágio</t>
        </is>
      </c>
      <c r="D87" s="3" t="n">
        <v>4</v>
      </c>
      <c r="E87" s="3" t="n">
        <v>4</v>
      </c>
      <c r="F87" s="3" t="n">
        <v>63.47</v>
      </c>
      <c r="G87" s="3" t="n">
        <v>0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IF(K87&lt;-5,"CRÍTICO",IF(K87&lt;0,"ATENÇÃO",IF(K87&lt;=5,"OPORTUNO","MUITO BOM")))</f>
        <v/>
      </c>
      <c r="M87" s="3" t="n">
        <v>1</v>
      </c>
      <c r="N87" s="3" t="n">
        <v>95.83</v>
      </c>
      <c r="O87" s="12" t="n">
        <v>25.77319587628866</v>
      </c>
    </row>
    <row r="88">
      <c r="A88" s="10" t="n">
        <v>46101</v>
      </c>
      <c r="B88" t="inlineStr">
        <is>
          <t>Quirino Diogo Leite Torres</t>
        </is>
      </c>
      <c r="C88" s="1" t="inlineStr">
        <is>
          <t>Estágio</t>
        </is>
      </c>
      <c r="D88" s="3" t="n">
        <v>0</v>
      </c>
      <c r="E88" s="3" t="n">
        <v>0</v>
      </c>
      <c r="F88" s="3" t="n">
        <v>0</v>
      </c>
      <c r="G88" s="3" t="n">
        <v>0</v>
      </c>
      <c r="H88" s="3" t="n">
        <v>0</v>
      </c>
      <c r="I88" s="3" t="n">
        <v>0</v>
      </c>
      <c r="J88" s="3" t="n">
        <v>0</v>
      </c>
      <c r="K88" s="3" t="n">
        <v>0</v>
      </c>
      <c r="L88" s="3">
        <f>IF(K88&lt;-5,"CRÍTICO",IF(K88&lt;0,"ATENÇÃO",IF(K88&lt;=5,"OPORTUNO","MUITO BOM")))</f>
        <v/>
      </c>
      <c r="M88" s="3" t="n">
        <v>0</v>
      </c>
      <c r="N88" s="3" t="n">
        <v>100</v>
      </c>
      <c r="O88" s="12" t="n">
        <v>35</v>
      </c>
    </row>
    <row r="89">
      <c r="A89" s="5" t="n">
        <v>46146</v>
      </c>
      <c r="B89" s="6" t="inlineStr">
        <is>
          <t>Claudio de Sousa Velasco Filho</t>
        </is>
      </c>
      <c r="C89" s="1" t="inlineStr">
        <is>
          <t>Estágio</t>
        </is>
      </c>
      <c r="D89" s="3" t="n">
        <v>8</v>
      </c>
      <c r="E89" s="3" t="n">
        <v>8</v>
      </c>
      <c r="F89" s="3" t="n">
        <v>25.13</v>
      </c>
      <c r="G89" s="3" t="n">
        <v>0</v>
      </c>
      <c r="H89" s="3" t="n">
        <v>0</v>
      </c>
      <c r="I89" s="3">
        <f>E89+G89+H89</f>
        <v/>
      </c>
      <c r="J89" s="3">
        <f>ROUND(MIN(IF(C89="Técnico III",35,IF(C89="Técnico II",28,IF(C89="Técnico I",23,IF(C89="JR",20,IF(C89="Estágio",10,0))))),IF(C89="Técnico III",SUMIFS($D:$D,$A:$A,$A89,$B:$B,"&lt;&gt;Patrícia Karla de Sousa Araújo",$B:$B,"&lt;&gt;Lorena Dias de Araujo",$B:$B,"&lt;&gt;Lucas Luiz Romero")*(35/1083),IF(C89="Técnico II",SUMIFS($D:$D,$A:$A,$A89,$B:$B,"&lt;&gt;Patrícia Karla de Sousa Araújo",$B:$B,"&lt;&gt;Lorena Dias de Araujo",$B:$B,"&lt;&gt;Lucas Luiz Romero")*(28/1083),IF(C89="Técnico I",SUMIFS($D:$D,$A:$A,$A89,$B:$B,"&lt;&gt;Patrícia Karla de Sousa Araújo",$B:$B,"&lt;&gt;Lorena Dias de Araujo",$B:$B,"&lt;&gt;Lucas Luiz Romero")*(23/1083),IF(C89="JR",SUMIFS($D:$D,$A:$A,$A89,$B:$B,"&lt;&gt;Patrícia Karla de Sousa Araújo",$B:$B,"&lt;&gt;Lorena Dias de Araujo",$B:$B,"&lt;&gt;Lucas Luiz Romero")*(20/1083),IF(C89="Estágio",SUMIFS($D:$D,$A:$A,$A89,$B:$B,"&lt;&gt;Patrícia Karla de Sousa Araújo",$B:$B,"&lt;&gt;Lorena Dias de Araujo",$B:$B,"&lt;&gt;Lucas Luiz Romero")*(10/1083),0)))))),0)</f>
        <v/>
      </c>
      <c r="K89" s="3">
        <f>I89-J89</f>
        <v/>
      </c>
      <c r="L89" s="3">
        <f>IF(K89&lt;-5,"CRÍTICO",IF(K89&lt;0,"ATENÇÃO",IF(K89&lt;=5,"BOM","EXCELENTE")))</f>
        <v/>
      </c>
      <c r="M89" s="3" t="n">
        <v>7</v>
      </c>
      <c r="N89" s="3" t="n">
        <v>97.14</v>
      </c>
      <c r="O89" s="12" t="n">
        <v>24.76190476190476</v>
      </c>
    </row>
    <row r="90">
      <c r="A90" s="5" t="n">
        <v>46147</v>
      </c>
      <c r="B90" s="6" t="inlineStr">
        <is>
          <t>Claudio de Sousa Velasco Filho</t>
        </is>
      </c>
      <c r="C90" s="1" t="inlineStr">
        <is>
          <t>Estágio</t>
        </is>
      </c>
      <c r="D90" s="3" t="n">
        <v>10</v>
      </c>
      <c r="E90" s="3" t="n">
        <v>10</v>
      </c>
      <c r="F90" s="3" t="n">
        <v>12.39</v>
      </c>
      <c r="G90" s="3" t="n">
        <v>0</v>
      </c>
      <c r="H90" s="3" t="n">
        <v>0</v>
      </c>
      <c r="I90" s="3">
        <f>E90+G90+H90</f>
        <v/>
      </c>
      <c r="J90" s="3">
        <f>ROUND(MIN(IF(C90="Técnico III",35,IF(C90="Técnico II",28,IF(C90="Técnico I",23,IF(C90="JR",20,IF(C90="Estágio",10,0))))),IF(C90="Técnico III",SUMIFS($D:$D,$A:$A,$A90,$B:$B,"&lt;&gt;Patrícia Karla de Sousa Araújo",$B:$B,"&lt;&gt;Lorena Dias de Araujo",$B:$B,"&lt;&gt;Lucas Luiz Romero")*(35/1083),IF(C90="Técnico II",SUMIFS($D:$D,$A:$A,$A90,$B:$B,"&lt;&gt;Patrícia Karla de Sousa Araújo",$B:$B,"&lt;&gt;Lorena Dias de Araujo",$B:$B,"&lt;&gt;Lucas Luiz Romero")*(28/1083),IF(C90="Técnico I",SUMIFS($D:$D,$A:$A,$A90,$B:$B,"&lt;&gt;Patrícia Karla de Sousa Araújo",$B:$B,"&lt;&gt;Lorena Dias de Araujo",$B:$B,"&lt;&gt;Lucas Luiz Romero")*(23/1083),IF(C90="JR",SUMIFS($D:$D,$A:$A,$A90,$B:$B,"&lt;&gt;Patrícia Karla de Sousa Araújo",$B:$B,"&lt;&gt;Lorena Dias de Araujo",$B:$B,"&lt;&gt;Lucas Luiz Romero")*(20/1083),IF(C90="Estágio",SUMIFS($D:$D,$A:$A,$A90,$B:$B,"&lt;&gt;Patrícia Karla de Sousa Araújo",$B:$B,"&lt;&gt;Lorena Dias de Araujo",$B:$B,"&lt;&gt;Lucas Luiz Romero")*(10/1083),0)))))),0)</f>
        <v/>
      </c>
      <c r="K90" s="3">
        <f>I90-J90</f>
        <v/>
      </c>
      <c r="L90" s="3">
        <f>IF(K90&lt;-5,"CRÍTICO",IF(K90&lt;0,"ATENÇÃO",IF(K90&lt;=5,"BOM","EXCELENTE")))</f>
        <v/>
      </c>
      <c r="M90" s="3" t="n">
        <v>9</v>
      </c>
      <c r="N90" s="3" t="n">
        <v>97.14</v>
      </c>
      <c r="O90" s="12" t="n">
        <v>24.76190476190476</v>
      </c>
    </row>
    <row r="91">
      <c r="A91" s="5" t="n">
        <v>46148</v>
      </c>
      <c r="B91" s="6" t="inlineStr">
        <is>
          <t>Claudio de Sousa Velasco Filho</t>
        </is>
      </c>
      <c r="C91" s="1" t="inlineStr">
        <is>
          <t>Estágio</t>
        </is>
      </c>
      <c r="D91" s="3" t="n">
        <v>13</v>
      </c>
      <c r="E91" s="3" t="n">
        <v>12</v>
      </c>
      <c r="F91" s="3" t="n">
        <v>20.07</v>
      </c>
      <c r="G91" s="3" t="n">
        <v>0</v>
      </c>
      <c r="H91" s="3" t="n">
        <v>0</v>
      </c>
      <c r="I91" s="3">
        <f>E91+G91+H91</f>
        <v/>
      </c>
      <c r="J91" s="3">
        <f>ROUND(MIN(IF(C91="Técnico III",35,IF(C91="Técnico II",28,IF(C91="Técnico I",23,IF(C91="JR",20,IF(C91="Estágio",10,0))))),IF(C91="Técnico III",SUMIFS($D:$D,$A:$A,$A91,$B:$B,"&lt;&gt;Patrícia Karla de Sousa Araújo",$B:$B,"&lt;&gt;Lorena Dias de Araujo",$B:$B,"&lt;&gt;Lucas Luiz Romero")*(35/1083),IF(C91="Técnico II",SUMIFS($D:$D,$A:$A,$A91,$B:$B,"&lt;&gt;Patrícia Karla de Sousa Araújo",$B:$B,"&lt;&gt;Lorena Dias de Araujo",$B:$B,"&lt;&gt;Lucas Luiz Romero")*(28/1083),IF(C91="Técnico I",SUMIFS($D:$D,$A:$A,$A91,$B:$B,"&lt;&gt;Patrícia Karla de Sousa Araújo",$B:$B,"&lt;&gt;Lorena Dias de Araujo",$B:$B,"&lt;&gt;Lucas Luiz Romero")*(23/1083),IF(C91="JR",SUMIFS($D:$D,$A:$A,$A91,$B:$B,"&lt;&gt;Patrícia Karla de Sousa Araújo",$B:$B,"&lt;&gt;Lorena Dias de Araujo",$B:$B,"&lt;&gt;Lucas Luiz Romero")*(20/1083),IF(C91="Estágio",SUMIFS($D:$D,$A:$A,$A91,$B:$B,"&lt;&gt;Patrícia Karla de Sousa Araújo",$B:$B,"&lt;&gt;Lorena Dias de Araujo",$B:$B,"&lt;&gt;Lucas Luiz Romero")*(10/1083),0)))))),0)</f>
        <v/>
      </c>
      <c r="K91" s="3">
        <f>I91-J91</f>
        <v/>
      </c>
      <c r="L91" s="3">
        <f>IF(K91&lt;-5,"CRÍTICO",IF(K91&lt;0,"ATENÇÃO",IF(K91&lt;=5,"BOM","EXCELENTE")))</f>
        <v/>
      </c>
      <c r="M91" s="3" t="n">
        <v>9</v>
      </c>
      <c r="N91" s="3" t="n">
        <v>97.14</v>
      </c>
      <c r="O91" s="12" t="n">
        <v>24.76190476190476</v>
      </c>
    </row>
    <row r="92">
      <c r="A92" s="10" t="n">
        <v>46104</v>
      </c>
      <c r="B92" t="inlineStr">
        <is>
          <t>Michelle G Santos</t>
        </is>
      </c>
      <c r="C92" s="1" t="inlineStr">
        <is>
          <t>Estágio</t>
        </is>
      </c>
      <c r="D92" s="3" t="n">
        <v>4</v>
      </c>
      <c r="E92" s="3" t="n">
        <v>4</v>
      </c>
      <c r="F92" s="3" t="n">
        <v>60.03</v>
      </c>
      <c r="G92" s="3" t="n">
        <v>0</v>
      </c>
      <c r="H92" s="3" t="n">
        <v>0</v>
      </c>
      <c r="I92" s="3">
        <f>E92+G92+H92</f>
        <v/>
      </c>
      <c r="J92" s="3">
        <f>ROUND(MIN(IF(C92="Técnico III",35,IF(C92="Técnico II",28,IF(C92="Técnico I",23,IF(C92="JR",20,IF(C92="Estágio",10,0))))),IF(C92="Técnico III",SUMIFS($D:$D,$A:$A,$A92,$B:$B,"&lt;&gt;Patrícia Karla de Sousa Araújo",$B:$B,"&lt;&gt;Lorena Dias de Araujo",$B:$B,"&lt;&gt;Lucas Luiz Romero")*(35/1083),IF(C92="Técnico II",SUMIFS($D:$D,$A:$A,$A92,$B:$B,"&lt;&gt;Patrícia Karla de Sousa Araújo",$B:$B,"&lt;&gt;Lorena Dias de Araujo",$B:$B,"&lt;&gt;Lucas Luiz Romero")*(28/1083),IF(C92="Técnico I",SUMIFS($D:$D,$A:$A,$A92,$B:$B,"&lt;&gt;Patrícia Karla de Sousa Araújo",$B:$B,"&lt;&gt;Lorena Dias de Araujo",$B:$B,"&lt;&gt;Lucas Luiz Romero")*(23/1083),IF(C92="JR",SUMIFS($D:$D,$A:$A,$A92,$B:$B,"&lt;&gt;Patrícia Karla de Sousa Araújo",$B:$B,"&lt;&gt;Lorena Dias de Araujo",$B:$B,"&lt;&gt;Lucas Luiz Romero")*(20/1083),IF(C92="Estágio",SUMIFS($D:$D,$A:$A,$A92,$B:$B,"&lt;&gt;Patrícia Karla de Sousa Araújo",$B:$B,"&lt;&gt;Lorena Dias de Araujo",$B:$B,"&lt;&gt;Lucas Luiz Romero")*(10/1083),0)))))),0)</f>
        <v/>
      </c>
      <c r="K92" s="3">
        <f>I92-J92</f>
        <v/>
      </c>
      <c r="L92" s="3">
        <f>IF(K92&lt;-5,"CRÍTICO",IF(K92&lt;0,"ATENÇÃO",IF(K92&lt;=5,"OPORTUNO","MUITO BOM")))</f>
        <v/>
      </c>
      <c r="M92" s="3" t="n">
        <v>3</v>
      </c>
      <c r="N92" s="3" t="n">
        <v>95.83</v>
      </c>
      <c r="O92" s="12" t="n">
        <v>25.77319587628866</v>
      </c>
    </row>
    <row r="93">
      <c r="A93" s="10" t="n">
        <v>46104</v>
      </c>
      <c r="B93" t="inlineStr">
        <is>
          <t>Quirino Diogo Leite Torres</t>
        </is>
      </c>
      <c r="C93" s="1" t="inlineStr">
        <is>
          <t>Estágio</t>
        </is>
      </c>
      <c r="D93" s="3" t="n">
        <v>0</v>
      </c>
      <c r="E93" s="3" t="n">
        <v>0</v>
      </c>
      <c r="F93" s="3" t="n">
        <v>0</v>
      </c>
      <c r="G93" s="3" t="n">
        <v>0</v>
      </c>
      <c r="H93" s="3" t="n">
        <v>0</v>
      </c>
      <c r="I93" s="3" t="n">
        <v>0</v>
      </c>
      <c r="J93" s="3" t="n">
        <v>0</v>
      </c>
      <c r="K93" s="3" t="n">
        <v>0</v>
      </c>
      <c r="L93" s="3">
        <f>IF(K93&lt;-5,"CRÍTICO",IF(K93&lt;0,"ATENÇÃO",IF(K93&lt;=5,"OPORTUNO","MUITO BOM")))</f>
        <v/>
      </c>
      <c r="M93" s="3" t="n">
        <v>0</v>
      </c>
      <c r="N93" s="3" t="n">
        <v>100</v>
      </c>
      <c r="O93" s="12" t="n">
        <v>35</v>
      </c>
    </row>
    <row r="94">
      <c r="A94" s="5" t="n">
        <v>46149</v>
      </c>
      <c r="B94" s="6" t="inlineStr">
        <is>
          <t>Claudio de Sousa Velasco Filho</t>
        </is>
      </c>
      <c r="C94" s="1" t="inlineStr">
        <is>
          <t>Estágio</t>
        </is>
      </c>
      <c r="D94" s="3" t="n">
        <v>12</v>
      </c>
      <c r="E94" s="3" t="n">
        <v>12</v>
      </c>
      <c r="F94" s="3" t="n">
        <v>19.17</v>
      </c>
      <c r="G94" s="3" t="n">
        <v>0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IF(K94&lt;-5,"CRÍTICO",IF(K94&lt;0,"ATENÇÃO",IF(K94&lt;=5,"BOM","EXCELENTE")))</f>
        <v/>
      </c>
      <c r="M94" s="3" t="n">
        <v>9</v>
      </c>
      <c r="N94" s="3" t="n">
        <v>97.14</v>
      </c>
      <c r="O94" s="12" t="n">
        <v>24.76190476190476</v>
      </c>
    </row>
    <row r="95">
      <c r="A95" s="5" t="n">
        <v>46150</v>
      </c>
      <c r="B95" s="6" t="inlineStr">
        <is>
          <t>Claudio de Sousa Velasco Filho</t>
        </is>
      </c>
      <c r="C95" s="1" t="inlineStr">
        <is>
          <t>Estágio</t>
        </is>
      </c>
      <c r="D95" s="3" t="n">
        <v>10</v>
      </c>
      <c r="E95" s="3" t="n">
        <v>9</v>
      </c>
      <c r="F95" s="3" t="n">
        <v>17.38</v>
      </c>
      <c r="G95" s="3" t="n">
        <v>0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IF(K95&lt;-5,"CRÍTICO",IF(K95&lt;0,"ATENÇÃO",IF(K95&lt;=5,"BOM","EXCELENTE")))</f>
        <v/>
      </c>
      <c r="M95" s="3" t="n">
        <v>7</v>
      </c>
      <c r="N95" s="3" t="n">
        <v>97.14</v>
      </c>
      <c r="O95" s="12" t="n">
        <v>24.76190476190476</v>
      </c>
    </row>
    <row r="96">
      <c r="A96" s="5" t="n">
        <v>46153</v>
      </c>
      <c r="B96" s="6" t="inlineStr">
        <is>
          <t>Claudio de Sousa Velasco Filho</t>
        </is>
      </c>
      <c r="C96" s="1" t="inlineStr">
        <is>
          <t>Estágio</t>
        </is>
      </c>
      <c r="D96" s="3" t="n">
        <v>1</v>
      </c>
      <c r="E96" s="3" t="n">
        <v>1</v>
      </c>
      <c r="F96" s="3" t="n">
        <v>45.11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IF(K96&lt;-5,"CRÍTICO",IF(K96&lt;0,"ATENÇÃO",IF(K96&lt;=5,"BOM","EXCELENTE")))</f>
        <v/>
      </c>
      <c r="M96" s="3" t="n">
        <v>1</v>
      </c>
      <c r="N96" s="3" t="n">
        <v>97.14</v>
      </c>
      <c r="O96" s="12" t="n">
        <v>24.76190476190476</v>
      </c>
    </row>
    <row r="97">
      <c r="A97" s="5" t="n">
        <v>46154</v>
      </c>
      <c r="B97" s="6" t="inlineStr">
        <is>
          <t>Claudio de Sousa Velasco Filho</t>
        </is>
      </c>
      <c r="C97" s="1" t="inlineStr">
        <is>
          <t>Estágio</t>
        </is>
      </c>
      <c r="D97" s="3" t="n">
        <v>8</v>
      </c>
      <c r="E97" s="3" t="n">
        <v>7</v>
      </c>
      <c r="F97" s="3" t="n">
        <v>33.4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IF(K97&lt;-5,"CRÍTICO",IF(K97&lt;0,"ATENÇÃO",IF(K97&lt;=5,"BOM","EXCELENTE")))</f>
        <v/>
      </c>
      <c r="M97" s="3" t="n">
        <v>6</v>
      </c>
      <c r="N97" s="3" t="n">
        <v>97.14</v>
      </c>
      <c r="O97" s="12" t="n">
        <v>24.76190476190476</v>
      </c>
    </row>
    <row r="98">
      <c r="A98" s="5" t="n">
        <v>46155</v>
      </c>
      <c r="B98" s="6" t="inlineStr">
        <is>
          <t>Claudio de Sousa Velasco Filho</t>
        </is>
      </c>
      <c r="C98" s="1" t="inlineStr">
        <is>
          <t>Estágio</t>
        </is>
      </c>
      <c r="D98" s="3" t="n">
        <v>5</v>
      </c>
      <c r="E98" s="3" t="n">
        <v>5</v>
      </c>
      <c r="F98" s="3" t="n">
        <v>42.33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IF(K98&lt;-5,"CRÍTICO",IF(K98&lt;0,"ATENÇÃO",IF(K98&lt;=5,"BOM","EXCELENTE")))</f>
        <v/>
      </c>
      <c r="M98" s="3" t="n">
        <v>5</v>
      </c>
      <c r="N98" s="3" t="n">
        <v>97.14</v>
      </c>
      <c r="O98" s="12" t="n">
        <v>24.76190476190476</v>
      </c>
    </row>
    <row r="99">
      <c r="A99" s="5" t="n">
        <v>46156</v>
      </c>
      <c r="B99" s="6" t="inlineStr">
        <is>
          <t>Claudio de Sousa Velasco Filho</t>
        </is>
      </c>
      <c r="C99" s="1" t="inlineStr">
        <is>
          <t>Estágio</t>
        </is>
      </c>
      <c r="D99" s="3" t="n">
        <v>9</v>
      </c>
      <c r="E99" s="3" t="n">
        <v>9</v>
      </c>
      <c r="F99" s="3" t="n">
        <v>24.16</v>
      </c>
      <c r="G99" s="3" t="n">
        <v>0</v>
      </c>
      <c r="H99" s="3" t="n">
        <v>0</v>
      </c>
      <c r="I99" s="3">
        <f>E99+G99+H99</f>
        <v/>
      </c>
      <c r="J99" s="3">
        <f>ROUND(MIN(IF(C99="Técnico III",35,IF(C99="Técnico II",28,IF(C99="Técnico I",23,IF(C99="JR",20,IF(C99="Estágio",10,0))))),IF(C99="Técnico III",SUMIFS($D:$D,$A:$A,$A99,$B:$B,"&lt;&gt;Patrícia Karla de Sousa Araújo",$B:$B,"&lt;&gt;Lorena Dias de Araujo",$B:$B,"&lt;&gt;Lucas Luiz Romero")*(35/1083),IF(C99="Técnico II",SUMIFS($D:$D,$A:$A,$A99,$B:$B,"&lt;&gt;Patrícia Karla de Sousa Araújo",$B:$B,"&lt;&gt;Lorena Dias de Araujo",$B:$B,"&lt;&gt;Lucas Luiz Romero")*(28/1083),IF(C99="Técnico I",SUMIFS($D:$D,$A:$A,$A99,$B:$B,"&lt;&gt;Patrícia Karla de Sousa Araújo",$B:$B,"&lt;&gt;Lorena Dias de Araujo",$B:$B,"&lt;&gt;Lucas Luiz Romero")*(23/1083),IF(C99="JR",SUMIFS($D:$D,$A:$A,$A99,$B:$B,"&lt;&gt;Patrícia Karla de Sousa Araújo",$B:$B,"&lt;&gt;Lorena Dias de Araujo",$B:$B,"&lt;&gt;Lucas Luiz Romero")*(20/1083),IF(C99="Estágio",SUMIFS($D:$D,$A:$A,$A99,$B:$B,"&lt;&gt;Patrícia Karla de Sousa Araújo",$B:$B,"&lt;&gt;Lorena Dias de Araujo",$B:$B,"&lt;&gt;Lucas Luiz Romero")*(10/1083),0)))))),0)</f>
        <v/>
      </c>
      <c r="K99" s="3">
        <f>I99-J99</f>
        <v/>
      </c>
      <c r="L99" s="3">
        <f>IF(K99&lt;-5,"CRÍTICO",IF(K99&lt;0,"ATENÇÃO",IF(K99&lt;=5,"BOM","EXCELENTE")))</f>
        <v/>
      </c>
      <c r="M99" s="3" t="n">
        <v>6</v>
      </c>
      <c r="N99" s="3" t="n">
        <v>97.14</v>
      </c>
      <c r="O99" s="12" t="n">
        <v>24.76190476190476</v>
      </c>
    </row>
    <row r="100">
      <c r="A100" s="5" t="n">
        <v>46147</v>
      </c>
      <c r="B100" s="6" t="inlineStr">
        <is>
          <t>Amanda Moura Ferreira</t>
        </is>
      </c>
      <c r="C100" s="1" t="inlineStr">
        <is>
          <t>Técnico III</t>
        </is>
      </c>
      <c r="D100" s="3" t="n">
        <v>0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>
        <f>IF(K100&lt;-5,"CRÍTICO",IF(K100&lt;0,"ATENÇÃO",IF(K100&lt;=5,"OPORTUNO","MUITO BOM")))</f>
        <v/>
      </c>
      <c r="M100" s="3" t="n">
        <v>0</v>
      </c>
      <c r="N100" s="3" t="n">
        <v>100</v>
      </c>
      <c r="O100" s="12" t="n">
        <v>0</v>
      </c>
    </row>
    <row r="101">
      <c r="A101" s="10" t="n">
        <v>46140</v>
      </c>
      <c r="B101" t="inlineStr">
        <is>
          <t>Anna Luiza Rezende Tavares</t>
        </is>
      </c>
      <c r="C101" s="1" t="inlineStr">
        <is>
          <t>Estágio</t>
        </is>
      </c>
      <c r="D101" s="3" t="n">
        <v>27</v>
      </c>
      <c r="E101" s="3" t="n">
        <v>27</v>
      </c>
      <c r="F101" s="3" t="n">
        <v>20.5</v>
      </c>
      <c r="G101" s="3" t="n">
        <v>0</v>
      </c>
      <c r="H101" s="3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IF(K101&lt;-5,"CRÍTICO",IF(K101&lt;0,"ATENÇÃO",IF(K101&lt;=5,"OPORTUNO","MUITO BOM")))</f>
        <v/>
      </c>
      <c r="M101" s="3" t="n">
        <v>26</v>
      </c>
      <c r="N101" s="3" t="n">
        <v>96.73999999999999</v>
      </c>
      <c r="O101" s="12" t="n">
        <v>28.67647058823529</v>
      </c>
    </row>
    <row r="102">
      <c r="A102" s="10" t="n">
        <v>46140</v>
      </c>
      <c r="B102" t="inlineStr">
        <is>
          <t>Claudio de Sousa Velasco Filho</t>
        </is>
      </c>
      <c r="C102" s="1" t="inlineStr">
        <is>
          <t>Estágio</t>
        </is>
      </c>
      <c r="D102" s="3" t="n">
        <v>10</v>
      </c>
      <c r="E102" s="3" t="n">
        <v>9</v>
      </c>
      <c r="F102" s="3" t="n">
        <v>13.36</v>
      </c>
      <c r="G102" s="3" t="n">
        <v>0</v>
      </c>
      <c r="H102" s="3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IF(K102&lt;-5,"CRÍTICO",IF(K102&lt;0,"ATENÇÃO",IF(K102&lt;=5,"OPORTUNO","MUITO BOM")))</f>
        <v/>
      </c>
      <c r="M102" s="3" t="n">
        <v>5</v>
      </c>
      <c r="N102" s="3" t="n">
        <v>100</v>
      </c>
      <c r="O102" s="12" t="n">
        <v>23.13432835820895</v>
      </c>
    </row>
    <row r="103">
      <c r="A103" s="10" t="n">
        <v>46140</v>
      </c>
      <c r="B103" t="inlineStr">
        <is>
          <t>Emilly Caylane Costa</t>
        </is>
      </c>
      <c r="C103" s="1" t="inlineStr">
        <is>
          <t>Estágio</t>
        </is>
      </c>
      <c r="D103" s="3" t="n">
        <v>8</v>
      </c>
      <c r="E103" s="3" t="n">
        <v>6</v>
      </c>
      <c r="F103" s="3" t="n">
        <v>39.18</v>
      </c>
      <c r="G103" s="3" t="n">
        <v>0</v>
      </c>
      <c r="H103" s="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IF(K103&lt;-5,"CRÍTICO",IF(K103&lt;0,"ATENÇÃO",IF(K103&lt;=5,"OPORTUNO","MUITO BOM")))</f>
        <v/>
      </c>
      <c r="M103" s="3" t="n">
        <v>4</v>
      </c>
      <c r="N103" s="3" t="n">
        <v>100</v>
      </c>
      <c r="O103" s="12" t="n">
        <v>27.36842105263158</v>
      </c>
    </row>
    <row r="104">
      <c r="A104" s="10" t="n">
        <v>46140</v>
      </c>
      <c r="B104" t="inlineStr">
        <is>
          <t>Maria Eduarda Sousa Costa</t>
        </is>
      </c>
      <c r="C104" s="1" t="inlineStr">
        <is>
          <t>Estágio</t>
        </is>
      </c>
      <c r="D104" s="3" t="n">
        <v>78</v>
      </c>
      <c r="E104" s="3" t="n">
        <v>47</v>
      </c>
      <c r="F104" s="3" t="n">
        <v>5.47</v>
      </c>
      <c r="G104" s="3" t="n">
        <v>0</v>
      </c>
      <c r="H104" s="3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IF(K104&lt;-5,"CRÍTICO",IF(K104&lt;0,"ATENÇÃO",IF(K104&lt;=5,"OPORTUNO","MUITO BOM")))</f>
        <v/>
      </c>
      <c r="M104" s="3" t="n">
        <v>3</v>
      </c>
      <c r="N104" s="3" t="n">
        <v>100</v>
      </c>
      <c r="O104" s="12" t="n">
        <v>25</v>
      </c>
    </row>
    <row r="105">
      <c r="A105" s="10" t="n">
        <v>46105</v>
      </c>
      <c r="B105" t="inlineStr">
        <is>
          <t>Michelle G Santos</t>
        </is>
      </c>
      <c r="C105" s="1" t="inlineStr">
        <is>
          <t>Estágio</t>
        </is>
      </c>
      <c r="D105" s="3" t="n">
        <v>17</v>
      </c>
      <c r="E105" s="3" t="n">
        <v>16</v>
      </c>
      <c r="F105" s="3" t="n">
        <v>23.5</v>
      </c>
      <c r="G105" s="3" t="n">
        <v>0</v>
      </c>
      <c r="H105" s="3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IF(K105&lt;-5,"CRÍTICO",IF(K105&lt;0,"ATENÇÃO",IF(K105&lt;=5,"OPORTUNO","MUITO BOM")))</f>
        <v/>
      </c>
      <c r="M105" s="3" t="n">
        <v>8</v>
      </c>
      <c r="N105" s="3" t="n">
        <v>95.83</v>
      </c>
      <c r="O105" s="12" t="n">
        <v>25.77319587628866</v>
      </c>
    </row>
    <row r="106">
      <c r="A106" s="10" t="n">
        <v>46105</v>
      </c>
      <c r="B106" t="inlineStr">
        <is>
          <t>Quirino Diogo Leite Torres</t>
        </is>
      </c>
      <c r="C106" s="1" t="inlineStr">
        <is>
          <t>Estágio</t>
        </is>
      </c>
      <c r="D106" s="3" t="n">
        <v>3</v>
      </c>
      <c r="E106" s="3" t="n">
        <v>3</v>
      </c>
      <c r="F106" s="3" t="n">
        <v>23.28</v>
      </c>
      <c r="G106" s="3" t="n">
        <v>0</v>
      </c>
      <c r="H106" s="3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IF(K106&lt;-5,"CRÍTICO",IF(K106&lt;0,"ATENÇÃO",IF(K106&lt;=5,"OPORTUNO","MUITO BOM")))</f>
        <v/>
      </c>
      <c r="M106" s="3" t="n">
        <v>2</v>
      </c>
      <c r="N106" s="3" t="n">
        <v>100</v>
      </c>
      <c r="O106" s="12" t="n">
        <v>35</v>
      </c>
    </row>
    <row r="107">
      <c r="A107" s="10" t="n">
        <v>46141</v>
      </c>
      <c r="B107" t="inlineStr">
        <is>
          <t>Anna Luiza Rezende Tavares</t>
        </is>
      </c>
      <c r="C107" s="1" t="inlineStr">
        <is>
          <t>Estágio</t>
        </is>
      </c>
      <c r="D107" s="3" t="n">
        <v>34</v>
      </c>
      <c r="E107" s="3" t="n">
        <v>31</v>
      </c>
      <c r="F107" s="3" t="n">
        <v>15.45</v>
      </c>
      <c r="G107" s="3" t="n">
        <v>0</v>
      </c>
      <c r="H107" s="3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IF(K107&lt;-5,"CRÍTICO",IF(K107&lt;0,"ATENÇÃO",IF(K107&lt;=5,"OPORTUNO","MUITO BOM")))</f>
        <v/>
      </c>
      <c r="M107" s="3" t="n">
        <v>27</v>
      </c>
      <c r="N107" s="3" t="n">
        <v>96.73999999999999</v>
      </c>
      <c r="O107" s="12" t="n">
        <v>28.67647058823529</v>
      </c>
    </row>
    <row r="108">
      <c r="A108" s="10" t="n">
        <v>46141</v>
      </c>
      <c r="B108" t="inlineStr">
        <is>
          <t>Claudio de Sousa Velasco Filho</t>
        </is>
      </c>
      <c r="C108" s="1" t="inlineStr">
        <is>
          <t>Estágio</t>
        </is>
      </c>
      <c r="D108" s="3" t="n">
        <v>22</v>
      </c>
      <c r="E108" s="3" t="n">
        <v>17</v>
      </c>
      <c r="F108" s="3" t="n">
        <v>10.53</v>
      </c>
      <c r="G108" s="3" t="n">
        <v>0</v>
      </c>
      <c r="H108" s="3" t="n">
        <v>0</v>
      </c>
      <c r="I108" s="3">
        <f>E108+G108+H108</f>
        <v/>
      </c>
      <c r="J108" s="3">
        <f>ROUND(MIN(IF(C108="Técnico III",35,IF(C108="Técnico II",28,IF(C108="Técnico I",23,IF(C108="JR",20,IF(C108="Estágio",10,0))))),IF(C108="Técnico III",SUMIFS($D:$D,$A:$A,$A108,$B:$B,"&lt;&gt;Patrícia Karla de Sousa Araújo",$B:$B,"&lt;&gt;Lorena Dias de Araujo",$B:$B,"&lt;&gt;Lucas Luiz Romero")*(35/1083),IF(C108="Técnico II",SUMIFS($D:$D,$A:$A,$A108,$B:$B,"&lt;&gt;Patrícia Karla de Sousa Araújo",$B:$B,"&lt;&gt;Lorena Dias de Araujo",$B:$B,"&lt;&gt;Lucas Luiz Romero")*(28/1083),IF(C108="Técnico I",SUMIFS($D:$D,$A:$A,$A108,$B:$B,"&lt;&gt;Patrícia Karla de Sousa Araújo",$B:$B,"&lt;&gt;Lorena Dias de Araujo",$B:$B,"&lt;&gt;Lucas Luiz Romero")*(23/1083),IF(C108="JR",SUMIFS($D:$D,$A:$A,$A108,$B:$B,"&lt;&gt;Patrícia Karla de Sousa Araújo",$B:$B,"&lt;&gt;Lorena Dias de Araujo",$B:$B,"&lt;&gt;Lucas Luiz Romero")*(20/1083),IF(C108="Estágio",SUMIFS($D:$D,$A:$A,$A108,$B:$B,"&lt;&gt;Patrícia Karla de Sousa Araújo",$B:$B,"&lt;&gt;Lorena Dias de Araujo",$B:$B,"&lt;&gt;Lucas Luiz Romero")*(10/1083),0)))))),0)</f>
        <v/>
      </c>
      <c r="K108" s="3">
        <f>I108-J108</f>
        <v/>
      </c>
      <c r="L108" s="3">
        <f>IF(K108&lt;-5,"CRÍTICO",IF(K108&lt;0,"ATENÇÃO",IF(K108&lt;=5,"OPORTUNO","MUITO BOM")))</f>
        <v/>
      </c>
      <c r="M108" s="3" t="n">
        <v>12</v>
      </c>
      <c r="N108" s="3" t="n">
        <v>100</v>
      </c>
      <c r="O108" s="12" t="n">
        <v>23.13432835820895</v>
      </c>
    </row>
    <row r="109">
      <c r="A109" s="10" t="n">
        <v>46141</v>
      </c>
      <c r="B109" t="inlineStr">
        <is>
          <t>Emilly Caylane Costa</t>
        </is>
      </c>
      <c r="C109" s="1" t="inlineStr">
        <is>
          <t>Estágio</t>
        </is>
      </c>
      <c r="D109" s="3" t="n">
        <v>8</v>
      </c>
      <c r="E109" s="3" t="n">
        <v>8</v>
      </c>
      <c r="F109" s="3" t="n">
        <v>43.36</v>
      </c>
      <c r="G109" s="3" t="n">
        <v>0</v>
      </c>
      <c r="H109" s="3" t="n">
        <v>0</v>
      </c>
      <c r="I109" s="3">
        <f>E109+G109+H109</f>
        <v/>
      </c>
      <c r="J109" s="3">
        <f>ROUND(MIN(IF(C109="Técnico III",35,IF(C109="Técnico II",28,IF(C109="Técnico I",23,IF(C109="JR",20,IF(C109="Estágio",10,0))))),IF(C109="Técnico III",SUMIFS($D:$D,$A:$A,$A109,$B:$B,"&lt;&gt;Patrícia Karla de Sousa Araújo",$B:$B,"&lt;&gt;Lorena Dias de Araujo",$B:$B,"&lt;&gt;Lucas Luiz Romero")*(35/1083),IF(C109="Técnico II",SUMIFS($D:$D,$A:$A,$A109,$B:$B,"&lt;&gt;Patrícia Karla de Sousa Araújo",$B:$B,"&lt;&gt;Lorena Dias de Araujo",$B:$B,"&lt;&gt;Lucas Luiz Romero")*(28/1083),IF(C109="Técnico I",SUMIFS($D:$D,$A:$A,$A109,$B:$B,"&lt;&gt;Patrícia Karla de Sousa Araújo",$B:$B,"&lt;&gt;Lorena Dias de Araujo",$B:$B,"&lt;&gt;Lucas Luiz Romero")*(23/1083),IF(C109="JR",SUMIFS($D:$D,$A:$A,$A109,$B:$B,"&lt;&gt;Patrícia Karla de Sousa Araújo",$B:$B,"&lt;&gt;Lorena Dias de Araujo",$B:$B,"&lt;&gt;Lucas Luiz Romero")*(20/1083),IF(C109="Estágio",SUMIFS($D:$D,$A:$A,$A109,$B:$B,"&lt;&gt;Patrícia Karla de Sousa Araújo",$B:$B,"&lt;&gt;Lorena Dias de Araujo",$B:$B,"&lt;&gt;Lucas Luiz Romero")*(10/1083),0)))))),0)</f>
        <v/>
      </c>
      <c r="K109" s="3">
        <f>I109-J109</f>
        <v/>
      </c>
      <c r="L109" s="3">
        <f>IF(K109&lt;-5,"CRÍTICO",IF(K109&lt;0,"ATENÇÃO",IF(K109&lt;=5,"OPORTUNO","MUITO BOM")))</f>
        <v/>
      </c>
      <c r="M109" s="3" t="n">
        <v>7</v>
      </c>
      <c r="N109" s="3" t="n">
        <v>100</v>
      </c>
      <c r="O109" s="12" t="n">
        <v>27.36842105263158</v>
      </c>
    </row>
    <row r="110">
      <c r="A110" s="10" t="n">
        <v>46028</v>
      </c>
      <c r="B110" t="inlineStr">
        <is>
          <t>Gabriel Gomes de Andrade</t>
        </is>
      </c>
      <c r="C110" s="1" t="inlineStr">
        <is>
          <t>Técnico I</t>
        </is>
      </c>
      <c r="D110" s="3" t="n">
        <v>34</v>
      </c>
      <c r="E110" s="3" t="n">
        <v>33</v>
      </c>
      <c r="F110" s="3" t="n">
        <v>18.57</v>
      </c>
      <c r="G110" s="3" t="n">
        <v>0</v>
      </c>
      <c r="H110" s="3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s="3" t="n">
        <v>30</v>
      </c>
      <c r="N110" s="3" t="n">
        <v>98.91</v>
      </c>
      <c r="O110" s="12" t="n">
        <v>31.36729222520107</v>
      </c>
    </row>
    <row r="111">
      <c r="A111" s="5" t="n">
        <v>46147</v>
      </c>
      <c r="B111" s="6" t="inlineStr">
        <is>
          <t>Ana Paula Da Luz Silva Aleixo</t>
        </is>
      </c>
      <c r="C111" s="1" t="inlineStr">
        <is>
          <t>Técnico III</t>
        </is>
      </c>
      <c r="D111" s="3" t="n">
        <v>30</v>
      </c>
      <c r="E111" s="3" t="n">
        <v>28</v>
      </c>
      <c r="F111" s="3" t="n">
        <v>18.41</v>
      </c>
      <c r="G111" s="3" t="n">
        <v>0</v>
      </c>
      <c r="H111" s="3" t="n">
        <v>0</v>
      </c>
      <c r="I111" s="3">
        <f>E111+G111+H111</f>
        <v/>
      </c>
      <c r="J111" s="3">
        <f>ROUND(MIN(IF(C111="Técnico III",35,IF(C111="Técnico II",28,IF(C111="Técnico I",23,IF(C111="JR",20,IF(C111="Estágio",10,0))))),IF(C111="Técnico III",SUMIFS($D:$D,$A:$A,$A111,$B:$B,"&lt;&gt;Patrícia Karla de Sousa Araújo",$B:$B,"&lt;&gt;Lorena Dias de Araujo",$B:$B,"&lt;&gt;Lucas Luiz Romero")*(35/1083),IF(C111="Técnico II",SUMIFS($D:$D,$A:$A,$A111,$B:$B,"&lt;&gt;Patrícia Karla de Sousa Araújo",$B:$B,"&lt;&gt;Lorena Dias de Araujo",$B:$B,"&lt;&gt;Lucas Luiz Romero")*(28/1083),IF(C111="Técnico I",SUMIFS($D:$D,$A:$A,$A111,$B:$B,"&lt;&gt;Patrícia Karla de Sousa Araújo",$B:$B,"&lt;&gt;Lorena Dias de Araujo",$B:$B,"&lt;&gt;Lucas Luiz Romero")*(23/1083),IF(C111="JR",SUMIFS($D:$D,$A:$A,$A111,$B:$B,"&lt;&gt;Patrícia Karla de Sousa Araújo",$B:$B,"&lt;&gt;Lorena Dias de Araujo",$B:$B,"&lt;&gt;Lucas Luiz Romero")*(20/1083),IF(C111="Estágio",SUMIFS($D:$D,$A:$A,$A111,$B:$B,"&lt;&gt;Patrícia Karla de Sousa Araújo",$B:$B,"&lt;&gt;Lorena Dias de Araujo",$B:$B,"&lt;&gt;Lucas Luiz Romero")*(10/1083),0)))))),0)</f>
        <v/>
      </c>
      <c r="K111" s="3">
        <f>I111-J111</f>
        <v/>
      </c>
      <c r="L111" s="3">
        <f>IF(K111&lt;-5,"CRÍTICO",IF(K111&lt;0,"ATENÇÃO",IF(K111&lt;=5,"OPORTUNO","MUITO BOM")))</f>
        <v/>
      </c>
      <c r="M111" s="3" t="n">
        <v>26</v>
      </c>
      <c r="N111" s="3" t="n">
        <v>96.94</v>
      </c>
      <c r="O111" s="12" t="n">
        <v>19.61325966850829</v>
      </c>
    </row>
    <row r="112">
      <c r="A112" s="10" t="n">
        <v>46141</v>
      </c>
      <c r="B112" t="inlineStr">
        <is>
          <t>Maria Eduarda Sousa Costa</t>
        </is>
      </c>
      <c r="C112" s="1" t="inlineStr">
        <is>
          <t>Estágio</t>
        </is>
      </c>
      <c r="D112" s="3" t="n">
        <v>69</v>
      </c>
      <c r="E112" s="3" t="n">
        <v>34</v>
      </c>
      <c r="F112" s="3" t="n">
        <v>3.49</v>
      </c>
      <c r="G112" s="3" t="n">
        <v>0</v>
      </c>
      <c r="H112" s="3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IF(K112&lt;-5,"CRÍTICO",IF(K112&lt;0,"ATENÇÃO",IF(K112&lt;=5,"OPORTUNO","MUITO BOM")))</f>
        <v/>
      </c>
      <c r="M112" s="3" t="n">
        <v>0</v>
      </c>
      <c r="N112" s="3" t="n">
        <v>100</v>
      </c>
      <c r="O112" s="12" t="n">
        <v>25</v>
      </c>
    </row>
    <row r="113">
      <c r="A113" s="10" t="n">
        <v>46106</v>
      </c>
      <c r="B113" t="inlineStr">
        <is>
          <t>Michelle G Santos</t>
        </is>
      </c>
      <c r="C113" s="1" t="inlineStr">
        <is>
          <t>Estágio</t>
        </is>
      </c>
      <c r="D113" s="3" t="n">
        <v>13</v>
      </c>
      <c r="E113" s="3" t="n">
        <v>13</v>
      </c>
      <c r="F113" s="3" t="n">
        <v>38.44</v>
      </c>
      <c r="G113" s="3" t="n">
        <v>0</v>
      </c>
      <c r="H113" s="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IF(K113&lt;-5,"CRÍTICO",IF(K113&lt;0,"ATENÇÃO",IF(K113&lt;=5,"OPORTUNO","MUITO BOM")))</f>
        <v/>
      </c>
      <c r="M113" s="3" t="n">
        <v>9</v>
      </c>
      <c r="N113" s="3" t="n">
        <v>95.83</v>
      </c>
      <c r="O113" s="12" t="n">
        <v>25.77319587628866</v>
      </c>
    </row>
    <row r="114">
      <c r="A114" s="10" t="n">
        <v>46106</v>
      </c>
      <c r="B114" t="inlineStr">
        <is>
          <t>Quirino Diogo Leite Torres</t>
        </is>
      </c>
      <c r="C114" s="1" t="inlineStr">
        <is>
          <t>Estágio</t>
        </is>
      </c>
      <c r="D114" s="3" t="n">
        <v>5</v>
      </c>
      <c r="E114" s="3" t="n">
        <v>5</v>
      </c>
      <c r="F114" s="3" t="n">
        <v>17.02</v>
      </c>
      <c r="G114" s="3" t="n">
        <v>0</v>
      </c>
      <c r="H114" s="3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IF(K114&lt;-5,"CRÍTICO",IF(K114&lt;0,"ATENÇÃO",IF(K114&lt;=5,"OPORTUNO","MUITO BOM")))</f>
        <v/>
      </c>
      <c r="M114" s="3" t="n">
        <v>3</v>
      </c>
      <c r="N114" s="3" t="n">
        <v>100</v>
      </c>
      <c r="O114" s="12" t="n">
        <v>35</v>
      </c>
    </row>
    <row r="115">
      <c r="A115" s="10" t="n">
        <v>46142</v>
      </c>
      <c r="B115" t="inlineStr">
        <is>
          <t>Anna Luiza Rezende Tavares</t>
        </is>
      </c>
      <c r="C115" s="1" t="inlineStr">
        <is>
          <t>Estágio</t>
        </is>
      </c>
      <c r="D115" s="3" t="n">
        <v>34</v>
      </c>
      <c r="E115" s="3" t="n">
        <v>33</v>
      </c>
      <c r="F115" s="3" t="n">
        <v>14.16</v>
      </c>
      <c r="G115" s="3" t="n">
        <v>0</v>
      </c>
      <c r="H115" s="3" t="n">
        <v>0</v>
      </c>
      <c r="I115" s="3">
        <f>E115+G115+H115</f>
        <v/>
      </c>
      <c r="J115" s="3">
        <f>ROUND(MIN(IF(C115="Técnico III",35,IF(C115="Técnico II",28,IF(C115="Técnico I",23,IF(C115="JR",20,IF(C115="Estágio",10,0))))),IF(C115="Técnico III",SUMIFS($D:$D,$A:$A,$A115,$B:$B,"&lt;&gt;Patrícia Karla de Sousa Araújo",$B:$B,"&lt;&gt;Lorena Dias de Araujo",$B:$B,"&lt;&gt;Lucas Luiz Romero")*(35/1083),IF(C115="Técnico II",SUMIFS($D:$D,$A:$A,$A115,$B:$B,"&lt;&gt;Patrícia Karla de Sousa Araújo",$B:$B,"&lt;&gt;Lorena Dias de Araujo",$B:$B,"&lt;&gt;Lucas Luiz Romero")*(28/1083),IF(C115="Técnico I",SUMIFS($D:$D,$A:$A,$A115,$B:$B,"&lt;&gt;Patrícia Karla de Sousa Araújo",$B:$B,"&lt;&gt;Lorena Dias de Araujo",$B:$B,"&lt;&gt;Lucas Luiz Romero")*(23/1083),IF(C115="JR",SUMIFS($D:$D,$A:$A,$A115,$B:$B,"&lt;&gt;Patrícia Karla de Sousa Araújo",$B:$B,"&lt;&gt;Lorena Dias de Araujo",$B:$B,"&lt;&gt;Lucas Luiz Romero")*(20/1083),IF(C115="Estágio",SUMIFS($D:$D,$A:$A,$A115,$B:$B,"&lt;&gt;Patrícia Karla de Sousa Araújo",$B:$B,"&lt;&gt;Lorena Dias de Araujo",$B:$B,"&lt;&gt;Lucas Luiz Romero")*(10/1083),0)))))),0)</f>
        <v/>
      </c>
      <c r="K115" s="3">
        <f>I115-J115</f>
        <v/>
      </c>
      <c r="L115" s="3">
        <f>IF(K115&lt;-5,"CRÍTICO",IF(K115&lt;0,"ATENÇÃO",IF(K115&lt;=5,"OPORTUNO","MUITO BOM")))</f>
        <v/>
      </c>
      <c r="M115" s="3" t="n">
        <v>33</v>
      </c>
      <c r="N115" s="3" t="n">
        <v>96.73999999999999</v>
      </c>
      <c r="O115" s="12" t="n">
        <v>28.67647058823529</v>
      </c>
    </row>
    <row r="116">
      <c r="A116" s="10" t="n">
        <v>46142</v>
      </c>
      <c r="B116" t="inlineStr">
        <is>
          <t>Claudio de Sousa Velasco Filho</t>
        </is>
      </c>
      <c r="C116" s="1" t="inlineStr">
        <is>
          <t>Estágio</t>
        </is>
      </c>
      <c r="D116" s="3" t="n">
        <v>6</v>
      </c>
      <c r="E116" s="3" t="n">
        <v>6</v>
      </c>
      <c r="F116" s="3" t="n">
        <v>28.42</v>
      </c>
      <c r="G116" s="3" t="n">
        <v>0</v>
      </c>
      <c r="H116" s="3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IF(K116&lt;-5,"CRÍTICO",IF(K116&lt;0,"ATENÇÃO",IF(K116&lt;=5,"OPORTUNO","MUITO BOM")))</f>
        <v/>
      </c>
      <c r="M116" s="3" t="n">
        <v>5</v>
      </c>
      <c r="N116" s="3" t="n">
        <v>100</v>
      </c>
      <c r="O116" s="12" t="n">
        <v>23.13432835820895</v>
      </c>
    </row>
    <row r="117">
      <c r="A117" s="10" t="n">
        <v>46142</v>
      </c>
      <c r="B117" t="inlineStr">
        <is>
          <t>Emilly Caylane Costa</t>
        </is>
      </c>
      <c r="C117" s="1" t="inlineStr">
        <is>
          <t>Estágio</t>
        </is>
      </c>
      <c r="D117" s="3" t="n">
        <v>32</v>
      </c>
      <c r="E117" s="3" t="n">
        <v>23</v>
      </c>
      <c r="F117" s="3" t="n">
        <v>4.14</v>
      </c>
      <c r="G117" s="3" t="n">
        <v>0</v>
      </c>
      <c r="H117" s="3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IF(K117&lt;-5,"CRÍTICO",IF(K117&lt;0,"ATENÇÃO",IF(K117&lt;=5,"OPORTUNO","MUITO BOM")))</f>
        <v/>
      </c>
      <c r="M117" s="3" t="n">
        <v>1</v>
      </c>
      <c r="N117" s="3" t="n">
        <v>100</v>
      </c>
      <c r="O117" s="12" t="n">
        <v>27.36842105263158</v>
      </c>
    </row>
    <row r="118">
      <c r="A118" s="10" t="n">
        <v>46142</v>
      </c>
      <c r="B118" t="inlineStr">
        <is>
          <t>Maria Eduarda Sousa Costa</t>
        </is>
      </c>
      <c r="C118" s="1" t="inlineStr">
        <is>
          <t>Estágio</t>
        </is>
      </c>
      <c r="D118" s="3" t="n">
        <v>80</v>
      </c>
      <c r="E118" s="3" t="n">
        <v>46</v>
      </c>
      <c r="F118" s="3" t="n">
        <v>5.06</v>
      </c>
      <c r="G118" s="3" t="n">
        <v>0</v>
      </c>
      <c r="H118" s="3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IF(K118&lt;-5,"CRÍTICO",IF(K118&lt;0,"ATENÇÃO",IF(K118&lt;=5,"OPORTUNO","MUITO BOM")))</f>
        <v/>
      </c>
      <c r="M118" s="3" t="n">
        <v>0</v>
      </c>
      <c r="N118" s="3" t="n">
        <v>100</v>
      </c>
      <c r="O118" s="12" t="n">
        <v>25</v>
      </c>
    </row>
    <row r="119">
      <c r="A119" s="10" t="n">
        <v>46107</v>
      </c>
      <c r="B119" t="inlineStr">
        <is>
          <t>Michelle G Santos</t>
        </is>
      </c>
      <c r="C119" s="1" t="inlineStr">
        <is>
          <t>Estágio</t>
        </is>
      </c>
      <c r="D119" s="3" t="n">
        <v>7</v>
      </c>
      <c r="E119" s="3" t="n">
        <v>7</v>
      </c>
      <c r="F119" s="3" t="n">
        <v>35.38</v>
      </c>
      <c r="G119" s="3" t="n">
        <v>0</v>
      </c>
      <c r="H119" s="3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IF(K119&lt;-5,"CRÍTICO",IF(K119&lt;0,"ATENÇÃO",IF(K119&lt;=5,"OPORTUNO","MUITO BOM")))</f>
        <v/>
      </c>
      <c r="M119" s="3" t="n">
        <v>4</v>
      </c>
      <c r="N119" s="3" t="n">
        <v>95.83</v>
      </c>
      <c r="O119" s="12" t="n">
        <v>25.77319587628866</v>
      </c>
    </row>
    <row r="120">
      <c r="A120" s="10" t="n">
        <v>46107</v>
      </c>
      <c r="B120" t="inlineStr">
        <is>
          <t>Quirino Diogo Leite Torres</t>
        </is>
      </c>
      <c r="C120" s="1" t="inlineStr">
        <is>
          <t>Estágio</t>
        </is>
      </c>
      <c r="D120" s="3" t="n">
        <v>5</v>
      </c>
      <c r="E120" s="3" t="n">
        <v>5</v>
      </c>
      <c r="F120" s="3" t="n">
        <v>29.06</v>
      </c>
      <c r="G120" s="3" t="n">
        <v>0</v>
      </c>
      <c r="H120" s="3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IF(K120&lt;-5,"CRÍTICO",IF(K120&lt;0,"ATENÇÃO",IF(K120&lt;=5,"OPORTUNO","MUITO BOM")))</f>
        <v/>
      </c>
      <c r="M120" s="3" t="n">
        <v>4</v>
      </c>
      <c r="N120" s="3" t="n">
        <v>100</v>
      </c>
      <c r="O120" s="12" t="n">
        <v>35</v>
      </c>
    </row>
    <row r="121">
      <c r="A121" s="5" t="n">
        <v>46147</v>
      </c>
      <c r="B121" s="6" t="inlineStr">
        <is>
          <t>Cristiane Ramos da Silva Rocha</t>
        </is>
      </c>
      <c r="C121" s="1" t="inlineStr">
        <is>
          <t>Técnico III</t>
        </is>
      </c>
      <c r="D121" s="3" t="n">
        <v>46</v>
      </c>
      <c r="E121" s="3" t="n">
        <v>39</v>
      </c>
      <c r="F121" s="3" t="n">
        <v>10.45</v>
      </c>
      <c r="G121" s="3" t="n">
        <v>8</v>
      </c>
      <c r="H121" s="3" t="n">
        <v>0</v>
      </c>
      <c r="I121" s="3">
        <f>E121+G121+H121</f>
        <v/>
      </c>
      <c r="J121" s="3">
        <f>ROUND(MIN(IF(C121="Técnico III",35,IF(C121="Técnico II",28,IF(C121="Técnico I",23,IF(C121="JR",20,IF(C121="Estágio",10,0))))),IF(C121="Técnico III",SUMIFS($D:$D,$A:$A,$A121,$B:$B,"&lt;&gt;Patrícia Karla de Sousa Araújo",$B:$B,"&lt;&gt;Lorena Dias de Araujo",$B:$B,"&lt;&gt;Lucas Luiz Romero")*(35/1083),IF(C121="Técnico II",SUMIFS($D:$D,$A:$A,$A121,$B:$B,"&lt;&gt;Patrícia Karla de Sousa Araújo",$B:$B,"&lt;&gt;Lorena Dias de Araujo",$B:$B,"&lt;&gt;Lucas Luiz Romero")*(28/1083),IF(C121="Técnico I",SUMIFS($D:$D,$A:$A,$A121,$B:$B,"&lt;&gt;Patrícia Karla de Sousa Araújo",$B:$B,"&lt;&gt;Lorena Dias de Araujo",$B:$B,"&lt;&gt;Lucas Luiz Romero")*(23/1083),IF(C121="JR",SUMIFS($D:$D,$A:$A,$A121,$B:$B,"&lt;&gt;Patrícia Karla de Sousa Araújo",$B:$B,"&lt;&gt;Lorena Dias de Araujo",$B:$B,"&lt;&gt;Lucas Luiz Romero")*(20/1083),IF(C121="Estágio",SUMIFS($D:$D,$A:$A,$A121,$B:$B,"&lt;&gt;Patrícia Karla de Sousa Araújo",$B:$B,"&lt;&gt;Lorena Dias de Araujo",$B:$B,"&lt;&gt;Lucas Luiz Romero")*(10/1083),0)))))),0)</f>
        <v/>
      </c>
      <c r="K121" s="3">
        <f>I121-J121</f>
        <v/>
      </c>
      <c r="L121" s="3">
        <f>IF(K121&lt;-5,"CRÍTICO",IF(K121&lt;0,"ATENÇÃO",IF(K121&lt;=5,"OPORTUNO","MUITO BOM")))</f>
        <v/>
      </c>
      <c r="M121" s="3" t="n">
        <v>46</v>
      </c>
      <c r="N121" s="3" t="n">
        <v>92.81</v>
      </c>
      <c r="O121" s="12" t="n">
        <v>25.47770700636943</v>
      </c>
    </row>
    <row r="122">
      <c r="A122" s="5" t="n">
        <v>46147</v>
      </c>
      <c r="B122" s="6" t="inlineStr">
        <is>
          <t>Davylla Rodrigues Freitas Silva</t>
        </is>
      </c>
      <c r="C122" s="1" t="inlineStr">
        <is>
          <t>Técnico III</t>
        </is>
      </c>
      <c r="D122" s="3" t="n">
        <v>27</v>
      </c>
      <c r="E122" s="3" t="n">
        <v>27</v>
      </c>
      <c r="F122" s="3" t="n">
        <v>24.15</v>
      </c>
      <c r="G122" s="3" t="n">
        <v>0</v>
      </c>
      <c r="H122" s="3" t="n">
        <v>0</v>
      </c>
      <c r="I122" s="3">
        <f>E122+G122+H122</f>
        <v/>
      </c>
      <c r="J122" s="3">
        <f>ROUND(MIN(IF(C122="Técnico III",35,IF(C122="Técnico II",28,IF(C122="Técnico I",23,IF(C122="JR",20,IF(C122="Estágio",10,0))))),IF(C122="Técnico III",SUMIFS($D:$D,$A:$A,$A122,$B:$B,"&lt;&gt;Patrícia Karla de Sousa Araújo",$B:$B,"&lt;&gt;Lorena Dias de Araujo",$B:$B,"&lt;&gt;Lucas Luiz Romero")*(35/1083),IF(C122="Técnico II",SUMIFS($D:$D,$A:$A,$A122,$B:$B,"&lt;&gt;Patrícia Karla de Sousa Araújo",$B:$B,"&lt;&gt;Lorena Dias de Araujo",$B:$B,"&lt;&gt;Lucas Luiz Romero")*(28/1083),IF(C122="Técnico I",SUMIFS($D:$D,$A:$A,$A122,$B:$B,"&lt;&gt;Patrícia Karla de Sousa Araújo",$B:$B,"&lt;&gt;Lorena Dias de Araujo",$B:$B,"&lt;&gt;Lucas Luiz Romero")*(23/1083),IF(C122="JR",SUMIFS($D:$D,$A:$A,$A122,$B:$B,"&lt;&gt;Patrícia Karla de Sousa Araújo",$B:$B,"&lt;&gt;Lorena Dias de Araujo",$B:$B,"&lt;&gt;Lucas Luiz Romero")*(20/1083),IF(C122="Estágio",SUMIFS($D:$D,$A:$A,$A122,$B:$B,"&lt;&gt;Patrícia Karla de Sousa Araújo",$B:$B,"&lt;&gt;Lorena Dias de Araujo",$B:$B,"&lt;&gt;Lucas Luiz Romero")*(10/1083),0)))))),0)</f>
        <v/>
      </c>
      <c r="K122" s="3">
        <f>I122-J122</f>
        <v/>
      </c>
      <c r="L122" s="3">
        <f>IF(K122&lt;-5,"CRÍTICO",IF(K122&lt;0,"ATENÇÃO",IF(K122&lt;=5,"OPORTUNO","MUITO BOM")))</f>
        <v/>
      </c>
      <c r="M122" s="3" t="n">
        <v>28</v>
      </c>
      <c r="N122" s="3" t="n">
        <v>99.19</v>
      </c>
      <c r="O122" s="12" t="n">
        <v>28.40466926070039</v>
      </c>
    </row>
    <row r="123">
      <c r="A123" s="5" t="n">
        <v>46147</v>
      </c>
      <c r="B123" s="6" t="inlineStr">
        <is>
          <t>Francielson de Oliveira</t>
        </is>
      </c>
      <c r="C123" s="1" t="inlineStr">
        <is>
          <t>Técnico III</t>
        </is>
      </c>
      <c r="D123" s="3" t="n">
        <v>0</v>
      </c>
      <c r="E123" s="3" t="n">
        <v>0</v>
      </c>
      <c r="F123" s="3" t="n">
        <v>0</v>
      </c>
      <c r="G123" s="3" t="n">
        <v>0</v>
      </c>
      <c r="H123" s="3" t="n">
        <v>0</v>
      </c>
      <c r="I123" s="3" t="n">
        <v>0</v>
      </c>
      <c r="J123" s="3" t="n">
        <v>0</v>
      </c>
      <c r="K123" s="3" t="n">
        <v>0</v>
      </c>
      <c r="L123" s="3">
        <f>IF(K123&lt;-5,"CRÍTICO",IF(K123&lt;0,"ATENÇÃO",IF(K123&lt;=5,"OPORTUNO","MUITO BOM")))</f>
        <v/>
      </c>
      <c r="M123" s="3" t="n">
        <v>0</v>
      </c>
      <c r="N123" s="3" t="n">
        <v>100</v>
      </c>
      <c r="O123" s="12" t="n">
        <v>13.51351351351351</v>
      </c>
    </row>
    <row r="124">
      <c r="A124" s="10" t="n">
        <v>46108</v>
      </c>
      <c r="B124" t="inlineStr">
        <is>
          <t>Michelle G Santos</t>
        </is>
      </c>
      <c r="C124" s="1" t="inlineStr">
        <is>
          <t>Estágio</t>
        </is>
      </c>
      <c r="D124" s="3" t="n">
        <v>9</v>
      </c>
      <c r="E124" s="3" t="n">
        <v>9</v>
      </c>
      <c r="F124" s="3" t="n">
        <v>27.12</v>
      </c>
      <c r="G124" s="3" t="n">
        <v>0</v>
      </c>
      <c r="H124" s="3" t="n">
        <v>0</v>
      </c>
      <c r="I124" s="3">
        <f>E124+G124+H124</f>
        <v/>
      </c>
      <c r="J124" s="3">
        <f>ROUND(MIN(IF(C124="Técnico III",35,IF(C124="Técnico II",28,IF(C124="Técnico I",23,IF(C124="JR",20,IF(C124="Estágio",10,0))))),IF(C124="Técnico III",SUMIFS($D:$D,$A:$A,$A124,$B:$B,"&lt;&gt;Patrícia Karla de Sousa Araújo",$B:$B,"&lt;&gt;Lorena Dias de Araujo",$B:$B,"&lt;&gt;Lucas Luiz Romero")*(35/1083),IF(C124="Técnico II",SUMIFS($D:$D,$A:$A,$A124,$B:$B,"&lt;&gt;Patrícia Karla de Sousa Araújo",$B:$B,"&lt;&gt;Lorena Dias de Araujo",$B:$B,"&lt;&gt;Lucas Luiz Romero")*(28/1083),IF(C124="Técnico I",SUMIFS($D:$D,$A:$A,$A124,$B:$B,"&lt;&gt;Patrícia Karla de Sousa Araújo",$B:$B,"&lt;&gt;Lorena Dias de Araujo",$B:$B,"&lt;&gt;Lucas Luiz Romero")*(23/1083),IF(C124="JR",SUMIFS($D:$D,$A:$A,$A124,$B:$B,"&lt;&gt;Patrícia Karla de Sousa Araújo",$B:$B,"&lt;&gt;Lorena Dias de Araujo",$B:$B,"&lt;&gt;Lucas Luiz Romero")*(20/1083),IF(C124="Estágio",SUMIFS($D:$D,$A:$A,$A124,$B:$B,"&lt;&gt;Patrícia Karla de Sousa Araújo",$B:$B,"&lt;&gt;Lorena Dias de Araujo",$B:$B,"&lt;&gt;Lucas Luiz Romero")*(10/1083),0)))))),0)</f>
        <v/>
      </c>
      <c r="K124" s="3">
        <f>I124-J124</f>
        <v/>
      </c>
      <c r="L124" s="3">
        <f>IF(K124&lt;-5,"CRÍTICO",IF(K124&lt;0,"ATENÇÃO",IF(K124&lt;=5,"OPORTUNO","MUITO BOM")))</f>
        <v/>
      </c>
      <c r="M124" s="3" t="n">
        <v>4</v>
      </c>
      <c r="N124" s="3" t="n">
        <v>95.83</v>
      </c>
      <c r="O124" s="12" t="n">
        <v>25.77319587628866</v>
      </c>
    </row>
    <row r="125">
      <c r="A125" s="10" t="n">
        <v>46108</v>
      </c>
      <c r="B125" t="inlineStr">
        <is>
          <t>Quirino Diogo Leite Torres</t>
        </is>
      </c>
      <c r="C125" s="1" t="inlineStr">
        <is>
          <t>Estágio</t>
        </is>
      </c>
      <c r="D125" s="3" t="n">
        <v>6</v>
      </c>
      <c r="E125" s="3" t="n">
        <v>6</v>
      </c>
      <c r="F125" s="3" t="n">
        <v>32.29</v>
      </c>
      <c r="G125" s="3" t="n">
        <v>0</v>
      </c>
      <c r="H125" s="3" t="n">
        <v>0</v>
      </c>
      <c r="I125" s="3">
        <f>E125+G125+H125</f>
        <v/>
      </c>
      <c r="J125" s="3">
        <f>ROUND(MIN(IF(C125="Técnico III",35,IF(C125="Técnico II",28,IF(C125="Técnico I",23,IF(C125="JR",20,IF(C125="Estágio",10,0))))),IF(C125="Técnico III",SUMIFS($D:$D,$A:$A,$A125,$B:$B,"&lt;&gt;Patrícia Karla de Sousa Araújo",$B:$B,"&lt;&gt;Lorena Dias de Araujo",$B:$B,"&lt;&gt;Lucas Luiz Romero")*(35/1083),IF(C125="Técnico II",SUMIFS($D:$D,$A:$A,$A125,$B:$B,"&lt;&gt;Patrícia Karla de Sousa Araújo",$B:$B,"&lt;&gt;Lorena Dias de Araujo",$B:$B,"&lt;&gt;Lucas Luiz Romero")*(28/1083),IF(C125="Técnico I",SUMIFS($D:$D,$A:$A,$A125,$B:$B,"&lt;&gt;Patrícia Karla de Sousa Araújo",$B:$B,"&lt;&gt;Lorena Dias de Araujo",$B:$B,"&lt;&gt;Lucas Luiz Romero")*(23/1083),IF(C125="JR",SUMIFS($D:$D,$A:$A,$A125,$B:$B,"&lt;&gt;Patrícia Karla de Sousa Araújo",$B:$B,"&lt;&gt;Lorena Dias de Araujo",$B:$B,"&lt;&gt;Lucas Luiz Romero")*(20/1083),IF(C125="Estágio",SUMIFS($D:$D,$A:$A,$A125,$B:$B,"&lt;&gt;Patrícia Karla de Sousa Araújo",$B:$B,"&lt;&gt;Lorena Dias de Araujo",$B:$B,"&lt;&gt;Lucas Luiz Romero")*(10/1083),0)))))),0)</f>
        <v/>
      </c>
      <c r="K125" s="3">
        <f>I125-J125</f>
        <v/>
      </c>
      <c r="L125" s="3">
        <f>IF(K125&lt;-5,"CRÍTICO",IF(K125&lt;0,"ATENÇÃO",IF(K125&lt;=5,"OPORTUNO","MUITO BOM")))</f>
        <v/>
      </c>
      <c r="M125" s="3" t="n">
        <v>4</v>
      </c>
      <c r="N125" s="3" t="n">
        <v>100</v>
      </c>
      <c r="O125" s="12" t="n">
        <v>35</v>
      </c>
    </row>
    <row r="126">
      <c r="A126" s="5" t="n">
        <v>46147</v>
      </c>
      <c r="B126" s="6" t="inlineStr">
        <is>
          <t>Janaina Lima dos Reis Urany</t>
        </is>
      </c>
      <c r="C126" s="1" t="inlineStr">
        <is>
          <t>Técnico III</t>
        </is>
      </c>
      <c r="D126" s="3" t="n">
        <v>40</v>
      </c>
      <c r="E126" s="3" t="n">
        <v>40</v>
      </c>
      <c r="F126" s="3" t="n">
        <v>15.42</v>
      </c>
      <c r="G126" s="3" t="n">
        <v>2</v>
      </c>
      <c r="H126" s="3" t="n">
        <v>0</v>
      </c>
      <c r="I126" s="3">
        <f>E126+G126+H126</f>
        <v/>
      </c>
      <c r="J126" s="3">
        <f>ROUND(MIN(IF(C126="Técnico III",35,IF(C126="Técnico II",28,IF(C126="Técnico I",23,IF(C126="JR",20,IF(C126="Estágio",10,0))))),IF(C126="Técnico III",SUMIFS($D:$D,$A:$A,$A126,$B:$B,"&lt;&gt;Patrícia Karla de Sousa Araújo",$B:$B,"&lt;&gt;Lorena Dias de Araujo",$B:$B,"&lt;&gt;Lucas Luiz Romero")*(35/1083),IF(C126="Técnico II",SUMIFS($D:$D,$A:$A,$A126,$B:$B,"&lt;&gt;Patrícia Karla de Sousa Araújo",$B:$B,"&lt;&gt;Lorena Dias de Araujo",$B:$B,"&lt;&gt;Lucas Luiz Romero")*(28/1083),IF(C126="Técnico I",SUMIFS($D:$D,$A:$A,$A126,$B:$B,"&lt;&gt;Patrícia Karla de Sousa Araújo",$B:$B,"&lt;&gt;Lorena Dias de Araujo",$B:$B,"&lt;&gt;Lucas Luiz Romero")*(23/1083),IF(C126="JR",SUMIFS($D:$D,$A:$A,$A126,$B:$B,"&lt;&gt;Patrícia Karla de Sousa Araújo",$B:$B,"&lt;&gt;Lorena Dias de Araujo",$B:$B,"&lt;&gt;Lucas Luiz Romero")*(20/1083),IF(C126="Estágio",SUMIFS($D:$D,$A:$A,$A126,$B:$B,"&lt;&gt;Patrícia Karla de Sousa Araújo",$B:$B,"&lt;&gt;Lorena Dias de Araujo",$B:$B,"&lt;&gt;Lucas Luiz Romero")*(10/1083),0)))))),0)</f>
        <v/>
      </c>
      <c r="K126" s="3">
        <f>I126-J126</f>
        <v/>
      </c>
      <c r="L126" s="3">
        <f>IF(K126&lt;-5,"CRÍTICO",IF(K126&lt;0,"ATENÇÃO",IF(K126&lt;=5,"OPORTUNO","MUITO BOM")))</f>
        <v/>
      </c>
      <c r="M126" s="3" t="n">
        <v>40</v>
      </c>
      <c r="N126" s="3" t="n">
        <v>99</v>
      </c>
      <c r="O126" s="12" t="n">
        <v>22.27414330218069</v>
      </c>
    </row>
    <row r="127">
      <c r="A127" s="5" t="n">
        <v>46147</v>
      </c>
      <c r="B127" s="6" t="inlineStr">
        <is>
          <t>Jaqueline Evangelista da Silva Martins</t>
        </is>
      </c>
      <c r="C127" s="1" t="inlineStr">
        <is>
          <t>Técnico III</t>
        </is>
      </c>
      <c r="D127" s="3" t="n">
        <v>42</v>
      </c>
      <c r="E127" s="3" t="n">
        <v>41</v>
      </c>
      <c r="F127" s="3" t="n">
        <v>13.26</v>
      </c>
      <c r="G127" s="3" t="n">
        <v>2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IF(K127&lt;-5,"CRÍTICO",IF(K127&lt;0,"ATENÇÃO",IF(K127&lt;=5,"OPORTUNO","MUITO BOM")))</f>
        <v/>
      </c>
      <c r="M127" s="3" t="n">
        <v>41</v>
      </c>
      <c r="N127" s="3" t="n">
        <v>97.04000000000001</v>
      </c>
      <c r="O127" s="12" t="n">
        <v>29.82885085574572</v>
      </c>
    </row>
    <row r="128">
      <c r="A128" s="5" t="n">
        <v>46147</v>
      </c>
      <c r="B128" s="6" t="inlineStr">
        <is>
          <t>Jéssica Fé Moura</t>
        </is>
      </c>
      <c r="C128" s="1" t="inlineStr">
        <is>
          <t>Técnico III</t>
        </is>
      </c>
      <c r="D128" s="3" t="n">
        <v>0</v>
      </c>
      <c r="E128" s="3" t="n">
        <v>0</v>
      </c>
      <c r="F128" s="3" t="n">
        <v>0</v>
      </c>
      <c r="G128" s="3" t="n">
        <v>0</v>
      </c>
      <c r="H128" s="3" t="n">
        <v>0</v>
      </c>
      <c r="I128" s="3" t="n">
        <v>0</v>
      </c>
      <c r="J128" s="3" t="n">
        <v>0</v>
      </c>
      <c r="K128" s="3" t="n">
        <v>0</v>
      </c>
      <c r="L128" s="3">
        <f>IF(K128&lt;-5,"CRÍTICO",IF(K128&lt;0,"ATENÇÃO",IF(K128&lt;=5,"OPORTUNO","MUITO BOM")))</f>
        <v/>
      </c>
      <c r="M128" s="3" t="n">
        <v>0</v>
      </c>
      <c r="N128" s="3" t="n">
        <v>0</v>
      </c>
      <c r="O128" s="12" t="n">
        <v>0</v>
      </c>
    </row>
    <row r="129">
      <c r="A129" s="5" t="n">
        <v>46147</v>
      </c>
      <c r="B129" s="6" t="inlineStr">
        <is>
          <t>Kerollen Cristielly de Jesus Siqueira</t>
        </is>
      </c>
      <c r="C129" s="1" t="inlineStr">
        <is>
          <t>Técnico III</t>
        </is>
      </c>
      <c r="D129" s="3" t="n">
        <v>26</v>
      </c>
      <c r="E129" s="3" t="n">
        <v>26</v>
      </c>
      <c r="F129" s="3" t="n">
        <v>18.42</v>
      </c>
      <c r="G129" s="3" t="n">
        <v>1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IF(K129&lt;-5,"CRÍTICO",IF(K129&lt;0,"ATENÇÃO",IF(K129&lt;=5,"OPORTUNO","MUITO BOM")))</f>
        <v/>
      </c>
      <c r="M129" s="3" t="n">
        <v>22</v>
      </c>
      <c r="N129" s="3" t="n">
        <v>96.84</v>
      </c>
      <c r="O129" s="12" t="n">
        <v>16.33802816901408</v>
      </c>
    </row>
    <row r="130">
      <c r="A130" s="5" t="n">
        <v>46147</v>
      </c>
      <c r="B130" s="6" t="inlineStr">
        <is>
          <t>Leandro Oliveira de Sousa</t>
        </is>
      </c>
      <c r="C130" s="1" t="inlineStr">
        <is>
          <t>Técnico III</t>
        </is>
      </c>
      <c r="D130" s="3" t="n">
        <v>29</v>
      </c>
      <c r="E130" s="3" t="n">
        <v>25</v>
      </c>
      <c r="F130" s="3" t="n">
        <v>16.4</v>
      </c>
      <c r="G130" s="3" t="n">
        <v>0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IF(K130&lt;-5,"CRÍTICO",IF(K130&lt;0,"ATENÇÃO",IF(K130&lt;=5,"OPORTUNO","MUITO BOM")))</f>
        <v/>
      </c>
      <c r="M130" s="3" t="n">
        <v>32</v>
      </c>
      <c r="N130" s="3" t="n">
        <v>100</v>
      </c>
      <c r="O130" s="12" t="n">
        <v>18.24480369515012</v>
      </c>
    </row>
    <row r="131">
      <c r="A131" s="5" t="n">
        <v>46147</v>
      </c>
      <c r="B131" s="6" t="inlineStr">
        <is>
          <t>Lucas Luiz Romero</t>
        </is>
      </c>
      <c r="C131" s="1" t="inlineStr">
        <is>
          <t>Técnico III</t>
        </is>
      </c>
      <c r="D131" s="3" t="n">
        <v>0</v>
      </c>
      <c r="E131" s="3" t="n">
        <v>0</v>
      </c>
      <c r="F131" s="3" t="n">
        <v>0</v>
      </c>
      <c r="G131" s="3" t="n">
        <v>0</v>
      </c>
      <c r="H131" s="3" t="n">
        <v>0</v>
      </c>
      <c r="I131" s="3" t="n">
        <v>0</v>
      </c>
      <c r="J131" s="3" t="n">
        <v>0</v>
      </c>
      <c r="K131" s="3" t="n">
        <v>0</v>
      </c>
      <c r="L131" s="3">
        <f>IF(K131&lt;-5,"CRÍTICO",IF(K131&lt;0,"ATENÇÃO",IF(K131&lt;=5,"OPORTUNO","MUITO BOM")))</f>
        <v/>
      </c>
      <c r="M131" s="3" t="n">
        <v>0</v>
      </c>
      <c r="N131" s="3" t="n">
        <v>100</v>
      </c>
      <c r="O131" s="12" t="n">
        <v>15.78947368421053</v>
      </c>
    </row>
    <row r="132">
      <c r="A132" s="5" t="n">
        <v>46147</v>
      </c>
      <c r="B132" s="6" t="inlineStr">
        <is>
          <t>Maysa Victoria Dias Moura</t>
        </is>
      </c>
      <c r="C132" s="1" t="inlineStr">
        <is>
          <t>Técnico III</t>
        </is>
      </c>
      <c r="D132" s="3" t="n">
        <v>32</v>
      </c>
      <c r="E132" s="3" t="n">
        <v>30</v>
      </c>
      <c r="F132" s="3" t="n">
        <v>15.03</v>
      </c>
      <c r="G132" s="3" t="n">
        <v>10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IF(K132&lt;-5,"CRÍTICO",IF(K132&lt;0,"ATENÇÃO",IF(K132&lt;=5,"OPORTUNO","MUITO BOM")))</f>
        <v/>
      </c>
      <c r="M132" s="3" t="n">
        <v>37</v>
      </c>
      <c r="N132" s="3" t="n">
        <v>96.38</v>
      </c>
      <c r="O132" s="12" t="n">
        <v>23.1981981981982</v>
      </c>
    </row>
    <row r="133">
      <c r="A133" s="5" t="n">
        <v>46147</v>
      </c>
      <c r="B133" s="6" t="inlineStr">
        <is>
          <t>Rafael Gomes de Morais</t>
        </is>
      </c>
      <c r="C133" s="1" t="inlineStr">
        <is>
          <t>Técnico III</t>
        </is>
      </c>
      <c r="D133" s="3" t="n">
        <v>49</v>
      </c>
      <c r="E133" s="3" t="n">
        <v>45</v>
      </c>
      <c r="F133" s="3" t="n">
        <v>10.46</v>
      </c>
      <c r="G133" s="3" t="n">
        <v>9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IF(K133&lt;-5,"CRÍTICO",IF(K133&lt;0,"ATENÇÃO",IF(K133&lt;=5,"OPORTUNO","MUITO BOM")))</f>
        <v/>
      </c>
      <c r="M133" s="3" t="n">
        <v>49</v>
      </c>
      <c r="N133" s="3" t="n">
        <v>99.39</v>
      </c>
      <c r="O133" s="12" t="n">
        <v>25.20325203252033</v>
      </c>
    </row>
    <row r="134">
      <c r="A134" s="5" t="n">
        <v>46147</v>
      </c>
      <c r="B134" s="6" t="inlineStr">
        <is>
          <t>Sarah Steffanie de Lima Borges</t>
        </is>
      </c>
      <c r="C134" s="1" t="inlineStr">
        <is>
          <t>Técnico III</t>
        </is>
      </c>
      <c r="D134" s="3" t="n">
        <v>33</v>
      </c>
      <c r="E134" s="3" t="n">
        <v>32</v>
      </c>
      <c r="F134" s="3" t="n">
        <v>15.31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IF(K134&lt;-5,"CRÍTICO",IF(K134&lt;0,"ATENÇÃO",IF(K134&lt;=5,"OPORTUNO","MUITO BOM")))</f>
        <v/>
      </c>
      <c r="M134" s="3" t="n">
        <v>28</v>
      </c>
      <c r="N134" s="3" t="n">
        <v>97</v>
      </c>
      <c r="O134" s="12" t="n">
        <v>20.32520325203252</v>
      </c>
    </row>
    <row r="135">
      <c r="A135" s="5" t="n">
        <v>46147</v>
      </c>
      <c r="B135" s="6" t="inlineStr">
        <is>
          <t>Alisson de Freitas Silva</t>
        </is>
      </c>
      <c r="C135" s="1" t="inlineStr">
        <is>
          <t>Técnico II</t>
        </is>
      </c>
      <c r="D135" s="3" t="n">
        <v>42</v>
      </c>
      <c r="E135" s="3" t="n">
        <v>37</v>
      </c>
      <c r="F135" s="3" t="n">
        <v>12.29</v>
      </c>
      <c r="G135" s="3" t="n">
        <v>4</v>
      </c>
      <c r="H135" s="3" t="n">
        <v>0</v>
      </c>
      <c r="I135" s="3">
        <f>E135+G135+H135</f>
        <v/>
      </c>
      <c r="J135" s="3">
        <f>ROUND(MIN(IF(C135="Técnico III",35,IF(C135="Técnico II",28,IF(C135="Técnico I",23,IF(C135="JR",20,IF(C135="Estágio",10,0))))),IF(C135="Técnico III",SUMIFS($D:$D,$A:$A,$A135,$B:$B,"&lt;&gt;Patrícia Karla de Sousa Araújo",$B:$B,"&lt;&gt;Lorena Dias de Araujo",$B:$B,"&lt;&gt;Lucas Luiz Romero")*(35/1083),IF(C135="Técnico II",SUMIFS($D:$D,$A:$A,$A135,$B:$B,"&lt;&gt;Patrícia Karla de Sousa Araújo",$B:$B,"&lt;&gt;Lorena Dias de Araujo",$B:$B,"&lt;&gt;Lucas Luiz Romero")*(28/1083),IF(C135="Técnico I",SUMIFS($D:$D,$A:$A,$A135,$B:$B,"&lt;&gt;Patrícia Karla de Sousa Araújo",$B:$B,"&lt;&gt;Lorena Dias de Araujo",$B:$B,"&lt;&gt;Lucas Luiz Romero")*(23/1083),IF(C135="JR",SUMIFS($D:$D,$A:$A,$A135,$B:$B,"&lt;&gt;Patrícia Karla de Sousa Araújo",$B:$B,"&lt;&gt;Lorena Dias de Araujo",$B:$B,"&lt;&gt;Lucas Luiz Romero")*(20/1083),IF(C135="Estágio",SUMIFS($D:$D,$A:$A,$A135,$B:$B,"&lt;&gt;Patrícia Karla de Sousa Araújo",$B:$B,"&lt;&gt;Lorena Dias de Araujo",$B:$B,"&lt;&gt;Lucas Luiz Romero")*(10/1083),0)))))),0)</f>
        <v/>
      </c>
      <c r="K135" s="3">
        <f>I135-J135</f>
        <v/>
      </c>
      <c r="L135" s="3">
        <f>IF(K135&lt;-5,"CRÍTICO",IF(K135&lt;0,"ATENÇÃO",IF(K135&lt;=5,"OPORTUNO","MUITO BOM")))</f>
        <v/>
      </c>
      <c r="M135" s="3" t="n">
        <v>32</v>
      </c>
      <c r="N135" s="3" t="n">
        <v>99.18000000000001</v>
      </c>
      <c r="O135" s="12" t="n">
        <v>24.5014245014245</v>
      </c>
    </row>
    <row r="136">
      <c r="A136" s="5" t="n">
        <v>46147</v>
      </c>
      <c r="B136" s="6" t="inlineStr">
        <is>
          <t>Brenda de Menezes Silva</t>
        </is>
      </c>
      <c r="C136" s="1" t="inlineStr">
        <is>
          <t>Técnico II</t>
        </is>
      </c>
      <c r="D136" s="3" t="n">
        <v>45</v>
      </c>
      <c r="E136" s="3" t="n">
        <v>37</v>
      </c>
      <c r="F136" s="3" t="n">
        <v>13.52</v>
      </c>
      <c r="G136" s="3" t="n">
        <v>6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IF(K136&lt;-5,"CRÍTICO",IF(K136&lt;0,"ATENÇÃO",IF(K136&lt;=5,"OPORTUNO","MUITO BOM")))</f>
        <v/>
      </c>
      <c r="M136" s="3" t="n">
        <v>43</v>
      </c>
      <c r="N136" s="3" t="n">
        <v>99.34999999999999</v>
      </c>
      <c r="O136" s="12" t="n">
        <v>19.85294117647059</v>
      </c>
    </row>
    <row r="137">
      <c r="A137" s="5" t="n">
        <v>46147</v>
      </c>
      <c r="B137" s="6" t="inlineStr">
        <is>
          <t>Carlos Mateus Cassimiro Nunes</t>
        </is>
      </c>
      <c r="C137" s="1" t="inlineStr">
        <is>
          <t>Técnico II</t>
        </is>
      </c>
      <c r="D137" s="3" t="n">
        <v>19</v>
      </c>
      <c r="E137" s="3" t="n">
        <v>18</v>
      </c>
      <c r="F137" s="3" t="n">
        <v>26.46</v>
      </c>
      <c r="G137" s="3" t="n">
        <v>9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IF(K137&lt;-5,"CRÍTICO",IF(K137&lt;0,"ATENÇÃO",IF(K137&lt;=5,"OPORTUNO","MUITO BOM")))</f>
        <v/>
      </c>
      <c r="M137" s="3" t="n">
        <v>27</v>
      </c>
      <c r="N137" s="3" t="n">
        <v>99.06999999999999</v>
      </c>
      <c r="O137" s="12" t="n">
        <v>20.09803921568627</v>
      </c>
    </row>
    <row r="138">
      <c r="A138" s="5" t="n">
        <v>46147</v>
      </c>
      <c r="B138" s="6" t="inlineStr">
        <is>
          <t>Damyllis Lorraine de Oliveira Gonçalves</t>
        </is>
      </c>
      <c r="C138" s="1" t="inlineStr">
        <is>
          <t>Técnico II</t>
        </is>
      </c>
      <c r="D138" s="3" t="n">
        <v>23</v>
      </c>
      <c r="E138" s="3" t="n">
        <v>21</v>
      </c>
      <c r="F138" s="3" t="n">
        <v>19.19</v>
      </c>
      <c r="G138" s="3" t="n">
        <v>0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IF(K138&lt;-5,"CRÍTICO",IF(K138&lt;0,"ATENÇÃO",IF(K138&lt;=5,"OPORTUNO","MUITO BOM")))</f>
        <v/>
      </c>
      <c r="M138" s="3" t="n">
        <v>26</v>
      </c>
      <c r="N138" s="3" t="n">
        <v>98.81</v>
      </c>
      <c r="O138" s="12" t="n">
        <v>22.76785714285714</v>
      </c>
    </row>
    <row r="139">
      <c r="A139" s="5" t="n">
        <v>46147</v>
      </c>
      <c r="B139" s="6" t="inlineStr">
        <is>
          <t>Emilly Kamilly Medeiros Miranda</t>
        </is>
      </c>
      <c r="C139" s="1" t="inlineStr">
        <is>
          <t>Técnico II</t>
        </is>
      </c>
      <c r="D139" s="3" t="n">
        <v>34</v>
      </c>
      <c r="E139" s="3" t="n">
        <v>31</v>
      </c>
      <c r="F139" s="3" t="n">
        <v>14.15</v>
      </c>
      <c r="G139" s="3" t="n">
        <v>3</v>
      </c>
      <c r="H139" s="3" t="n">
        <v>0</v>
      </c>
      <c r="I139" s="3">
        <f>E139+G139+H139</f>
        <v/>
      </c>
      <c r="J139" s="3">
        <f>ROUND(MIN(IF(C139="Técnico III",35,IF(C139="Técnico II",28,IF(C139="Técnico I",23,IF(C139="JR",20,IF(C139="Estágio",10,0))))),IF(C139="Técnico III",SUMIFS($D:$D,$A:$A,$A139,$B:$B,"&lt;&gt;Patrícia Karla de Sousa Araújo",$B:$B,"&lt;&gt;Lorena Dias de Araujo",$B:$B,"&lt;&gt;Lucas Luiz Romero")*(35/1083),IF(C139="Técnico II",SUMIFS($D:$D,$A:$A,$A139,$B:$B,"&lt;&gt;Patrícia Karla de Sousa Araújo",$B:$B,"&lt;&gt;Lorena Dias de Araujo",$B:$B,"&lt;&gt;Lucas Luiz Romero")*(28/1083),IF(C139="Técnico I",SUMIFS($D:$D,$A:$A,$A139,$B:$B,"&lt;&gt;Patrícia Karla de Sousa Araújo",$B:$B,"&lt;&gt;Lorena Dias de Araujo",$B:$B,"&lt;&gt;Lucas Luiz Romero")*(23/1083),IF(C139="JR",SUMIFS($D:$D,$A:$A,$A139,$B:$B,"&lt;&gt;Patrícia Karla de Sousa Araújo",$B:$B,"&lt;&gt;Lorena Dias de Araujo",$B:$B,"&lt;&gt;Lucas Luiz Romero")*(20/1083),IF(C139="Estágio",SUMIFS($D:$D,$A:$A,$A139,$B:$B,"&lt;&gt;Patrícia Karla de Sousa Araújo",$B:$B,"&lt;&gt;Lorena Dias de Araujo",$B:$B,"&lt;&gt;Lucas Luiz Romero")*(10/1083),0)))))),0)</f>
        <v/>
      </c>
      <c r="K139" s="3">
        <f>I139-J139</f>
        <v/>
      </c>
      <c r="L139" s="3">
        <f>IF(K139&lt;-5,"CRÍTICO",IF(K139&lt;0,"ATENÇÃO",IF(K139&lt;=5,"OPORTUNO","MUITO BOM")))</f>
        <v/>
      </c>
      <c r="M139" s="3" t="n">
        <v>31</v>
      </c>
      <c r="N139" s="3" t="n">
        <v>99.01000000000001</v>
      </c>
      <c r="O139" s="12" t="n">
        <v>17.76649746192894</v>
      </c>
    </row>
    <row r="140">
      <c r="A140" s="5" t="n">
        <v>46147</v>
      </c>
      <c r="B140" s="6" t="inlineStr">
        <is>
          <t>Francilene Ferreira de Jesus</t>
        </is>
      </c>
      <c r="C140" s="1" t="inlineStr">
        <is>
          <t>Técnico II</t>
        </is>
      </c>
      <c r="D140" s="3" t="n">
        <v>0</v>
      </c>
      <c r="E140" s="3" t="n">
        <v>0</v>
      </c>
      <c r="F140" s="3" t="n">
        <v>0</v>
      </c>
      <c r="G140" s="3" t="n">
        <v>0</v>
      </c>
      <c r="H140" s="3" t="n">
        <v>0</v>
      </c>
      <c r="I140" s="3" t="n">
        <v>0</v>
      </c>
      <c r="J140" s="3" t="n">
        <v>0</v>
      </c>
      <c r="K140" s="3" t="n">
        <v>0</v>
      </c>
      <c r="L140" s="3">
        <f>IF(K140&lt;-5,"CRÍTICO",IF(K140&lt;0,"ATENÇÃO",IF(K140&lt;=5,"OPORTUNO","MUITO BOM")))</f>
        <v/>
      </c>
      <c r="M140" s="3" t="n">
        <v>0</v>
      </c>
      <c r="N140" s="3" t="n">
        <v>100</v>
      </c>
      <c r="O140" s="12" t="n">
        <v>17.24137931034483</v>
      </c>
    </row>
    <row r="141">
      <c r="A141" s="5" t="n">
        <v>46147</v>
      </c>
      <c r="B141" s="6" t="inlineStr">
        <is>
          <t>Isabella Borges de Oliveira</t>
        </is>
      </c>
      <c r="C141" s="1" t="inlineStr">
        <is>
          <t>Técnico II</t>
        </is>
      </c>
      <c r="D141" s="3" t="n">
        <v>26</v>
      </c>
      <c r="E141" s="3" t="n">
        <v>26</v>
      </c>
      <c r="F141" s="3" t="n">
        <v>20.01</v>
      </c>
      <c r="G141" s="3" t="n">
        <v>1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IF(K141&lt;-5,"CRÍTICO",IF(K141&lt;0,"ATENÇÃO",IF(K141&lt;=5,"OPORTUNO","MUITO BOM")))</f>
        <v/>
      </c>
      <c r="M141" s="3" t="n">
        <v>31</v>
      </c>
      <c r="N141" s="3" t="n">
        <v>98.98</v>
      </c>
      <c r="O141" s="12" t="n">
        <v>19.35483870967742</v>
      </c>
    </row>
    <row r="142">
      <c r="A142" s="5" t="n">
        <v>46147</v>
      </c>
      <c r="B142" s="6" t="inlineStr">
        <is>
          <t>Jessica Faria da Silveira</t>
        </is>
      </c>
      <c r="C142" s="1" t="inlineStr">
        <is>
          <t>Técnico II</t>
        </is>
      </c>
      <c r="D142" s="3" t="n">
        <v>39</v>
      </c>
      <c r="E142" s="3" t="n">
        <v>30</v>
      </c>
      <c r="F142" s="3" t="n">
        <v>14.13</v>
      </c>
      <c r="G142" s="3" t="n">
        <v>0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IF(K142&lt;-5,"CRÍTICO",IF(K142&lt;0,"ATENÇÃO",IF(K142&lt;=5,"OPORTUNO","MUITO BOM")))</f>
        <v/>
      </c>
      <c r="M142" s="3" t="n">
        <v>30</v>
      </c>
      <c r="N142" s="3" t="n">
        <v>98.94</v>
      </c>
      <c r="O142" s="12" t="n">
        <v>21.2707182320442</v>
      </c>
    </row>
    <row r="143">
      <c r="A143" s="5" t="n">
        <v>46147</v>
      </c>
      <c r="B143" s="6" t="inlineStr">
        <is>
          <t>Lizandra Gomes Duarte</t>
        </is>
      </c>
      <c r="C143" s="1" t="inlineStr">
        <is>
          <t>Técnico II</t>
        </is>
      </c>
      <c r="D143" s="3" t="n">
        <v>18</v>
      </c>
      <c r="E143" s="3" t="n">
        <v>18</v>
      </c>
      <c r="F143" s="3" t="n">
        <v>18.28</v>
      </c>
      <c r="G143" s="3" t="n">
        <v>4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IF(K143&lt;-5,"CRÍTICO",IF(K143&lt;0,"ATENÇÃO",IF(K143&lt;=5,"OPORTUNO","MUITO BOM")))</f>
        <v/>
      </c>
      <c r="M143" s="3" t="n">
        <v>25</v>
      </c>
      <c r="N143" s="3" t="n">
        <v>99</v>
      </c>
      <c r="O143" s="12" t="n">
        <v>22.01086956521739</v>
      </c>
    </row>
    <row r="144">
      <c r="A144" s="5" t="n">
        <v>46147</v>
      </c>
      <c r="B144" s="6" t="inlineStr">
        <is>
          <t>Lorena Dias de Araujo</t>
        </is>
      </c>
      <c r="C144" s="1" t="inlineStr">
        <is>
          <t>Técnico II</t>
        </is>
      </c>
      <c r="D144" s="3" t="n">
        <v>37</v>
      </c>
      <c r="E144" s="3" t="n">
        <v>35</v>
      </c>
      <c r="F144" s="3" t="n">
        <v>15.27</v>
      </c>
      <c r="G144" s="3" t="n">
        <v>0</v>
      </c>
      <c r="H144" s="3" t="n">
        <v>0</v>
      </c>
      <c r="I144" s="3">
        <f>E144+G144+H144</f>
        <v/>
      </c>
      <c r="J144" s="3">
        <f>ROUND(MIN(IF(C144="Técnico III",35,IF(C144="Técnico II",28,IF(C144="Técnico I",23,IF(C144="JR",20,IF(C144="Estágio",10,0))))),IF(C144="Técnico III",SUMIFS($D:$D,$A:$A,$A144,$B:$B,"&lt;&gt;Patrícia Karla de Sousa Araújo",$B:$B,"&lt;&gt;Lorena Dias de Araujo",$B:$B,"&lt;&gt;Lucas Luiz Romero")*(35/1083),IF(C144="Técnico II",SUMIFS($D:$D,$A:$A,$A144,$B:$B,"&lt;&gt;Patrícia Karla de Sousa Araújo",$B:$B,"&lt;&gt;Lorena Dias de Araujo",$B:$B,"&lt;&gt;Lucas Luiz Romero")*(28/1083),IF(C144="Técnico I",SUMIFS($D:$D,$A:$A,$A144,$B:$B,"&lt;&gt;Patrícia Karla de Sousa Araújo",$B:$B,"&lt;&gt;Lorena Dias de Araujo",$B:$B,"&lt;&gt;Lucas Luiz Romero")*(23/1083),IF(C144="JR",SUMIFS($D:$D,$A:$A,$A144,$B:$B,"&lt;&gt;Patrícia Karla de Sousa Araújo",$B:$B,"&lt;&gt;Lorena Dias de Araujo",$B:$B,"&lt;&gt;Lucas Luiz Romero")*(20/1083),IF(C144="Estágio",SUMIFS($D:$D,$A:$A,$A144,$B:$B,"&lt;&gt;Patrícia Karla de Sousa Araújo",$B:$B,"&lt;&gt;Lorena Dias de Araujo",$B:$B,"&lt;&gt;Lucas Luiz Romero")*(10/1083),0)))))),0)</f>
        <v/>
      </c>
      <c r="K144" s="3">
        <f>I144-J144</f>
        <v/>
      </c>
      <c r="L144" s="3">
        <f>IF(K144&lt;-5,"CRÍTICO",IF(K144&lt;0,"ATENÇÃO",IF(K144&lt;=5,"OPORTUNO","MUITO BOM")))</f>
        <v/>
      </c>
      <c r="M144" s="3" t="n">
        <v>37</v>
      </c>
      <c r="N144" s="3" t="n">
        <v>100</v>
      </c>
      <c r="O144" s="12" t="n">
        <v>25</v>
      </c>
    </row>
    <row r="145">
      <c r="A145" s="5" t="n">
        <v>46147</v>
      </c>
      <c r="B145" s="6" t="inlineStr">
        <is>
          <t>Patrícia Karla de Sousa Araújo</t>
        </is>
      </c>
      <c r="C145" s="1" t="inlineStr">
        <is>
          <t>Técnico II</t>
        </is>
      </c>
      <c r="D145" s="3" t="n">
        <v>27</v>
      </c>
      <c r="E145" s="3" t="n">
        <v>25</v>
      </c>
      <c r="F145" s="3" t="n">
        <v>17.39</v>
      </c>
      <c r="G145" s="3" t="n">
        <v>0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IF(K145&lt;-5,"CRÍTICO",IF(K145&lt;0,"ATENÇÃO",IF(K145&lt;=5,"OPORTUNO","MUITO BOM")))</f>
        <v/>
      </c>
      <c r="M145" s="3" t="n">
        <v>21</v>
      </c>
      <c r="N145" s="3" t="n">
        <v>100</v>
      </c>
      <c r="O145" s="12" t="n">
        <v>20.18348623853211</v>
      </c>
    </row>
    <row r="146">
      <c r="A146" s="5" t="n">
        <v>46147</v>
      </c>
      <c r="B146" t="inlineStr">
        <is>
          <t>Ana Karollyne Souza Faria</t>
        </is>
      </c>
      <c r="C146" s="1" t="inlineStr">
        <is>
          <t>Técnico I</t>
        </is>
      </c>
      <c r="D146" s="3" t="n">
        <v>30</v>
      </c>
      <c r="E146" s="3" t="n">
        <v>30</v>
      </c>
      <c r="F146" s="3" t="n">
        <v>17.01</v>
      </c>
      <c r="G146" s="3" t="n">
        <v>7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IF(K146&lt;-5,"CRÍTICO",IF(K146&lt;0,"ATENÇÃO",IF(K146&lt;=5,"OPORTUNO","MUITO BOM")))</f>
        <v/>
      </c>
      <c r="M146" s="3" t="n">
        <v>36</v>
      </c>
      <c r="N146" s="3" t="n">
        <v>96.25</v>
      </c>
      <c r="O146" s="12" t="n">
        <v>25.5863539445629</v>
      </c>
    </row>
    <row r="147">
      <c r="A147" s="5" t="n">
        <v>46147</v>
      </c>
      <c r="B147" s="6" t="inlineStr">
        <is>
          <t>Clessiane Pereira dos Santos</t>
        </is>
      </c>
      <c r="C147" s="1" t="inlineStr">
        <is>
          <t>Técnico I</t>
        </is>
      </c>
      <c r="D147" s="3" t="n">
        <v>122</v>
      </c>
      <c r="E147" s="3" t="n">
        <v>28</v>
      </c>
      <c r="F147" s="3" t="n">
        <v>3.47</v>
      </c>
      <c r="G147" s="3" t="n">
        <v>1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IF(K147&lt;-5,"CRÍTICO",IF(K147&lt;0,"ATENÇÃO",IF(K147&lt;=5,"OPORTUNO","MUITO BOM")))</f>
        <v/>
      </c>
      <c r="M147" s="3" t="n">
        <v>16</v>
      </c>
      <c r="N147" s="3" t="n">
        <v>97.48</v>
      </c>
      <c r="O147" s="12" t="n">
        <v>22.99465240641711</v>
      </c>
    </row>
    <row r="148">
      <c r="A148" s="5" t="n">
        <v>46147</v>
      </c>
      <c r="B148" s="6" t="inlineStr">
        <is>
          <t>Daniel Gomes da Silva</t>
        </is>
      </c>
      <c r="C148" s="1" t="inlineStr">
        <is>
          <t>Técnico I</t>
        </is>
      </c>
      <c r="D148" s="3" t="n">
        <v>12</v>
      </c>
      <c r="E148" s="3" t="n">
        <v>12</v>
      </c>
      <c r="F148" s="3" t="n">
        <v>28.25</v>
      </c>
      <c r="G148" s="3" t="n">
        <v>10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IF(K148&lt;-5,"CRÍTICO",IF(K148&lt;0,"ATENÇÃO",IF(K148&lt;=5,"OPORTUNO","MUITO BOM")))</f>
        <v/>
      </c>
      <c r="M148" s="3" t="n">
        <v>18</v>
      </c>
      <c r="N148" s="3" t="n">
        <v>100</v>
      </c>
      <c r="O148" s="12" t="n">
        <v>20.78853046594982</v>
      </c>
    </row>
    <row r="149">
      <c r="A149" s="5" t="n">
        <v>46147</v>
      </c>
      <c r="B149" s="6" t="inlineStr">
        <is>
          <t>Gabriel Gomes de Andrade</t>
        </is>
      </c>
      <c r="C149" s="1" t="inlineStr">
        <is>
          <t>Técnico I</t>
        </is>
      </c>
      <c r="D149" s="3" t="n">
        <v>13</v>
      </c>
      <c r="E149" s="3" t="n">
        <v>12</v>
      </c>
      <c r="F149" s="3" t="n">
        <v>17.15</v>
      </c>
      <c r="G149" s="3" t="n">
        <v>9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IF(K149&lt;-5,"CRÍTICO",IF(K149&lt;0,"ATENÇÃO",IF(K149&lt;=5,"OPORTUNO","MUITO BOM")))</f>
        <v/>
      </c>
      <c r="M149" s="3" t="n">
        <v>12</v>
      </c>
      <c r="N149" s="3" t="n">
        <v>99.06</v>
      </c>
      <c r="O149" s="12" t="n">
        <v>19.41747572815534</v>
      </c>
    </row>
    <row r="150">
      <c r="A150" s="5" t="n">
        <v>46147</v>
      </c>
      <c r="B150" s="6" t="inlineStr">
        <is>
          <t>Luiz Fernando de Carvalho Junior</t>
        </is>
      </c>
      <c r="C150" s="1" t="inlineStr">
        <is>
          <t>Técnico I</t>
        </is>
      </c>
      <c r="D150" s="3" t="n">
        <v>31</v>
      </c>
      <c r="E150" s="3" t="n">
        <v>28</v>
      </c>
      <c r="F150" s="3" t="n">
        <v>17.33</v>
      </c>
      <c r="G150" s="3" t="n">
        <v>1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IF(K150&lt;-5,"CRÍTICO",IF(K150&lt;0,"ATENÇÃO",IF(K150&lt;=5,"OPORTUNO","MUITO BOM")))</f>
        <v/>
      </c>
      <c r="M150" s="3" t="n">
        <v>30</v>
      </c>
      <c r="N150" s="3" t="n">
        <v>94.55</v>
      </c>
      <c r="O150" s="12" t="n">
        <v>23.45013477088949</v>
      </c>
    </row>
    <row r="151">
      <c r="A151" s="5" t="n">
        <v>46147</v>
      </c>
      <c r="B151" s="6" t="inlineStr">
        <is>
          <t>Raane Batista Matos</t>
        </is>
      </c>
      <c r="C151" s="1" t="inlineStr">
        <is>
          <t>Técnico I</t>
        </is>
      </c>
      <c r="D151" s="3" t="n">
        <v>31</v>
      </c>
      <c r="E151" s="3" t="n">
        <v>26</v>
      </c>
      <c r="F151" s="3" t="n">
        <v>13.5</v>
      </c>
      <c r="G151" s="3" t="n">
        <v>10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IF(K151&lt;-5,"CRÍTICO",IF(K151&lt;0,"ATENÇÃO",IF(K151&lt;=5,"OPORTUNO","MUITO BOM")))</f>
        <v/>
      </c>
      <c r="M151" s="3" t="n">
        <v>21</v>
      </c>
      <c r="N151" s="3" t="n">
        <v>98</v>
      </c>
      <c r="O151" s="12" t="n">
        <v>20.73490813648294</v>
      </c>
    </row>
    <row r="152">
      <c r="A152" s="5" t="n">
        <v>46147</v>
      </c>
      <c r="B152" s="6" t="inlineStr">
        <is>
          <t>Sara Maria Monteiro Lopes</t>
        </is>
      </c>
      <c r="C152" s="1" t="inlineStr">
        <is>
          <t>Técnico I</t>
        </is>
      </c>
      <c r="D152" s="3" t="n">
        <v>14</v>
      </c>
      <c r="E152" s="3" t="n">
        <v>14</v>
      </c>
      <c r="F152" s="3" t="n">
        <v>35.53</v>
      </c>
      <c r="G152" s="3" t="n">
        <v>3</v>
      </c>
      <c r="H152" s="3" t="n">
        <v>0</v>
      </c>
      <c r="I152" s="3">
        <f>E152+G152+H152</f>
        <v/>
      </c>
      <c r="J152" s="3">
        <f>ROUND(MIN(IF(C152="Técnico III",35,IF(C152="Técnico II",28,IF(C152="Técnico I",23,IF(C152="JR",20,IF(C152="Estágio",10,0))))),IF(C152="Técnico III",SUMIFS($D:$D,$A:$A,$A152,$B:$B,"&lt;&gt;Patrícia Karla de Sousa Araújo",$B:$B,"&lt;&gt;Lorena Dias de Araujo",$B:$B,"&lt;&gt;Lucas Luiz Romero")*(35/1083),IF(C152="Técnico II",SUMIFS($D:$D,$A:$A,$A152,$B:$B,"&lt;&gt;Patrícia Karla de Sousa Araújo",$B:$B,"&lt;&gt;Lorena Dias de Araujo",$B:$B,"&lt;&gt;Lucas Luiz Romero")*(28/1083),IF(C152="Técnico I",SUMIFS($D:$D,$A:$A,$A152,$B:$B,"&lt;&gt;Patrícia Karla de Sousa Araújo",$B:$B,"&lt;&gt;Lorena Dias de Araujo",$B:$B,"&lt;&gt;Lucas Luiz Romero")*(23/1083),IF(C152="JR",SUMIFS($D:$D,$A:$A,$A152,$B:$B,"&lt;&gt;Patrícia Karla de Sousa Araújo",$B:$B,"&lt;&gt;Lorena Dias de Araujo",$B:$B,"&lt;&gt;Lucas Luiz Romero")*(20/1083),IF(C152="Estágio",SUMIFS($D:$D,$A:$A,$A152,$B:$B,"&lt;&gt;Patrícia Karla de Sousa Araújo",$B:$B,"&lt;&gt;Lorena Dias de Araujo",$B:$B,"&lt;&gt;Lucas Luiz Romero")*(10/1083),0)))))),0)</f>
        <v/>
      </c>
      <c r="K152" s="3">
        <f>I152-J152</f>
        <v/>
      </c>
      <c r="L152" s="3">
        <f>IF(K152&lt;-5,"CRÍTICO",IF(K152&lt;0,"ATENÇÃO",IF(K152&lt;=5,"OPORTUNO","MUITO BOM")))</f>
        <v/>
      </c>
      <c r="M152" s="3" t="n">
        <v>10</v>
      </c>
      <c r="N152" s="3" t="n">
        <v>100</v>
      </c>
      <c r="O152" s="12" t="n">
        <v>18</v>
      </c>
    </row>
    <row r="153">
      <c r="A153" s="5" t="n">
        <v>46157</v>
      </c>
      <c r="B153" s="6" t="inlineStr">
        <is>
          <t>Claudio de Sousa Velasco Filho</t>
        </is>
      </c>
      <c r="C153" s="1" t="inlineStr">
        <is>
          <t>Estágio</t>
        </is>
      </c>
      <c r="D153" s="3" t="n">
        <v>11</v>
      </c>
      <c r="E153" s="3" t="n">
        <v>10</v>
      </c>
      <c r="F153" s="3" t="n">
        <v>20.19</v>
      </c>
      <c r="G153" s="3" t="n">
        <v>0</v>
      </c>
      <c r="H153" s="3" t="n">
        <v>0</v>
      </c>
      <c r="I153" s="3">
        <f>E153+G153+H153</f>
        <v/>
      </c>
      <c r="J153" s="3">
        <f>ROUND(MIN(IF(C153="Técnico III",35,IF(C153="Técnico II",28,IF(C153="Técnico I",23,IF(C153="JR",20,IF(C153="Estágio",10,0))))),IF(C153="Técnico III",SUMIFS($D:$D,$A:$A,$A153,$B:$B,"&lt;&gt;Patrícia Karla de Sousa Araújo",$B:$B,"&lt;&gt;Lorena Dias de Araujo",$B:$B,"&lt;&gt;Lucas Luiz Romero")*(35/1083),IF(C153="Técnico II",SUMIFS($D:$D,$A:$A,$A153,$B:$B,"&lt;&gt;Patrícia Karla de Sousa Araújo",$B:$B,"&lt;&gt;Lorena Dias de Araujo",$B:$B,"&lt;&gt;Lucas Luiz Romero")*(28/1083),IF(C153="Técnico I",SUMIFS($D:$D,$A:$A,$A153,$B:$B,"&lt;&gt;Patrícia Karla de Sousa Araújo",$B:$B,"&lt;&gt;Lorena Dias de Araujo",$B:$B,"&lt;&gt;Lucas Luiz Romero")*(23/1083),IF(C153="JR",SUMIFS($D:$D,$A:$A,$A153,$B:$B,"&lt;&gt;Patrícia Karla de Sousa Araújo",$B:$B,"&lt;&gt;Lorena Dias de Araujo",$B:$B,"&lt;&gt;Lucas Luiz Romero")*(20/1083),IF(C153="Estágio",SUMIFS($D:$D,$A:$A,$A153,$B:$B,"&lt;&gt;Patrícia Karla de Sousa Araújo",$B:$B,"&lt;&gt;Lorena Dias de Araujo",$B:$B,"&lt;&gt;Lucas Luiz Romero")*(10/1083),0)))))),0)</f>
        <v/>
      </c>
      <c r="K153" s="3">
        <f>I153-J153</f>
        <v/>
      </c>
      <c r="L153" s="3">
        <f>IF(K153&lt;-5,"CRÍTICO",IF(K153&lt;0,"ATENÇÃO",IF(K153&lt;=5,"BOM","EXCELENTE")))</f>
        <v/>
      </c>
      <c r="M153" s="3" t="n">
        <v>8</v>
      </c>
      <c r="N153" s="3" t="n">
        <v>97.14</v>
      </c>
      <c r="O153" s="12" t="n">
        <v>24.76190476190476</v>
      </c>
    </row>
    <row r="154">
      <c r="A154" s="10" t="n">
        <v>46029</v>
      </c>
      <c r="B154" t="inlineStr">
        <is>
          <t>Gabriel Gomes de Andrade</t>
        </is>
      </c>
      <c r="C154" s="1" t="inlineStr">
        <is>
          <t>Técnico I</t>
        </is>
      </c>
      <c r="D154" s="3" t="n">
        <v>26</v>
      </c>
      <c r="E154" s="3" t="n">
        <v>25</v>
      </c>
      <c r="F154" s="3" t="n">
        <v>23.44</v>
      </c>
      <c r="G154" s="3" t="n">
        <v>0</v>
      </c>
      <c r="H154" s="3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s="3" t="n">
        <v>23</v>
      </c>
      <c r="N154" s="3" t="n">
        <v>98.91</v>
      </c>
      <c r="O154" s="12" t="n">
        <v>31.36729222520107</v>
      </c>
    </row>
    <row r="155">
      <c r="A155" s="5" t="n">
        <v>46160</v>
      </c>
      <c r="B155" s="6" t="inlineStr">
        <is>
          <t>Claudio de Sousa Velasco Filho</t>
        </is>
      </c>
      <c r="C155" s="1" t="inlineStr">
        <is>
          <t>Estágio</t>
        </is>
      </c>
      <c r="D155" s="3" t="n">
        <v>6</v>
      </c>
      <c r="E155" s="3" t="n">
        <v>6</v>
      </c>
      <c r="F155" s="3" t="n">
        <v>15.59</v>
      </c>
      <c r="G155" s="3" t="n">
        <v>0</v>
      </c>
      <c r="H155" s="3" t="n">
        <v>0</v>
      </c>
      <c r="I155" s="3" t="n">
        <v>6</v>
      </c>
      <c r="J155" s="3" t="n">
        <v>8</v>
      </c>
      <c r="K155" s="3" t="n">
        <v>-2</v>
      </c>
      <c r="L155" s="3" t="inlineStr">
        <is>
          <t>ATENÇÃO</t>
        </is>
      </c>
      <c r="M155" s="3" t="n">
        <v>6</v>
      </c>
      <c r="N155" s="3" t="n">
        <v>97.14</v>
      </c>
      <c r="O155" s="12" t="n">
        <v>24.76190476190476</v>
      </c>
    </row>
    <row r="156">
      <c r="A156" s="5" t="n">
        <v>46147</v>
      </c>
      <c r="B156" s="6" t="inlineStr">
        <is>
          <t>Matheus Farias De Souza</t>
        </is>
      </c>
      <c r="C156" s="1" t="inlineStr">
        <is>
          <t>Técnico III</t>
        </is>
      </c>
      <c r="D156" s="3" t="n">
        <v>14</v>
      </c>
      <c r="E156" s="3" t="n">
        <v>14</v>
      </c>
      <c r="F156" s="3" t="n">
        <v>15.35</v>
      </c>
      <c r="G156" s="3" t="n">
        <v>0</v>
      </c>
      <c r="H156" s="3" t="n">
        <v>21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IF(K156&lt;-5,"CRÍTICO",IF(K156&lt;0,"ATENÇÃO",IF(K156&lt;=5,"OPORTUNO","MUITO BOM")))</f>
        <v/>
      </c>
      <c r="M156" s="3" t="n">
        <v>28</v>
      </c>
      <c r="N156" s="3" t="n">
        <v>98.39</v>
      </c>
      <c r="O156" s="12" t="n">
        <v>8.799999999999999</v>
      </c>
    </row>
    <row r="157">
      <c r="A157" s="7" t="n">
        <v>46161</v>
      </c>
      <c r="B157" s="8" t="inlineStr">
        <is>
          <t>Claudio de Sousa Velasco Filho</t>
        </is>
      </c>
      <c r="C157" s="1" t="inlineStr">
        <is>
          <t>Estágio</t>
        </is>
      </c>
      <c r="D157" s="3" t="n">
        <v>9</v>
      </c>
      <c r="E157" s="3" t="n">
        <v>9</v>
      </c>
      <c r="F157" s="3" t="n">
        <v>25.28</v>
      </c>
      <c r="G157" s="3" t="n">
        <v>0</v>
      </c>
      <c r="H157" s="3" t="n">
        <v>0</v>
      </c>
      <c r="I157" s="3" t="n">
        <v>9</v>
      </c>
      <c r="J157" s="3" t="n">
        <v>8</v>
      </c>
      <c r="K157" s="3" t="n">
        <v>1</v>
      </c>
      <c r="L157" s="3" t="inlineStr">
        <is>
          <t>BOM</t>
        </is>
      </c>
      <c r="M157" s="3" t="n">
        <v>7</v>
      </c>
      <c r="N157" s="3" t="n">
        <v>97.14</v>
      </c>
      <c r="O157" s="12" t="n">
        <v>24.76190476190476</v>
      </c>
    </row>
    <row r="158">
      <c r="A158" s="7" t="n">
        <v>46162</v>
      </c>
      <c r="B158" s="8" t="inlineStr">
        <is>
          <t>Claudio de Sousa Velasco Filho</t>
        </is>
      </c>
      <c r="C158" s="1" t="inlineStr">
        <is>
          <t>Estágio</t>
        </is>
      </c>
      <c r="D158" s="3" t="n">
        <v>11</v>
      </c>
      <c r="E158" s="3" t="n">
        <v>10</v>
      </c>
      <c r="F158" s="3" t="n">
        <v>20.44</v>
      </c>
      <c r="G158" s="3" t="n">
        <v>0</v>
      </c>
      <c r="H158" s="3" t="n">
        <v>0</v>
      </c>
      <c r="I158" s="3" t="n">
        <v>10</v>
      </c>
      <c r="J158" s="3" t="n">
        <v>7</v>
      </c>
      <c r="K158" s="3" t="n">
        <v>3</v>
      </c>
      <c r="L158" s="3" t="inlineStr">
        <is>
          <t>BOM</t>
        </is>
      </c>
      <c r="M158" s="3" t="n">
        <v>8</v>
      </c>
      <c r="N158" s="3" t="n">
        <v>97.14</v>
      </c>
      <c r="O158" s="12" t="n">
        <v>24.76190476190476</v>
      </c>
    </row>
    <row r="159">
      <c r="A159" s="5" t="n">
        <v>46163</v>
      </c>
      <c r="B159" s="6" t="inlineStr">
        <is>
          <t>Claudio de Sousa Velasco Filho</t>
        </is>
      </c>
      <c r="C159" s="1" t="inlineStr">
        <is>
          <t>Estágio</t>
        </is>
      </c>
      <c r="D159" s="3" t="n">
        <v>7</v>
      </c>
      <c r="E159" s="3" t="n">
        <v>6</v>
      </c>
      <c r="F159" s="3" t="n">
        <v>27.14</v>
      </c>
      <c r="G159" s="3" t="n">
        <v>0</v>
      </c>
      <c r="H159" s="3" t="n">
        <v>0</v>
      </c>
      <c r="I159" s="3" t="n">
        <v>6</v>
      </c>
      <c r="J159" s="3" t="n">
        <v>6</v>
      </c>
      <c r="K159" s="3" t="n">
        <v>0</v>
      </c>
      <c r="L159" s="3" t="inlineStr">
        <is>
          <t>BOM</t>
        </is>
      </c>
      <c r="M159" s="3" t="n">
        <v>4</v>
      </c>
      <c r="N159" s="3" t="n">
        <v>97.14</v>
      </c>
      <c r="O159" s="12" t="n">
        <v>24.76190476190476</v>
      </c>
    </row>
    <row r="160">
      <c r="A160" s="9" t="n">
        <v>46164</v>
      </c>
      <c r="B160" s="6" t="inlineStr">
        <is>
          <t>Claudio de Sousa Velasco Filho</t>
        </is>
      </c>
      <c r="C160" s="1" t="inlineStr">
        <is>
          <t>Estágio</t>
        </is>
      </c>
      <c r="D160" s="3" t="n">
        <v>7</v>
      </c>
      <c r="E160" s="3" t="n">
        <v>7</v>
      </c>
      <c r="F160" s="3" t="n">
        <v>22.38</v>
      </c>
      <c r="G160" s="3" t="n">
        <v>0</v>
      </c>
      <c r="H160" s="3" t="n">
        <v>0</v>
      </c>
      <c r="I160" s="3" t="n">
        <v>7</v>
      </c>
      <c r="J160" s="3" t="n">
        <v>6</v>
      </c>
      <c r="K160" s="3" t="n">
        <v>1</v>
      </c>
      <c r="L160" s="3" t="inlineStr">
        <is>
          <t>BOM</t>
        </is>
      </c>
      <c r="M160" s="3" t="n">
        <v>3</v>
      </c>
      <c r="N160" s="3" t="n">
        <v>97.14</v>
      </c>
      <c r="O160" s="12" t="n">
        <v>24.76190476190476</v>
      </c>
    </row>
    <row r="161">
      <c r="A161" s="10" t="n">
        <v>46167</v>
      </c>
      <c r="B161" t="inlineStr">
        <is>
          <t>Claudio de Sousa Velasco Filho</t>
        </is>
      </c>
      <c r="C161" s="1" t="inlineStr">
        <is>
          <t>Estágio</t>
        </is>
      </c>
      <c r="D161" s="3" t="n">
        <v>6</v>
      </c>
      <c r="E161" s="3" t="n">
        <v>4</v>
      </c>
      <c r="F161" s="3" t="n">
        <v>26.55</v>
      </c>
      <c r="G161" s="3" t="n">
        <v>0</v>
      </c>
      <c r="H161" s="3" t="n">
        <v>0</v>
      </c>
      <c r="I161" s="3" t="n">
        <v>4</v>
      </c>
      <c r="J161" s="3" t="n">
        <v>6</v>
      </c>
      <c r="K161" s="3" t="n">
        <v>-2</v>
      </c>
      <c r="L161" s="3" t="inlineStr">
        <is>
          <t>ATENÇÃO</t>
        </is>
      </c>
      <c r="M161" s="3" t="n">
        <v>3</v>
      </c>
      <c r="N161" s="3" t="n">
        <v>97.14</v>
      </c>
      <c r="O161" s="12" t="n">
        <v>24.76190476190476</v>
      </c>
    </row>
    <row r="162">
      <c r="A162" s="10" t="n">
        <v>46168</v>
      </c>
      <c r="B162" t="inlineStr">
        <is>
          <t>Claudio de Sousa Velasco Filho</t>
        </is>
      </c>
      <c r="C162" s="1" t="inlineStr">
        <is>
          <t>Estágio</t>
        </is>
      </c>
      <c r="D162" s="3" t="n">
        <v>9</v>
      </c>
      <c r="E162" s="3" t="n">
        <v>8</v>
      </c>
      <c r="F162" s="3" t="n">
        <v>22.08</v>
      </c>
      <c r="G162" s="3" t="n">
        <v>0</v>
      </c>
      <c r="H162" s="3" t="n">
        <v>0</v>
      </c>
      <c r="I162" s="3" t="n">
        <v>8</v>
      </c>
      <c r="J162" s="3" t="n">
        <v>8</v>
      </c>
      <c r="K162" s="3" t="n">
        <v>0</v>
      </c>
      <c r="L162" s="3" t="inlineStr">
        <is>
          <t>BOM</t>
        </is>
      </c>
      <c r="M162" s="3" t="n">
        <v>7</v>
      </c>
      <c r="N162" s="3" t="n">
        <v>97.14</v>
      </c>
      <c r="O162" s="12" t="n">
        <v>24.76190476190476</v>
      </c>
    </row>
    <row r="163">
      <c r="A163" s="10" t="n">
        <v>46169</v>
      </c>
      <c r="B163" t="inlineStr">
        <is>
          <t>Claudio de Sousa Velasco Filho</t>
        </is>
      </c>
      <c r="C163" s="1" t="inlineStr">
        <is>
          <t>Estágio</t>
        </is>
      </c>
      <c r="D163" s="3" t="n">
        <v>8</v>
      </c>
      <c r="E163" s="3" t="n">
        <v>8</v>
      </c>
      <c r="F163" s="3" t="n">
        <v>23.25</v>
      </c>
      <c r="G163" s="3" t="n">
        <v>0</v>
      </c>
      <c r="H163" s="3" t="n">
        <v>0</v>
      </c>
      <c r="I163" s="3" t="n">
        <v>8</v>
      </c>
      <c r="J163" s="3" t="n">
        <v>8</v>
      </c>
      <c r="K163" s="3" t="n">
        <v>0</v>
      </c>
      <c r="L163" s="3" t="inlineStr">
        <is>
          <t>BOM</t>
        </is>
      </c>
      <c r="M163" s="3" t="n">
        <v>8</v>
      </c>
      <c r="N163" s="3" t="n">
        <v>97.14</v>
      </c>
      <c r="O163" s="12" t="n">
        <v>23.00884955752212</v>
      </c>
    </row>
    <row r="164">
      <c r="A164" s="10" t="n">
        <v>46170</v>
      </c>
      <c r="B164" t="inlineStr">
        <is>
          <t>Claudio de Sousa Velasco Filho</t>
        </is>
      </c>
      <c r="C164" s="1" t="inlineStr">
        <is>
          <t>Estágio</t>
        </is>
      </c>
      <c r="D164" s="3" t="n">
        <v>12</v>
      </c>
      <c r="E164" s="3" t="n">
        <v>11</v>
      </c>
      <c r="F164" s="3" t="n">
        <v>18.47</v>
      </c>
      <c r="G164" s="3" t="n">
        <v>0</v>
      </c>
      <c r="H164" s="3" t="n">
        <v>0</v>
      </c>
      <c r="I164" s="3" t="n">
        <v>11</v>
      </c>
      <c r="J164" s="3" t="n">
        <v>8</v>
      </c>
      <c r="K164" s="3" t="n">
        <v>3</v>
      </c>
      <c r="L164" s="3" t="inlineStr">
        <is>
          <t>BOM</t>
        </is>
      </c>
      <c r="M164" s="3" t="n">
        <v>11</v>
      </c>
      <c r="N164" s="3" t="n">
        <v>97.22</v>
      </c>
      <c r="O164" s="12" t="n">
        <v>23.38709677419355</v>
      </c>
    </row>
    <row r="165">
      <c r="A165" s="10" t="n">
        <v>46171</v>
      </c>
      <c r="B165" t="inlineStr">
        <is>
          <t>Claudio de Sousa Velasco Filho</t>
        </is>
      </c>
      <c r="C165" s="1" t="inlineStr">
        <is>
          <t>Estágio</t>
        </is>
      </c>
      <c r="D165" s="3" t="n">
        <v>13</v>
      </c>
      <c r="E165" s="3" t="n">
        <v>11</v>
      </c>
      <c r="F165" s="3" t="n">
        <v>15.34</v>
      </c>
      <c r="G165" s="3" t="n">
        <v>0</v>
      </c>
      <c r="H165" s="3" t="n">
        <v>0</v>
      </c>
      <c r="I165" s="3" t="n">
        <v>11</v>
      </c>
      <c r="J165" s="3" t="n">
        <v>8</v>
      </c>
      <c r="K165" s="3" t="n">
        <v>3</v>
      </c>
      <c r="L165" s="3" t="inlineStr">
        <is>
          <t>BOM</t>
        </is>
      </c>
      <c r="M165" s="3" t="n">
        <v>3</v>
      </c>
      <c r="N165" s="3" t="n">
        <v>97.37</v>
      </c>
      <c r="O165" s="12" t="n">
        <v>22.83464566929134</v>
      </c>
    </row>
    <row r="166">
      <c r="A166" s="5" t="n">
        <v>46148</v>
      </c>
      <c r="B166" s="6" t="inlineStr">
        <is>
          <t>Amanda Moura Ferreira</t>
        </is>
      </c>
      <c r="C166" s="1" t="inlineStr">
        <is>
          <t>Técnico III</t>
        </is>
      </c>
      <c r="D166" s="3" t="n">
        <v>0</v>
      </c>
      <c r="E166" s="3" t="n">
        <v>0</v>
      </c>
      <c r="F166" s="3" t="n">
        <v>0</v>
      </c>
      <c r="G166" s="3" t="n">
        <v>0</v>
      </c>
      <c r="H166" s="3" t="n">
        <v>0</v>
      </c>
      <c r="I166" s="3" t="n">
        <v>0</v>
      </c>
      <c r="J166" s="3" t="n">
        <v>0</v>
      </c>
      <c r="K166" s="3" t="n">
        <v>0</v>
      </c>
      <c r="L166" s="3">
        <f>IF(K166&lt;-5,"CRÍTICO",IF(K166&lt;0,"ATENÇÃO",IF(K166&lt;=5,"OPORTUNO","MUITO BOM")))</f>
        <v/>
      </c>
      <c r="M166" s="3" t="n">
        <v>0</v>
      </c>
      <c r="N166" s="3" t="n">
        <v>100</v>
      </c>
      <c r="O166" s="12" t="n">
        <v>0</v>
      </c>
    </row>
    <row r="167">
      <c r="A167" s="5" t="n">
        <v>46148</v>
      </c>
      <c r="B167" s="6" t="inlineStr">
        <is>
          <t>Ana Paula Da Luz Silva Aleixo</t>
        </is>
      </c>
      <c r="C167" s="1" t="inlineStr">
        <is>
          <t>Técnico III</t>
        </is>
      </c>
      <c r="D167" s="3" t="n">
        <v>22</v>
      </c>
      <c r="E167" s="3" t="n">
        <v>20</v>
      </c>
      <c r="F167" s="3" t="n">
        <v>18.47</v>
      </c>
      <c r="G167" s="3" t="n">
        <v>12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IF(K167&lt;-5,"CRÍTICO",IF(K167&lt;0,"ATENÇÃO",IF(K167&lt;=5,"OPORTUNO","MUITO BOM")))</f>
        <v/>
      </c>
      <c r="M167" s="3" t="n">
        <v>30</v>
      </c>
      <c r="N167" s="3" t="n">
        <v>96.94</v>
      </c>
      <c r="O167" s="12" t="n">
        <v>19.61325966850829</v>
      </c>
    </row>
    <row r="168">
      <c r="A168" s="5" t="n">
        <v>46148</v>
      </c>
      <c r="B168" s="6" t="inlineStr">
        <is>
          <t>Cristiane Ramos da Silva Rocha</t>
        </is>
      </c>
      <c r="C168" s="1" t="inlineStr">
        <is>
          <t>Técnico III</t>
        </is>
      </c>
      <c r="D168" s="3" t="n">
        <v>48</v>
      </c>
      <c r="E168" s="3" t="n">
        <v>44</v>
      </c>
      <c r="F168" s="3" t="n">
        <v>12.07</v>
      </c>
      <c r="G168" s="3" t="n">
        <v>0</v>
      </c>
      <c r="H168" s="3" t="n">
        <v>0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IF(K168&lt;-5,"CRÍTICO",IF(K168&lt;0,"ATENÇÃO",IF(K168&lt;=5,"OPORTUNO","MUITO BOM")))</f>
        <v/>
      </c>
      <c r="M168" s="3" t="n">
        <v>41</v>
      </c>
      <c r="N168" s="3" t="n">
        <v>92.81</v>
      </c>
      <c r="O168" s="12" t="n">
        <v>25.47770700636943</v>
      </c>
    </row>
    <row r="169">
      <c r="A169" s="5" t="n">
        <v>46148</v>
      </c>
      <c r="B169" s="6" t="inlineStr">
        <is>
          <t>Davylla Rodrigues Freitas Silva</t>
        </is>
      </c>
      <c r="C169" s="1" t="inlineStr">
        <is>
          <t>Técnico III</t>
        </is>
      </c>
      <c r="D169" s="3" t="n">
        <v>24</v>
      </c>
      <c r="E169" s="3" t="n">
        <v>22</v>
      </c>
      <c r="F169" s="3" t="n">
        <v>17.18</v>
      </c>
      <c r="G169" s="3" t="n">
        <v>0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IF(K169&lt;-5,"CRÍTICO",IF(K169&lt;0,"ATENÇÃO",IF(K169&lt;=5,"OPORTUNO","MUITO BOM")))</f>
        <v/>
      </c>
      <c r="M169" s="3" t="n">
        <v>32</v>
      </c>
      <c r="N169" s="3" t="n">
        <v>99.19</v>
      </c>
      <c r="O169" s="12" t="n">
        <v>28.40466926070039</v>
      </c>
    </row>
    <row r="170">
      <c r="A170" s="5" t="n">
        <v>46148</v>
      </c>
      <c r="B170" s="6" t="inlineStr">
        <is>
          <t>Francielson de Oliveira</t>
        </is>
      </c>
      <c r="C170" s="1" t="inlineStr">
        <is>
          <t>Técnico III</t>
        </is>
      </c>
      <c r="D170" s="3" t="n">
        <v>0</v>
      </c>
      <c r="E170" s="3" t="n">
        <v>0</v>
      </c>
      <c r="F170" s="3" t="n">
        <v>0</v>
      </c>
      <c r="G170" s="3" t="n">
        <v>0</v>
      </c>
      <c r="H170" s="3" t="n">
        <v>0</v>
      </c>
      <c r="I170" s="3" t="n">
        <v>0</v>
      </c>
      <c r="J170" s="3" t="n">
        <v>0</v>
      </c>
      <c r="K170" s="3" t="n">
        <v>0</v>
      </c>
      <c r="L170" s="3">
        <f>IF(K170&lt;-5,"CRÍTICO",IF(K170&lt;0,"ATENÇÃO",IF(K170&lt;=5,"OPORTUNO","MUITO BOM")))</f>
        <v/>
      </c>
      <c r="M170" s="3" t="n">
        <v>0</v>
      </c>
      <c r="N170" s="3" t="n">
        <v>100</v>
      </c>
      <c r="O170" s="12" t="n">
        <v>13.51351351351351</v>
      </c>
    </row>
    <row r="171">
      <c r="A171" s="5" t="n">
        <v>46148</v>
      </c>
      <c r="B171" s="6" t="inlineStr">
        <is>
          <t>Janaina Lima dos Reis Urany</t>
        </is>
      </c>
      <c r="C171" s="1" t="inlineStr">
        <is>
          <t>Técnico III</t>
        </is>
      </c>
      <c r="D171" s="3" t="n">
        <v>52</v>
      </c>
      <c r="E171" s="3" t="n">
        <v>45</v>
      </c>
      <c r="F171" s="3" t="n">
        <v>13.59</v>
      </c>
      <c r="G171" s="3" t="n">
        <v>23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IF(K171&lt;-5,"CRÍTICO",IF(K171&lt;0,"ATENÇÃO",IF(K171&lt;=5,"OPORTUNO","MUITO BOM")))</f>
        <v/>
      </c>
      <c r="M171" s="3" t="n">
        <v>55</v>
      </c>
      <c r="N171" s="3" t="n">
        <v>99</v>
      </c>
      <c r="O171" s="12" t="n">
        <v>22.27414330218069</v>
      </c>
    </row>
    <row r="172">
      <c r="A172" s="5" t="n">
        <v>46148</v>
      </c>
      <c r="B172" s="6" t="inlineStr">
        <is>
          <t>Jaqueline Evangelista da Silva Martins</t>
        </is>
      </c>
      <c r="C172" s="1" t="inlineStr">
        <is>
          <t>Técnico III</t>
        </is>
      </c>
      <c r="D172" s="3" t="n">
        <v>27</v>
      </c>
      <c r="E172" s="3" t="n">
        <v>26</v>
      </c>
      <c r="F172" s="3" t="n">
        <v>12.18</v>
      </c>
      <c r="G172" s="3" t="n">
        <v>7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IF(K172&lt;-5,"CRÍTICO",IF(K172&lt;0,"ATENÇÃO",IF(K172&lt;=5,"OPORTUNO","MUITO BOM")))</f>
        <v/>
      </c>
      <c r="M172" s="3" t="n">
        <v>26</v>
      </c>
      <c r="N172" s="3" t="n">
        <v>97.04000000000001</v>
      </c>
      <c r="O172" s="12" t="n">
        <v>29.82885085574572</v>
      </c>
    </row>
    <row r="173">
      <c r="A173" s="5" t="n">
        <v>46148</v>
      </c>
      <c r="B173" s="6" t="inlineStr">
        <is>
          <t>Jéssica Fé Moura</t>
        </is>
      </c>
      <c r="C173" s="1" t="inlineStr">
        <is>
          <t>Técnico III</t>
        </is>
      </c>
      <c r="D173" s="3" t="n">
        <v>0</v>
      </c>
      <c r="E173" s="3" t="n">
        <v>0</v>
      </c>
      <c r="F173" s="3" t="n">
        <v>0</v>
      </c>
      <c r="G173" s="3" t="n">
        <v>0</v>
      </c>
      <c r="H173" s="3" t="n">
        <v>0</v>
      </c>
      <c r="I173" s="3" t="n">
        <v>0</v>
      </c>
      <c r="J173" s="3" t="n">
        <v>0</v>
      </c>
      <c r="K173" s="3" t="n">
        <v>0</v>
      </c>
      <c r="L173" s="3">
        <f>IF(K173&lt;-5,"CRÍTICO",IF(K173&lt;0,"ATENÇÃO",IF(K173&lt;=5,"OPORTUNO","MUITO BOM")))</f>
        <v/>
      </c>
      <c r="M173" s="3" t="n">
        <v>0</v>
      </c>
      <c r="N173" s="3" t="n">
        <v>0</v>
      </c>
      <c r="O173" s="12" t="n">
        <v>0</v>
      </c>
    </row>
    <row r="174">
      <c r="A174" s="5" t="n">
        <v>46148</v>
      </c>
      <c r="B174" s="6" t="inlineStr">
        <is>
          <t>Kerollen Cristielly de Jesus Siqueira</t>
        </is>
      </c>
      <c r="C174" s="1" t="inlineStr">
        <is>
          <t>Técnico III</t>
        </is>
      </c>
      <c r="D174" s="3" t="n">
        <v>27</v>
      </c>
      <c r="E174" s="3" t="n">
        <v>25</v>
      </c>
      <c r="F174" s="3" t="n">
        <v>22.17</v>
      </c>
      <c r="G174" s="3" t="n">
        <v>1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IF(K174&lt;-5,"CRÍTICO",IF(K174&lt;0,"ATENÇÃO",IF(K174&lt;=5,"OPORTUNO","MUITO BOM")))</f>
        <v/>
      </c>
      <c r="M174" s="3" t="n">
        <v>26</v>
      </c>
      <c r="N174" s="3" t="n">
        <v>96.84</v>
      </c>
      <c r="O174" s="12" t="n">
        <v>16.33802816901408</v>
      </c>
    </row>
    <row r="175">
      <c r="A175" s="5" t="n">
        <v>46148</v>
      </c>
      <c r="B175" s="6" t="inlineStr">
        <is>
          <t>Leandro Oliveira de Sousa</t>
        </is>
      </c>
      <c r="C175" s="1" t="inlineStr">
        <is>
          <t>Técnico III</t>
        </is>
      </c>
      <c r="D175" s="3" t="n">
        <v>38</v>
      </c>
      <c r="E175" s="3" t="n">
        <v>38</v>
      </c>
      <c r="F175" s="3" t="n">
        <v>16.42</v>
      </c>
      <c r="G175" s="3" t="n">
        <v>0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IF(K175&lt;-5,"CRÍTICO",IF(K175&lt;0,"ATENÇÃO",IF(K175&lt;=5,"OPORTUNO","MUITO BOM")))</f>
        <v/>
      </c>
      <c r="M175" s="3" t="n">
        <v>36</v>
      </c>
      <c r="N175" s="3" t="n">
        <v>100</v>
      </c>
      <c r="O175" s="12" t="n">
        <v>18.24480369515012</v>
      </c>
    </row>
    <row r="176">
      <c r="A176" s="5" t="n">
        <v>46148</v>
      </c>
      <c r="B176" s="6" t="inlineStr">
        <is>
          <t>Lucas Luiz Romero</t>
        </is>
      </c>
      <c r="C176" s="1" t="inlineStr">
        <is>
          <t>Técnico III</t>
        </is>
      </c>
      <c r="D176" s="3" t="n">
        <v>0</v>
      </c>
      <c r="E176" s="3" t="n">
        <v>0</v>
      </c>
      <c r="F176" s="3" t="n">
        <v>0</v>
      </c>
      <c r="G176" s="3" t="n">
        <v>0</v>
      </c>
      <c r="H176" s="3" t="n">
        <v>0</v>
      </c>
      <c r="I176" s="3" t="n">
        <v>0</v>
      </c>
      <c r="J176" s="3" t="n">
        <v>0</v>
      </c>
      <c r="K176" s="3" t="n">
        <v>0</v>
      </c>
      <c r="L176" s="3">
        <f>IF(K176&lt;-5,"CRÍTICO",IF(K176&lt;0,"ATENÇÃO",IF(K176&lt;=5,"OPORTUNO","MUITO BOM")))</f>
        <v/>
      </c>
      <c r="M176" s="3" t="n">
        <v>0</v>
      </c>
      <c r="N176" s="3" t="n">
        <v>100</v>
      </c>
      <c r="O176" s="12" t="n">
        <v>15.78947368421053</v>
      </c>
    </row>
    <row r="177">
      <c r="A177" s="5" t="n">
        <v>46148</v>
      </c>
      <c r="B177" s="6" t="inlineStr">
        <is>
          <t>Maysa Victoria Dias Moura</t>
        </is>
      </c>
      <c r="C177" s="1" t="inlineStr">
        <is>
          <t>Técnico III</t>
        </is>
      </c>
      <c r="D177" s="3" t="n">
        <v>32</v>
      </c>
      <c r="E177" s="3" t="n">
        <v>30</v>
      </c>
      <c r="F177" s="3" t="n">
        <v>19.04</v>
      </c>
      <c r="G177" s="3" t="n">
        <v>1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IF(K177&lt;-5,"CRÍTICO",IF(K177&lt;0,"ATENÇÃO",IF(K177&lt;=5,"OPORTUNO","MUITO BOM")))</f>
        <v/>
      </c>
      <c r="M177" s="3" t="n">
        <v>31</v>
      </c>
      <c r="N177" s="3" t="n">
        <v>96.38</v>
      </c>
      <c r="O177" s="12" t="n">
        <v>23.1981981981982</v>
      </c>
    </row>
    <row r="178">
      <c r="A178" s="5" t="n">
        <v>46148</v>
      </c>
      <c r="B178" s="6" t="inlineStr">
        <is>
          <t>Rafael Gomes de Morais</t>
        </is>
      </c>
      <c r="C178" s="1" t="inlineStr">
        <is>
          <t>Técnico III</t>
        </is>
      </c>
      <c r="D178" s="3" t="n">
        <v>57</v>
      </c>
      <c r="E178" s="3" t="n">
        <v>51</v>
      </c>
      <c r="F178" s="3" t="n">
        <v>10.53</v>
      </c>
      <c r="G178" s="3" t="n">
        <v>1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IF(K178&lt;-5,"CRÍTICO",IF(K178&lt;0,"ATENÇÃO",IF(K178&lt;=5,"OPORTUNO","MUITO BOM")))</f>
        <v/>
      </c>
      <c r="M178" s="3" t="n">
        <v>37</v>
      </c>
      <c r="N178" s="3" t="n">
        <v>99.39</v>
      </c>
      <c r="O178" s="12" t="n">
        <v>25.20325203252033</v>
      </c>
    </row>
    <row r="179">
      <c r="A179" s="5" t="n">
        <v>46148</v>
      </c>
      <c r="B179" s="6" t="inlineStr">
        <is>
          <t>Sarah Steffanie de Lima Borges</t>
        </is>
      </c>
      <c r="C179" s="1" t="inlineStr">
        <is>
          <t>Técnico III</t>
        </is>
      </c>
      <c r="D179" s="3" t="n">
        <v>21</v>
      </c>
      <c r="E179" s="3" t="n">
        <v>20</v>
      </c>
      <c r="F179" s="3" t="n">
        <v>18.47</v>
      </c>
      <c r="G179" s="3" t="n">
        <v>8</v>
      </c>
      <c r="H179" s="3" t="n">
        <v>0</v>
      </c>
      <c r="I179" s="3">
        <f>E179+G179+H179</f>
        <v/>
      </c>
      <c r="J179" s="3">
        <f>ROUND(MIN(IF(C179="Técnico III",35,IF(C179="Técnico II",28,IF(C179="Técnico I",23,IF(C179="JR",20,IF(C179="Estágio",10,0))))),IF(C179="Técnico III",SUMIFS($D:$D,$A:$A,$A179,$B:$B,"&lt;&gt;Patrícia Karla de Sousa Araújo",$B:$B,"&lt;&gt;Lorena Dias de Araujo",$B:$B,"&lt;&gt;Lucas Luiz Romero")*(35/1083),IF(C179="Técnico II",SUMIFS($D:$D,$A:$A,$A179,$B:$B,"&lt;&gt;Patrícia Karla de Sousa Araújo",$B:$B,"&lt;&gt;Lorena Dias de Araujo",$B:$B,"&lt;&gt;Lucas Luiz Romero")*(28/1083),IF(C179="Técnico I",SUMIFS($D:$D,$A:$A,$A179,$B:$B,"&lt;&gt;Patrícia Karla de Sousa Araújo",$B:$B,"&lt;&gt;Lorena Dias de Araujo",$B:$B,"&lt;&gt;Lucas Luiz Romero")*(23/1083),IF(C179="JR",SUMIFS($D:$D,$A:$A,$A179,$B:$B,"&lt;&gt;Patrícia Karla de Sousa Araújo",$B:$B,"&lt;&gt;Lorena Dias de Araujo",$B:$B,"&lt;&gt;Lucas Luiz Romero")*(20/1083),IF(C179="Estágio",SUMIFS($D:$D,$A:$A,$A179,$B:$B,"&lt;&gt;Patrícia Karla de Sousa Araújo",$B:$B,"&lt;&gt;Lorena Dias de Araujo",$B:$B,"&lt;&gt;Lucas Luiz Romero")*(10/1083),0)))))),0)</f>
        <v/>
      </c>
      <c r="K179" s="3">
        <f>I179-J179</f>
        <v/>
      </c>
      <c r="L179" s="3">
        <f>IF(K179&lt;-5,"CRÍTICO",IF(K179&lt;0,"ATENÇÃO",IF(K179&lt;=5,"OPORTUNO","MUITO BOM")))</f>
        <v/>
      </c>
      <c r="M179" s="3" t="n">
        <v>25</v>
      </c>
      <c r="N179" s="3" t="n">
        <v>97</v>
      </c>
      <c r="O179" s="12" t="n">
        <v>20.32520325203252</v>
      </c>
    </row>
    <row r="180">
      <c r="A180" s="5" t="n">
        <v>46148</v>
      </c>
      <c r="B180" s="6" t="inlineStr">
        <is>
          <t>Alisson de Freitas Silva</t>
        </is>
      </c>
      <c r="C180" s="1" t="inlineStr">
        <is>
          <t>Técnico II</t>
        </is>
      </c>
      <c r="D180" s="3" t="n">
        <v>35</v>
      </c>
      <c r="E180" s="3" t="n">
        <v>29</v>
      </c>
      <c r="F180" s="3" t="n">
        <v>12.32</v>
      </c>
      <c r="G180" s="3" t="n">
        <v>11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IF(K180&lt;-5,"CRÍTICO",IF(K180&lt;0,"ATENÇÃO",IF(K180&lt;=5,"OPORTUNO","MUITO BOM")))</f>
        <v/>
      </c>
      <c r="M180" s="3" t="n">
        <v>32</v>
      </c>
      <c r="N180" s="3" t="n">
        <v>99.18000000000001</v>
      </c>
      <c r="O180" s="12" t="n">
        <v>24.5014245014245</v>
      </c>
    </row>
    <row r="181">
      <c r="A181" s="5" t="n">
        <v>46148</v>
      </c>
      <c r="B181" s="6" t="inlineStr">
        <is>
          <t>Brenda de Menezes Silva</t>
        </is>
      </c>
      <c r="C181" s="1" t="inlineStr">
        <is>
          <t>Técnico II</t>
        </is>
      </c>
      <c r="D181" s="3" t="n">
        <v>31</v>
      </c>
      <c r="E181" s="3" t="n">
        <v>28</v>
      </c>
      <c r="F181" s="3" t="n">
        <v>18.45</v>
      </c>
      <c r="G181" s="3" t="n">
        <v>9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IF(K181&lt;-5,"CRÍTICO",IF(K181&lt;0,"ATENÇÃO",IF(K181&lt;=5,"OPORTUNO","MUITO BOM")))</f>
        <v/>
      </c>
      <c r="M181" s="3" t="n">
        <v>35</v>
      </c>
      <c r="N181" s="3" t="n">
        <v>99.34999999999999</v>
      </c>
      <c r="O181" s="12" t="n">
        <v>19.85294117647059</v>
      </c>
    </row>
    <row r="182">
      <c r="A182" s="5" t="n">
        <v>46148</v>
      </c>
      <c r="B182" s="6" t="inlineStr">
        <is>
          <t>Carlos Mateus Cassimiro Nunes</t>
        </is>
      </c>
      <c r="C182" s="1" t="inlineStr">
        <is>
          <t>Técnico II</t>
        </is>
      </c>
      <c r="D182" s="3" t="n">
        <v>34</v>
      </c>
      <c r="E182" s="3" t="n">
        <v>32</v>
      </c>
      <c r="F182" s="3" t="n">
        <v>14.16</v>
      </c>
      <c r="G182" s="3" t="n">
        <v>1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IF(K182&lt;-5,"CRÍTICO",IF(K182&lt;0,"ATENÇÃO",IF(K182&lt;=5,"OPORTUNO","MUITO BOM")))</f>
        <v/>
      </c>
      <c r="M182" s="3" t="n">
        <v>31</v>
      </c>
      <c r="N182" s="3" t="n">
        <v>99.06999999999999</v>
      </c>
      <c r="O182" s="12" t="n">
        <v>20.09803921568627</v>
      </c>
    </row>
    <row r="183">
      <c r="A183" s="5" t="n">
        <v>46148</v>
      </c>
      <c r="B183" s="6" t="inlineStr">
        <is>
          <t>Damyllis Lorraine de Oliveira Gonçalves</t>
        </is>
      </c>
      <c r="C183" s="1" t="inlineStr">
        <is>
          <t>Técnico II</t>
        </is>
      </c>
      <c r="D183" s="3" t="n">
        <v>40</v>
      </c>
      <c r="E183" s="3" t="n">
        <v>35</v>
      </c>
      <c r="F183" s="3" t="n">
        <v>15.25</v>
      </c>
      <c r="G183" s="3" t="n">
        <v>0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IF(K183&lt;-5,"CRÍTICO",IF(K183&lt;0,"ATENÇÃO",IF(K183&lt;=5,"OPORTUNO","MUITO BOM")))</f>
        <v/>
      </c>
      <c r="M183" s="3" t="n">
        <v>29</v>
      </c>
      <c r="N183" s="3" t="n">
        <v>98.81</v>
      </c>
      <c r="O183" s="12" t="n">
        <v>22.76785714285714</v>
      </c>
    </row>
    <row r="184">
      <c r="A184" s="5" t="n">
        <v>46148</v>
      </c>
      <c r="B184" s="6" t="inlineStr">
        <is>
          <t>Emilly Kamilly Medeiros Miranda</t>
        </is>
      </c>
      <c r="C184" s="1" t="inlineStr">
        <is>
          <t>Técnico II</t>
        </is>
      </c>
      <c r="D184" s="3" t="n">
        <v>15</v>
      </c>
      <c r="E184" s="3" t="n">
        <v>14</v>
      </c>
      <c r="F184" s="3" t="n">
        <v>17.31</v>
      </c>
      <c r="G184" s="3" t="n">
        <v>9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IF(K184&lt;-5,"CRÍTICO",IF(K184&lt;0,"ATENÇÃO",IF(K184&lt;=5,"OPORTUNO","MUITO BOM")))</f>
        <v/>
      </c>
      <c r="M184" s="3" t="n">
        <v>22</v>
      </c>
      <c r="N184" s="3" t="n">
        <v>99.01000000000001</v>
      </c>
      <c r="O184" s="12" t="n">
        <v>17.76649746192894</v>
      </c>
    </row>
    <row r="185">
      <c r="A185" s="5" t="n">
        <v>46148</v>
      </c>
      <c r="B185" s="6" t="inlineStr">
        <is>
          <t>Francilene Ferreira de Jesus</t>
        </is>
      </c>
      <c r="C185" s="1" t="inlineStr">
        <is>
          <t>Técnico II</t>
        </is>
      </c>
      <c r="D185" s="3" t="n">
        <v>0</v>
      </c>
      <c r="E185" s="3" t="n">
        <v>0</v>
      </c>
      <c r="F185" s="3" t="n">
        <v>0</v>
      </c>
      <c r="G185" s="3" t="n">
        <v>0</v>
      </c>
      <c r="H185" s="3" t="n">
        <v>0</v>
      </c>
      <c r="I185" s="3" t="n">
        <v>0</v>
      </c>
      <c r="J185" s="3" t="n">
        <v>0</v>
      </c>
      <c r="K185" s="3" t="n">
        <v>0</v>
      </c>
      <c r="L185" s="3">
        <f>IF(K185&lt;-5,"CRÍTICO",IF(K185&lt;0,"ATENÇÃO",IF(K185&lt;=5,"OPORTUNO","MUITO BOM")))</f>
        <v/>
      </c>
      <c r="M185" s="3" t="n">
        <v>0</v>
      </c>
      <c r="N185" s="3" t="n">
        <v>100</v>
      </c>
      <c r="O185" s="12" t="n">
        <v>17.24137931034483</v>
      </c>
    </row>
    <row r="186">
      <c r="A186" s="5" t="n">
        <v>46148</v>
      </c>
      <c r="B186" s="6" t="inlineStr">
        <is>
          <t>Isabella Borges de Oliveira</t>
        </is>
      </c>
      <c r="C186" s="1" t="inlineStr">
        <is>
          <t>Técnico II</t>
        </is>
      </c>
      <c r="D186" s="3" t="n">
        <v>33</v>
      </c>
      <c r="E186" s="3" t="n">
        <v>32</v>
      </c>
      <c r="F186" s="3" t="n">
        <v>20.01</v>
      </c>
      <c r="G186" s="3" t="n">
        <v>9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IF(K186&lt;-5,"CRÍTICO",IF(K186&lt;0,"ATENÇÃO",IF(K186&lt;=5,"OPORTUNO","MUITO BOM")))</f>
        <v/>
      </c>
      <c r="M186" s="3" t="n">
        <v>30</v>
      </c>
      <c r="N186" s="3" t="n">
        <v>98.98</v>
      </c>
      <c r="O186" s="12" t="n">
        <v>19.35483870967742</v>
      </c>
    </row>
    <row r="187">
      <c r="A187" s="5" t="n">
        <v>46148</v>
      </c>
      <c r="B187" s="6" t="inlineStr">
        <is>
          <t>Jessica Faria da Silveira</t>
        </is>
      </c>
      <c r="C187" s="1" t="inlineStr">
        <is>
          <t>Técnico II</t>
        </is>
      </c>
      <c r="D187" s="3" t="n">
        <v>29</v>
      </c>
      <c r="E187" s="3" t="n">
        <v>28</v>
      </c>
      <c r="F187" s="3" t="n">
        <v>10.28</v>
      </c>
      <c r="G187" s="3" t="n">
        <v>7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IF(K187&lt;-5,"CRÍTICO",IF(K187&lt;0,"ATENÇÃO",IF(K187&lt;=5,"OPORTUNO","MUITO BOM")))</f>
        <v/>
      </c>
      <c r="M187" s="3" t="n">
        <v>34</v>
      </c>
      <c r="N187" s="3" t="n">
        <v>98.94</v>
      </c>
      <c r="O187" s="12" t="n">
        <v>21.2707182320442</v>
      </c>
    </row>
    <row r="188">
      <c r="A188" s="5" t="n">
        <v>46148</v>
      </c>
      <c r="B188" s="6" t="inlineStr">
        <is>
          <t>Lizandra Gomes Duarte</t>
        </is>
      </c>
      <c r="C188" s="1" t="inlineStr">
        <is>
          <t>Técnico II</t>
        </is>
      </c>
      <c r="D188" s="3" t="n">
        <v>38</v>
      </c>
      <c r="E188" s="3" t="n">
        <v>36</v>
      </c>
      <c r="F188" s="3" t="n">
        <v>15.35</v>
      </c>
      <c r="G188" s="3" t="n">
        <v>2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IF(K188&lt;-5,"CRÍTICO",IF(K188&lt;0,"ATENÇÃO",IF(K188&lt;=5,"OPORTUNO","MUITO BOM")))</f>
        <v/>
      </c>
      <c r="M188" s="3" t="n">
        <v>16</v>
      </c>
      <c r="N188" s="3" t="n">
        <v>99</v>
      </c>
      <c r="O188" s="12" t="n">
        <v>22.01086956521739</v>
      </c>
    </row>
    <row r="189">
      <c r="A189" s="5" t="n">
        <v>46148</v>
      </c>
      <c r="B189" s="6" t="inlineStr">
        <is>
          <t>Lorena Dias de Araujo</t>
        </is>
      </c>
      <c r="C189" s="1" t="inlineStr">
        <is>
          <t>Técnico II</t>
        </is>
      </c>
      <c r="D189" s="3" t="n">
        <v>34</v>
      </c>
      <c r="E189" s="3" t="n">
        <v>31</v>
      </c>
      <c r="F189" s="3" t="n">
        <v>16.42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IF(K189&lt;-5,"CRÍTICO",IF(K189&lt;0,"ATENÇÃO",IF(K189&lt;=5,"OPORTUNO","MUITO BOM")))</f>
        <v/>
      </c>
      <c r="M189" s="3" t="n">
        <v>28</v>
      </c>
      <c r="N189" s="3" t="n">
        <v>100</v>
      </c>
      <c r="O189" s="12" t="n">
        <v>25</v>
      </c>
    </row>
    <row r="190">
      <c r="A190" s="5" t="n">
        <v>46148</v>
      </c>
      <c r="B190" s="6" t="inlineStr">
        <is>
          <t>Patrícia Karla de Sousa Araújo</t>
        </is>
      </c>
      <c r="C190" s="1" t="inlineStr">
        <is>
          <t>Técnico II</t>
        </is>
      </c>
      <c r="D190" s="3" t="n">
        <v>35</v>
      </c>
      <c r="E190" s="3" t="n">
        <v>33</v>
      </c>
      <c r="F190" s="3" t="n">
        <v>15.19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IF(K190&lt;-5,"CRÍTICO",IF(K190&lt;0,"ATENÇÃO",IF(K190&lt;=5,"OPORTUNO","MUITO BOM")))</f>
        <v/>
      </c>
      <c r="M190" s="3" t="n">
        <v>30</v>
      </c>
      <c r="N190" s="3" t="n">
        <v>100</v>
      </c>
      <c r="O190" s="12" t="n">
        <v>20.18348623853211</v>
      </c>
    </row>
    <row r="191">
      <c r="A191" s="5" t="n">
        <v>46148</v>
      </c>
      <c r="B191" s="6" t="inlineStr">
        <is>
          <t>Ana Karollyne Souza Faria</t>
        </is>
      </c>
      <c r="C191" s="1" t="inlineStr">
        <is>
          <t>Técnico I</t>
        </is>
      </c>
      <c r="D191" s="3" t="n">
        <v>50</v>
      </c>
      <c r="E191" s="3" t="n">
        <v>43</v>
      </c>
      <c r="F191" s="3" t="n">
        <v>14.05</v>
      </c>
      <c r="G191" s="3" t="n">
        <v>6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IF(K191&lt;-5,"CRÍTICO",IF(K191&lt;0,"ATENÇÃO",IF(K191&lt;=5,"OPORTUNO","MUITO BOM")))</f>
        <v/>
      </c>
      <c r="M191" s="3" t="n">
        <v>43</v>
      </c>
      <c r="N191" s="3" t="n">
        <v>96.25</v>
      </c>
      <c r="O191" s="12" t="n">
        <v>25.5863539445629</v>
      </c>
    </row>
    <row r="192">
      <c r="A192" s="10" t="n">
        <v>46030</v>
      </c>
      <c r="B192" t="inlineStr">
        <is>
          <t>Gabriel Gomes de Andrade</t>
        </is>
      </c>
      <c r="C192" s="1" t="inlineStr">
        <is>
          <t>Técnico I</t>
        </is>
      </c>
      <c r="D192" s="3" t="n">
        <v>17</v>
      </c>
      <c r="E192" s="3" t="n">
        <v>17</v>
      </c>
      <c r="F192" s="3" t="n">
        <v>38.39</v>
      </c>
      <c r="G192" s="3" t="n">
        <v>0</v>
      </c>
      <c r="H192" s="3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s="3" t="n">
        <v>16</v>
      </c>
      <c r="N192" s="3" t="n">
        <v>98.91</v>
      </c>
      <c r="O192" s="12" t="n">
        <v>31.36729222520107</v>
      </c>
    </row>
    <row r="193">
      <c r="A193" s="5" t="n">
        <v>46148</v>
      </c>
      <c r="B193" s="6" t="inlineStr">
        <is>
          <t>Clessiane Pereira dos Santos</t>
        </is>
      </c>
      <c r="C193" s="1" t="inlineStr">
        <is>
          <t>Técnico I</t>
        </is>
      </c>
      <c r="D193" s="3" t="n">
        <v>24</v>
      </c>
      <c r="E193" s="3" t="n">
        <v>23</v>
      </c>
      <c r="F193" s="3" t="n">
        <v>17.07</v>
      </c>
      <c r="G193" s="3" t="n">
        <v>9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IF(K193&lt;-5,"CRÍTICO",IF(K193&lt;0,"ATENÇÃO",IF(K193&lt;=5,"OPORTUNO","MUITO BOM")))</f>
        <v/>
      </c>
      <c r="M193" s="3" t="n">
        <v>30</v>
      </c>
      <c r="N193" s="3" t="n">
        <v>97.48</v>
      </c>
      <c r="O193" s="12" t="n">
        <v>22.99465240641711</v>
      </c>
    </row>
    <row r="194">
      <c r="A194" s="5" t="n">
        <v>46148</v>
      </c>
      <c r="B194" s="6" t="inlineStr">
        <is>
          <t>Daniel Gomes da Silva</t>
        </is>
      </c>
      <c r="C194" s="1" t="inlineStr">
        <is>
          <t>Técnico I</t>
        </is>
      </c>
      <c r="D194" s="3" t="n">
        <v>19</v>
      </c>
      <c r="E194" s="3" t="n">
        <v>16</v>
      </c>
      <c r="F194" s="3" t="n">
        <v>16.51</v>
      </c>
      <c r="G194" s="3" t="n">
        <v>0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IF(K194&lt;-5,"CRÍTICO",IF(K194&lt;0,"ATENÇÃO",IF(K194&lt;=5,"OPORTUNO","MUITO BOM")))</f>
        <v/>
      </c>
      <c r="M194" s="3" t="n">
        <v>13</v>
      </c>
      <c r="N194" s="3" t="n">
        <v>100</v>
      </c>
      <c r="O194" s="12" t="n">
        <v>20.78853046594982</v>
      </c>
    </row>
    <row r="195">
      <c r="A195" s="5" t="n">
        <v>46148</v>
      </c>
      <c r="B195" s="6" t="inlineStr">
        <is>
          <t>Gabriel Gomes de Andrade</t>
        </is>
      </c>
      <c r="C195" s="1" t="inlineStr">
        <is>
          <t>Técnico I</t>
        </is>
      </c>
      <c r="D195" s="3" t="n">
        <v>23</v>
      </c>
      <c r="E195" s="3" t="n">
        <v>22</v>
      </c>
      <c r="F195" s="3" t="n">
        <v>20.21</v>
      </c>
      <c r="G195" s="3" t="n">
        <v>9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IF(K195&lt;-5,"CRÍTICO",IF(K195&lt;0,"ATENÇÃO",IF(K195&lt;=5,"OPORTUNO","MUITO BOM")))</f>
        <v/>
      </c>
      <c r="M195" s="3" t="n">
        <v>24</v>
      </c>
      <c r="N195" s="3" t="n">
        <v>99.06</v>
      </c>
      <c r="O195" s="12" t="n">
        <v>19.41747572815534</v>
      </c>
    </row>
    <row r="196">
      <c r="A196" s="5" t="n">
        <v>46148</v>
      </c>
      <c r="B196" s="6" t="inlineStr">
        <is>
          <t>Luiz Fernando de Carvalho Junior</t>
        </is>
      </c>
      <c r="C196" s="1" t="inlineStr">
        <is>
          <t>Técnico I</t>
        </is>
      </c>
      <c r="D196" s="3" t="n">
        <v>31</v>
      </c>
      <c r="E196" s="3" t="n">
        <v>30</v>
      </c>
      <c r="F196" s="3" t="n">
        <v>17.33</v>
      </c>
      <c r="G196" s="3" t="n">
        <v>8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IF(K196&lt;-5,"CRÍTICO",IF(K196&lt;0,"ATENÇÃO",IF(K196&lt;=5,"OPORTUNO","MUITO BOM")))</f>
        <v/>
      </c>
      <c r="M196" s="3" t="n">
        <v>35</v>
      </c>
      <c r="N196" s="3" t="n">
        <v>94.55</v>
      </c>
      <c r="O196" s="12" t="n">
        <v>23.45013477088949</v>
      </c>
    </row>
    <row r="197">
      <c r="A197" s="5" t="n">
        <v>46148</v>
      </c>
      <c r="B197" s="6" t="inlineStr">
        <is>
          <t>Raane Batista Matos</t>
        </is>
      </c>
      <c r="C197" s="1" t="inlineStr">
        <is>
          <t>Técnico I</t>
        </is>
      </c>
      <c r="D197" s="3" t="n">
        <v>34</v>
      </c>
      <c r="E197" s="3" t="n">
        <v>30</v>
      </c>
      <c r="F197" s="3" t="n">
        <v>13.25</v>
      </c>
      <c r="G197" s="3" t="n">
        <v>5</v>
      </c>
      <c r="H197" s="3" t="n">
        <v>0</v>
      </c>
      <c r="I197" s="3">
        <f>E197+G197+H197</f>
        <v/>
      </c>
      <c r="J197" s="3">
        <f>ROUND(MIN(IF(C197="Técnico III",35,IF(C197="Técnico II",28,IF(C197="Técnico I",23,IF(C197="JR",20,IF(C197="Estágio",10,0))))),IF(C197="Técnico III",SUMIFS($D:$D,$A:$A,$A197,$B:$B,"&lt;&gt;Patrícia Karla de Sousa Araújo",$B:$B,"&lt;&gt;Lorena Dias de Araujo",$B:$B,"&lt;&gt;Lucas Luiz Romero")*(35/1083),IF(C197="Técnico II",SUMIFS($D:$D,$A:$A,$A197,$B:$B,"&lt;&gt;Patrícia Karla de Sousa Araújo",$B:$B,"&lt;&gt;Lorena Dias de Araujo",$B:$B,"&lt;&gt;Lucas Luiz Romero")*(28/1083),IF(C197="Técnico I",SUMIFS($D:$D,$A:$A,$A197,$B:$B,"&lt;&gt;Patrícia Karla de Sousa Araújo",$B:$B,"&lt;&gt;Lorena Dias de Araujo",$B:$B,"&lt;&gt;Lucas Luiz Romero")*(23/1083),IF(C197="JR",SUMIFS($D:$D,$A:$A,$A197,$B:$B,"&lt;&gt;Patrícia Karla de Sousa Araújo",$B:$B,"&lt;&gt;Lorena Dias de Araujo",$B:$B,"&lt;&gt;Lucas Luiz Romero")*(20/1083),IF(C197="Estágio",SUMIFS($D:$D,$A:$A,$A197,$B:$B,"&lt;&gt;Patrícia Karla de Sousa Araújo",$B:$B,"&lt;&gt;Lorena Dias de Araujo",$B:$B,"&lt;&gt;Lucas Luiz Romero")*(10/1083),0)))))),0)</f>
        <v/>
      </c>
      <c r="K197" s="3">
        <f>I197-J197</f>
        <v/>
      </c>
      <c r="L197" s="3">
        <f>IF(K197&lt;-5,"CRÍTICO",IF(K197&lt;0,"ATENÇÃO",IF(K197&lt;=5,"OPORTUNO","MUITO BOM")))</f>
        <v/>
      </c>
      <c r="M197" s="3" t="n">
        <v>23</v>
      </c>
      <c r="N197" s="3" t="n">
        <v>98</v>
      </c>
      <c r="O197" s="12" t="n">
        <v>20.73490813648294</v>
      </c>
    </row>
    <row r="198">
      <c r="A198" s="5" t="n">
        <v>46148</v>
      </c>
      <c r="B198" s="6" t="inlineStr">
        <is>
          <t>Sara Maria Monteiro Lopes</t>
        </is>
      </c>
      <c r="C198" s="1" t="inlineStr">
        <is>
          <t>Técnico I</t>
        </is>
      </c>
      <c r="D198" s="3" t="n">
        <v>19</v>
      </c>
      <c r="E198" s="3" t="n">
        <v>18</v>
      </c>
      <c r="F198" s="3" t="n">
        <v>26.43</v>
      </c>
      <c r="G198" s="3" t="n">
        <v>1</v>
      </c>
      <c r="H198" s="3" t="n">
        <v>0</v>
      </c>
      <c r="I198" s="3">
        <f>E198+G198+H198</f>
        <v/>
      </c>
      <c r="J198" s="3">
        <f>ROUND(MIN(IF(C198="Técnico III",35,IF(C198="Técnico II",28,IF(C198="Técnico I",23,IF(C198="JR",20,IF(C198="Estágio",10,0))))),IF(C198="Técnico III",SUMIFS($D:$D,$A:$A,$A198,$B:$B,"&lt;&gt;Patrícia Karla de Sousa Araújo",$B:$B,"&lt;&gt;Lorena Dias de Araujo",$B:$B,"&lt;&gt;Lucas Luiz Romero")*(35/1083),IF(C198="Técnico II",SUMIFS($D:$D,$A:$A,$A198,$B:$B,"&lt;&gt;Patrícia Karla de Sousa Araújo",$B:$B,"&lt;&gt;Lorena Dias de Araujo",$B:$B,"&lt;&gt;Lucas Luiz Romero")*(28/1083),IF(C198="Técnico I",SUMIFS($D:$D,$A:$A,$A198,$B:$B,"&lt;&gt;Patrícia Karla de Sousa Araújo",$B:$B,"&lt;&gt;Lorena Dias de Araujo",$B:$B,"&lt;&gt;Lucas Luiz Romero")*(23/1083),IF(C198="JR",SUMIFS($D:$D,$A:$A,$A198,$B:$B,"&lt;&gt;Patrícia Karla de Sousa Araújo",$B:$B,"&lt;&gt;Lorena Dias de Araujo",$B:$B,"&lt;&gt;Lucas Luiz Romero")*(20/1083),IF(C198="Estágio",SUMIFS($D:$D,$A:$A,$A198,$B:$B,"&lt;&gt;Patrícia Karla de Sousa Araújo",$B:$B,"&lt;&gt;Lorena Dias de Araujo",$B:$B,"&lt;&gt;Lucas Luiz Romero")*(10/1083),0)))))),0)</f>
        <v/>
      </c>
      <c r="K198" s="3">
        <f>I198-J198</f>
        <v/>
      </c>
      <c r="L198" s="3">
        <f>IF(K198&lt;-5,"CRÍTICO",IF(K198&lt;0,"ATENÇÃO",IF(K198&lt;=5,"OPORTUNO","MUITO BOM")))</f>
        <v/>
      </c>
      <c r="M198" s="3" t="n">
        <v>18</v>
      </c>
      <c r="N198" s="3" t="n">
        <v>100</v>
      </c>
      <c r="O198" s="12" t="n">
        <v>18</v>
      </c>
    </row>
    <row r="199">
      <c r="A199" s="10" t="n">
        <v>46031</v>
      </c>
      <c r="B199" t="inlineStr">
        <is>
          <t>Gabriel Gomes de Andrade</t>
        </is>
      </c>
      <c r="C199" s="1" t="inlineStr">
        <is>
          <t>Técnico I</t>
        </is>
      </c>
      <c r="D199" s="3" t="n">
        <v>18</v>
      </c>
      <c r="E199" s="3" t="n">
        <v>17</v>
      </c>
      <c r="F199" s="3" t="n">
        <v>25.04</v>
      </c>
      <c r="G199" s="3" t="n">
        <v>0</v>
      </c>
      <c r="H199" s="3" t="n">
        <v>0</v>
      </c>
      <c r="I199" s="3">
        <f>E199+G199+H199</f>
        <v/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/>
      </c>
      <c r="K199" s="3">
        <f>I199-J199</f>
        <v/>
      </c>
      <c r="L199" s="3">
        <f>IF(K199&lt;-5,"CRÍTICO",IF(K199&lt;0,"ATENÇÃO",IF(K199&lt;=5,"BOM","EXCELENTE")))</f>
        <v/>
      </c>
      <c r="M199" s="3" t="n">
        <v>15</v>
      </c>
      <c r="N199" s="3" t="n">
        <v>98.91</v>
      </c>
      <c r="O199" s="12" t="n">
        <v>31.36729222520107</v>
      </c>
    </row>
    <row r="200">
      <c r="A200" s="10" t="n">
        <v>46143</v>
      </c>
      <c r="B200" t="inlineStr">
        <is>
          <t>Emilly Caylane Costa</t>
        </is>
      </c>
      <c r="C200" s="1" t="inlineStr">
        <is>
          <t>Estágio</t>
        </is>
      </c>
      <c r="D200" s="3" t="n">
        <v>0</v>
      </c>
      <c r="E200" s="3" t="n">
        <v>0</v>
      </c>
      <c r="F200" s="3" t="n">
        <v>0</v>
      </c>
      <c r="G200" s="3" t="n">
        <v>0</v>
      </c>
      <c r="H200" s="3" t="n">
        <v>0</v>
      </c>
      <c r="I200" s="3" t="n">
        <v>0</v>
      </c>
      <c r="J200" s="3" t="n">
        <v>0</v>
      </c>
      <c r="K200" s="3" t="n">
        <v>0</v>
      </c>
      <c r="L200" s="3">
        <f>IF(K200&lt;-5,"CRÍTICO",IF(K200&lt;0,"ATENÇÃO",IF(K200&lt;=5,"OPORTUNO","MUITO BOM")))</f>
        <v/>
      </c>
      <c r="M200" s="3" t="n">
        <v>0</v>
      </c>
      <c r="N200" s="3" t="n">
        <v>100</v>
      </c>
      <c r="O200" s="12" t="n">
        <v>28.94736842105263</v>
      </c>
    </row>
    <row r="201">
      <c r="A201" s="5" t="n">
        <v>46146</v>
      </c>
      <c r="B201" s="6" t="inlineStr">
        <is>
          <t>Emilly Caylane Costa</t>
        </is>
      </c>
      <c r="C201" s="1" t="inlineStr">
        <is>
          <t>Estágio</t>
        </is>
      </c>
      <c r="D201" s="3" t="n">
        <v>8</v>
      </c>
      <c r="E201" s="3" t="n">
        <v>8</v>
      </c>
      <c r="F201" s="3" t="n">
        <v>38.45</v>
      </c>
      <c r="G201" s="3" t="n">
        <v>0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IF(K201&lt;-5,"CRÍTICO",IF(K201&lt;0,"ATENÇÃO",IF(K201&lt;=5,"BOM","EXCELENTE")))</f>
        <v/>
      </c>
      <c r="M201" s="3" t="n">
        <v>8</v>
      </c>
      <c r="N201" s="3" t="n">
        <v>100</v>
      </c>
      <c r="O201" s="12" t="n">
        <v>28.94736842105263</v>
      </c>
    </row>
    <row r="202">
      <c r="A202" s="5" t="n">
        <v>46148</v>
      </c>
      <c r="B202" s="6" t="inlineStr">
        <is>
          <t>Matheus Farias De Souza</t>
        </is>
      </c>
      <c r="C202" s="1" t="inlineStr">
        <is>
          <t>Técnico III</t>
        </is>
      </c>
      <c r="D202" s="3" t="n">
        <v>24</v>
      </c>
      <c r="E202" s="3" t="n">
        <v>24</v>
      </c>
      <c r="F202" s="3" t="n">
        <v>18.39</v>
      </c>
      <c r="G202" s="3" t="n">
        <v>0</v>
      </c>
      <c r="H202" s="3" t="n">
        <v>17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IF(K202&lt;-5,"CRÍTICO",IF(K202&lt;0,"ATENÇÃO",IF(K202&lt;=5,"OPORTUNO","MUITO BOM")))</f>
        <v/>
      </c>
      <c r="M202" s="3" t="n">
        <v>31</v>
      </c>
      <c r="N202" s="3" t="n">
        <v>98.39</v>
      </c>
      <c r="O202" s="12" t="n">
        <v>8.799999999999999</v>
      </c>
    </row>
    <row r="203">
      <c r="A203" s="5" t="n">
        <v>46147</v>
      </c>
      <c r="B203" s="6" t="inlineStr">
        <is>
          <t>Emilly Caylane Costa</t>
        </is>
      </c>
      <c r="C203" s="1" t="inlineStr">
        <is>
          <t>Estágio</t>
        </is>
      </c>
      <c r="D203" s="3" t="n">
        <v>48</v>
      </c>
      <c r="E203" s="3" t="n">
        <v>32</v>
      </c>
      <c r="F203" s="3" t="n">
        <v>4.04</v>
      </c>
      <c r="G203" s="3" t="n">
        <v>0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IF(K203&lt;-5,"CRÍTICO",IF(K203&lt;0,"ATENÇÃO",IF(K203&lt;=5,"BOM","EXCELENTE")))</f>
        <v/>
      </c>
      <c r="M203" s="3" t="n">
        <v>0</v>
      </c>
      <c r="N203" s="3" t="n">
        <v>100</v>
      </c>
      <c r="O203" s="12" t="n">
        <v>28.94736842105263</v>
      </c>
    </row>
    <row r="204">
      <c r="A204" s="5" t="n">
        <v>46148</v>
      </c>
      <c r="B204" s="6" t="inlineStr">
        <is>
          <t>Emilly Caylane Costa</t>
        </is>
      </c>
      <c r="C204" s="1" t="inlineStr">
        <is>
          <t>Estágio</t>
        </is>
      </c>
      <c r="D204" s="3" t="n">
        <v>56</v>
      </c>
      <c r="E204" s="3" t="n">
        <v>43</v>
      </c>
      <c r="F204" s="3" t="n">
        <v>5.13</v>
      </c>
      <c r="G204" s="3" t="n">
        <v>0</v>
      </c>
      <c r="H204" s="3" t="n">
        <v>0</v>
      </c>
      <c r="I204" s="3">
        <f>E204+G204+H204</f>
        <v/>
      </c>
      <c r="J204" s="3">
        <f>ROUND(MIN(IF(C204="Técnico III",35,IF(C204="Técnico II",28,IF(C204="Técnico I",23,IF(C204="JR",20,IF(C204="Estágio",10,0))))),IF(C204="Técnico III",SUMIFS($D:$D,$A:$A,$A204,$B:$B,"&lt;&gt;Patrícia Karla de Sousa Araújo",$B:$B,"&lt;&gt;Lorena Dias de Araujo",$B:$B,"&lt;&gt;Lucas Luiz Romero")*(35/1083),IF(C204="Técnico II",SUMIFS($D:$D,$A:$A,$A204,$B:$B,"&lt;&gt;Patrícia Karla de Sousa Araújo",$B:$B,"&lt;&gt;Lorena Dias de Araujo",$B:$B,"&lt;&gt;Lucas Luiz Romero")*(28/1083),IF(C204="Técnico I",SUMIFS($D:$D,$A:$A,$A204,$B:$B,"&lt;&gt;Patrícia Karla de Sousa Araújo",$B:$B,"&lt;&gt;Lorena Dias de Araujo",$B:$B,"&lt;&gt;Lucas Luiz Romero")*(23/1083),IF(C204="JR",SUMIFS($D:$D,$A:$A,$A204,$B:$B,"&lt;&gt;Patrícia Karla de Sousa Araújo",$B:$B,"&lt;&gt;Lorena Dias de Araujo",$B:$B,"&lt;&gt;Lucas Luiz Romero")*(20/1083),IF(C204="Estágio",SUMIFS($D:$D,$A:$A,$A204,$B:$B,"&lt;&gt;Patrícia Karla de Sousa Araújo",$B:$B,"&lt;&gt;Lorena Dias de Araujo",$B:$B,"&lt;&gt;Lucas Luiz Romero")*(10/1083),0)))))),0)</f>
        <v/>
      </c>
      <c r="K204" s="3">
        <f>I204-J204</f>
        <v/>
      </c>
      <c r="L204" s="3">
        <f>IF(K204&lt;-5,"CRÍTICO",IF(K204&lt;0,"ATENÇÃO",IF(K204&lt;=5,"BOM","EXCELENTE")))</f>
        <v/>
      </c>
      <c r="M204" s="3" t="n">
        <v>2</v>
      </c>
      <c r="N204" s="3" t="n">
        <v>100</v>
      </c>
      <c r="O204" s="12" t="n">
        <v>28.94736842105263</v>
      </c>
    </row>
    <row r="205">
      <c r="A205" s="5" t="n">
        <v>46149</v>
      </c>
      <c r="B205" s="6" t="inlineStr">
        <is>
          <t>Emilly Caylane Costa</t>
        </is>
      </c>
      <c r="C205" s="1" t="inlineStr">
        <is>
          <t>Estágio</t>
        </is>
      </c>
      <c r="D205" s="3" t="n">
        <v>51</v>
      </c>
      <c r="E205" s="3" t="n">
        <v>32</v>
      </c>
      <c r="F205" s="3" t="n">
        <v>3.44</v>
      </c>
      <c r="G205" s="3" t="n">
        <v>0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IF(K205&lt;-5,"CRÍTICO",IF(K205&lt;0,"ATENÇÃO",IF(K205&lt;=5,"BOM","EXCELENTE")))</f>
        <v/>
      </c>
      <c r="M205" s="3" t="n">
        <v>1</v>
      </c>
      <c r="N205" s="3" t="n">
        <v>100</v>
      </c>
      <c r="O205" s="12" t="n">
        <v>28.94736842105263</v>
      </c>
    </row>
    <row r="206">
      <c r="A206" s="5" t="n">
        <v>46150</v>
      </c>
      <c r="B206" s="6" t="inlineStr">
        <is>
          <t>Emilly Caylane Costa</t>
        </is>
      </c>
      <c r="C206" s="1" t="inlineStr">
        <is>
          <t>Estágio</t>
        </is>
      </c>
      <c r="D206" s="3" t="n">
        <v>9</v>
      </c>
      <c r="E206" s="3" t="n">
        <v>8</v>
      </c>
      <c r="F206" s="3" t="n">
        <v>27.06</v>
      </c>
      <c r="G206" s="3" t="n">
        <v>0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IF(K206&lt;-5,"CRÍTICO",IF(K206&lt;0,"ATENÇÃO",IF(K206&lt;=5,"BOM","EXCELENTE")))</f>
        <v/>
      </c>
      <c r="M206" s="3" t="n">
        <v>6</v>
      </c>
      <c r="N206" s="3" t="n">
        <v>100</v>
      </c>
      <c r="O206" s="12" t="n">
        <v>28.94736842105263</v>
      </c>
    </row>
    <row r="207">
      <c r="A207" s="5" t="n">
        <v>46153</v>
      </c>
      <c r="B207" s="6" t="inlineStr">
        <is>
          <t>Emilly Caylane Costa</t>
        </is>
      </c>
      <c r="C207" s="1" t="inlineStr">
        <is>
          <t>Estágio</t>
        </is>
      </c>
      <c r="D207" s="3" t="n">
        <v>8</v>
      </c>
      <c r="E207" s="3" t="n">
        <v>5</v>
      </c>
      <c r="F207" s="3" t="n">
        <v>21.51</v>
      </c>
      <c r="G207" s="3" t="n">
        <v>0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IF(K207&lt;-5,"CRÍTICO",IF(K207&lt;0,"ATENÇÃO",IF(K207&lt;=5,"BOM","EXCELENTE")))</f>
        <v/>
      </c>
      <c r="M207" s="3" t="n">
        <v>2</v>
      </c>
      <c r="N207" s="3" t="n">
        <v>100</v>
      </c>
      <c r="O207" s="12" t="n">
        <v>28.94736842105263</v>
      </c>
    </row>
    <row r="208">
      <c r="A208" s="5" t="n">
        <v>46154</v>
      </c>
      <c r="B208" s="6" t="inlineStr">
        <is>
          <t>Emilly Caylane Costa</t>
        </is>
      </c>
      <c r="C208" s="1" t="inlineStr">
        <is>
          <t>Estágio</t>
        </is>
      </c>
      <c r="D208" s="3" t="n">
        <v>28</v>
      </c>
      <c r="E208" s="3" t="n">
        <v>16</v>
      </c>
      <c r="F208" s="3" t="n">
        <v>3.55</v>
      </c>
      <c r="G208" s="3" t="n">
        <v>0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IF(K208&lt;-5,"CRÍTICO",IF(K208&lt;0,"ATENÇÃO",IF(K208&lt;=5,"BOM","EXCELENTE")))</f>
        <v/>
      </c>
      <c r="M208" s="3" t="n">
        <v>0</v>
      </c>
      <c r="N208" s="3" t="n">
        <v>100</v>
      </c>
      <c r="O208" s="12" t="n">
        <v>28.94736842105263</v>
      </c>
    </row>
    <row r="209">
      <c r="A209" s="5" t="n">
        <v>46155</v>
      </c>
      <c r="B209" s="6" t="inlineStr">
        <is>
          <t>Emilly Caylane Costa</t>
        </is>
      </c>
      <c r="C209" s="1" t="inlineStr">
        <is>
          <t>Estágio</t>
        </is>
      </c>
      <c r="D209" s="3" t="n">
        <v>60</v>
      </c>
      <c r="E209" s="3" t="n">
        <v>19</v>
      </c>
      <c r="F209" s="3" t="n">
        <v>2.24</v>
      </c>
      <c r="G209" s="3" t="n">
        <v>0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IF(K209&lt;-5,"CRÍTICO",IF(K209&lt;0,"ATENÇÃO",IF(K209&lt;=5,"BOM","EXCELENTE")))</f>
        <v/>
      </c>
      <c r="M209" s="3" t="n">
        <v>0</v>
      </c>
      <c r="N209" s="3" t="n">
        <v>100</v>
      </c>
      <c r="O209" s="12" t="n">
        <v>28.94736842105263</v>
      </c>
    </row>
    <row r="210">
      <c r="A210" s="5" t="n">
        <v>46156</v>
      </c>
      <c r="B210" s="6" t="inlineStr">
        <is>
          <t>Emilly Caylane Costa</t>
        </is>
      </c>
      <c r="C210" s="1" t="inlineStr">
        <is>
          <t>Estágio</t>
        </is>
      </c>
      <c r="D210" s="3" t="n">
        <v>21</v>
      </c>
      <c r="E210" s="3" t="n">
        <v>10</v>
      </c>
      <c r="F210" s="3" t="n">
        <v>3.22</v>
      </c>
      <c r="G210" s="3" t="n">
        <v>5</v>
      </c>
      <c r="H210" s="3" t="n">
        <v>0</v>
      </c>
      <c r="I210" s="3">
        <f>E210+G210+H210</f>
        <v/>
      </c>
      <c r="J210" s="3">
        <f>ROUND(MIN(IF(C210="Técnico III",35,IF(C210="Técnico II",28,IF(C210="Técnico I",23,IF(C210="JR",20,IF(C210="Estágio",10,0))))),IF(C210="Técnico III",SUMIFS($D:$D,$A:$A,$A210,$B:$B,"&lt;&gt;Patrícia Karla de Sousa Araújo",$B:$B,"&lt;&gt;Lorena Dias de Araujo",$B:$B,"&lt;&gt;Lucas Luiz Romero")*(35/1083),IF(C210="Técnico II",SUMIFS($D:$D,$A:$A,$A210,$B:$B,"&lt;&gt;Patrícia Karla de Sousa Araújo",$B:$B,"&lt;&gt;Lorena Dias de Araujo",$B:$B,"&lt;&gt;Lucas Luiz Romero")*(28/1083),IF(C210="Técnico I",SUMIFS($D:$D,$A:$A,$A210,$B:$B,"&lt;&gt;Patrícia Karla de Sousa Araújo",$B:$B,"&lt;&gt;Lorena Dias de Araujo",$B:$B,"&lt;&gt;Lucas Luiz Romero")*(23/1083),IF(C210="JR",SUMIFS($D:$D,$A:$A,$A210,$B:$B,"&lt;&gt;Patrícia Karla de Sousa Araújo",$B:$B,"&lt;&gt;Lorena Dias de Araujo",$B:$B,"&lt;&gt;Lucas Luiz Romero")*(20/1083),IF(C210="Estágio",SUMIFS($D:$D,$A:$A,$A210,$B:$B,"&lt;&gt;Patrícia Karla de Sousa Araújo",$B:$B,"&lt;&gt;Lorena Dias de Araujo",$B:$B,"&lt;&gt;Lucas Luiz Romero")*(10/1083),0)))))),0)</f>
        <v/>
      </c>
      <c r="K210" s="3">
        <f>I210-J210</f>
        <v/>
      </c>
      <c r="L210" s="3">
        <f>IF(K210&lt;-5,"CRÍTICO",IF(K210&lt;0,"ATENÇÃO",IF(K210&lt;=5,"BOM","EXCELENTE")))</f>
        <v/>
      </c>
      <c r="M210" s="3" t="n">
        <v>0</v>
      </c>
      <c r="N210" s="3" t="n">
        <v>100</v>
      </c>
      <c r="O210" s="12" t="n">
        <v>28.94736842105263</v>
      </c>
    </row>
    <row r="211">
      <c r="A211" s="5" t="n">
        <v>46157</v>
      </c>
      <c r="B211" s="6" t="inlineStr">
        <is>
          <t>Emilly Caylane Costa</t>
        </is>
      </c>
      <c r="C211" s="1" t="inlineStr">
        <is>
          <t>Estágio</t>
        </is>
      </c>
      <c r="D211" s="3" t="n">
        <v>39</v>
      </c>
      <c r="E211" s="3" t="n">
        <v>24</v>
      </c>
      <c r="F211" s="3" t="n">
        <v>3.43</v>
      </c>
      <c r="G211" s="3" t="n">
        <v>0</v>
      </c>
      <c r="H211" s="3" t="n">
        <v>0</v>
      </c>
      <c r="I211" s="3">
        <f>E211+G211+H211</f>
        <v/>
      </c>
      <c r="J211" s="3">
        <f>ROUND(MIN(IF(C211="Técnico III",35,IF(C211="Técnico II",28,IF(C211="Técnico I",23,IF(C211="JR",20,IF(C211="Estágio",10,0))))),IF(C211="Técnico III",SUMIFS($D:$D,$A:$A,$A211,$B:$B,"&lt;&gt;Patrícia Karla de Sousa Araújo",$B:$B,"&lt;&gt;Lorena Dias de Araujo",$B:$B,"&lt;&gt;Lucas Luiz Romero")*(35/1083),IF(C211="Técnico II",SUMIFS($D:$D,$A:$A,$A211,$B:$B,"&lt;&gt;Patrícia Karla de Sousa Araújo",$B:$B,"&lt;&gt;Lorena Dias de Araujo",$B:$B,"&lt;&gt;Lucas Luiz Romero")*(28/1083),IF(C211="Técnico I",SUMIFS($D:$D,$A:$A,$A211,$B:$B,"&lt;&gt;Patrícia Karla de Sousa Araújo",$B:$B,"&lt;&gt;Lorena Dias de Araujo",$B:$B,"&lt;&gt;Lucas Luiz Romero")*(23/1083),IF(C211="JR",SUMIFS($D:$D,$A:$A,$A211,$B:$B,"&lt;&gt;Patrícia Karla de Sousa Araújo",$B:$B,"&lt;&gt;Lorena Dias de Araujo",$B:$B,"&lt;&gt;Lucas Luiz Romero")*(20/1083),IF(C211="Estágio",SUMIFS($D:$D,$A:$A,$A211,$B:$B,"&lt;&gt;Patrícia Karla de Sousa Araújo",$B:$B,"&lt;&gt;Lorena Dias de Araujo",$B:$B,"&lt;&gt;Lucas Luiz Romero")*(10/1083),0)))))),0)</f>
        <v/>
      </c>
      <c r="K211" s="3">
        <f>I211-J211</f>
        <v/>
      </c>
      <c r="L211" s="3">
        <f>IF(K211&lt;-5,"CRÍTICO",IF(K211&lt;0,"ATENÇÃO",IF(K211&lt;=5,"BOM","EXCELENTE")))</f>
        <v/>
      </c>
      <c r="M211" s="3" t="n">
        <v>0</v>
      </c>
      <c r="N211" s="3" t="n">
        <v>100</v>
      </c>
      <c r="O211" s="12" t="n">
        <v>28.94736842105263</v>
      </c>
    </row>
    <row r="212">
      <c r="A212" s="5" t="n">
        <v>46149</v>
      </c>
      <c r="B212" s="6" t="inlineStr">
        <is>
          <t>Amanda Moura Ferreira</t>
        </is>
      </c>
      <c r="C212" s="1" t="inlineStr">
        <is>
          <t>Técnico III</t>
        </is>
      </c>
      <c r="D212" s="3" t="n">
        <v>0</v>
      </c>
      <c r="E212" s="3" t="n">
        <v>0</v>
      </c>
      <c r="F212" s="3" t="n">
        <v>0</v>
      </c>
      <c r="G212" s="3" t="n">
        <v>0</v>
      </c>
      <c r="H212" s="3" t="n">
        <v>0</v>
      </c>
      <c r="I212" s="3" t="n">
        <v>0</v>
      </c>
      <c r="J212" s="3" t="n">
        <v>0</v>
      </c>
      <c r="K212" s="3" t="n">
        <v>0</v>
      </c>
      <c r="L212" s="3">
        <f>IF(K212&lt;-5,"CRÍTICO",IF(K212&lt;0,"ATENÇÃO",IF(K212&lt;=5,"OPORTUNO","MUITO BOM")))</f>
        <v/>
      </c>
      <c r="M212" s="3" t="n">
        <v>0</v>
      </c>
      <c r="N212" s="3" t="n">
        <v>100</v>
      </c>
      <c r="O212" s="12" t="n">
        <v>0</v>
      </c>
    </row>
    <row r="213">
      <c r="A213" s="5" t="n">
        <v>46149</v>
      </c>
      <c r="B213" s="6" t="inlineStr">
        <is>
          <t>Ana Paula Da Luz Silva Aleixo</t>
        </is>
      </c>
      <c r="C213" s="1" t="inlineStr">
        <is>
          <t>Técnico III</t>
        </is>
      </c>
      <c r="D213" s="3" t="n">
        <v>32</v>
      </c>
      <c r="E213" s="3" t="n">
        <v>32</v>
      </c>
      <c r="F213" s="3" t="n">
        <v>17.26</v>
      </c>
      <c r="G213" s="3" t="n">
        <v>0</v>
      </c>
      <c r="H213" s="3" t="n">
        <v>0</v>
      </c>
      <c r="I213" s="3">
        <f>E213+G213+H213</f>
        <v/>
      </c>
      <c r="J213" s="3">
        <f>ROUND(MIN(IF(C213="Técnico III",35,IF(C213="Técnico II",28,IF(C213="Técnico I",23,IF(C213="JR",20,IF(C213="Estágio",10,0))))),IF(C213="Técnico III",SUMIFS($D:$D,$A:$A,$A213,$B:$B,"&lt;&gt;Patrícia Karla de Sousa Araújo",$B:$B,"&lt;&gt;Lorena Dias de Araujo",$B:$B,"&lt;&gt;Lucas Luiz Romero")*(35/1083),IF(C213="Técnico II",SUMIFS($D:$D,$A:$A,$A213,$B:$B,"&lt;&gt;Patrícia Karla de Sousa Araújo",$B:$B,"&lt;&gt;Lorena Dias de Araujo",$B:$B,"&lt;&gt;Lucas Luiz Romero")*(28/1083),IF(C213="Técnico I",SUMIFS($D:$D,$A:$A,$A213,$B:$B,"&lt;&gt;Patrícia Karla de Sousa Araújo",$B:$B,"&lt;&gt;Lorena Dias de Araujo",$B:$B,"&lt;&gt;Lucas Luiz Romero")*(23/1083),IF(C213="JR",SUMIFS($D:$D,$A:$A,$A213,$B:$B,"&lt;&gt;Patrícia Karla de Sousa Araújo",$B:$B,"&lt;&gt;Lorena Dias de Araujo",$B:$B,"&lt;&gt;Lucas Luiz Romero")*(20/1083),IF(C213="Estágio",SUMIFS($D:$D,$A:$A,$A213,$B:$B,"&lt;&gt;Patrícia Karla de Sousa Araújo",$B:$B,"&lt;&gt;Lorena Dias de Araujo",$B:$B,"&lt;&gt;Lucas Luiz Romero")*(10/1083),0)))))),0)</f>
        <v/>
      </c>
      <c r="K213" s="3">
        <f>I213-J213</f>
        <v/>
      </c>
      <c r="L213" s="3">
        <f>IF(K213&lt;-5,"CRÍTICO",IF(K213&lt;0,"ATENÇÃO",IF(K213&lt;=5,"OPORTUNO","MUITO BOM")))</f>
        <v/>
      </c>
      <c r="M213" s="3" t="n">
        <v>33</v>
      </c>
      <c r="N213" s="3" t="n">
        <v>96.94</v>
      </c>
      <c r="O213" s="12" t="n">
        <v>19.61325966850829</v>
      </c>
    </row>
    <row r="214">
      <c r="A214" s="5" t="n">
        <v>46149</v>
      </c>
      <c r="B214" s="6" t="inlineStr">
        <is>
          <t>Cristiane Ramos da Silva Rocha</t>
        </is>
      </c>
      <c r="C214" s="1" t="inlineStr">
        <is>
          <t>Técnico III</t>
        </is>
      </c>
      <c r="D214" s="3" t="n">
        <v>47</v>
      </c>
      <c r="E214" s="3" t="n">
        <v>44</v>
      </c>
      <c r="F214" s="3" t="n">
        <v>11.45</v>
      </c>
      <c r="G214" s="3" t="n">
        <v>0</v>
      </c>
      <c r="H214" s="3" t="n">
        <v>0</v>
      </c>
      <c r="I214" s="3">
        <f>E214+G214+H214</f>
        <v/>
      </c>
      <c r="J214" s="3">
        <f>ROUND(MIN(IF(C214="Técnico III",35,IF(C214="Técnico II",28,IF(C214="Técnico I",23,IF(C214="JR",20,IF(C214="Estágio",10,0))))),IF(C214="Técnico III",SUMIFS($D:$D,$A:$A,$A214,$B:$B,"&lt;&gt;Patrícia Karla de Sousa Araújo",$B:$B,"&lt;&gt;Lorena Dias de Araujo",$B:$B,"&lt;&gt;Lucas Luiz Romero")*(35/1083),IF(C214="Técnico II",SUMIFS($D:$D,$A:$A,$A214,$B:$B,"&lt;&gt;Patrícia Karla de Sousa Araújo",$B:$B,"&lt;&gt;Lorena Dias de Araujo",$B:$B,"&lt;&gt;Lucas Luiz Romero")*(28/1083),IF(C214="Técnico I",SUMIFS($D:$D,$A:$A,$A214,$B:$B,"&lt;&gt;Patrícia Karla de Sousa Araújo",$B:$B,"&lt;&gt;Lorena Dias de Araujo",$B:$B,"&lt;&gt;Lucas Luiz Romero")*(23/1083),IF(C214="JR",SUMIFS($D:$D,$A:$A,$A214,$B:$B,"&lt;&gt;Patrícia Karla de Sousa Araújo",$B:$B,"&lt;&gt;Lorena Dias de Araujo",$B:$B,"&lt;&gt;Lucas Luiz Romero")*(20/1083),IF(C214="Estágio",SUMIFS($D:$D,$A:$A,$A214,$B:$B,"&lt;&gt;Patrícia Karla de Sousa Araújo",$B:$B,"&lt;&gt;Lorena Dias de Araujo",$B:$B,"&lt;&gt;Lucas Luiz Romero")*(10/1083),0)))))),0)</f>
        <v/>
      </c>
      <c r="K214" s="3">
        <f>I214-J214</f>
        <v/>
      </c>
      <c r="L214" s="3">
        <f>IF(K214&lt;-5,"CRÍTICO",IF(K214&lt;0,"ATENÇÃO",IF(K214&lt;=5,"OPORTUNO","MUITO BOM")))</f>
        <v/>
      </c>
      <c r="M214" s="3" t="n">
        <v>38</v>
      </c>
      <c r="N214" s="3" t="n">
        <v>92.81</v>
      </c>
      <c r="O214" s="12" t="n">
        <v>25.47770700636943</v>
      </c>
    </row>
    <row r="215">
      <c r="A215" s="5" t="n">
        <v>46149</v>
      </c>
      <c r="B215" s="6" t="inlineStr">
        <is>
          <t>Davylla Rodrigues Freitas Silva</t>
        </is>
      </c>
      <c r="C215" s="1" t="inlineStr">
        <is>
          <t>Técnico III</t>
        </is>
      </c>
      <c r="D215" s="3" t="n">
        <v>31</v>
      </c>
      <c r="E215" s="3" t="n">
        <v>30</v>
      </c>
      <c r="F215" s="3" t="n">
        <v>21.48</v>
      </c>
      <c r="G215" s="3" t="n">
        <v>0</v>
      </c>
      <c r="H215" s="3" t="n">
        <v>0</v>
      </c>
      <c r="I215" s="3">
        <f>E215+G215+H215</f>
        <v/>
      </c>
      <c r="J215" s="3">
        <f>ROUND(MIN(IF(C215="Técnico III",35,IF(C215="Técnico II",28,IF(C215="Técnico I",23,IF(C215="JR",20,IF(C215="Estágio",10,0))))),IF(C215="Técnico III",SUMIFS($D:$D,$A:$A,$A215,$B:$B,"&lt;&gt;Patrícia Karla de Sousa Araújo",$B:$B,"&lt;&gt;Lorena Dias de Araujo",$B:$B,"&lt;&gt;Lucas Luiz Romero")*(35/1083),IF(C215="Técnico II",SUMIFS($D:$D,$A:$A,$A215,$B:$B,"&lt;&gt;Patrícia Karla de Sousa Araújo",$B:$B,"&lt;&gt;Lorena Dias de Araujo",$B:$B,"&lt;&gt;Lucas Luiz Romero")*(28/1083),IF(C215="Técnico I",SUMIFS($D:$D,$A:$A,$A215,$B:$B,"&lt;&gt;Patrícia Karla de Sousa Araújo",$B:$B,"&lt;&gt;Lorena Dias de Araujo",$B:$B,"&lt;&gt;Lucas Luiz Romero")*(23/1083),IF(C215="JR",SUMIFS($D:$D,$A:$A,$A215,$B:$B,"&lt;&gt;Patrícia Karla de Sousa Araújo",$B:$B,"&lt;&gt;Lorena Dias de Araujo",$B:$B,"&lt;&gt;Lucas Luiz Romero")*(20/1083),IF(C215="Estágio",SUMIFS($D:$D,$A:$A,$A215,$B:$B,"&lt;&gt;Patrícia Karla de Sousa Araújo",$B:$B,"&lt;&gt;Lorena Dias de Araujo",$B:$B,"&lt;&gt;Lucas Luiz Romero")*(10/1083),0)))))),0)</f>
        <v/>
      </c>
      <c r="K215" s="3">
        <f>I215-J215</f>
        <v/>
      </c>
      <c r="L215" s="3">
        <f>IF(K215&lt;-5,"CRÍTICO",IF(K215&lt;0,"ATENÇÃO",IF(K215&lt;=5,"OPORTUNO","MUITO BOM")))</f>
        <v/>
      </c>
      <c r="M215" s="3" t="n">
        <v>29</v>
      </c>
      <c r="N215" s="3" t="n">
        <v>99.19</v>
      </c>
      <c r="O215" s="12" t="n">
        <v>28.40466926070039</v>
      </c>
    </row>
    <row r="216">
      <c r="A216" s="10" t="n">
        <v>46140</v>
      </c>
      <c r="B216" t="inlineStr">
        <is>
          <t>Karina Gonçalves Martins</t>
        </is>
      </c>
      <c r="C216" s="1" t="inlineStr">
        <is>
          <t>JR</t>
        </is>
      </c>
      <c r="D216" s="3" t="n">
        <v>27</v>
      </c>
      <c r="E216" s="3" t="n">
        <v>25</v>
      </c>
      <c r="F216" s="3" t="n">
        <v>16.48</v>
      </c>
      <c r="G216" s="3" t="n">
        <v>0</v>
      </c>
      <c r="H216" s="3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IF(K216&lt;-5,"CRÍTICO",IF(K216&lt;0,"ATENÇÃO",IF(K216&lt;=5,"OPORTUNO","MUITO BOM")))</f>
        <v/>
      </c>
      <c r="M216" s="3" t="n">
        <v>26</v>
      </c>
      <c r="N216" s="3" t="n">
        <v>97.17</v>
      </c>
      <c r="O216" s="12" t="n">
        <v>28.81844380403458</v>
      </c>
    </row>
    <row r="217">
      <c r="A217" s="10" t="n">
        <v>46140</v>
      </c>
      <c r="B217" t="inlineStr">
        <is>
          <t>Leandro de Souza Silva</t>
        </is>
      </c>
      <c r="C217" s="1" t="inlineStr">
        <is>
          <t>JR</t>
        </is>
      </c>
      <c r="D217" s="3" t="n">
        <v>17</v>
      </c>
      <c r="E217" s="3" t="n">
        <v>14</v>
      </c>
      <c r="F217" s="3" t="n">
        <v>22.19</v>
      </c>
      <c r="G217" s="3" t="n">
        <v>0</v>
      </c>
      <c r="H217" s="3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IF(K217&lt;-5,"CRÍTICO",IF(K217&lt;0,"ATENÇÃO",IF(K217&lt;=5,"OPORTUNO","MUITO BOM")))</f>
        <v/>
      </c>
      <c r="M217" s="3" t="n">
        <v>12</v>
      </c>
      <c r="N217" s="3" t="n">
        <v>98.15000000000001</v>
      </c>
      <c r="O217" s="12" t="n">
        <v>27.1551724137931</v>
      </c>
    </row>
    <row r="218">
      <c r="A218" s="10" t="n">
        <v>46140</v>
      </c>
      <c r="B218" t="inlineStr">
        <is>
          <t>Milena Sales</t>
        </is>
      </c>
      <c r="C218" s="1" t="inlineStr">
        <is>
          <t>JR</t>
        </is>
      </c>
      <c r="D218" s="3" t="n">
        <v>28</v>
      </c>
      <c r="E218" s="3" t="n">
        <v>18</v>
      </c>
      <c r="F218" s="3" t="n">
        <v>15.03</v>
      </c>
      <c r="G218" s="3" t="n">
        <v>0</v>
      </c>
      <c r="H218" s="3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IF(K218&lt;-5,"CRÍTICO",IF(K218&lt;0,"ATENÇÃO",IF(K218&lt;=5,"OPORTUNO","MUITO BOM")))</f>
        <v/>
      </c>
      <c r="M218" s="3" t="n">
        <v>12</v>
      </c>
      <c r="N218" s="3" t="n">
        <v>96.15000000000001</v>
      </c>
      <c r="O218" s="12" t="n">
        <v>24.04580152671756</v>
      </c>
    </row>
    <row r="219">
      <c r="A219" s="10" t="n">
        <v>46140</v>
      </c>
      <c r="B219" t="inlineStr">
        <is>
          <t>Paulo Ricardo Santos</t>
        </is>
      </c>
      <c r="C219" s="1" t="inlineStr">
        <is>
          <t>JR</t>
        </is>
      </c>
      <c r="D219" s="3" t="n">
        <v>23</v>
      </c>
      <c r="E219" s="3" t="n">
        <v>22</v>
      </c>
      <c r="F219" s="3" t="n">
        <v>17.08</v>
      </c>
      <c r="G219" s="3" t="n">
        <v>0</v>
      </c>
      <c r="H219" s="3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IF(K219&lt;-5,"CRÍTICO",IF(K219&lt;0,"ATENÇÃO",IF(K219&lt;=5,"OPORTUNO","MUITO BOM")))</f>
        <v/>
      </c>
      <c r="M219" s="3" t="n">
        <v>20</v>
      </c>
      <c r="N219" s="3" t="n">
        <v>98.84</v>
      </c>
      <c r="O219" s="12" t="n">
        <v>31.86813186813187</v>
      </c>
    </row>
    <row r="220">
      <c r="A220" s="10" t="n">
        <v>46140</v>
      </c>
      <c r="B220" t="inlineStr">
        <is>
          <t>Pedro Luiz Mota Sousa</t>
        </is>
      </c>
      <c r="C220" s="1" t="inlineStr">
        <is>
          <t>JR</t>
        </is>
      </c>
      <c r="D220" s="3" t="n">
        <v>19</v>
      </c>
      <c r="E220" s="3" t="n">
        <v>19</v>
      </c>
      <c r="F220" s="3" t="n">
        <v>17.21</v>
      </c>
      <c r="G220" s="3" t="n">
        <v>0</v>
      </c>
      <c r="H220" s="3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IF(K220&lt;-5,"CRÍTICO",IF(K220&lt;0,"ATENÇÃO",IF(K220&lt;=5,"OPORTUNO","MUITO BOM")))</f>
        <v/>
      </c>
      <c r="M220" s="3" t="n">
        <v>15</v>
      </c>
      <c r="N220" s="3" t="n">
        <v>100</v>
      </c>
      <c r="O220" s="12" t="n">
        <v>34.66666666666667</v>
      </c>
    </row>
    <row r="221">
      <c r="A221" s="10" t="n">
        <v>46141</v>
      </c>
      <c r="B221" t="inlineStr">
        <is>
          <t>Karina Gonçalves Martins</t>
        </is>
      </c>
      <c r="C221" s="1" t="inlineStr">
        <is>
          <t>JR</t>
        </is>
      </c>
      <c r="D221" s="3" t="n">
        <v>24</v>
      </c>
      <c r="E221" s="3" t="n">
        <v>22</v>
      </c>
      <c r="F221" s="3" t="n">
        <v>19.14</v>
      </c>
      <c r="G221" s="3" t="n">
        <v>0</v>
      </c>
      <c r="H221" s="3" t="n">
        <v>0</v>
      </c>
      <c r="I221" s="3">
        <f>E221+G221+H221</f>
        <v/>
      </c>
      <c r="J221" s="3">
        <f>ROUND(MIN(IF(C221="Técnico III",35,IF(C221="Técnico II",28,IF(C221="Técnico I",23,IF(C221="JR",20,IF(C221="Estágio",10,0))))),IF(C221="Técnico III",SUMIFS($D:$D,$A:$A,$A221,$B:$B,"&lt;&gt;Patrícia Karla de Sousa Araújo",$B:$B,"&lt;&gt;Lorena Dias de Araujo",$B:$B,"&lt;&gt;Lucas Luiz Romero")*(35/1083),IF(C221="Técnico II",SUMIFS($D:$D,$A:$A,$A221,$B:$B,"&lt;&gt;Patrícia Karla de Sousa Araújo",$B:$B,"&lt;&gt;Lorena Dias de Araujo",$B:$B,"&lt;&gt;Lucas Luiz Romero")*(28/1083),IF(C221="Técnico I",SUMIFS($D:$D,$A:$A,$A221,$B:$B,"&lt;&gt;Patrícia Karla de Sousa Araújo",$B:$B,"&lt;&gt;Lorena Dias de Araujo",$B:$B,"&lt;&gt;Lucas Luiz Romero")*(23/1083),IF(C221="JR",SUMIFS($D:$D,$A:$A,$A221,$B:$B,"&lt;&gt;Patrícia Karla de Sousa Araújo",$B:$B,"&lt;&gt;Lorena Dias de Araujo",$B:$B,"&lt;&gt;Lucas Luiz Romero")*(20/1083),IF(C221="Estágio",SUMIFS($D:$D,$A:$A,$A221,$B:$B,"&lt;&gt;Patrícia Karla de Sousa Araújo",$B:$B,"&lt;&gt;Lorena Dias de Araujo",$B:$B,"&lt;&gt;Lucas Luiz Romero")*(10/1083),0)))))),0)</f>
        <v/>
      </c>
      <c r="K221" s="3">
        <f>I221-J221</f>
        <v/>
      </c>
      <c r="L221" s="3">
        <f>IF(K221&lt;-5,"CRÍTICO",IF(K221&lt;0,"ATENÇÃO",IF(K221&lt;=5,"OPORTUNO","MUITO BOM")))</f>
        <v/>
      </c>
      <c r="M221" s="3" t="n">
        <v>22</v>
      </c>
      <c r="N221" s="3" t="n">
        <v>97.17</v>
      </c>
      <c r="O221" s="12" t="n">
        <v>28.81844380403458</v>
      </c>
    </row>
    <row r="222">
      <c r="A222" s="10" t="n">
        <v>46141</v>
      </c>
      <c r="B222" t="inlineStr">
        <is>
          <t>Leandro de Souza Silva</t>
        </is>
      </c>
      <c r="C222" s="1" t="inlineStr">
        <is>
          <t>JR</t>
        </is>
      </c>
      <c r="D222" s="3" t="n">
        <v>16</v>
      </c>
      <c r="E222" s="3" t="n">
        <v>14</v>
      </c>
      <c r="F222" s="3" t="n">
        <v>20.46</v>
      </c>
      <c r="G222" s="3" t="n">
        <v>0</v>
      </c>
      <c r="H222" s="3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IF(K222&lt;-5,"CRÍTICO",IF(K222&lt;0,"ATENÇÃO",IF(K222&lt;=5,"OPORTUNO","MUITO BOM")))</f>
        <v/>
      </c>
      <c r="M222" s="3" t="n">
        <v>11</v>
      </c>
      <c r="N222" s="3" t="n">
        <v>98.15000000000001</v>
      </c>
      <c r="O222" s="12" t="n">
        <v>27.1551724137931</v>
      </c>
    </row>
    <row r="223">
      <c r="A223" s="10" t="n">
        <v>46141</v>
      </c>
      <c r="B223" t="inlineStr">
        <is>
          <t>Milena Sales</t>
        </is>
      </c>
      <c r="C223" s="1" t="inlineStr">
        <is>
          <t>JR</t>
        </is>
      </c>
      <c r="D223" s="3" t="n">
        <v>0</v>
      </c>
      <c r="E223" s="3" t="n">
        <v>0</v>
      </c>
      <c r="F223" s="3" t="n">
        <v>0</v>
      </c>
      <c r="G223" s="3" t="n">
        <v>0</v>
      </c>
      <c r="H223" s="3" t="n">
        <v>0</v>
      </c>
      <c r="I223" s="3" t="n">
        <v>0</v>
      </c>
      <c r="J223" s="3" t="n">
        <v>0</v>
      </c>
      <c r="K223" s="3" t="n">
        <v>0</v>
      </c>
      <c r="L223" s="3">
        <f>IF(K223&lt;-5,"CRÍTICO",IF(K223&lt;0,"ATENÇÃO",IF(K223&lt;=5,"OPORTUNO","MUITO BOM")))</f>
        <v/>
      </c>
      <c r="M223" s="3" t="n">
        <v>0</v>
      </c>
      <c r="N223" s="3" t="n">
        <v>96.15000000000001</v>
      </c>
      <c r="O223" s="12" t="n">
        <v>24.04580152671756</v>
      </c>
    </row>
    <row r="224">
      <c r="A224" s="10" t="n">
        <v>46141</v>
      </c>
      <c r="B224" t="inlineStr">
        <is>
          <t>Paulo Ricardo Santos</t>
        </is>
      </c>
      <c r="C224" s="1" t="inlineStr">
        <is>
          <t>JR</t>
        </is>
      </c>
      <c r="D224" s="3" t="n">
        <v>23</v>
      </c>
      <c r="E224" s="3" t="n">
        <v>22</v>
      </c>
      <c r="F224" s="3" t="n">
        <v>17.07</v>
      </c>
      <c r="G224" s="3" t="n">
        <v>0</v>
      </c>
      <c r="H224" s="3" t="n">
        <v>0</v>
      </c>
      <c r="I224" s="3">
        <f>E224+G224+H224</f>
        <v/>
      </c>
      <c r="J224" s="3">
        <f>ROUND(MIN(IF(C224="Técnico III",35,IF(C224="Técnico II",28,IF(C224="Técnico I",23,IF(C224="JR",20,IF(C224="Estágio",10,0))))),IF(C224="Técnico III",SUMIFS($D:$D,$A:$A,$A224,$B:$B,"&lt;&gt;Patrícia Karla de Sousa Araújo",$B:$B,"&lt;&gt;Lorena Dias de Araujo",$B:$B,"&lt;&gt;Lucas Luiz Romero")*(35/1083),IF(C224="Técnico II",SUMIFS($D:$D,$A:$A,$A224,$B:$B,"&lt;&gt;Patrícia Karla de Sousa Araújo",$B:$B,"&lt;&gt;Lorena Dias de Araujo",$B:$B,"&lt;&gt;Lucas Luiz Romero")*(28/1083),IF(C224="Técnico I",SUMIFS($D:$D,$A:$A,$A224,$B:$B,"&lt;&gt;Patrícia Karla de Sousa Araújo",$B:$B,"&lt;&gt;Lorena Dias de Araujo",$B:$B,"&lt;&gt;Lucas Luiz Romero")*(23/1083),IF(C224="JR",SUMIFS($D:$D,$A:$A,$A224,$B:$B,"&lt;&gt;Patrícia Karla de Sousa Araújo",$B:$B,"&lt;&gt;Lorena Dias de Araujo",$B:$B,"&lt;&gt;Lucas Luiz Romero")*(20/1083),IF(C224="Estágio",SUMIFS($D:$D,$A:$A,$A224,$B:$B,"&lt;&gt;Patrícia Karla de Sousa Araújo",$B:$B,"&lt;&gt;Lorena Dias de Araujo",$B:$B,"&lt;&gt;Lucas Luiz Romero")*(10/1083),0)))))),0)</f>
        <v/>
      </c>
      <c r="K224" s="3">
        <f>I224-J224</f>
        <v/>
      </c>
      <c r="L224" s="3">
        <f>IF(K224&lt;-5,"CRÍTICO",IF(K224&lt;0,"ATENÇÃO",IF(K224&lt;=5,"OPORTUNO","MUITO BOM")))</f>
        <v/>
      </c>
      <c r="M224" s="3" t="n">
        <v>17</v>
      </c>
      <c r="N224" s="3" t="n">
        <v>98.84</v>
      </c>
      <c r="O224" s="12" t="n">
        <v>31.86813186813187</v>
      </c>
    </row>
    <row r="225">
      <c r="A225" s="10" t="n">
        <v>46141</v>
      </c>
      <c r="B225" t="inlineStr">
        <is>
          <t>Pedro Luiz Mota Sousa</t>
        </is>
      </c>
      <c r="C225" s="1" t="inlineStr">
        <is>
          <t>JR</t>
        </is>
      </c>
      <c r="D225" s="3" t="n">
        <v>24</v>
      </c>
      <c r="E225" s="3" t="n">
        <v>23</v>
      </c>
      <c r="F225" s="3" t="n">
        <v>17.3</v>
      </c>
      <c r="G225" s="3" t="n">
        <v>0</v>
      </c>
      <c r="H225" s="3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IF(K225&lt;-5,"CRÍTICO",IF(K225&lt;0,"ATENÇÃO",IF(K225&lt;=5,"OPORTUNO","MUITO BOM")))</f>
        <v/>
      </c>
      <c r="M225" s="3" t="n">
        <v>18</v>
      </c>
      <c r="N225" s="3" t="n">
        <v>100</v>
      </c>
      <c r="O225" s="12" t="n">
        <v>34.66666666666667</v>
      </c>
    </row>
    <row r="226">
      <c r="A226" s="10" t="n">
        <v>46142</v>
      </c>
      <c r="B226" t="inlineStr">
        <is>
          <t>Karina Gonçalves Martins</t>
        </is>
      </c>
      <c r="C226" s="1" t="inlineStr">
        <is>
          <t>JR</t>
        </is>
      </c>
      <c r="D226" s="3" t="n">
        <v>19</v>
      </c>
      <c r="E226" s="3" t="n">
        <v>17</v>
      </c>
      <c r="F226" s="3" t="n">
        <v>19.12</v>
      </c>
      <c r="G226" s="3" t="n">
        <v>0</v>
      </c>
      <c r="H226" s="3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IF(K226&lt;-5,"CRÍTICO",IF(K226&lt;0,"ATENÇÃO",IF(K226&lt;=5,"OPORTUNO","MUITO BOM")))</f>
        <v/>
      </c>
      <c r="M226" s="3" t="n">
        <v>17</v>
      </c>
      <c r="N226" s="3" t="n">
        <v>97.17</v>
      </c>
      <c r="O226" s="12" t="n">
        <v>28.81844380403458</v>
      </c>
    </row>
    <row r="227">
      <c r="A227" s="10" t="n">
        <v>46142</v>
      </c>
      <c r="B227" t="inlineStr">
        <is>
          <t>Leandro de Souza Silva</t>
        </is>
      </c>
      <c r="C227" s="1" t="inlineStr">
        <is>
          <t>JR</t>
        </is>
      </c>
      <c r="D227" s="3" t="n">
        <v>22</v>
      </c>
      <c r="E227" s="3" t="n">
        <v>21</v>
      </c>
      <c r="F227" s="3" t="n">
        <v>17.26</v>
      </c>
      <c r="G227" s="3" t="n">
        <v>0</v>
      </c>
      <c r="H227" s="3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IF(K227&lt;-5,"CRÍTICO",IF(K227&lt;0,"ATENÇÃO",IF(K227&lt;=5,"OPORTUNO","MUITO BOM")))</f>
        <v/>
      </c>
      <c r="M227" s="3" t="n">
        <v>19</v>
      </c>
      <c r="N227" s="3" t="n">
        <v>98.15000000000001</v>
      </c>
      <c r="O227" s="12" t="n">
        <v>27.1551724137931</v>
      </c>
    </row>
    <row r="228">
      <c r="A228" s="10" t="n">
        <v>46142</v>
      </c>
      <c r="B228" t="inlineStr">
        <is>
          <t>Milena Sales</t>
        </is>
      </c>
      <c r="C228" s="1" t="inlineStr">
        <is>
          <t>JR</t>
        </is>
      </c>
      <c r="D228" s="3" t="n">
        <v>36</v>
      </c>
      <c r="E228" s="3" t="n">
        <v>20</v>
      </c>
      <c r="F228" s="3" t="n">
        <v>9.19</v>
      </c>
      <c r="G228" s="3" t="n">
        <v>0</v>
      </c>
      <c r="H228" s="3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IF(K228&lt;-5,"CRÍTICO",IF(K228&lt;0,"ATENÇÃO",IF(K228&lt;=5,"OPORTUNO","MUITO BOM")))</f>
        <v/>
      </c>
      <c r="M228" s="3" t="n">
        <v>9</v>
      </c>
      <c r="N228" s="3" t="n">
        <v>96.15000000000001</v>
      </c>
      <c r="O228" s="12" t="n">
        <v>24.04580152671756</v>
      </c>
    </row>
    <row r="229">
      <c r="A229" s="10" t="n">
        <v>46142</v>
      </c>
      <c r="B229" t="inlineStr">
        <is>
          <t>Paulo Ricardo Santos</t>
        </is>
      </c>
      <c r="C229" s="1" t="inlineStr">
        <is>
          <t>JR</t>
        </is>
      </c>
      <c r="D229" s="3" t="n">
        <v>19</v>
      </c>
      <c r="E229" s="3" t="n">
        <v>19</v>
      </c>
      <c r="F229" s="3" t="n">
        <v>20.08</v>
      </c>
      <c r="G229" s="3" t="n">
        <v>0</v>
      </c>
      <c r="H229" s="3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IF(K229&lt;-5,"CRÍTICO",IF(K229&lt;0,"ATENÇÃO",IF(K229&lt;=5,"OPORTUNO","MUITO BOM")))</f>
        <v/>
      </c>
      <c r="M229" s="3" t="n">
        <v>16</v>
      </c>
      <c r="N229" s="3" t="n">
        <v>98.84</v>
      </c>
      <c r="O229" s="12" t="n">
        <v>31.86813186813187</v>
      </c>
    </row>
    <row r="230">
      <c r="A230" s="10" t="n">
        <v>46142</v>
      </c>
      <c r="B230" t="inlineStr">
        <is>
          <t>Pedro Luiz Mota Sousa</t>
        </is>
      </c>
      <c r="C230" s="1" t="inlineStr">
        <is>
          <t>JR</t>
        </is>
      </c>
      <c r="D230" s="3" t="n">
        <v>15</v>
      </c>
      <c r="E230" s="3" t="n">
        <v>13</v>
      </c>
      <c r="F230" s="3" t="n">
        <v>13.59</v>
      </c>
      <c r="G230" s="3" t="n">
        <v>0</v>
      </c>
      <c r="H230" s="3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IF(K230&lt;-5,"CRÍTICO",IF(K230&lt;0,"ATENÇÃO",IF(K230&lt;=5,"OPORTUNO","MUITO BOM")))</f>
        <v/>
      </c>
      <c r="M230" s="3" t="n">
        <v>12</v>
      </c>
      <c r="N230" s="3" t="n">
        <v>100</v>
      </c>
      <c r="O230" s="12" t="n">
        <v>34.66666666666667</v>
      </c>
    </row>
    <row r="231">
      <c r="A231" s="5" t="n">
        <v>46149</v>
      </c>
      <c r="B231" s="6" t="inlineStr">
        <is>
          <t>Francielson de Oliveira</t>
        </is>
      </c>
      <c r="C231" s="1" t="inlineStr">
        <is>
          <t>Técnico III</t>
        </is>
      </c>
      <c r="D231" s="3" t="n">
        <v>0</v>
      </c>
      <c r="E231" s="3" t="n">
        <v>0</v>
      </c>
      <c r="F231" s="3" t="n">
        <v>0</v>
      </c>
      <c r="G231" s="3" t="n">
        <v>0</v>
      </c>
      <c r="H231" s="3" t="n">
        <v>0</v>
      </c>
      <c r="I231" s="3" t="n">
        <v>0</v>
      </c>
      <c r="J231" s="3" t="n">
        <v>0</v>
      </c>
      <c r="K231" s="3" t="n">
        <v>0</v>
      </c>
      <c r="L231" s="3">
        <f>IF(K231&lt;-5,"CRÍTICO",IF(K231&lt;0,"ATENÇÃO",IF(K231&lt;=5,"OPORTUNO","MUITO BOM")))</f>
        <v/>
      </c>
      <c r="M231" s="3" t="n">
        <v>0</v>
      </c>
      <c r="N231" s="3" t="n">
        <v>100</v>
      </c>
      <c r="O231" s="12" t="n">
        <v>13.51351351351351</v>
      </c>
    </row>
    <row r="232">
      <c r="A232" s="5" t="n">
        <v>46149</v>
      </c>
      <c r="B232" s="6" t="inlineStr">
        <is>
          <t>Janaina Lima dos Reis Urany</t>
        </is>
      </c>
      <c r="C232" s="1" t="inlineStr">
        <is>
          <t>Técnico III</t>
        </is>
      </c>
      <c r="D232" s="3" t="n">
        <v>56</v>
      </c>
      <c r="E232" s="3" t="n">
        <v>51</v>
      </c>
      <c r="F232" s="3" t="n">
        <v>13.48</v>
      </c>
      <c r="G232" s="3" t="n">
        <v>9</v>
      </c>
      <c r="H232" s="3" t="n">
        <v>0</v>
      </c>
      <c r="I232" s="3">
        <f>E232+G232+H232</f>
        <v/>
      </c>
      <c r="J232" s="3">
        <f>ROUND(MIN(IF(C232="Técnico III",35,IF(C232="Técnico II",28,IF(C232="Técnico I",23,IF(C232="JR",20,IF(C232="Estágio",10,0))))),IF(C232="Técnico III",SUMIFS($D:$D,$A:$A,$A232,$B:$B,"&lt;&gt;Patrícia Karla de Sousa Araújo",$B:$B,"&lt;&gt;Lorena Dias de Araujo",$B:$B,"&lt;&gt;Lucas Luiz Romero")*(35/1083),IF(C232="Técnico II",SUMIFS($D:$D,$A:$A,$A232,$B:$B,"&lt;&gt;Patrícia Karla de Sousa Araújo",$B:$B,"&lt;&gt;Lorena Dias de Araujo",$B:$B,"&lt;&gt;Lucas Luiz Romero")*(28/1083),IF(C232="Técnico I",SUMIFS($D:$D,$A:$A,$A232,$B:$B,"&lt;&gt;Patrícia Karla de Sousa Araújo",$B:$B,"&lt;&gt;Lorena Dias de Araujo",$B:$B,"&lt;&gt;Lucas Luiz Romero")*(23/1083),IF(C232="JR",SUMIFS($D:$D,$A:$A,$A232,$B:$B,"&lt;&gt;Patrícia Karla de Sousa Araújo",$B:$B,"&lt;&gt;Lorena Dias de Araujo",$B:$B,"&lt;&gt;Lucas Luiz Romero")*(20/1083),IF(C232="Estágio",SUMIFS($D:$D,$A:$A,$A232,$B:$B,"&lt;&gt;Patrícia Karla de Sousa Araújo",$B:$B,"&lt;&gt;Lorena Dias de Araujo",$B:$B,"&lt;&gt;Lucas Luiz Romero")*(10/1083),0)))))),0)</f>
        <v/>
      </c>
      <c r="K232" s="3">
        <f>I232-J232</f>
        <v/>
      </c>
      <c r="L232" s="3">
        <f>IF(K232&lt;-5,"CRÍTICO",IF(K232&lt;0,"ATENÇÃO",IF(K232&lt;=5,"OPORTUNO","MUITO BOM")))</f>
        <v/>
      </c>
      <c r="M232" s="3" t="n">
        <v>49</v>
      </c>
      <c r="N232" s="3" t="n">
        <v>99</v>
      </c>
      <c r="O232" s="12" t="n">
        <v>22.27414330218069</v>
      </c>
    </row>
    <row r="233">
      <c r="A233" s="5" t="n">
        <v>46149</v>
      </c>
      <c r="B233" s="6" t="inlineStr">
        <is>
          <t>Jaqueline Evangelista da Silva Martins</t>
        </is>
      </c>
      <c r="C233" s="1" t="inlineStr">
        <is>
          <t>Técnico III</t>
        </is>
      </c>
      <c r="D233" s="3" t="n">
        <v>48</v>
      </c>
      <c r="E233" s="3" t="n">
        <v>39</v>
      </c>
      <c r="F233" s="3" t="n">
        <v>10.43</v>
      </c>
      <c r="G233" s="3" t="n">
        <v>6</v>
      </c>
      <c r="H233" s="3" t="n">
        <v>0</v>
      </c>
      <c r="I233" s="3">
        <f>E233+G233+H233</f>
        <v/>
      </c>
      <c r="J233" s="3">
        <f>ROUND(MIN(IF(C233="Técnico III",35,IF(C233="Técnico II",28,IF(C233="Técnico I",23,IF(C233="JR",20,IF(C233="Estágio",10,0))))),IF(C233="Técnico III",SUMIFS($D:$D,$A:$A,$A233,$B:$B,"&lt;&gt;Patrícia Karla de Sousa Araújo",$B:$B,"&lt;&gt;Lorena Dias de Araujo",$B:$B,"&lt;&gt;Lucas Luiz Romero")*(35/1083),IF(C233="Técnico II",SUMIFS($D:$D,$A:$A,$A233,$B:$B,"&lt;&gt;Patrícia Karla de Sousa Araújo",$B:$B,"&lt;&gt;Lorena Dias de Araujo",$B:$B,"&lt;&gt;Lucas Luiz Romero")*(28/1083),IF(C233="Técnico I",SUMIFS($D:$D,$A:$A,$A233,$B:$B,"&lt;&gt;Patrícia Karla de Sousa Araújo",$B:$B,"&lt;&gt;Lorena Dias de Araujo",$B:$B,"&lt;&gt;Lucas Luiz Romero")*(23/1083),IF(C233="JR",SUMIFS($D:$D,$A:$A,$A233,$B:$B,"&lt;&gt;Patrícia Karla de Sousa Araújo",$B:$B,"&lt;&gt;Lorena Dias de Araujo",$B:$B,"&lt;&gt;Lucas Luiz Romero")*(20/1083),IF(C233="Estágio",SUMIFS($D:$D,$A:$A,$A233,$B:$B,"&lt;&gt;Patrícia Karla de Sousa Araújo",$B:$B,"&lt;&gt;Lorena Dias de Araujo",$B:$B,"&lt;&gt;Lucas Luiz Romero")*(10/1083),0)))))),0)</f>
        <v/>
      </c>
      <c r="K233" s="3">
        <f>I233-J233</f>
        <v/>
      </c>
      <c r="L233" s="3">
        <f>IF(K233&lt;-5,"CRÍTICO",IF(K233&lt;0,"ATENÇÃO",IF(K233&lt;=5,"OPORTUNO","MUITO BOM")))</f>
        <v/>
      </c>
      <c r="M233" s="3" t="n">
        <v>41</v>
      </c>
      <c r="N233" s="3" t="n">
        <v>97.04000000000001</v>
      </c>
      <c r="O233" s="12" t="n">
        <v>29.82885085574572</v>
      </c>
    </row>
    <row r="234">
      <c r="A234" s="5" t="n">
        <v>46149</v>
      </c>
      <c r="B234" s="6" t="inlineStr">
        <is>
          <t>Jéssica Fé Moura</t>
        </is>
      </c>
      <c r="C234" s="1" t="inlineStr">
        <is>
          <t>Técnico III</t>
        </is>
      </c>
      <c r="D234" s="3" t="n">
        <v>0</v>
      </c>
      <c r="E234" s="3" t="n">
        <v>0</v>
      </c>
      <c r="F234" s="3" t="n">
        <v>0</v>
      </c>
      <c r="G234" s="3" t="n">
        <v>0</v>
      </c>
      <c r="H234" s="3" t="n">
        <v>0</v>
      </c>
      <c r="I234" s="3" t="n">
        <v>0</v>
      </c>
      <c r="J234" s="3" t="n">
        <v>0</v>
      </c>
      <c r="K234" s="3" t="n">
        <v>0</v>
      </c>
      <c r="L234" s="3">
        <f>IF(K234&lt;-5,"CRÍTICO",IF(K234&lt;0,"ATENÇÃO",IF(K234&lt;=5,"OPORTUNO","MUITO BOM")))</f>
        <v/>
      </c>
      <c r="M234" s="3" t="n">
        <v>0</v>
      </c>
      <c r="N234" s="3" t="n">
        <v>0</v>
      </c>
      <c r="O234" s="12" t="n">
        <v>0</v>
      </c>
    </row>
    <row r="235">
      <c r="A235" s="5" t="n">
        <v>46149</v>
      </c>
      <c r="B235" s="6" t="inlineStr">
        <is>
          <t>Kerollen Cristielly de Jesus Siqueira</t>
        </is>
      </c>
      <c r="C235" s="1" t="inlineStr">
        <is>
          <t>Técnico III</t>
        </is>
      </c>
      <c r="D235" s="3" t="n">
        <v>20</v>
      </c>
      <c r="E235" s="3" t="n">
        <v>19</v>
      </c>
      <c r="F235" s="3" t="n">
        <v>20.33</v>
      </c>
      <c r="G235" s="3" t="n">
        <v>4</v>
      </c>
      <c r="H235" s="3" t="n">
        <v>0</v>
      </c>
      <c r="I235" s="3">
        <f>E235+G235+H235</f>
        <v/>
      </c>
      <c r="J235" s="3">
        <f>ROUND(MIN(IF(C235="Técnico III",35,IF(C235="Técnico II",28,IF(C235="Técnico I",23,IF(C235="JR",20,IF(C235="Estágio",10,0))))),IF(C235="Técnico III",SUMIFS($D:$D,$A:$A,$A235,$B:$B,"&lt;&gt;Patrícia Karla de Sousa Araújo",$B:$B,"&lt;&gt;Lorena Dias de Araujo",$B:$B,"&lt;&gt;Lucas Luiz Romero")*(35/1083),IF(C235="Técnico II",SUMIFS($D:$D,$A:$A,$A235,$B:$B,"&lt;&gt;Patrícia Karla de Sousa Araújo",$B:$B,"&lt;&gt;Lorena Dias de Araujo",$B:$B,"&lt;&gt;Lucas Luiz Romero")*(28/1083),IF(C235="Técnico I",SUMIFS($D:$D,$A:$A,$A235,$B:$B,"&lt;&gt;Patrícia Karla de Sousa Araújo",$B:$B,"&lt;&gt;Lorena Dias de Araujo",$B:$B,"&lt;&gt;Lucas Luiz Romero")*(23/1083),IF(C235="JR",SUMIFS($D:$D,$A:$A,$A235,$B:$B,"&lt;&gt;Patrícia Karla de Sousa Araújo",$B:$B,"&lt;&gt;Lorena Dias de Araujo",$B:$B,"&lt;&gt;Lucas Luiz Romero")*(20/1083),IF(C235="Estágio",SUMIFS($D:$D,$A:$A,$A235,$B:$B,"&lt;&gt;Patrícia Karla de Sousa Araújo",$B:$B,"&lt;&gt;Lorena Dias de Araujo",$B:$B,"&lt;&gt;Lucas Luiz Romero")*(10/1083),0)))))),0)</f>
        <v/>
      </c>
      <c r="K235" s="3">
        <f>I235-J235</f>
        <v/>
      </c>
      <c r="L235" s="3">
        <f>IF(K235&lt;-5,"CRÍTICO",IF(K235&lt;0,"ATENÇÃO",IF(K235&lt;=5,"OPORTUNO","MUITO BOM")))</f>
        <v/>
      </c>
      <c r="M235" s="3" t="n">
        <v>23</v>
      </c>
      <c r="N235" s="3" t="n">
        <v>96.84</v>
      </c>
      <c r="O235" s="12" t="n">
        <v>16.33802816901408</v>
      </c>
    </row>
    <row r="236">
      <c r="A236" s="5" t="n">
        <v>46149</v>
      </c>
      <c r="B236" s="6" t="inlineStr">
        <is>
          <t>Leandro Oliveira de Sousa</t>
        </is>
      </c>
      <c r="C236" s="1" t="inlineStr">
        <is>
          <t>Técnico III</t>
        </is>
      </c>
      <c r="D236" s="3" t="n">
        <v>25</v>
      </c>
      <c r="E236" s="3" t="n">
        <v>23</v>
      </c>
      <c r="F236" s="3" t="n">
        <v>20.42</v>
      </c>
      <c r="G236" s="3" t="n">
        <v>0</v>
      </c>
      <c r="H236" s="3" t="n">
        <v>0</v>
      </c>
      <c r="I236" s="3">
        <f>E236+G236+H236</f>
        <v/>
      </c>
      <c r="J236" s="3">
        <f>ROUND(MIN(IF(C236="Técnico III",35,IF(C236="Técnico II",28,IF(C236="Técnico I",23,IF(C236="JR",20,IF(C236="Estágio",10,0))))),IF(C236="Técnico III",SUMIFS($D:$D,$A:$A,$A236,$B:$B,"&lt;&gt;Patrícia Karla de Sousa Araújo",$B:$B,"&lt;&gt;Lorena Dias de Araujo",$B:$B,"&lt;&gt;Lucas Luiz Romero")*(35/1083),IF(C236="Técnico II",SUMIFS($D:$D,$A:$A,$A236,$B:$B,"&lt;&gt;Patrícia Karla de Sousa Araújo",$B:$B,"&lt;&gt;Lorena Dias de Araujo",$B:$B,"&lt;&gt;Lucas Luiz Romero")*(28/1083),IF(C236="Técnico I",SUMIFS($D:$D,$A:$A,$A236,$B:$B,"&lt;&gt;Patrícia Karla de Sousa Araújo",$B:$B,"&lt;&gt;Lorena Dias de Araujo",$B:$B,"&lt;&gt;Lucas Luiz Romero")*(23/1083),IF(C236="JR",SUMIFS($D:$D,$A:$A,$A236,$B:$B,"&lt;&gt;Patrícia Karla de Sousa Araújo",$B:$B,"&lt;&gt;Lorena Dias de Araujo",$B:$B,"&lt;&gt;Lucas Luiz Romero")*(20/1083),IF(C236="Estágio",SUMIFS($D:$D,$A:$A,$A236,$B:$B,"&lt;&gt;Patrícia Karla de Sousa Araújo",$B:$B,"&lt;&gt;Lorena Dias de Araujo",$B:$B,"&lt;&gt;Lucas Luiz Romero")*(10/1083),0)))))),0)</f>
        <v/>
      </c>
      <c r="K236" s="3">
        <f>I236-J236</f>
        <v/>
      </c>
      <c r="L236" s="3">
        <f>IF(K236&lt;-5,"CRÍTICO",IF(K236&lt;0,"ATENÇÃO",IF(K236&lt;=5,"OPORTUNO","MUITO BOM")))</f>
        <v/>
      </c>
      <c r="M236" s="3" t="n">
        <v>25</v>
      </c>
      <c r="N236" s="3" t="n">
        <v>100</v>
      </c>
      <c r="O236" s="12" t="n">
        <v>18.24480369515012</v>
      </c>
    </row>
    <row r="237">
      <c r="A237" s="10" t="n">
        <v>46140</v>
      </c>
      <c r="B237" t="inlineStr">
        <is>
          <t>Amanda Moura Ferreira</t>
        </is>
      </c>
      <c r="C237" s="1" t="inlineStr">
        <is>
          <t>Técnico III</t>
        </is>
      </c>
      <c r="D237" s="3" t="n">
        <v>0</v>
      </c>
      <c r="E237" s="3" t="n">
        <v>0</v>
      </c>
      <c r="F237" s="3" t="n">
        <v>0</v>
      </c>
      <c r="G237" s="3" t="n">
        <v>0</v>
      </c>
      <c r="H237" s="3" t="n">
        <v>0</v>
      </c>
      <c r="I237" s="3" t="n">
        <v>0</v>
      </c>
      <c r="J237" s="3" t="n">
        <v>0</v>
      </c>
      <c r="K237" s="3" t="n">
        <v>0</v>
      </c>
      <c r="L237" s="3">
        <f>IF(K237&lt;-5,"CRÍTICO",IF(K237&lt;0,"ATENÇÃO",IF(K237&lt;=5,"OPORTUNO","MUITO BOM")))</f>
        <v/>
      </c>
      <c r="M237" s="3" t="n">
        <v>19</v>
      </c>
      <c r="N237" s="3" t="n">
        <v>98.66</v>
      </c>
      <c r="O237" s="12" t="n">
        <v>35.41666666666667</v>
      </c>
    </row>
    <row r="238">
      <c r="A238" s="10" t="n">
        <v>46140</v>
      </c>
      <c r="B238" t="inlineStr">
        <is>
          <t>Ana Paula Da Luz Silva Aleixo</t>
        </is>
      </c>
      <c r="C238" s="1" t="inlineStr">
        <is>
          <t>Técnico III</t>
        </is>
      </c>
      <c r="D238" s="3" t="n">
        <v>0</v>
      </c>
      <c r="E238" s="3" t="n">
        <v>0</v>
      </c>
      <c r="F238" s="3" t="n">
        <v>0</v>
      </c>
      <c r="G238" s="3" t="n">
        <v>0</v>
      </c>
      <c r="H238" s="3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IF(K238&lt;-5,"CRÍTICO",IF(K238&lt;0,"ATENÇÃO",IF(K238&lt;=5,"OPORTUNO","MUITO BOM")))</f>
        <v/>
      </c>
      <c r="M238" s="3" t="n">
        <v>0</v>
      </c>
      <c r="N238" s="3" t="n">
        <v>100</v>
      </c>
      <c r="O238" s="12" t="n">
        <v>27.80373831775701</v>
      </c>
    </row>
    <row r="239">
      <c r="A239" s="10" t="n">
        <v>46140</v>
      </c>
      <c r="B239" t="inlineStr">
        <is>
          <t>Cristiane Ramos da Silva Rocha</t>
        </is>
      </c>
      <c r="C239" s="1" t="inlineStr">
        <is>
          <t>Técnico III</t>
        </is>
      </c>
      <c r="D239" s="3" t="n">
        <v>28</v>
      </c>
      <c r="E239" s="3" t="n">
        <v>24</v>
      </c>
      <c r="F239" s="3" t="n">
        <v>15.03</v>
      </c>
      <c r="G239" s="3" t="n">
        <v>0</v>
      </c>
      <c r="H239" s="3" t="n">
        <v>0</v>
      </c>
      <c r="I239" s="3">
        <f>E239+G239+H239</f>
        <v/>
      </c>
      <c r="J239" s="3">
        <f>ROUND(MIN(IF(C239="Técnico III",35,IF(C239="Técnico II",28,IF(C239="Técnico I",23,IF(C239="JR",20,IF(C239="Estágio",10,0))))),IF(C239="Técnico III",SUMIFS($D:$D,$A:$A,$A239,$B:$B,"&lt;&gt;Patrícia Karla de Sousa Araújo",$B:$B,"&lt;&gt;Lorena Dias de Araujo",$B:$B,"&lt;&gt;Lucas Luiz Romero")*(35/1083),IF(C239="Técnico II",SUMIFS($D:$D,$A:$A,$A239,$B:$B,"&lt;&gt;Patrícia Karla de Sousa Araújo",$B:$B,"&lt;&gt;Lorena Dias de Araujo",$B:$B,"&lt;&gt;Lucas Luiz Romero")*(28/1083),IF(C239="Técnico I",SUMIFS($D:$D,$A:$A,$A239,$B:$B,"&lt;&gt;Patrícia Karla de Sousa Araújo",$B:$B,"&lt;&gt;Lorena Dias de Araujo",$B:$B,"&lt;&gt;Lucas Luiz Romero")*(23/1083),IF(C239="JR",SUMIFS($D:$D,$A:$A,$A239,$B:$B,"&lt;&gt;Patrícia Karla de Sousa Araújo",$B:$B,"&lt;&gt;Lorena Dias de Araujo",$B:$B,"&lt;&gt;Lucas Luiz Romero")*(20/1083),IF(C239="Estágio",SUMIFS($D:$D,$A:$A,$A239,$B:$B,"&lt;&gt;Patrícia Karla de Sousa Araújo",$B:$B,"&lt;&gt;Lorena Dias de Araujo",$B:$B,"&lt;&gt;Lucas Luiz Romero")*(10/1083),0)))))),0)</f>
        <v/>
      </c>
      <c r="K239" s="3">
        <f>I239-J239</f>
        <v/>
      </c>
      <c r="L239" s="3">
        <f>IF(K239&lt;-5,"CRÍTICO",IF(K239&lt;0,"ATENÇÃO",IF(K239&lt;=5,"OPORTUNO","MUITO BOM")))</f>
        <v/>
      </c>
      <c r="M239" s="3" t="n">
        <v>22</v>
      </c>
      <c r="N239" s="3" t="n">
        <v>93.75</v>
      </c>
      <c r="O239" s="12" t="n">
        <v>26.81992337164751</v>
      </c>
    </row>
    <row r="240">
      <c r="A240" s="10" t="n">
        <v>46140</v>
      </c>
      <c r="B240" t="inlineStr">
        <is>
          <t>Davylla Rodrigues Freitas Silva</t>
        </is>
      </c>
      <c r="C240" s="1" t="inlineStr">
        <is>
          <t>Técnico III</t>
        </is>
      </c>
      <c r="D240" s="3" t="n">
        <v>30</v>
      </c>
      <c r="E240" s="3" t="n">
        <v>28</v>
      </c>
      <c r="F240" s="3" t="n">
        <v>22.11</v>
      </c>
      <c r="G240" s="3" t="n">
        <v>0</v>
      </c>
      <c r="H240" s="3" t="n">
        <v>0</v>
      </c>
      <c r="I240" s="3">
        <f>E240+G240+H240</f>
        <v/>
      </c>
      <c r="J240" s="3">
        <f>ROUND(MIN(IF(C240="Técnico III",35,IF(C240="Técnico II",28,IF(C240="Técnico I",23,IF(C240="JR",20,IF(C240="Estágio",10,0))))),IF(C240="Técnico III",SUMIFS($D:$D,$A:$A,$A240,$B:$B,"&lt;&gt;Patrícia Karla de Sousa Araújo",$B:$B,"&lt;&gt;Lorena Dias de Araujo",$B:$B,"&lt;&gt;Lucas Luiz Romero")*(35/1083),IF(C240="Técnico II",SUMIFS($D:$D,$A:$A,$A240,$B:$B,"&lt;&gt;Patrícia Karla de Sousa Araújo",$B:$B,"&lt;&gt;Lorena Dias de Araujo",$B:$B,"&lt;&gt;Lucas Luiz Romero")*(28/1083),IF(C240="Técnico I",SUMIFS($D:$D,$A:$A,$A240,$B:$B,"&lt;&gt;Patrícia Karla de Sousa Araújo",$B:$B,"&lt;&gt;Lorena Dias de Araujo",$B:$B,"&lt;&gt;Lucas Luiz Romero")*(23/1083),IF(C240="JR",SUMIFS($D:$D,$A:$A,$A240,$B:$B,"&lt;&gt;Patrícia Karla de Sousa Araújo",$B:$B,"&lt;&gt;Lorena Dias de Araujo",$B:$B,"&lt;&gt;Lucas Luiz Romero")*(20/1083),IF(C240="Estágio",SUMIFS($D:$D,$A:$A,$A240,$B:$B,"&lt;&gt;Patrícia Karla de Sousa Araújo",$B:$B,"&lt;&gt;Lorena Dias de Araujo",$B:$B,"&lt;&gt;Lucas Luiz Romero")*(10/1083),0)))))),0)</f>
        <v/>
      </c>
      <c r="K240" s="3">
        <f>I240-J240</f>
        <v/>
      </c>
      <c r="L240" s="3">
        <f>IF(K240&lt;-5,"CRÍTICO",IF(K240&lt;0,"ATENÇÃO",IF(K240&lt;=5,"OPORTUNO","MUITO BOM")))</f>
        <v/>
      </c>
      <c r="M240" s="3" t="n">
        <v>29</v>
      </c>
      <c r="N240" s="3" t="n">
        <v>100</v>
      </c>
      <c r="O240" s="12" t="n">
        <v>38.65384615384615</v>
      </c>
    </row>
    <row r="241">
      <c r="A241" s="10" t="n">
        <v>46140</v>
      </c>
      <c r="B241" t="inlineStr">
        <is>
          <t>Francielson de Oliveira</t>
        </is>
      </c>
      <c r="C241" s="1" t="inlineStr">
        <is>
          <t>Técnico III</t>
        </is>
      </c>
      <c r="D241" s="3" t="n">
        <v>32</v>
      </c>
      <c r="E241" s="3" t="n">
        <v>31</v>
      </c>
      <c r="F241" s="3" t="n">
        <v>18.49</v>
      </c>
      <c r="G241" s="3" t="n">
        <v>0</v>
      </c>
      <c r="H241" s="3" t="n">
        <v>0</v>
      </c>
      <c r="I241" s="3">
        <f>E241+G241+H241</f>
        <v/>
      </c>
      <c r="J241" s="3">
        <f>ROUND(MIN(IF(C241="Técnico III",35,IF(C241="Técnico II",28,IF(C241="Técnico I",23,IF(C241="JR",20,IF(C241="Estágio",10,0))))),IF(C241="Técnico III",SUMIFS($D:$D,$A:$A,$A241,$B:$B,"&lt;&gt;Patrícia Karla de Sousa Araújo",$B:$B,"&lt;&gt;Lorena Dias de Araujo",$B:$B,"&lt;&gt;Lucas Luiz Romero")*(35/1083),IF(C241="Técnico II",SUMIFS($D:$D,$A:$A,$A241,$B:$B,"&lt;&gt;Patrícia Karla de Sousa Araújo",$B:$B,"&lt;&gt;Lorena Dias de Araujo",$B:$B,"&lt;&gt;Lucas Luiz Romero")*(28/1083),IF(C241="Técnico I",SUMIFS($D:$D,$A:$A,$A241,$B:$B,"&lt;&gt;Patrícia Karla de Sousa Araújo",$B:$B,"&lt;&gt;Lorena Dias de Araujo",$B:$B,"&lt;&gt;Lucas Luiz Romero")*(23/1083),IF(C241="JR",SUMIFS($D:$D,$A:$A,$A241,$B:$B,"&lt;&gt;Patrícia Karla de Sousa Araújo",$B:$B,"&lt;&gt;Lorena Dias de Araujo",$B:$B,"&lt;&gt;Lucas Luiz Romero")*(20/1083),IF(C241="Estágio",SUMIFS($D:$D,$A:$A,$A241,$B:$B,"&lt;&gt;Patrícia Karla de Sousa Araújo",$B:$B,"&lt;&gt;Lorena Dias de Araujo",$B:$B,"&lt;&gt;Lucas Luiz Romero")*(10/1083),0)))))),0)</f>
        <v/>
      </c>
      <c r="K241" s="3">
        <f>I241-J241</f>
        <v/>
      </c>
      <c r="L241" s="3">
        <f>IF(K241&lt;-5,"CRÍTICO",IF(K241&lt;0,"ATENÇÃO",IF(K241&lt;=5,"OPORTUNO","MUITO BOM")))</f>
        <v/>
      </c>
      <c r="M241" s="3" t="n">
        <v>30</v>
      </c>
      <c r="N241" s="3" t="n">
        <v>99.26000000000001</v>
      </c>
      <c r="O241" s="12" t="n">
        <v>29.76653696498055</v>
      </c>
    </row>
    <row r="242">
      <c r="A242" s="10" t="n">
        <v>46140</v>
      </c>
      <c r="B242" t="inlineStr">
        <is>
          <t>Janaina Lima dos Reis Urany</t>
        </is>
      </c>
      <c r="C242" s="1" t="inlineStr">
        <is>
          <t>Técnico III</t>
        </is>
      </c>
      <c r="D242" s="3" t="n">
        <v>38</v>
      </c>
      <c r="E242" s="3" t="n">
        <v>35</v>
      </c>
      <c r="F242" s="3" t="n">
        <v>16.57</v>
      </c>
      <c r="G242" s="3" t="n">
        <v>0</v>
      </c>
      <c r="H242" s="3" t="n">
        <v>0</v>
      </c>
      <c r="I242" s="3">
        <f>E242+G242+H242</f>
        <v/>
      </c>
      <c r="J242" s="3">
        <f>ROUND(MIN(IF(C242="Técnico III",35,IF(C242="Técnico II",28,IF(C242="Técnico I",23,IF(C242="JR",20,IF(C242="Estágio",10,0))))),IF(C242="Técnico III",SUMIFS($D:$D,$A:$A,$A242,$B:$B,"&lt;&gt;Patrícia Karla de Sousa Araújo",$B:$B,"&lt;&gt;Lorena Dias de Araujo",$B:$B,"&lt;&gt;Lucas Luiz Romero")*(35/1083),IF(C242="Técnico II",SUMIFS($D:$D,$A:$A,$A242,$B:$B,"&lt;&gt;Patrícia Karla de Sousa Araújo",$B:$B,"&lt;&gt;Lorena Dias de Araujo",$B:$B,"&lt;&gt;Lucas Luiz Romero")*(28/1083),IF(C242="Técnico I",SUMIFS($D:$D,$A:$A,$A242,$B:$B,"&lt;&gt;Patrícia Karla de Sousa Araújo",$B:$B,"&lt;&gt;Lorena Dias de Araujo",$B:$B,"&lt;&gt;Lucas Luiz Romero")*(23/1083),IF(C242="JR",SUMIFS($D:$D,$A:$A,$A242,$B:$B,"&lt;&gt;Patrícia Karla de Sousa Araújo",$B:$B,"&lt;&gt;Lorena Dias de Araujo",$B:$B,"&lt;&gt;Lucas Luiz Romero")*(20/1083),IF(C242="Estágio",SUMIFS($D:$D,$A:$A,$A242,$B:$B,"&lt;&gt;Patrícia Karla de Sousa Araújo",$B:$B,"&lt;&gt;Lorena Dias de Araujo",$B:$B,"&lt;&gt;Lucas Luiz Romero")*(10/1083),0)))))),0)</f>
        <v/>
      </c>
      <c r="K242" s="3">
        <f>I242-J242</f>
        <v/>
      </c>
      <c r="L242" s="3">
        <f>IF(K242&lt;-5,"CRÍTICO",IF(K242&lt;0,"ATENÇÃO",IF(K242&lt;=5,"OPORTUNO","MUITO BOM")))</f>
        <v/>
      </c>
      <c r="M242" s="3" t="n">
        <v>32</v>
      </c>
      <c r="N242" s="3" t="n">
        <v>99.56999999999999</v>
      </c>
      <c r="O242" s="12" t="n">
        <v>30.63583815028902</v>
      </c>
    </row>
    <row r="243">
      <c r="A243" s="10" t="n">
        <v>46034</v>
      </c>
      <c r="B243" t="inlineStr">
        <is>
          <t>Gabriel Gomes de Andrade</t>
        </is>
      </c>
      <c r="C243" s="1" t="inlineStr">
        <is>
          <t>Técnico I</t>
        </is>
      </c>
      <c r="D243" s="3" t="n">
        <v>22</v>
      </c>
      <c r="E243" s="3" t="n">
        <v>22</v>
      </c>
      <c r="F243" s="3" t="n">
        <v>20.39</v>
      </c>
      <c r="G243" s="3" t="n">
        <v>0</v>
      </c>
      <c r="H243" s="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s="3" t="n">
        <v>20</v>
      </c>
      <c r="N243" s="3" t="n">
        <v>98.91</v>
      </c>
      <c r="O243" s="12" t="n">
        <v>31.36729222520107</v>
      </c>
    </row>
    <row r="244">
      <c r="A244" s="10" t="n">
        <v>46140</v>
      </c>
      <c r="B244" t="inlineStr">
        <is>
          <t>Jaqueline Evangelista da Silva Martins</t>
        </is>
      </c>
      <c r="C244" s="1" t="inlineStr">
        <is>
          <t>Técnico III</t>
        </is>
      </c>
      <c r="D244" s="3" t="n">
        <v>28</v>
      </c>
      <c r="E244" s="3" t="n">
        <v>28</v>
      </c>
      <c r="F244" s="3" t="n">
        <v>14.08</v>
      </c>
      <c r="G244" s="3" t="n">
        <v>0</v>
      </c>
      <c r="H244" s="3" t="n">
        <v>0</v>
      </c>
      <c r="I244" s="3">
        <f>E244+G244+H244</f>
        <v/>
      </c>
      <c r="J244" s="3">
        <f>ROUND(MIN(IF(C244="Técnico III",35,IF(C244="Técnico II",28,IF(C244="Técnico I",23,IF(C244="JR",20,IF(C244="Estágio",10,0))))),IF(C244="Técnico III",SUMIFS($D:$D,$A:$A,$A244,$B:$B,"&lt;&gt;Patrícia Karla de Sousa Araújo",$B:$B,"&lt;&gt;Lorena Dias de Araujo",$B:$B,"&lt;&gt;Lucas Luiz Romero")*(35/1083),IF(C244="Técnico II",SUMIFS($D:$D,$A:$A,$A244,$B:$B,"&lt;&gt;Patrícia Karla de Sousa Araújo",$B:$B,"&lt;&gt;Lorena Dias de Araujo",$B:$B,"&lt;&gt;Lucas Luiz Romero")*(28/1083),IF(C244="Técnico I",SUMIFS($D:$D,$A:$A,$A244,$B:$B,"&lt;&gt;Patrícia Karla de Sousa Araújo",$B:$B,"&lt;&gt;Lorena Dias de Araujo",$B:$B,"&lt;&gt;Lucas Luiz Romero")*(23/1083),IF(C244="JR",SUMIFS($D:$D,$A:$A,$A244,$B:$B,"&lt;&gt;Patrícia Karla de Sousa Araújo",$B:$B,"&lt;&gt;Lorena Dias de Araujo",$B:$B,"&lt;&gt;Lucas Luiz Romero")*(20/1083),IF(C244="Estágio",SUMIFS($D:$D,$A:$A,$A244,$B:$B,"&lt;&gt;Patrícia Karla de Sousa Araújo",$B:$B,"&lt;&gt;Lorena Dias de Araujo",$B:$B,"&lt;&gt;Lucas Luiz Romero")*(10/1083),0)))))),0)</f>
        <v/>
      </c>
      <c r="K244" s="3">
        <f>I244-J244</f>
        <v/>
      </c>
      <c r="L244" s="3">
        <f>IF(K244&lt;-5,"CRÍTICO",IF(K244&lt;0,"ATENÇÃO",IF(K244&lt;=5,"OPORTUNO","MUITO BOM")))</f>
        <v/>
      </c>
      <c r="M244" s="3" t="n">
        <v>24</v>
      </c>
      <c r="N244" s="3" t="n">
        <v>95.65000000000001</v>
      </c>
      <c r="O244" s="12" t="n">
        <v>32.43243243243244</v>
      </c>
    </row>
    <row r="245">
      <c r="A245" s="10" t="n">
        <v>46140</v>
      </c>
      <c r="B245" t="inlineStr">
        <is>
          <t>Jéssica Fé Moura</t>
        </is>
      </c>
      <c r="C245" s="1" t="inlineStr">
        <is>
          <t>Técnico III</t>
        </is>
      </c>
      <c r="D245" s="3" t="n">
        <v>0</v>
      </c>
      <c r="E245" s="3" t="n">
        <v>0</v>
      </c>
      <c r="F245" s="3" t="n">
        <v>0</v>
      </c>
      <c r="G245" s="3" t="n">
        <v>0</v>
      </c>
      <c r="H245" s="3" t="n">
        <v>0</v>
      </c>
      <c r="I245" s="3" t="n">
        <v>0</v>
      </c>
      <c r="J245" s="3" t="n">
        <v>0</v>
      </c>
      <c r="K245" s="3" t="n">
        <v>0</v>
      </c>
      <c r="L245" s="3">
        <f>IF(K245&lt;-5,"CRÍTICO",IF(K245&lt;0,"ATENÇÃO",IF(K245&lt;=5,"OPORTUNO","MUITO BOM")))</f>
        <v/>
      </c>
      <c r="M245" s="3" t="n">
        <v>0</v>
      </c>
      <c r="N245" s="3" t="n">
        <v>0</v>
      </c>
      <c r="O245" s="12" t="n">
        <v>0</v>
      </c>
    </row>
    <row r="246">
      <c r="A246" s="10" t="n">
        <v>46140</v>
      </c>
      <c r="B246" t="inlineStr">
        <is>
          <t>Kerollen Cristielly de Jesus Siqueira</t>
        </is>
      </c>
      <c r="C246" s="1" t="inlineStr">
        <is>
          <t>Técnico III</t>
        </is>
      </c>
      <c r="D246" s="3" t="n">
        <v>0</v>
      </c>
      <c r="E246" s="3" t="n">
        <v>0</v>
      </c>
      <c r="F246" s="3" t="n">
        <v>0</v>
      </c>
      <c r="G246" s="3" t="n">
        <v>0</v>
      </c>
      <c r="H246" s="3" t="n">
        <v>0</v>
      </c>
      <c r="I246" s="3" t="n">
        <v>0</v>
      </c>
      <c r="J246" s="3" t="n">
        <v>0</v>
      </c>
      <c r="K246" s="3" t="n">
        <v>0</v>
      </c>
      <c r="L246" s="3">
        <f>IF(K246&lt;-5,"CRÍTICO",IF(K246&lt;0,"ATENÇÃO",IF(K246&lt;=5,"OPORTUNO","MUITO BOM")))</f>
        <v/>
      </c>
      <c r="M246" s="3" t="n">
        <v>26</v>
      </c>
      <c r="N246" s="3" t="n">
        <v>96.81</v>
      </c>
      <c r="O246" s="12" t="n">
        <v>48.01864801864802</v>
      </c>
    </row>
    <row r="247">
      <c r="A247" s="10" t="n">
        <v>46140</v>
      </c>
      <c r="B247" t="inlineStr">
        <is>
          <t>Leandro Oliveira de Sousa</t>
        </is>
      </c>
      <c r="C247" s="1" t="inlineStr">
        <is>
          <t>Técnico III</t>
        </is>
      </c>
      <c r="D247" s="3" t="n">
        <v>29</v>
      </c>
      <c r="E247" s="3" t="n">
        <v>28</v>
      </c>
      <c r="F247" s="3" t="n">
        <v>17.31</v>
      </c>
      <c r="G247" s="3" t="n">
        <v>0</v>
      </c>
      <c r="H247" s="3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IF(K247&lt;-5,"CRÍTICO",IF(K247&lt;0,"ATENÇÃO",IF(K247&lt;=5,"OPORTUNO","MUITO BOM")))</f>
        <v/>
      </c>
      <c r="M247" s="3" t="n">
        <v>27</v>
      </c>
      <c r="N247" s="3" t="n">
        <v>99.15000000000001</v>
      </c>
      <c r="O247" s="12" t="n">
        <v>27.58620689655172</v>
      </c>
    </row>
    <row r="248">
      <c r="A248" s="10" t="n">
        <v>46140</v>
      </c>
      <c r="B248" t="inlineStr">
        <is>
          <t>Lucas Luiz Romero</t>
        </is>
      </c>
      <c r="C248" s="1" t="inlineStr">
        <is>
          <t>Técnico III</t>
        </is>
      </c>
      <c r="D248" s="3" t="n">
        <v>0</v>
      </c>
      <c r="E248" s="3" t="n">
        <v>0</v>
      </c>
      <c r="F248" s="3" t="n">
        <v>0</v>
      </c>
      <c r="G248" s="3" t="n">
        <v>0</v>
      </c>
      <c r="H248" s="3" t="n">
        <v>0</v>
      </c>
      <c r="I248" s="3" t="n">
        <v>0</v>
      </c>
      <c r="J248" s="3" t="n">
        <v>0</v>
      </c>
      <c r="K248" s="3" t="n">
        <v>0</v>
      </c>
      <c r="L248" s="3">
        <f>IF(K248&lt;-5,"CRÍTICO",IF(K248&lt;0,"ATENÇÃO",IF(K248&lt;=5,"OPORTUNO","MUITO BOM")))</f>
        <v/>
      </c>
      <c r="M248" s="3" t="n">
        <v>0</v>
      </c>
      <c r="N248" s="3" t="n">
        <v>88.68000000000001</v>
      </c>
      <c r="O248" s="12" t="n">
        <v>22.03389830508474</v>
      </c>
    </row>
    <row r="249">
      <c r="A249" s="10" t="n">
        <v>46083</v>
      </c>
      <c r="B249" t="inlineStr">
        <is>
          <t>Matheus Farias De Souza</t>
        </is>
      </c>
      <c r="C249" s="1" t="inlineStr">
        <is>
          <t>Técnico III</t>
        </is>
      </c>
      <c r="D249" s="3" t="n">
        <v>43</v>
      </c>
      <c r="E249" s="3" t="n">
        <v>38</v>
      </c>
      <c r="F249" s="3" t="n">
        <v>17.28</v>
      </c>
      <c r="G249" s="3" t="n">
        <v>0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s="3" t="n">
        <v>40</v>
      </c>
      <c r="N249" s="3" t="n">
        <v>98.86</v>
      </c>
      <c r="O249" s="12" t="n">
        <v>28.95927601809955</v>
      </c>
    </row>
    <row r="250">
      <c r="A250" s="10" t="n">
        <v>46140</v>
      </c>
      <c r="B250" t="inlineStr">
        <is>
          <t>Maysa Victoria Dias Moura</t>
        </is>
      </c>
      <c r="C250" s="1" t="inlineStr">
        <is>
          <t>Técnico III</t>
        </is>
      </c>
      <c r="D250" s="3" t="n">
        <v>38</v>
      </c>
      <c r="E250" s="3" t="n">
        <v>32</v>
      </c>
      <c r="F250" s="3" t="n">
        <v>12.32</v>
      </c>
      <c r="G250" s="3" t="n">
        <v>0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IF(K250&lt;-5,"CRÍTICO",IF(K250&lt;0,"ATENÇÃO",IF(K250&lt;=5,"OPORTUNO","MUITO BOM")))</f>
        <v/>
      </c>
      <c r="M250" s="3" t="n">
        <v>31</v>
      </c>
      <c r="N250" s="3" t="n">
        <v>95.48999999999999</v>
      </c>
      <c r="O250" s="12" t="n">
        <v>28.37022132796781</v>
      </c>
    </row>
    <row r="251">
      <c r="A251" s="10" t="n">
        <v>46140</v>
      </c>
      <c r="B251" t="inlineStr">
        <is>
          <t>Rafael Gomes de Morais</t>
        </is>
      </c>
      <c r="C251" s="1" t="inlineStr">
        <is>
          <t>Técnico III</t>
        </is>
      </c>
      <c r="D251" s="3" t="n">
        <v>43</v>
      </c>
      <c r="E251" s="3" t="n">
        <v>39</v>
      </c>
      <c r="F251" s="3" t="n">
        <v>12.1</v>
      </c>
      <c r="G251" s="3" t="n">
        <v>0</v>
      </c>
      <c r="H251" s="3" t="n">
        <v>0</v>
      </c>
      <c r="I251" s="3">
        <f>E251+G251+H251</f>
        <v/>
      </c>
      <c r="J251" s="3">
        <f>ROUND(MIN(IF(C251="Técnico III",35,IF(C251="Técnico II",28,IF(C251="Técnico I",23,IF(C251="JR",20,IF(C251="Estágio",10,0))))),IF(C251="Técnico III",SUMIFS($D:$D,$A:$A,$A251,$B:$B,"&lt;&gt;Patrícia Karla de Sousa Araújo",$B:$B,"&lt;&gt;Lorena Dias de Araujo",$B:$B,"&lt;&gt;Lucas Luiz Romero")*(35/1083),IF(C251="Técnico II",SUMIFS($D:$D,$A:$A,$A251,$B:$B,"&lt;&gt;Patrícia Karla de Sousa Araújo",$B:$B,"&lt;&gt;Lorena Dias de Araujo",$B:$B,"&lt;&gt;Lucas Luiz Romero")*(28/1083),IF(C251="Técnico I",SUMIFS($D:$D,$A:$A,$A251,$B:$B,"&lt;&gt;Patrícia Karla de Sousa Araújo",$B:$B,"&lt;&gt;Lorena Dias de Araujo",$B:$B,"&lt;&gt;Lucas Luiz Romero")*(23/1083),IF(C251="JR",SUMIFS($D:$D,$A:$A,$A251,$B:$B,"&lt;&gt;Patrícia Karla de Sousa Araújo",$B:$B,"&lt;&gt;Lorena Dias de Araujo",$B:$B,"&lt;&gt;Lucas Luiz Romero")*(20/1083),IF(C251="Estágio",SUMIFS($D:$D,$A:$A,$A251,$B:$B,"&lt;&gt;Patrícia Karla de Sousa Araújo",$B:$B,"&lt;&gt;Lorena Dias de Araujo",$B:$B,"&lt;&gt;Lucas Luiz Romero")*(10/1083),0)))))),0)</f>
        <v/>
      </c>
      <c r="K251" s="3">
        <f>I251-J251</f>
        <v/>
      </c>
      <c r="L251" s="3">
        <f>IF(K251&lt;-5,"CRÍTICO",IF(K251&lt;0,"ATENÇÃO",IF(K251&lt;=5,"OPORTUNO","MUITO BOM")))</f>
        <v/>
      </c>
      <c r="M251" s="3" t="n">
        <v>31</v>
      </c>
      <c r="N251" s="3" t="n">
        <v>100</v>
      </c>
      <c r="O251" s="12" t="n">
        <v>31.13553113553114</v>
      </c>
    </row>
    <row r="252">
      <c r="A252" s="10" t="n">
        <v>46140</v>
      </c>
      <c r="B252" t="inlineStr">
        <is>
          <t>Sarah Steffanie de Lima Borges</t>
        </is>
      </c>
      <c r="C252" s="1" t="inlineStr">
        <is>
          <t>Técnico III</t>
        </is>
      </c>
      <c r="D252" s="3" t="n">
        <v>30</v>
      </c>
      <c r="E252" s="3" t="n">
        <v>28</v>
      </c>
      <c r="F252" s="3" t="n">
        <v>17.33</v>
      </c>
      <c r="G252" s="3" t="n">
        <v>0</v>
      </c>
      <c r="H252" s="3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IF(K252&lt;-5,"CRÍTICO",IF(K252&lt;0,"ATENÇÃO",IF(K252&lt;=5,"OPORTUNO","MUITO BOM")))</f>
        <v/>
      </c>
      <c r="M252" s="3" t="n">
        <v>24</v>
      </c>
      <c r="N252" s="3" t="n">
        <v>99.20999999999999</v>
      </c>
      <c r="O252" s="12" t="n">
        <v>25.18891687657431</v>
      </c>
    </row>
    <row r="253">
      <c r="A253" s="11" t="n">
        <v>46140</v>
      </c>
      <c r="B253" t="inlineStr">
        <is>
          <t>Alisson de Freitas Silva</t>
        </is>
      </c>
      <c r="C253" s="1" t="inlineStr">
        <is>
          <t>Técnico II</t>
        </is>
      </c>
      <c r="D253" s="3" t="n">
        <v>53</v>
      </c>
      <c r="E253" s="3" t="n">
        <v>46</v>
      </c>
      <c r="F253" s="3" t="n">
        <v>10.58</v>
      </c>
      <c r="G253" s="3" t="n">
        <v>0</v>
      </c>
      <c r="H253" s="3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IF(K253&lt;-5,"CRÍTICO",IF(K253&lt;0,"ATENÇÃO",IF(K253&lt;=5,"OPORTUNO","MUITO BOM")))</f>
        <v/>
      </c>
      <c r="M253" s="3" t="n">
        <v>43</v>
      </c>
      <c r="N253" s="3" t="n">
        <v>100</v>
      </c>
      <c r="O253" s="12" t="n">
        <v>32.76450511945392</v>
      </c>
    </row>
    <row r="254">
      <c r="A254" s="10" t="n">
        <v>46140</v>
      </c>
      <c r="B254" t="inlineStr">
        <is>
          <t>Brenda de Menezes Silva</t>
        </is>
      </c>
      <c r="C254" s="1" t="inlineStr">
        <is>
          <t>Técnico II</t>
        </is>
      </c>
      <c r="D254" s="3" t="n">
        <v>34</v>
      </c>
      <c r="E254" s="3" t="n">
        <v>34</v>
      </c>
      <c r="F254" s="3" t="n">
        <v>13.45</v>
      </c>
      <c r="G254" s="3" t="n">
        <v>0</v>
      </c>
      <c r="H254" s="3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IF(K254&lt;-5,"CRÍTICO",IF(K254&lt;0,"ATENÇÃO",IF(K254&lt;=5,"OPORTUNO","MUITO BOM")))</f>
        <v/>
      </c>
      <c r="M254" s="3" t="n">
        <v>31</v>
      </c>
      <c r="N254" s="3" t="n">
        <v>98.81999999999999</v>
      </c>
      <c r="O254" s="12" t="n">
        <v>30.74141048824593</v>
      </c>
    </row>
    <row r="255">
      <c r="A255" s="10" t="n">
        <v>46140</v>
      </c>
      <c r="B255" t="inlineStr">
        <is>
          <t>Carlos Mateus Cassimiro Nunes</t>
        </is>
      </c>
      <c r="C255" s="1" t="inlineStr">
        <is>
          <t>Técnico II</t>
        </is>
      </c>
      <c r="D255" s="3" t="n">
        <v>24</v>
      </c>
      <c r="E255" s="3" t="n">
        <v>23</v>
      </c>
      <c r="F255" s="3" t="n">
        <v>25.57</v>
      </c>
      <c r="G255" s="3" t="n">
        <v>0</v>
      </c>
      <c r="H255" s="3" t="n">
        <v>0</v>
      </c>
      <c r="I255" s="3">
        <f>E255+G255+H255</f>
        <v/>
      </c>
      <c r="J255" s="3">
        <f>ROUND(MIN(IF(C255="Técnico III",35,IF(C255="Técnico II",28,IF(C255="Técnico I",23,IF(C255="JR",20,IF(C255="Estágio",10,0))))),IF(C255="Técnico III",SUMIFS($D:$D,$A:$A,$A255,$B:$B,"&lt;&gt;Patrícia Karla de Sousa Araújo",$B:$B,"&lt;&gt;Lorena Dias de Araujo",$B:$B,"&lt;&gt;Lucas Luiz Romero")*(35/1083),IF(C255="Técnico II",SUMIFS($D:$D,$A:$A,$A255,$B:$B,"&lt;&gt;Patrícia Karla de Sousa Araújo",$B:$B,"&lt;&gt;Lorena Dias de Araujo",$B:$B,"&lt;&gt;Lucas Luiz Romero")*(28/1083),IF(C255="Técnico I",SUMIFS($D:$D,$A:$A,$A255,$B:$B,"&lt;&gt;Patrícia Karla de Sousa Araújo",$B:$B,"&lt;&gt;Lorena Dias de Araujo",$B:$B,"&lt;&gt;Lucas Luiz Romero")*(23/1083),IF(C255="JR",SUMIFS($D:$D,$A:$A,$A255,$B:$B,"&lt;&gt;Patrícia Karla de Sousa Araújo",$B:$B,"&lt;&gt;Lorena Dias de Araujo",$B:$B,"&lt;&gt;Lucas Luiz Romero")*(20/1083),IF(C255="Estágio",SUMIFS($D:$D,$A:$A,$A255,$B:$B,"&lt;&gt;Patrícia Karla de Sousa Araújo",$B:$B,"&lt;&gt;Lorena Dias de Araujo",$B:$B,"&lt;&gt;Lucas Luiz Romero")*(10/1083),0)))))),0)</f>
        <v/>
      </c>
      <c r="K255" s="3">
        <f>I255-J255</f>
        <v/>
      </c>
      <c r="L255" s="3">
        <f>IF(K255&lt;-5,"CRÍTICO",IF(K255&lt;0,"ATENÇÃO",IF(K255&lt;=5,"OPORTUNO","MUITO BOM")))</f>
        <v/>
      </c>
      <c r="M255" s="3" t="n">
        <v>23</v>
      </c>
      <c r="N255" s="3" t="n">
        <v>98.2</v>
      </c>
      <c r="O255" s="12" t="n">
        <v>27.17086834733893</v>
      </c>
    </row>
    <row r="256">
      <c r="A256" s="10" t="n">
        <v>46140</v>
      </c>
      <c r="B256" t="inlineStr">
        <is>
          <t>Damyllis Lorraine de Oliveira Gonçalves</t>
        </is>
      </c>
      <c r="C256" s="1" t="inlineStr">
        <is>
          <t>Técnico II</t>
        </is>
      </c>
      <c r="D256" s="3" t="n">
        <v>31</v>
      </c>
      <c r="E256" s="3" t="n">
        <v>28</v>
      </c>
      <c r="F256" s="3" t="n">
        <v>17.04</v>
      </c>
      <c r="G256" s="3" t="n">
        <v>0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IF(K256&lt;-5,"CRÍTICO",IF(K256&lt;0,"ATENÇÃO",IF(K256&lt;=5,"OPORTUNO","MUITO BOM")))</f>
        <v/>
      </c>
      <c r="M256" s="3" t="n">
        <v>28</v>
      </c>
      <c r="N256" s="3" t="n">
        <v>97.86</v>
      </c>
      <c r="O256" s="12" t="n">
        <v>31.01851851851852</v>
      </c>
    </row>
    <row r="257">
      <c r="A257" s="10" t="n">
        <v>46140</v>
      </c>
      <c r="B257" t="inlineStr">
        <is>
          <t>Emilly Kamilly Medeiros Miranda</t>
        </is>
      </c>
      <c r="C257" s="1" t="inlineStr">
        <is>
          <t>Técnico II</t>
        </is>
      </c>
      <c r="D257" s="3" t="n">
        <v>27</v>
      </c>
      <c r="E257" s="3" t="n">
        <v>27</v>
      </c>
      <c r="F257" s="3" t="n">
        <v>18.35</v>
      </c>
      <c r="G257" s="3" t="n">
        <v>0</v>
      </c>
      <c r="H257" s="3" t="n">
        <v>0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IF(K257&lt;-5,"CRÍTICO",IF(K257&lt;0,"ATENÇÃO",IF(K257&lt;=5,"OPORTUNO","MUITO BOM")))</f>
        <v/>
      </c>
      <c r="M257" s="3" t="n">
        <v>26</v>
      </c>
      <c r="N257" s="3" t="n">
        <v>97.83</v>
      </c>
      <c r="O257" s="12" t="n">
        <v>28.35164835164835</v>
      </c>
    </row>
    <row r="258">
      <c r="A258" s="10" t="n">
        <v>46140</v>
      </c>
      <c r="B258" t="inlineStr">
        <is>
          <t>Francilene Ferreira de Jesus</t>
        </is>
      </c>
      <c r="C258" s="1" t="inlineStr">
        <is>
          <t>Técnico II</t>
        </is>
      </c>
      <c r="D258" s="3" t="n">
        <v>29</v>
      </c>
      <c r="E258" s="3" t="n">
        <v>25</v>
      </c>
      <c r="F258" s="3" t="n">
        <v>20.23</v>
      </c>
      <c r="G258" s="3" t="n">
        <v>0</v>
      </c>
      <c r="H258" s="3" t="n">
        <v>0</v>
      </c>
      <c r="I258" s="3">
        <f>E258+G258+H258</f>
        <v/>
      </c>
      <c r="J258" s="3">
        <f>ROUND(MIN(IF(C258="Técnico III",35,IF(C258="Técnico II",28,IF(C258="Técnico I",23,IF(C258="JR",20,IF(C258="Estágio",10,0))))),IF(C258="Técnico III",SUMIFS($D:$D,$A:$A,$A258,$B:$B,"&lt;&gt;Patrícia Karla de Sousa Araújo",$B:$B,"&lt;&gt;Lorena Dias de Araujo",$B:$B,"&lt;&gt;Lucas Luiz Romero")*(35/1083),IF(C258="Técnico II",SUMIFS($D:$D,$A:$A,$A258,$B:$B,"&lt;&gt;Patrícia Karla de Sousa Araújo",$B:$B,"&lt;&gt;Lorena Dias de Araujo",$B:$B,"&lt;&gt;Lucas Luiz Romero")*(28/1083),IF(C258="Técnico I",SUMIFS($D:$D,$A:$A,$A258,$B:$B,"&lt;&gt;Patrícia Karla de Sousa Araújo",$B:$B,"&lt;&gt;Lorena Dias de Araujo",$B:$B,"&lt;&gt;Lucas Luiz Romero")*(23/1083),IF(C258="JR",SUMIFS($D:$D,$A:$A,$A258,$B:$B,"&lt;&gt;Patrícia Karla de Sousa Araújo",$B:$B,"&lt;&gt;Lorena Dias de Araujo",$B:$B,"&lt;&gt;Lucas Luiz Romero")*(20/1083),IF(C258="Estágio",SUMIFS($D:$D,$A:$A,$A258,$B:$B,"&lt;&gt;Patrícia Karla de Sousa Araújo",$B:$B,"&lt;&gt;Lorena Dias de Araujo",$B:$B,"&lt;&gt;Lucas Luiz Romero")*(10/1083),0)))))),0)</f>
        <v/>
      </c>
      <c r="K258" s="3">
        <f>I258-J258</f>
        <v/>
      </c>
      <c r="L258" s="3">
        <f>IF(K258&lt;-5,"CRÍTICO",IF(K258&lt;0,"ATENÇÃO",IF(K258&lt;=5,"OPORTUNO","MUITO BOM")))</f>
        <v/>
      </c>
      <c r="M258" s="3" t="n">
        <v>23</v>
      </c>
      <c r="N258" s="3" t="n">
        <v>99.19</v>
      </c>
      <c r="O258" s="12" t="n">
        <v>29.46236559139785</v>
      </c>
    </row>
    <row r="259">
      <c r="A259" s="10" t="n">
        <v>46140</v>
      </c>
      <c r="B259" t="inlineStr">
        <is>
          <t>Isabella Borges de Oliveira</t>
        </is>
      </c>
      <c r="C259" s="1" t="inlineStr">
        <is>
          <t>Técnico II</t>
        </is>
      </c>
      <c r="D259" s="3" t="n">
        <v>37</v>
      </c>
      <c r="E259" s="3" t="n">
        <v>36</v>
      </c>
      <c r="F259" s="3" t="n">
        <v>15.51</v>
      </c>
      <c r="G259" s="3" t="n">
        <v>0</v>
      </c>
      <c r="H259" s="3" t="n">
        <v>0</v>
      </c>
      <c r="I259" s="3">
        <f>E259+G259+H259</f>
        <v/>
      </c>
      <c r="J259" s="3">
        <f>ROUND(MIN(IF(C259="Técnico III",35,IF(C259="Técnico II",28,IF(C259="Técnico I",23,IF(C259="JR",20,IF(C259="Estágio",10,0))))),IF(C259="Técnico III",SUMIFS($D:$D,$A:$A,$A259,$B:$B,"&lt;&gt;Patrícia Karla de Sousa Araújo",$B:$B,"&lt;&gt;Lorena Dias de Araujo",$B:$B,"&lt;&gt;Lucas Luiz Romero")*(35/1083),IF(C259="Técnico II",SUMIFS($D:$D,$A:$A,$A259,$B:$B,"&lt;&gt;Patrícia Karla de Sousa Araújo",$B:$B,"&lt;&gt;Lorena Dias de Araujo",$B:$B,"&lt;&gt;Lucas Luiz Romero")*(28/1083),IF(C259="Técnico I",SUMIFS($D:$D,$A:$A,$A259,$B:$B,"&lt;&gt;Patrícia Karla de Sousa Araújo",$B:$B,"&lt;&gt;Lorena Dias de Araujo",$B:$B,"&lt;&gt;Lucas Luiz Romero")*(23/1083),IF(C259="JR",SUMIFS($D:$D,$A:$A,$A259,$B:$B,"&lt;&gt;Patrícia Karla de Sousa Araújo",$B:$B,"&lt;&gt;Lorena Dias de Araujo",$B:$B,"&lt;&gt;Lucas Luiz Romero")*(20/1083),IF(C259="Estágio",SUMIFS($D:$D,$A:$A,$A259,$B:$B,"&lt;&gt;Patrícia Karla de Sousa Araújo",$B:$B,"&lt;&gt;Lorena Dias de Araujo",$B:$B,"&lt;&gt;Lucas Luiz Romero")*(10/1083),0)))))),0)</f>
        <v/>
      </c>
      <c r="K259" s="3">
        <f>I259-J259</f>
        <v/>
      </c>
      <c r="L259" s="3">
        <f>IF(K259&lt;-5,"CRÍTICO",IF(K259&lt;0,"ATENÇÃO",IF(K259&lt;=5,"OPORTUNO","MUITO BOM")))</f>
        <v/>
      </c>
      <c r="M259" s="3" t="n">
        <v>25</v>
      </c>
      <c r="N259" s="3" t="n">
        <v>100</v>
      </c>
      <c r="O259" s="12" t="n">
        <v>28.92156862745098</v>
      </c>
    </row>
    <row r="260">
      <c r="A260" s="10" t="n">
        <v>46140</v>
      </c>
      <c r="B260" t="inlineStr">
        <is>
          <t>Jessica Faria da Silveira</t>
        </is>
      </c>
      <c r="C260" s="1" t="inlineStr">
        <is>
          <t>Técnico II</t>
        </is>
      </c>
      <c r="D260" s="3" t="n">
        <v>29</v>
      </c>
      <c r="E260" s="3" t="n">
        <v>25</v>
      </c>
      <c r="F260" s="3" t="n">
        <v>17.3</v>
      </c>
      <c r="G260" s="3" t="n">
        <v>0</v>
      </c>
      <c r="H260" s="3" t="n">
        <v>0</v>
      </c>
      <c r="I260" s="3">
        <f>E260+G260+H260</f>
        <v/>
      </c>
      <c r="J260" s="3">
        <f>ROUND(MIN(IF(C260="Técnico III",35,IF(C260="Técnico II",28,IF(C260="Técnico I",23,IF(C260="JR",20,IF(C260="Estágio",10,0))))),IF(C260="Técnico III",SUMIFS($D:$D,$A:$A,$A260,$B:$B,"&lt;&gt;Patrícia Karla de Sousa Araújo",$B:$B,"&lt;&gt;Lorena Dias de Araujo",$B:$B,"&lt;&gt;Lucas Luiz Romero")*(35/1083),IF(C260="Técnico II",SUMIFS($D:$D,$A:$A,$A260,$B:$B,"&lt;&gt;Patrícia Karla de Sousa Araújo",$B:$B,"&lt;&gt;Lorena Dias de Araujo",$B:$B,"&lt;&gt;Lucas Luiz Romero")*(28/1083),IF(C260="Técnico I",SUMIFS($D:$D,$A:$A,$A260,$B:$B,"&lt;&gt;Patrícia Karla de Sousa Araújo",$B:$B,"&lt;&gt;Lorena Dias de Araujo",$B:$B,"&lt;&gt;Lucas Luiz Romero")*(23/1083),IF(C260="JR",SUMIFS($D:$D,$A:$A,$A260,$B:$B,"&lt;&gt;Patrícia Karla de Sousa Araújo",$B:$B,"&lt;&gt;Lorena Dias de Araujo",$B:$B,"&lt;&gt;Lucas Luiz Romero")*(20/1083),IF(C260="Estágio",SUMIFS($D:$D,$A:$A,$A260,$B:$B,"&lt;&gt;Patrícia Karla de Sousa Araújo",$B:$B,"&lt;&gt;Lorena Dias de Araujo",$B:$B,"&lt;&gt;Lucas Luiz Romero")*(10/1083),0)))))),0)</f>
        <v/>
      </c>
      <c r="K260" s="3">
        <f>I260-J260</f>
        <v/>
      </c>
      <c r="L260" s="3">
        <f>IF(K260&lt;-5,"CRÍTICO",IF(K260&lt;0,"ATENÇÃO",IF(K260&lt;=5,"OPORTUNO","MUITO BOM")))</f>
        <v/>
      </c>
      <c r="M260" s="3" t="n">
        <v>22</v>
      </c>
      <c r="N260" s="3" t="n">
        <v>98.81</v>
      </c>
      <c r="O260" s="12" t="n">
        <v>26.25698324022346</v>
      </c>
    </row>
    <row r="261">
      <c r="A261" s="10" t="n">
        <v>46140</v>
      </c>
      <c r="B261" t="inlineStr">
        <is>
          <t>Lizandra Gomes Duarte</t>
        </is>
      </c>
      <c r="C261" s="1" t="inlineStr">
        <is>
          <t>Técnico II</t>
        </is>
      </c>
      <c r="D261" s="3" t="n">
        <v>20</v>
      </c>
      <c r="E261" s="3" t="n">
        <v>19</v>
      </c>
      <c r="F261" s="3" t="n">
        <v>21.45</v>
      </c>
      <c r="G261" s="3" t="n">
        <v>0</v>
      </c>
      <c r="H261" s="3" t="n">
        <v>0</v>
      </c>
      <c r="I261" s="3">
        <f>E261+G261+H261</f>
        <v/>
      </c>
      <c r="J261" s="3">
        <f>ROUND(MIN(IF(C261="Técnico III",35,IF(C261="Técnico II",28,IF(C261="Técnico I",23,IF(C261="JR",20,IF(C261="Estágio",10,0))))),IF(C261="Técnico III",SUMIFS($D:$D,$A:$A,$A261,$B:$B,"&lt;&gt;Patrícia Karla de Sousa Araújo",$B:$B,"&lt;&gt;Lorena Dias de Araujo",$B:$B,"&lt;&gt;Lucas Luiz Romero")*(35/1083),IF(C261="Técnico II",SUMIFS($D:$D,$A:$A,$A261,$B:$B,"&lt;&gt;Patrícia Karla de Sousa Araújo",$B:$B,"&lt;&gt;Lorena Dias de Araujo",$B:$B,"&lt;&gt;Lucas Luiz Romero")*(28/1083),IF(C261="Técnico I",SUMIFS($D:$D,$A:$A,$A261,$B:$B,"&lt;&gt;Patrícia Karla de Sousa Araújo",$B:$B,"&lt;&gt;Lorena Dias de Araujo",$B:$B,"&lt;&gt;Lucas Luiz Romero")*(23/1083),IF(C261="JR",SUMIFS($D:$D,$A:$A,$A261,$B:$B,"&lt;&gt;Patrícia Karla de Sousa Araújo",$B:$B,"&lt;&gt;Lorena Dias de Araujo",$B:$B,"&lt;&gt;Lucas Luiz Romero")*(20/1083),IF(C261="Estágio",SUMIFS($D:$D,$A:$A,$A261,$B:$B,"&lt;&gt;Patrícia Karla de Sousa Araújo",$B:$B,"&lt;&gt;Lorena Dias de Araujo",$B:$B,"&lt;&gt;Lucas Luiz Romero")*(10/1083),0)))))),0)</f>
        <v/>
      </c>
      <c r="K261" s="3">
        <f>I261-J261</f>
        <v/>
      </c>
      <c r="L261" s="3">
        <f>IF(K261&lt;-5,"CRÍTICO",IF(K261&lt;0,"ATENÇÃO",IF(K261&lt;=5,"OPORTUNO","MUITO BOM")))</f>
        <v/>
      </c>
      <c r="M261" s="3" t="n">
        <v>4</v>
      </c>
      <c r="N261" s="3" t="n">
        <v>99.17</v>
      </c>
      <c r="O261" s="12" t="n">
        <v>29.75206611570248</v>
      </c>
    </row>
    <row r="262">
      <c r="A262" s="10" t="n">
        <v>46140</v>
      </c>
      <c r="B262" t="inlineStr">
        <is>
          <t>Lorena Dias de Araujo</t>
        </is>
      </c>
      <c r="C262" s="1" t="inlineStr">
        <is>
          <t>Técnico II</t>
        </is>
      </c>
      <c r="D262" s="3" t="n">
        <v>0</v>
      </c>
      <c r="E262" s="3" t="n">
        <v>0</v>
      </c>
      <c r="F262" s="3" t="n">
        <v>0</v>
      </c>
      <c r="G262" s="3" t="n">
        <v>0</v>
      </c>
      <c r="H262" s="3" t="n">
        <v>0</v>
      </c>
      <c r="I262" s="3" t="n">
        <v>0</v>
      </c>
      <c r="J262" s="3" t="n">
        <v>0</v>
      </c>
      <c r="K262" s="3" t="n">
        <v>0</v>
      </c>
      <c r="L262" s="3">
        <f>IF(K262&lt;-5,"CRÍTICO",IF(K262&lt;0,"ATENÇÃO",IF(K262&lt;=5,"OPORTUNO","MUITO BOM")))</f>
        <v/>
      </c>
      <c r="M262" s="3" t="n">
        <v>0</v>
      </c>
      <c r="N262" s="3" t="n">
        <v>98.73</v>
      </c>
      <c r="O262" s="12" t="n">
        <v>28.96174863387978</v>
      </c>
    </row>
    <row r="263">
      <c r="A263" s="10" t="n">
        <v>46140</v>
      </c>
      <c r="B263" t="inlineStr">
        <is>
          <t>Patrícia Karla de Sousa Araújo</t>
        </is>
      </c>
      <c r="C263" s="1" t="inlineStr">
        <is>
          <t>Técnico II</t>
        </is>
      </c>
      <c r="D263" s="3" t="n">
        <v>0</v>
      </c>
      <c r="E263" s="3" t="n">
        <v>0</v>
      </c>
      <c r="F263" s="3" t="n">
        <v>0</v>
      </c>
      <c r="G263" s="3" t="n">
        <v>0</v>
      </c>
      <c r="H263" s="3" t="n">
        <v>0</v>
      </c>
      <c r="I263" s="3" t="n">
        <v>0</v>
      </c>
      <c r="J263" s="3" t="n">
        <v>0</v>
      </c>
      <c r="K263" s="3" t="n">
        <v>0</v>
      </c>
      <c r="L263" s="3">
        <f>IF(K263&lt;-5,"CRÍTICO",IF(K263&lt;0,"ATENÇÃO",IF(K263&lt;=5,"OPORTUNO","MUITO BOM")))</f>
        <v/>
      </c>
      <c r="M263" s="3" t="n">
        <v>0</v>
      </c>
      <c r="N263" s="3" t="n">
        <v>99.02</v>
      </c>
      <c r="O263" s="12" t="n">
        <v>34.7972972972973</v>
      </c>
    </row>
    <row r="264">
      <c r="A264" s="10" t="n">
        <v>46140</v>
      </c>
      <c r="B264" t="inlineStr">
        <is>
          <t>Ana Karollyne Souza Faria</t>
        </is>
      </c>
      <c r="C264" s="1" t="inlineStr">
        <is>
          <t>Técnico I</t>
        </is>
      </c>
      <c r="D264" s="3" t="n">
        <v>26</v>
      </c>
      <c r="E264" s="3" t="n">
        <v>24</v>
      </c>
      <c r="F264" s="3" t="n">
        <v>19.19</v>
      </c>
      <c r="G264" s="3" t="n">
        <v>0</v>
      </c>
      <c r="H264" s="3" t="n">
        <v>0</v>
      </c>
      <c r="I264" s="3">
        <f>E264+G264+H264</f>
        <v/>
      </c>
      <c r="J264" s="3">
        <f>ROUND(MIN(IF(C264="Técnico III",35,IF(C264="Técnico II",28,IF(C264="Técnico I",23,IF(C264="JR",20,IF(C264="Estágio",10,0))))),IF(C264="Técnico III",SUMIFS($D:$D,$A:$A,$A264,$B:$B,"&lt;&gt;Patrícia Karla de Sousa Araújo",$B:$B,"&lt;&gt;Lorena Dias de Araujo",$B:$B,"&lt;&gt;Lucas Luiz Romero")*(35/1083),IF(C264="Técnico II",SUMIFS($D:$D,$A:$A,$A264,$B:$B,"&lt;&gt;Patrícia Karla de Sousa Araújo",$B:$B,"&lt;&gt;Lorena Dias de Araujo",$B:$B,"&lt;&gt;Lucas Luiz Romero")*(28/1083),IF(C264="Técnico I",SUMIFS($D:$D,$A:$A,$A264,$B:$B,"&lt;&gt;Patrícia Karla de Sousa Araújo",$B:$B,"&lt;&gt;Lorena Dias de Araujo",$B:$B,"&lt;&gt;Lucas Luiz Romero")*(23/1083),IF(C264="JR",SUMIFS($D:$D,$A:$A,$A264,$B:$B,"&lt;&gt;Patrícia Karla de Sousa Araújo",$B:$B,"&lt;&gt;Lorena Dias de Araujo",$B:$B,"&lt;&gt;Lucas Luiz Romero")*(20/1083),IF(C264="Estágio",SUMIFS($D:$D,$A:$A,$A264,$B:$B,"&lt;&gt;Patrícia Karla de Sousa Araújo",$B:$B,"&lt;&gt;Lorena Dias de Araujo",$B:$B,"&lt;&gt;Lucas Luiz Romero")*(10/1083),0)))))),0)</f>
        <v/>
      </c>
      <c r="K264" s="3">
        <f>I264-J264</f>
        <v/>
      </c>
      <c r="L264" s="3">
        <f>IF(K264&lt;-5,"CRÍTICO",IF(K264&lt;0,"ATENÇÃO",IF(K264&lt;=5,"OPORTUNO","MUITO BOM")))</f>
        <v/>
      </c>
      <c r="M264" s="3" t="n">
        <v>22</v>
      </c>
      <c r="N264" s="3" t="n">
        <v>99.31999999999999</v>
      </c>
      <c r="O264" s="12" t="n">
        <v>30.6483300589391</v>
      </c>
    </row>
    <row r="265">
      <c r="A265" s="10" t="n">
        <v>46140</v>
      </c>
      <c r="B265" t="inlineStr">
        <is>
          <t>Clessiane Pereira dos Santos</t>
        </is>
      </c>
      <c r="C265" s="1" t="inlineStr">
        <is>
          <t>Técnico I</t>
        </is>
      </c>
      <c r="D265" s="3" t="n">
        <v>27</v>
      </c>
      <c r="E265" s="3" t="n">
        <v>26</v>
      </c>
      <c r="F265" s="3" t="n">
        <v>15.4</v>
      </c>
      <c r="G265" s="3" t="n">
        <v>0</v>
      </c>
      <c r="H265" s="3" t="n">
        <v>0</v>
      </c>
      <c r="I265" s="3">
        <f>E265+G265+H265</f>
        <v/>
      </c>
      <c r="J265" s="3">
        <f>ROUND(MIN(IF(C265="Técnico III",35,IF(C265="Técnico II",28,IF(C265="Técnico I",23,IF(C265="JR",20,IF(C265="Estágio",10,0))))),IF(C265="Técnico III",SUMIFS($D:$D,$A:$A,$A265,$B:$B,"&lt;&gt;Patrícia Karla de Sousa Araújo",$B:$B,"&lt;&gt;Lorena Dias de Araujo",$B:$B,"&lt;&gt;Lucas Luiz Romero")*(35/1083),IF(C265="Técnico II",SUMIFS($D:$D,$A:$A,$A265,$B:$B,"&lt;&gt;Patrícia Karla de Sousa Araújo",$B:$B,"&lt;&gt;Lorena Dias de Araujo",$B:$B,"&lt;&gt;Lucas Luiz Romero")*(28/1083),IF(C265="Técnico I",SUMIFS($D:$D,$A:$A,$A265,$B:$B,"&lt;&gt;Patrícia Karla de Sousa Araújo",$B:$B,"&lt;&gt;Lorena Dias de Araujo",$B:$B,"&lt;&gt;Lucas Luiz Romero")*(23/1083),IF(C265="JR",SUMIFS($D:$D,$A:$A,$A265,$B:$B,"&lt;&gt;Patrícia Karla de Sousa Araújo",$B:$B,"&lt;&gt;Lorena Dias de Araujo",$B:$B,"&lt;&gt;Lucas Luiz Romero")*(20/1083),IF(C265="Estágio",SUMIFS($D:$D,$A:$A,$A265,$B:$B,"&lt;&gt;Patrícia Karla de Sousa Araújo",$B:$B,"&lt;&gt;Lorena Dias de Araujo",$B:$B,"&lt;&gt;Lucas Luiz Romero")*(10/1083),0)))))),0)</f>
        <v/>
      </c>
      <c r="K265" s="3">
        <f>I265-J265</f>
        <v/>
      </c>
      <c r="L265" s="3">
        <f>IF(K265&lt;-5,"CRÍTICO",IF(K265&lt;0,"ATENÇÃO",IF(K265&lt;=5,"OPORTUNO","MUITO BOM")))</f>
        <v/>
      </c>
      <c r="M265" s="3" t="n">
        <v>25</v>
      </c>
      <c r="N265" s="3" t="n">
        <v>96.3</v>
      </c>
      <c r="O265" s="12" t="n">
        <v>32.21957040572792</v>
      </c>
    </row>
    <row r="266">
      <c r="A266" s="10" t="n">
        <v>46140</v>
      </c>
      <c r="B266" t="inlineStr">
        <is>
          <t>Daniel Gomes da Silva</t>
        </is>
      </c>
      <c r="C266" s="1" t="inlineStr">
        <is>
          <t>Técnico I</t>
        </is>
      </c>
      <c r="D266" s="3" t="n">
        <v>17</v>
      </c>
      <c r="E266" s="3" t="n">
        <v>17</v>
      </c>
      <c r="F266" s="3" t="n">
        <v>17.23</v>
      </c>
      <c r="G266" s="3" t="n">
        <v>0</v>
      </c>
      <c r="H266" s="3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IF(K266&lt;-5,"CRÍTICO",IF(K266&lt;0,"ATENÇÃO",IF(K266&lt;=5,"OPORTUNO","MUITO BOM")))</f>
        <v/>
      </c>
      <c r="M266" s="3" t="n">
        <v>15</v>
      </c>
      <c r="N266" s="3" t="n">
        <v>100</v>
      </c>
      <c r="O266" s="12" t="n">
        <v>36.59420289855073</v>
      </c>
    </row>
    <row r="267">
      <c r="A267" s="10" t="n">
        <v>46140</v>
      </c>
      <c r="B267" t="inlineStr">
        <is>
          <t>Gabriel Gomes de Andrade</t>
        </is>
      </c>
      <c r="C267" s="1" t="inlineStr">
        <is>
          <t>Técnico I</t>
        </is>
      </c>
      <c r="D267" s="3" t="n">
        <v>9</v>
      </c>
      <c r="E267" s="3" t="n">
        <v>5</v>
      </c>
      <c r="F267" s="3" t="n">
        <v>10.29</v>
      </c>
      <c r="G267" s="3" t="n">
        <v>0</v>
      </c>
      <c r="H267" s="3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IF(K267&lt;-5,"CRÍTICO",IF(K267&lt;0,"ATENÇÃO",IF(K267&lt;=5,"OPORTUNO","MUITO BOM")))</f>
        <v/>
      </c>
      <c r="M267" s="3" t="n">
        <v>39</v>
      </c>
      <c r="N267" s="3" t="n">
        <v>99.28</v>
      </c>
      <c r="O267" s="12" t="n">
        <v>27.68924302788844</v>
      </c>
    </row>
    <row r="268">
      <c r="A268" s="10" t="n">
        <v>46140</v>
      </c>
      <c r="B268" t="inlineStr">
        <is>
          <t>Luiz Fernando de Carvalho Junior</t>
        </is>
      </c>
      <c r="C268" s="1" t="inlineStr">
        <is>
          <t>Técnico I</t>
        </is>
      </c>
      <c r="D268" s="3" t="n">
        <v>20</v>
      </c>
      <c r="E268" s="3" t="n">
        <v>19</v>
      </c>
      <c r="F268" s="3" t="n">
        <v>20.09</v>
      </c>
      <c r="G268" s="3" t="n">
        <v>0</v>
      </c>
      <c r="H268" s="3" t="n">
        <v>0</v>
      </c>
      <c r="I268" s="3">
        <f>E268+G268+H268</f>
        <v/>
      </c>
      <c r="J268" s="3">
        <f>ROUND(MIN(IF(C268="Técnico III",35,IF(C268="Técnico II",28,IF(C268="Técnico I",23,IF(C268="JR",20,IF(C268="Estágio",10,0))))),IF(C268="Técnico III",SUMIFS($D:$D,$A:$A,$A268,$B:$B,"&lt;&gt;Patrícia Karla de Sousa Araújo",$B:$B,"&lt;&gt;Lorena Dias de Araujo",$B:$B,"&lt;&gt;Lucas Luiz Romero")*(35/1083),IF(C268="Técnico II",SUMIFS($D:$D,$A:$A,$A268,$B:$B,"&lt;&gt;Patrícia Karla de Sousa Araújo",$B:$B,"&lt;&gt;Lorena Dias de Araujo",$B:$B,"&lt;&gt;Lucas Luiz Romero")*(28/1083),IF(C268="Técnico I",SUMIFS($D:$D,$A:$A,$A268,$B:$B,"&lt;&gt;Patrícia Karla de Sousa Araújo",$B:$B,"&lt;&gt;Lorena Dias de Araujo",$B:$B,"&lt;&gt;Lucas Luiz Romero")*(23/1083),IF(C268="JR",SUMIFS($D:$D,$A:$A,$A268,$B:$B,"&lt;&gt;Patrícia Karla de Sousa Araújo",$B:$B,"&lt;&gt;Lorena Dias de Araujo",$B:$B,"&lt;&gt;Lucas Luiz Romero")*(20/1083),IF(C268="Estágio",SUMIFS($D:$D,$A:$A,$A268,$B:$B,"&lt;&gt;Patrícia Karla de Sousa Araújo",$B:$B,"&lt;&gt;Lorena Dias de Araujo",$B:$B,"&lt;&gt;Lucas Luiz Romero")*(10/1083),0)))))),0)</f>
        <v/>
      </c>
      <c r="K268" s="3">
        <f>I268-J268</f>
        <v/>
      </c>
      <c r="L268" s="3">
        <f>IF(K268&lt;-5,"CRÍTICO",IF(K268&lt;0,"ATENÇÃO",IF(K268&lt;=5,"OPORTUNO","MUITO BOM")))</f>
        <v/>
      </c>
      <c r="M268" s="3" t="n">
        <v>18</v>
      </c>
      <c r="N268" s="3" t="n">
        <v>97.37</v>
      </c>
      <c r="O268" s="12" t="n">
        <v>25.76530612244898</v>
      </c>
    </row>
    <row r="269">
      <c r="A269" s="10" t="n">
        <v>46140</v>
      </c>
      <c r="B269" t="inlineStr">
        <is>
          <t>Raane Batista Matos</t>
        </is>
      </c>
      <c r="C269" s="1" t="inlineStr">
        <is>
          <t>Técnico I</t>
        </is>
      </c>
      <c r="D269" s="3" t="n">
        <v>36</v>
      </c>
      <c r="E269" s="3" t="n">
        <v>30</v>
      </c>
      <c r="F269" s="3" t="n">
        <v>13.43</v>
      </c>
      <c r="G269" s="3" t="n">
        <v>0</v>
      </c>
      <c r="H269" s="3" t="n">
        <v>0</v>
      </c>
      <c r="I269" s="3">
        <f>E269+G269+H269</f>
        <v/>
      </c>
      <c r="J269" s="3">
        <f>ROUND(MIN(IF(C269="Técnico III",35,IF(C269="Técnico II",28,IF(C269="Técnico I",23,IF(C269="JR",20,IF(C269="Estágio",10,0))))),IF(C269="Técnico III",SUMIFS($D:$D,$A:$A,$A269,$B:$B,"&lt;&gt;Patrícia Karla de Sousa Araújo",$B:$B,"&lt;&gt;Lorena Dias de Araujo",$B:$B,"&lt;&gt;Lucas Luiz Romero")*(35/1083),IF(C269="Técnico II",SUMIFS($D:$D,$A:$A,$A269,$B:$B,"&lt;&gt;Patrícia Karla de Sousa Araújo",$B:$B,"&lt;&gt;Lorena Dias de Araujo",$B:$B,"&lt;&gt;Lucas Luiz Romero")*(28/1083),IF(C269="Técnico I",SUMIFS($D:$D,$A:$A,$A269,$B:$B,"&lt;&gt;Patrícia Karla de Sousa Araújo",$B:$B,"&lt;&gt;Lorena Dias de Araujo",$B:$B,"&lt;&gt;Lucas Luiz Romero")*(23/1083),IF(C269="JR",SUMIFS($D:$D,$A:$A,$A269,$B:$B,"&lt;&gt;Patrícia Karla de Sousa Araújo",$B:$B,"&lt;&gt;Lorena Dias de Araujo",$B:$B,"&lt;&gt;Lucas Luiz Romero")*(20/1083),IF(C269="Estágio",SUMIFS($D:$D,$A:$A,$A269,$B:$B,"&lt;&gt;Patrícia Karla de Sousa Araújo",$B:$B,"&lt;&gt;Lorena Dias de Araujo",$B:$B,"&lt;&gt;Lucas Luiz Romero")*(10/1083),0)))))),0)</f>
        <v/>
      </c>
      <c r="K269" s="3">
        <f>I269-J269</f>
        <v/>
      </c>
      <c r="L269" s="3">
        <f>IF(K269&lt;-5,"CRÍTICO",IF(K269&lt;0,"ATENÇÃO",IF(K269&lt;=5,"OPORTUNO","MUITO BOM")))</f>
        <v/>
      </c>
      <c r="M269" s="3" t="n">
        <v>26</v>
      </c>
      <c r="N269" s="3" t="n">
        <v>98.31999999999999</v>
      </c>
      <c r="O269" s="12" t="n">
        <v>26.85851318944844</v>
      </c>
    </row>
    <row r="270">
      <c r="A270" s="10" t="n">
        <v>46140</v>
      </c>
      <c r="B270" t="inlineStr">
        <is>
          <t>Sara Maria Monteiro Lopes</t>
        </is>
      </c>
      <c r="C270" s="1" t="inlineStr">
        <is>
          <t>Técnico I</t>
        </is>
      </c>
      <c r="D270" s="3" t="n">
        <v>25</v>
      </c>
      <c r="E270" s="3" t="n">
        <v>25</v>
      </c>
      <c r="F270" s="3" t="n">
        <v>20.47</v>
      </c>
      <c r="G270" s="3" t="n">
        <v>0</v>
      </c>
      <c r="H270" s="3" t="n">
        <v>0</v>
      </c>
      <c r="I270" s="3">
        <f>E270+G270+H270</f>
        <v/>
      </c>
      <c r="J270" s="3">
        <f>ROUND(MIN(IF(C270="Técnico III",35,IF(C270="Técnico II",28,IF(C270="Técnico I",23,IF(C270="JR",20,IF(C270="Estágio",10,0))))),IF(C270="Técnico III",SUMIFS($D:$D,$A:$A,$A270,$B:$B,"&lt;&gt;Patrícia Karla de Sousa Araújo",$B:$B,"&lt;&gt;Lorena Dias de Araujo",$B:$B,"&lt;&gt;Lucas Luiz Romero")*(35/1083),IF(C270="Técnico II",SUMIFS($D:$D,$A:$A,$A270,$B:$B,"&lt;&gt;Patrícia Karla de Sousa Araújo",$B:$B,"&lt;&gt;Lorena Dias de Araujo",$B:$B,"&lt;&gt;Lucas Luiz Romero")*(28/1083),IF(C270="Técnico I",SUMIFS($D:$D,$A:$A,$A270,$B:$B,"&lt;&gt;Patrícia Karla de Sousa Araújo",$B:$B,"&lt;&gt;Lorena Dias de Araujo",$B:$B,"&lt;&gt;Lucas Luiz Romero")*(23/1083),IF(C270="JR",SUMIFS($D:$D,$A:$A,$A270,$B:$B,"&lt;&gt;Patrícia Karla de Sousa Araújo",$B:$B,"&lt;&gt;Lorena Dias de Araujo",$B:$B,"&lt;&gt;Lucas Luiz Romero")*(20/1083),IF(C270="Estágio",SUMIFS($D:$D,$A:$A,$A270,$B:$B,"&lt;&gt;Patrícia Karla de Sousa Araújo",$B:$B,"&lt;&gt;Lorena Dias de Araujo",$B:$B,"&lt;&gt;Lucas Luiz Romero")*(10/1083),0)))))),0)</f>
        <v/>
      </c>
      <c r="K270" s="3">
        <f>I270-J270</f>
        <v/>
      </c>
      <c r="L270" s="3">
        <f>IF(K270&lt;-5,"CRÍTICO",IF(K270&lt;0,"ATENÇÃO",IF(K270&lt;=5,"OPORTUNO","MUITO BOM")))</f>
        <v/>
      </c>
      <c r="M270" s="3" t="n">
        <v>23</v>
      </c>
      <c r="N270" s="3" t="n">
        <v>100</v>
      </c>
      <c r="O270" s="12" t="n">
        <v>26.36986301369863</v>
      </c>
    </row>
    <row r="271">
      <c r="A271" s="10" t="n">
        <v>46141</v>
      </c>
      <c r="B271" t="inlineStr">
        <is>
          <t>Amanda Moura Ferreira</t>
        </is>
      </c>
      <c r="C271" s="1" t="inlineStr">
        <is>
          <t>Técnico III</t>
        </is>
      </c>
      <c r="D271" s="3" t="n">
        <v>0</v>
      </c>
      <c r="E271" s="3" t="n">
        <v>0</v>
      </c>
      <c r="F271" s="3" t="n">
        <v>0</v>
      </c>
      <c r="G271" s="3" t="n">
        <v>0</v>
      </c>
      <c r="H271" s="3" t="n">
        <v>0</v>
      </c>
      <c r="I271" s="3" t="n">
        <v>0</v>
      </c>
      <c r="J271" s="3" t="n">
        <v>0</v>
      </c>
      <c r="K271" s="3" t="n">
        <v>0</v>
      </c>
      <c r="L271" s="3">
        <f>IF(K271&lt;-5,"CRÍTICO",IF(K271&lt;0,"ATENÇÃO",IF(K271&lt;=5,"OPORTUNO","MUITO BOM")))</f>
        <v/>
      </c>
      <c r="M271" s="3" t="n">
        <v>0</v>
      </c>
      <c r="N271" s="3" t="n">
        <v>98.66</v>
      </c>
      <c r="O271" s="12" t="n">
        <v>35.41666666666667</v>
      </c>
    </row>
    <row r="272">
      <c r="A272" s="10" t="n">
        <v>46141</v>
      </c>
      <c r="B272" t="inlineStr">
        <is>
          <t>Ana Paula Da Luz Silva Aleixo</t>
        </is>
      </c>
      <c r="C272" s="1" t="inlineStr">
        <is>
          <t>Técnico III</t>
        </is>
      </c>
      <c r="D272" s="3" t="n">
        <v>0</v>
      </c>
      <c r="E272" s="3" t="n">
        <v>0</v>
      </c>
      <c r="F272" s="3" t="n">
        <v>0</v>
      </c>
      <c r="G272" s="3" t="n">
        <v>0</v>
      </c>
      <c r="H272" s="3" t="n">
        <v>0</v>
      </c>
      <c r="I272" s="3" t="n">
        <v>0</v>
      </c>
      <c r="J272" s="3" t="n">
        <v>0</v>
      </c>
      <c r="K272" s="3" t="n">
        <v>0</v>
      </c>
      <c r="L272" s="3">
        <f>IF(K272&lt;-5,"CRÍTICO",IF(K272&lt;0,"ATENÇÃO",IF(K272&lt;=5,"OPORTUNO","MUITO BOM")))</f>
        <v/>
      </c>
      <c r="M272" s="3" t="n">
        <v>0</v>
      </c>
      <c r="N272" s="3" t="n">
        <v>100</v>
      </c>
      <c r="O272" s="12" t="n">
        <v>27.80373831775701</v>
      </c>
    </row>
    <row r="273">
      <c r="A273" s="10" t="n">
        <v>46141</v>
      </c>
      <c r="B273" t="inlineStr">
        <is>
          <t>Cristiane Ramos da Silva Rocha</t>
        </is>
      </c>
      <c r="C273" s="1" t="inlineStr">
        <is>
          <t>Técnico III</t>
        </is>
      </c>
      <c r="D273" s="3" t="n">
        <v>42</v>
      </c>
      <c r="E273" s="3" t="n">
        <v>35</v>
      </c>
      <c r="F273" s="3" t="n">
        <v>10.13</v>
      </c>
      <c r="G273" s="3" t="n">
        <v>0</v>
      </c>
      <c r="H273" s="3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IF(K273&lt;-5,"CRÍTICO",IF(K273&lt;0,"ATENÇÃO",IF(K273&lt;=5,"OPORTUNO","MUITO BOM")))</f>
        <v/>
      </c>
      <c r="M273" s="3" t="n">
        <v>39</v>
      </c>
      <c r="N273" s="3" t="n">
        <v>93.75</v>
      </c>
      <c r="O273" s="12" t="n">
        <v>26.81992337164751</v>
      </c>
    </row>
    <row r="274">
      <c r="A274" s="10" t="n">
        <v>46141</v>
      </c>
      <c r="B274" t="inlineStr">
        <is>
          <t>Davylla Rodrigues Freitas Silva</t>
        </is>
      </c>
      <c r="C274" s="1" t="inlineStr">
        <is>
          <t>Técnico III</t>
        </is>
      </c>
      <c r="D274" s="3" t="n">
        <v>33</v>
      </c>
      <c r="E274" s="3" t="n">
        <v>31</v>
      </c>
      <c r="F274" s="3" t="n">
        <v>20.43</v>
      </c>
      <c r="G274" s="3" t="n">
        <v>0</v>
      </c>
      <c r="H274" s="3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IF(K274&lt;-5,"CRÍTICO",IF(K274&lt;0,"ATENÇÃO",IF(K274&lt;=5,"OPORTUNO","MUITO BOM")))</f>
        <v/>
      </c>
      <c r="M274" s="3" t="n">
        <v>33</v>
      </c>
      <c r="N274" s="3" t="n">
        <v>100</v>
      </c>
      <c r="O274" s="12" t="n">
        <v>38.65384615384615</v>
      </c>
    </row>
    <row r="275">
      <c r="A275" s="10" t="n">
        <v>46141</v>
      </c>
      <c r="B275" t="inlineStr">
        <is>
          <t>Francielson de Oliveira</t>
        </is>
      </c>
      <c r="C275" s="1" t="inlineStr">
        <is>
          <t>Técnico III</t>
        </is>
      </c>
      <c r="D275" s="3" t="n">
        <v>31</v>
      </c>
      <c r="E275" s="3" t="n">
        <v>29</v>
      </c>
      <c r="F275" s="3" t="n">
        <v>16.58</v>
      </c>
      <c r="G275" s="3" t="n">
        <v>0</v>
      </c>
      <c r="H275" s="3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IF(K275&lt;-5,"CRÍTICO",IF(K275&lt;0,"ATENÇÃO",IF(K275&lt;=5,"OPORTUNO","MUITO BOM")))</f>
        <v/>
      </c>
      <c r="M275" s="3" t="n">
        <v>28</v>
      </c>
      <c r="N275" s="3" t="n">
        <v>99.26000000000001</v>
      </c>
      <c r="O275" s="12" t="n">
        <v>29.76653696498055</v>
      </c>
    </row>
    <row r="276">
      <c r="A276" s="10" t="n">
        <v>46141</v>
      </c>
      <c r="B276" t="inlineStr">
        <is>
          <t>Janaina Lima dos Reis Urany</t>
        </is>
      </c>
      <c r="C276" s="1" t="inlineStr">
        <is>
          <t>Técnico III</t>
        </is>
      </c>
      <c r="D276" s="3" t="n">
        <v>44</v>
      </c>
      <c r="E276" s="3" t="n">
        <v>40</v>
      </c>
      <c r="F276" s="3" t="n">
        <v>12.14</v>
      </c>
      <c r="G276" s="3" t="n">
        <v>0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IF(K276&lt;-5,"CRÍTICO",IF(K276&lt;0,"ATENÇÃO",IF(K276&lt;=5,"OPORTUNO","MUITO BOM")))</f>
        <v/>
      </c>
      <c r="M276" s="3" t="n">
        <v>45</v>
      </c>
      <c r="N276" s="3" t="n">
        <v>99.56999999999999</v>
      </c>
      <c r="O276" s="12" t="n">
        <v>30.63583815028902</v>
      </c>
    </row>
    <row r="277">
      <c r="A277" s="10" t="n">
        <v>46141</v>
      </c>
      <c r="B277" t="inlineStr">
        <is>
          <t>Jaqueline Evangelista da Silva Martins</t>
        </is>
      </c>
      <c r="C277" s="1" t="inlineStr">
        <is>
          <t>Técnico III</t>
        </is>
      </c>
      <c r="D277" s="3" t="n">
        <v>22</v>
      </c>
      <c r="E277" s="3" t="n">
        <v>20</v>
      </c>
      <c r="F277" s="3" t="n">
        <v>15.05</v>
      </c>
      <c r="G277" s="3" t="n">
        <v>0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IF(K277&lt;-5,"CRÍTICO",IF(K277&lt;0,"ATENÇÃO",IF(K277&lt;=5,"OPORTUNO","MUITO BOM")))</f>
        <v/>
      </c>
      <c r="M277" s="3" t="n">
        <v>19</v>
      </c>
      <c r="N277" s="3" t="n">
        <v>95.65000000000001</v>
      </c>
      <c r="O277" s="12" t="n">
        <v>32.43243243243244</v>
      </c>
    </row>
    <row r="278">
      <c r="A278" s="10" t="n">
        <v>46141</v>
      </c>
      <c r="B278" t="inlineStr">
        <is>
          <t>Jéssica Fé Moura</t>
        </is>
      </c>
      <c r="C278" s="1" t="inlineStr">
        <is>
          <t>Técnico III</t>
        </is>
      </c>
      <c r="D278" s="3" t="n">
        <v>0</v>
      </c>
      <c r="E278" s="3" t="n">
        <v>0</v>
      </c>
      <c r="F278" s="3" t="n">
        <v>0</v>
      </c>
      <c r="G278" s="3" t="n">
        <v>0</v>
      </c>
      <c r="H278" s="3" t="n">
        <v>0</v>
      </c>
      <c r="I278" s="3" t="n">
        <v>0</v>
      </c>
      <c r="J278" s="3" t="n">
        <v>0</v>
      </c>
      <c r="K278" s="3" t="n">
        <v>0</v>
      </c>
      <c r="L278" s="3">
        <f>IF(K278&lt;-5,"CRÍTICO",IF(K278&lt;0,"ATENÇÃO",IF(K278&lt;=5,"OPORTUNO","MUITO BOM")))</f>
        <v/>
      </c>
      <c r="M278" s="3" t="n">
        <v>0</v>
      </c>
      <c r="N278" s="3" t="n">
        <v>0</v>
      </c>
      <c r="O278" s="12" t="n">
        <v>0</v>
      </c>
    </row>
    <row r="279">
      <c r="A279" s="10" t="n">
        <v>46141</v>
      </c>
      <c r="B279" t="inlineStr">
        <is>
          <t>Kerollen Cristielly de Jesus Siqueira</t>
        </is>
      </c>
      <c r="C279" s="1" t="inlineStr">
        <is>
          <t>Técnico III</t>
        </is>
      </c>
      <c r="D279" s="3" t="n">
        <v>0</v>
      </c>
      <c r="E279" s="3" t="n">
        <v>0</v>
      </c>
      <c r="F279" s="3" t="n">
        <v>0</v>
      </c>
      <c r="G279" s="3" t="n">
        <v>0</v>
      </c>
      <c r="H279" s="3" t="n">
        <v>0</v>
      </c>
      <c r="I279" s="3" t="n">
        <v>0</v>
      </c>
      <c r="J279" s="3" t="n">
        <v>0</v>
      </c>
      <c r="K279" s="3" t="n">
        <v>0</v>
      </c>
      <c r="L279" s="3">
        <f>IF(K279&lt;-5,"CRÍTICO",IF(K279&lt;0,"ATENÇÃO",IF(K279&lt;=5,"OPORTUNO","MUITO BOM")))</f>
        <v/>
      </c>
      <c r="M279" s="3" t="n">
        <v>34</v>
      </c>
      <c r="N279" s="3" t="n">
        <v>96.81</v>
      </c>
      <c r="O279" s="12" t="n">
        <v>48.01864801864802</v>
      </c>
    </row>
    <row r="280">
      <c r="A280" s="10" t="n">
        <v>46141</v>
      </c>
      <c r="B280" t="inlineStr">
        <is>
          <t>Leandro Oliveira de Sousa</t>
        </is>
      </c>
      <c r="C280" s="1" t="inlineStr">
        <is>
          <t>Técnico III</t>
        </is>
      </c>
      <c r="D280" s="3" t="n">
        <v>32</v>
      </c>
      <c r="E280" s="3" t="n">
        <v>26</v>
      </c>
      <c r="F280" s="3" t="n">
        <v>12.16</v>
      </c>
      <c r="G280" s="3" t="n">
        <v>0</v>
      </c>
      <c r="H280" s="3" t="n">
        <v>0</v>
      </c>
      <c r="I280" s="3">
        <f>E280+G280+H280</f>
        <v/>
      </c>
      <c r="J280" s="3">
        <f>ROUND(MIN(IF(C280="Técnico III",35,IF(C280="Técnico II",28,IF(C280="Técnico I",23,IF(C280="JR",20,IF(C280="Estágio",10,0))))),IF(C280="Técnico III",SUMIFS($D:$D,$A:$A,$A280,$B:$B,"&lt;&gt;Patrícia Karla de Sousa Araújo",$B:$B,"&lt;&gt;Lorena Dias de Araujo",$B:$B,"&lt;&gt;Lucas Luiz Romero")*(35/1083),IF(C280="Técnico II",SUMIFS($D:$D,$A:$A,$A280,$B:$B,"&lt;&gt;Patrícia Karla de Sousa Araújo",$B:$B,"&lt;&gt;Lorena Dias de Araujo",$B:$B,"&lt;&gt;Lucas Luiz Romero")*(28/1083),IF(C280="Técnico I",SUMIFS($D:$D,$A:$A,$A280,$B:$B,"&lt;&gt;Patrícia Karla de Sousa Araújo",$B:$B,"&lt;&gt;Lorena Dias de Araujo",$B:$B,"&lt;&gt;Lucas Luiz Romero")*(23/1083),IF(C280="JR",SUMIFS($D:$D,$A:$A,$A280,$B:$B,"&lt;&gt;Patrícia Karla de Sousa Araújo",$B:$B,"&lt;&gt;Lorena Dias de Araujo",$B:$B,"&lt;&gt;Lucas Luiz Romero")*(20/1083),IF(C280="Estágio",SUMIFS($D:$D,$A:$A,$A280,$B:$B,"&lt;&gt;Patrícia Karla de Sousa Araújo",$B:$B,"&lt;&gt;Lorena Dias de Araujo",$B:$B,"&lt;&gt;Lucas Luiz Romero")*(10/1083),0)))))),0)</f>
        <v/>
      </c>
      <c r="K280" s="3">
        <f>I280-J280</f>
        <v/>
      </c>
      <c r="L280" s="3">
        <f>IF(K280&lt;-5,"CRÍTICO",IF(K280&lt;0,"ATENÇÃO",IF(K280&lt;=5,"OPORTUNO","MUITO BOM")))</f>
        <v/>
      </c>
      <c r="M280" s="3" t="n">
        <v>27</v>
      </c>
      <c r="N280" s="3" t="n">
        <v>99.15000000000001</v>
      </c>
      <c r="O280" s="12" t="n">
        <v>27.58620689655172</v>
      </c>
    </row>
    <row r="281">
      <c r="A281" s="10" t="n">
        <v>46141</v>
      </c>
      <c r="B281" t="inlineStr">
        <is>
          <t>Lucas Luiz Romero</t>
        </is>
      </c>
      <c r="C281" s="1" t="inlineStr">
        <is>
          <t>Técnico III</t>
        </is>
      </c>
      <c r="D281" s="3" t="n">
        <v>0</v>
      </c>
      <c r="E281" s="3" t="n">
        <v>0</v>
      </c>
      <c r="F281" s="3" t="n">
        <v>0</v>
      </c>
      <c r="G281" s="3" t="n">
        <v>0</v>
      </c>
      <c r="H281" s="3" t="n">
        <v>0</v>
      </c>
      <c r="I281" s="3" t="n">
        <v>0</v>
      </c>
      <c r="J281" s="3" t="n">
        <v>0</v>
      </c>
      <c r="K281" s="3" t="n">
        <v>0</v>
      </c>
      <c r="L281" s="3">
        <f>IF(K281&lt;-5,"CRÍTICO",IF(K281&lt;0,"ATENÇÃO",IF(K281&lt;=5,"OPORTUNO","MUITO BOM")))</f>
        <v/>
      </c>
      <c r="M281" s="3" t="n">
        <v>0</v>
      </c>
      <c r="N281" s="3" t="n">
        <v>88.68000000000001</v>
      </c>
      <c r="O281" s="12" t="n">
        <v>22.03389830508474</v>
      </c>
    </row>
    <row r="282">
      <c r="A282" s="10" t="n">
        <v>46035</v>
      </c>
      <c r="B282" t="inlineStr">
        <is>
          <t>Gabriel Gomes de Andrade</t>
        </is>
      </c>
      <c r="C282" s="1" t="inlineStr">
        <is>
          <t>Técnico I</t>
        </is>
      </c>
      <c r="D282" s="3" t="n">
        <v>27</v>
      </c>
      <c r="E282" s="3" t="n">
        <v>24</v>
      </c>
      <c r="F282" s="3" t="n">
        <v>16.46</v>
      </c>
      <c r="G282" s="3" t="n">
        <v>0</v>
      </c>
      <c r="H282" s="3" t="n">
        <v>0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s="3" t="n">
        <v>22</v>
      </c>
      <c r="N282" s="3" t="n">
        <v>98.91</v>
      </c>
      <c r="O282" s="12" t="n">
        <v>31.36729222520107</v>
      </c>
    </row>
    <row r="283">
      <c r="A283" s="10" t="n">
        <v>46084</v>
      </c>
      <c r="B283" t="inlineStr">
        <is>
          <t>Matheus Farias De Souza</t>
        </is>
      </c>
      <c r="C283" s="1" t="inlineStr">
        <is>
          <t>Técnico III</t>
        </is>
      </c>
      <c r="D283" s="3" t="n">
        <v>32</v>
      </c>
      <c r="E283" s="3" t="n">
        <v>30</v>
      </c>
      <c r="F283" s="3" t="n">
        <v>19.1</v>
      </c>
      <c r="G283" s="3" t="n">
        <v>0</v>
      </c>
      <c r="H283" s="3" t="n">
        <v>0</v>
      </c>
      <c r="I283" s="3">
        <f>E283+G283+H283</f>
        <v/>
      </c>
      <c r="J283" s="3">
        <f>ROUND(MIN(IF(C283="Técnico III",35,IF(C283="Técnico II",28,IF(C283="Técnico I",23,IF(C283="JR",20,IF(C283="Estágio",10,0))))),IF(C283="Técnico III",SUMIFS($D:$D,$A:$A,$A283,$B:$B,"&lt;&gt;Patrícia Karla de Sousa Araújo",$B:$B,"&lt;&gt;Lorena Dias de Araujo",$B:$B,"&lt;&gt;Lucas Luiz Romero")*(35/1083),IF(C283="Técnico II",SUMIFS($D:$D,$A:$A,$A283,$B:$B,"&lt;&gt;Patrícia Karla de Sousa Araújo",$B:$B,"&lt;&gt;Lorena Dias de Araujo",$B:$B,"&lt;&gt;Lucas Luiz Romero")*(28/1083),IF(C283="Técnico I",SUMIFS($D:$D,$A:$A,$A283,$B:$B,"&lt;&gt;Patrícia Karla de Sousa Araújo",$B:$B,"&lt;&gt;Lorena Dias de Araujo",$B:$B,"&lt;&gt;Lucas Luiz Romero")*(23/1083),IF(C283="JR",SUMIFS($D:$D,$A:$A,$A283,$B:$B,"&lt;&gt;Patrícia Karla de Sousa Araújo",$B:$B,"&lt;&gt;Lorena Dias de Araujo",$B:$B,"&lt;&gt;Lucas Luiz Romero")*(20/1083),IF(C283="Estágio",SUMIFS($D:$D,$A:$A,$A283,$B:$B,"&lt;&gt;Patrícia Karla de Sousa Araújo",$B:$B,"&lt;&gt;Lorena Dias de Araujo",$B:$B,"&lt;&gt;Lucas Luiz Romero")*(10/1083),0)))))),0)</f>
        <v/>
      </c>
      <c r="K283" s="3">
        <f>I283-J283</f>
        <v/>
      </c>
      <c r="L283" s="3">
        <f>IF(K283&lt;-5,"CRÍTICO",IF(K283&lt;0,"ATENÇÃO",IF(K283&lt;=5,"BOM","EXCELENTE")))</f>
        <v/>
      </c>
      <c r="M283" s="3" t="n">
        <v>31</v>
      </c>
      <c r="N283" s="3" t="n">
        <v>98.86</v>
      </c>
      <c r="O283" s="12" t="n">
        <v>28.95927601809955</v>
      </c>
    </row>
    <row r="284">
      <c r="A284" s="10" t="n">
        <v>46141</v>
      </c>
      <c r="B284" t="inlineStr">
        <is>
          <t>Maysa Victoria Dias Moura</t>
        </is>
      </c>
      <c r="C284" s="1" t="inlineStr">
        <is>
          <t>Técnico III</t>
        </is>
      </c>
      <c r="D284" s="3" t="n">
        <v>32</v>
      </c>
      <c r="E284" s="3" t="n">
        <v>29</v>
      </c>
      <c r="F284" s="3" t="n">
        <v>12.35</v>
      </c>
      <c r="G284" s="3" t="n">
        <v>0</v>
      </c>
      <c r="H284" s="3" t="n">
        <v>0</v>
      </c>
      <c r="I284" s="3">
        <f>E284+G284+H284</f>
        <v/>
      </c>
      <c r="J284" s="3">
        <f>ROUND(MIN(IF(C284="Técnico III",35,IF(C284="Técnico II",28,IF(C284="Técnico I",23,IF(C284="JR",20,IF(C284="Estágio",10,0))))),IF(C284="Técnico III",SUMIFS($D:$D,$A:$A,$A284,$B:$B,"&lt;&gt;Patrícia Karla de Sousa Araújo",$B:$B,"&lt;&gt;Lorena Dias de Araujo",$B:$B,"&lt;&gt;Lucas Luiz Romero")*(35/1083),IF(C284="Técnico II",SUMIFS($D:$D,$A:$A,$A284,$B:$B,"&lt;&gt;Patrícia Karla de Sousa Araújo",$B:$B,"&lt;&gt;Lorena Dias de Araujo",$B:$B,"&lt;&gt;Lucas Luiz Romero")*(28/1083),IF(C284="Técnico I",SUMIFS($D:$D,$A:$A,$A284,$B:$B,"&lt;&gt;Patrícia Karla de Sousa Araújo",$B:$B,"&lt;&gt;Lorena Dias de Araujo",$B:$B,"&lt;&gt;Lucas Luiz Romero")*(23/1083),IF(C284="JR",SUMIFS($D:$D,$A:$A,$A284,$B:$B,"&lt;&gt;Patrícia Karla de Sousa Araújo",$B:$B,"&lt;&gt;Lorena Dias de Araujo",$B:$B,"&lt;&gt;Lucas Luiz Romero")*(20/1083),IF(C284="Estágio",SUMIFS($D:$D,$A:$A,$A284,$B:$B,"&lt;&gt;Patrícia Karla de Sousa Araújo",$B:$B,"&lt;&gt;Lorena Dias de Araujo",$B:$B,"&lt;&gt;Lucas Luiz Romero")*(10/1083),0)))))),0)</f>
        <v/>
      </c>
      <c r="K284" s="3">
        <f>I284-J284</f>
        <v/>
      </c>
      <c r="L284" s="3">
        <f>IF(K284&lt;-5,"CRÍTICO",IF(K284&lt;0,"ATENÇÃO",IF(K284&lt;=5,"OPORTUNO","MUITO BOM")))</f>
        <v/>
      </c>
      <c r="M284" s="3" t="n">
        <v>27</v>
      </c>
      <c r="N284" s="3" t="n">
        <v>95.48999999999999</v>
      </c>
      <c r="O284" s="12" t="n">
        <v>28.37022132796781</v>
      </c>
    </row>
    <row r="285">
      <c r="A285" s="10" t="n">
        <v>46141</v>
      </c>
      <c r="B285" t="inlineStr">
        <is>
          <t>Rafael Gomes de Morais</t>
        </is>
      </c>
      <c r="C285" s="1" t="inlineStr">
        <is>
          <t>Técnico III</t>
        </is>
      </c>
      <c r="D285" s="3" t="n">
        <v>52</v>
      </c>
      <c r="E285" s="3" t="n">
        <v>48</v>
      </c>
      <c r="F285" s="3" t="n">
        <v>10.56</v>
      </c>
      <c r="G285" s="3" t="n">
        <v>0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IF(K285&lt;-5,"CRÍTICO",IF(K285&lt;0,"ATENÇÃO",IF(K285&lt;=5,"OPORTUNO","MUITO BOM")))</f>
        <v/>
      </c>
      <c r="M285" s="3" t="n">
        <v>40</v>
      </c>
      <c r="N285" s="3" t="n">
        <v>100</v>
      </c>
      <c r="O285" s="12" t="n">
        <v>31.13553113553114</v>
      </c>
    </row>
    <row r="286">
      <c r="A286" s="10" t="n">
        <v>46141</v>
      </c>
      <c r="B286" t="inlineStr">
        <is>
          <t>Sarah Steffanie de Lima Borges</t>
        </is>
      </c>
      <c r="C286" s="1" t="inlineStr">
        <is>
          <t>Técnico III</t>
        </is>
      </c>
      <c r="D286" s="3" t="n">
        <v>30</v>
      </c>
      <c r="E286" s="3" t="n">
        <v>30</v>
      </c>
      <c r="F286" s="3" t="n">
        <v>15</v>
      </c>
      <c r="G286" s="3" t="n">
        <v>0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IF(K286&lt;-5,"CRÍTICO",IF(K286&lt;0,"ATENÇÃO",IF(K286&lt;=5,"OPORTUNO","MUITO BOM")))</f>
        <v/>
      </c>
      <c r="M286" s="3" t="n">
        <v>28</v>
      </c>
      <c r="N286" s="3" t="n">
        <v>99.20999999999999</v>
      </c>
      <c r="O286" s="12" t="n">
        <v>25.18891687657431</v>
      </c>
    </row>
    <row r="287">
      <c r="A287" s="11" t="n">
        <v>46141</v>
      </c>
      <c r="B287" t="inlineStr">
        <is>
          <t>Alisson de Freitas Silva</t>
        </is>
      </c>
      <c r="C287" s="1" t="inlineStr">
        <is>
          <t>Técnico II</t>
        </is>
      </c>
      <c r="D287" s="3" t="n">
        <v>43</v>
      </c>
      <c r="E287" s="3" t="n">
        <v>35</v>
      </c>
      <c r="F287" s="3" t="n">
        <v>10.15</v>
      </c>
      <c r="G287" s="3" t="n">
        <v>0</v>
      </c>
      <c r="H287" s="3" t="n">
        <v>0</v>
      </c>
      <c r="I287" s="3">
        <f>E287+G287+H287</f>
        <v/>
      </c>
      <c r="J287" s="3">
        <f>ROUND(MIN(IF(C287="Técnico III",35,IF(C287="Técnico II",28,IF(C287="Técnico I",23,IF(C287="JR",20,IF(C287="Estágio",10,0))))),IF(C287="Técnico III",SUMIFS($D:$D,$A:$A,$A287,$B:$B,"&lt;&gt;Patrícia Karla de Sousa Araújo",$B:$B,"&lt;&gt;Lorena Dias de Araujo",$B:$B,"&lt;&gt;Lucas Luiz Romero")*(35/1083),IF(C287="Técnico II",SUMIFS($D:$D,$A:$A,$A287,$B:$B,"&lt;&gt;Patrícia Karla de Sousa Araújo",$B:$B,"&lt;&gt;Lorena Dias de Araujo",$B:$B,"&lt;&gt;Lucas Luiz Romero")*(28/1083),IF(C287="Técnico I",SUMIFS($D:$D,$A:$A,$A287,$B:$B,"&lt;&gt;Patrícia Karla de Sousa Araújo",$B:$B,"&lt;&gt;Lorena Dias de Araujo",$B:$B,"&lt;&gt;Lucas Luiz Romero")*(23/1083),IF(C287="JR",SUMIFS($D:$D,$A:$A,$A287,$B:$B,"&lt;&gt;Patrícia Karla de Sousa Araújo",$B:$B,"&lt;&gt;Lorena Dias de Araujo",$B:$B,"&lt;&gt;Lucas Luiz Romero")*(20/1083),IF(C287="Estágio",SUMIFS($D:$D,$A:$A,$A287,$B:$B,"&lt;&gt;Patrícia Karla de Sousa Araújo",$B:$B,"&lt;&gt;Lorena Dias de Araujo",$B:$B,"&lt;&gt;Lucas Luiz Romero")*(10/1083),0)))))),0)</f>
        <v/>
      </c>
      <c r="K287" s="3">
        <f>I287-J287</f>
        <v/>
      </c>
      <c r="L287" s="3">
        <f>IF(K287&lt;-5,"CRÍTICO",IF(K287&lt;0,"ATENÇÃO",IF(K287&lt;=5,"OPORTUNO","MUITO BOM")))</f>
        <v/>
      </c>
      <c r="M287" s="3" t="n">
        <v>28</v>
      </c>
      <c r="N287" s="3" t="n">
        <v>100</v>
      </c>
      <c r="O287" s="12" t="n">
        <v>32.76450511945392</v>
      </c>
    </row>
    <row r="288">
      <c r="A288" s="10" t="n">
        <v>46141</v>
      </c>
      <c r="B288" t="inlineStr">
        <is>
          <t>Brenda de Menezes Silva</t>
        </is>
      </c>
      <c r="C288" s="1" t="inlineStr">
        <is>
          <t>Técnico II</t>
        </is>
      </c>
      <c r="D288" s="3" t="n">
        <v>38</v>
      </c>
      <c r="E288" s="3" t="n">
        <v>31</v>
      </c>
      <c r="F288" s="3" t="n">
        <v>11.5</v>
      </c>
      <c r="G288" s="3" t="n">
        <v>0</v>
      </c>
      <c r="H288" s="3" t="n">
        <v>0</v>
      </c>
      <c r="I288" s="3">
        <f>E288+G288+H288</f>
        <v/>
      </c>
      <c r="J288" s="3">
        <f>ROUND(MIN(IF(C288="Técnico III",35,IF(C288="Técnico II",28,IF(C288="Técnico I",23,IF(C288="JR",20,IF(C288="Estágio",10,0))))),IF(C288="Técnico III",SUMIFS($D:$D,$A:$A,$A288,$B:$B,"&lt;&gt;Patrícia Karla de Sousa Araújo",$B:$B,"&lt;&gt;Lorena Dias de Araujo",$B:$B,"&lt;&gt;Lucas Luiz Romero")*(35/1083),IF(C288="Técnico II",SUMIFS($D:$D,$A:$A,$A288,$B:$B,"&lt;&gt;Patrícia Karla de Sousa Araújo",$B:$B,"&lt;&gt;Lorena Dias de Araujo",$B:$B,"&lt;&gt;Lucas Luiz Romero")*(28/1083),IF(C288="Técnico I",SUMIFS($D:$D,$A:$A,$A288,$B:$B,"&lt;&gt;Patrícia Karla de Sousa Araújo",$B:$B,"&lt;&gt;Lorena Dias de Araujo",$B:$B,"&lt;&gt;Lucas Luiz Romero")*(23/1083),IF(C288="JR",SUMIFS($D:$D,$A:$A,$A288,$B:$B,"&lt;&gt;Patrícia Karla de Sousa Araújo",$B:$B,"&lt;&gt;Lorena Dias de Araujo",$B:$B,"&lt;&gt;Lucas Luiz Romero")*(20/1083),IF(C288="Estágio",SUMIFS($D:$D,$A:$A,$A288,$B:$B,"&lt;&gt;Patrícia Karla de Sousa Araújo",$B:$B,"&lt;&gt;Lorena Dias de Araujo",$B:$B,"&lt;&gt;Lucas Luiz Romero")*(10/1083),0)))))),0)</f>
        <v/>
      </c>
      <c r="K288" s="3">
        <f>I288-J288</f>
        <v/>
      </c>
      <c r="L288" s="3">
        <f>IF(K288&lt;-5,"CRÍTICO",IF(K288&lt;0,"ATENÇÃO",IF(K288&lt;=5,"OPORTUNO","MUITO BOM")))</f>
        <v/>
      </c>
      <c r="M288" s="3" t="n">
        <v>39</v>
      </c>
      <c r="N288" s="3" t="n">
        <v>98.81999999999999</v>
      </c>
      <c r="O288" s="12" t="n">
        <v>30.74141048824593</v>
      </c>
    </row>
    <row r="289">
      <c r="A289" s="10" t="n">
        <v>46141</v>
      </c>
      <c r="B289" t="inlineStr">
        <is>
          <t>Carlos Mateus Cassimiro Nunes</t>
        </is>
      </c>
      <c r="C289" s="1" t="inlineStr">
        <is>
          <t>Técnico II</t>
        </is>
      </c>
      <c r="D289" s="3" t="n">
        <v>24</v>
      </c>
      <c r="E289" s="3" t="n">
        <v>23</v>
      </c>
      <c r="F289" s="3" t="n">
        <v>25.46</v>
      </c>
      <c r="G289" s="3" t="n">
        <v>0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IF(K289&lt;-5,"CRÍTICO",IF(K289&lt;0,"ATENÇÃO",IF(K289&lt;=5,"OPORTUNO","MUITO BOM")))</f>
        <v/>
      </c>
      <c r="M289" s="3" t="n">
        <v>24</v>
      </c>
      <c r="N289" s="3" t="n">
        <v>98.2</v>
      </c>
      <c r="O289" s="12" t="n">
        <v>27.17086834733893</v>
      </c>
    </row>
    <row r="290">
      <c r="A290" s="10" t="n">
        <v>46141</v>
      </c>
      <c r="B290" t="inlineStr">
        <is>
          <t>Damyllis Lorraine de Oliveira Gonçalves</t>
        </is>
      </c>
      <c r="C290" s="1" t="inlineStr">
        <is>
          <t>Técnico II</t>
        </is>
      </c>
      <c r="D290" s="3" t="n">
        <v>32</v>
      </c>
      <c r="E290" s="3" t="n">
        <v>30</v>
      </c>
      <c r="F290" s="3" t="n">
        <v>18.45</v>
      </c>
      <c r="G290" s="3" t="n">
        <v>0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IF(K290&lt;-5,"CRÍTICO",IF(K290&lt;0,"ATENÇÃO",IF(K290&lt;=5,"OPORTUNO","MUITO BOM")))</f>
        <v/>
      </c>
      <c r="M290" s="3" t="n">
        <v>24</v>
      </c>
      <c r="N290" s="3" t="n">
        <v>97.86</v>
      </c>
      <c r="O290" s="12" t="n">
        <v>31.01851851851852</v>
      </c>
    </row>
    <row r="291">
      <c r="A291" s="10" t="n">
        <v>46141</v>
      </c>
      <c r="B291" t="inlineStr">
        <is>
          <t>Emilly Kamilly Medeiros Miranda</t>
        </is>
      </c>
      <c r="C291" s="1" t="inlineStr">
        <is>
          <t>Técnico II</t>
        </is>
      </c>
      <c r="D291" s="3" t="n">
        <v>31</v>
      </c>
      <c r="E291" s="3" t="n">
        <v>28</v>
      </c>
      <c r="F291" s="3" t="n">
        <v>18.26</v>
      </c>
      <c r="G291" s="3" t="n">
        <v>0</v>
      </c>
      <c r="H291" s="3" t="n">
        <v>0</v>
      </c>
      <c r="I291" s="3">
        <f>E291+G291+H291</f>
        <v/>
      </c>
      <c r="J291" s="3">
        <f>ROUND(MIN(IF(C291="Técnico III",35,IF(C291="Técnico II",28,IF(C291="Técnico I",23,IF(C291="JR",20,IF(C291="Estágio",10,0))))),IF(C291="Técnico III",SUMIFS($D:$D,$A:$A,$A291,$B:$B,"&lt;&gt;Patrícia Karla de Sousa Araújo",$B:$B,"&lt;&gt;Lorena Dias de Araujo",$B:$B,"&lt;&gt;Lucas Luiz Romero")*(35/1083),IF(C291="Técnico II",SUMIFS($D:$D,$A:$A,$A291,$B:$B,"&lt;&gt;Patrícia Karla de Sousa Araújo",$B:$B,"&lt;&gt;Lorena Dias de Araujo",$B:$B,"&lt;&gt;Lucas Luiz Romero")*(28/1083),IF(C291="Técnico I",SUMIFS($D:$D,$A:$A,$A291,$B:$B,"&lt;&gt;Patrícia Karla de Sousa Araújo",$B:$B,"&lt;&gt;Lorena Dias de Araujo",$B:$B,"&lt;&gt;Lucas Luiz Romero")*(23/1083),IF(C291="JR",SUMIFS($D:$D,$A:$A,$A291,$B:$B,"&lt;&gt;Patrícia Karla de Sousa Araújo",$B:$B,"&lt;&gt;Lorena Dias de Araujo",$B:$B,"&lt;&gt;Lucas Luiz Romero")*(20/1083),IF(C291="Estágio",SUMIFS($D:$D,$A:$A,$A291,$B:$B,"&lt;&gt;Patrícia Karla de Sousa Araújo",$B:$B,"&lt;&gt;Lorena Dias de Araujo",$B:$B,"&lt;&gt;Lucas Luiz Romero")*(10/1083),0)))))),0)</f>
        <v/>
      </c>
      <c r="K291" s="3">
        <f>I291-J291</f>
        <v/>
      </c>
      <c r="L291" s="3">
        <f>IF(K291&lt;-5,"CRÍTICO",IF(K291&lt;0,"ATENÇÃO",IF(K291&lt;=5,"OPORTUNO","MUITO BOM")))</f>
        <v/>
      </c>
      <c r="M291" s="3" t="n">
        <v>23</v>
      </c>
      <c r="N291" s="3" t="n">
        <v>97.83</v>
      </c>
      <c r="O291" s="12" t="n">
        <v>28.35164835164835</v>
      </c>
    </row>
    <row r="292">
      <c r="A292" s="10" t="n">
        <v>46141</v>
      </c>
      <c r="B292" t="inlineStr">
        <is>
          <t>Francilene Ferreira de Jesus</t>
        </is>
      </c>
      <c r="C292" s="1" t="inlineStr">
        <is>
          <t>Técnico II</t>
        </is>
      </c>
      <c r="D292" s="3" t="n">
        <v>36</v>
      </c>
      <c r="E292" s="3" t="n">
        <v>34</v>
      </c>
      <c r="F292" s="3" t="n">
        <v>15.24</v>
      </c>
      <c r="G292" s="3" t="n">
        <v>0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IF(K292&lt;-5,"CRÍTICO",IF(K292&lt;0,"ATENÇÃO",IF(K292&lt;=5,"OPORTUNO","MUITO BOM")))</f>
        <v/>
      </c>
      <c r="M292" s="3" t="n">
        <v>30</v>
      </c>
      <c r="N292" s="3" t="n">
        <v>99.19</v>
      </c>
      <c r="O292" s="12" t="n">
        <v>29.46236559139785</v>
      </c>
    </row>
    <row r="293">
      <c r="A293" s="10" t="n">
        <v>46141</v>
      </c>
      <c r="B293" t="inlineStr">
        <is>
          <t>Isabella Borges de Oliveira</t>
        </is>
      </c>
      <c r="C293" s="1" t="inlineStr">
        <is>
          <t>Técnico II</t>
        </is>
      </c>
      <c r="D293" s="3" t="n">
        <v>29</v>
      </c>
      <c r="E293" s="3" t="n">
        <v>26</v>
      </c>
      <c r="F293" s="3" t="n">
        <v>18.33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IF(K293&lt;-5,"CRÍTICO",IF(K293&lt;0,"ATENÇÃO",IF(K293&lt;=5,"OPORTUNO","MUITO BOM")))</f>
        <v/>
      </c>
      <c r="M293" s="3" t="n">
        <v>27</v>
      </c>
      <c r="N293" s="3" t="n">
        <v>100</v>
      </c>
      <c r="O293" s="12" t="n">
        <v>28.92156862745098</v>
      </c>
    </row>
    <row r="294">
      <c r="A294" s="10" t="n">
        <v>46141</v>
      </c>
      <c r="B294" t="inlineStr">
        <is>
          <t>Jessica Faria da Silveira</t>
        </is>
      </c>
      <c r="C294" s="1" t="inlineStr">
        <is>
          <t>Técnico II</t>
        </is>
      </c>
      <c r="D294" s="3" t="n">
        <v>39</v>
      </c>
      <c r="E294" s="3" t="n">
        <v>28</v>
      </c>
      <c r="F294" s="3" t="n">
        <v>10.24</v>
      </c>
      <c r="G294" s="3" t="n">
        <v>0</v>
      </c>
      <c r="H294" s="3" t="n">
        <v>0</v>
      </c>
      <c r="I294" s="3">
        <f>E294+G294+H294</f>
        <v/>
      </c>
      <c r="J294" s="3">
        <f>ROUND(MIN(IF(C294="Técnico III",35,IF(C294="Técnico II",28,IF(C294="Técnico I",23,IF(C294="JR",20,IF(C294="Estágio",10,0))))),IF(C294="Técnico III",SUMIFS($D:$D,$A:$A,$A294,$B:$B,"&lt;&gt;Patrícia Karla de Sousa Araújo",$B:$B,"&lt;&gt;Lorena Dias de Araujo",$B:$B,"&lt;&gt;Lucas Luiz Romero")*(35/1083),IF(C294="Técnico II",SUMIFS($D:$D,$A:$A,$A294,$B:$B,"&lt;&gt;Patrícia Karla de Sousa Araújo",$B:$B,"&lt;&gt;Lorena Dias de Araujo",$B:$B,"&lt;&gt;Lucas Luiz Romero")*(28/1083),IF(C294="Técnico I",SUMIFS($D:$D,$A:$A,$A294,$B:$B,"&lt;&gt;Patrícia Karla de Sousa Araújo",$B:$B,"&lt;&gt;Lorena Dias de Araujo",$B:$B,"&lt;&gt;Lucas Luiz Romero")*(23/1083),IF(C294="JR",SUMIFS($D:$D,$A:$A,$A294,$B:$B,"&lt;&gt;Patrícia Karla de Sousa Araújo",$B:$B,"&lt;&gt;Lorena Dias de Araujo",$B:$B,"&lt;&gt;Lucas Luiz Romero")*(20/1083),IF(C294="Estágio",SUMIFS($D:$D,$A:$A,$A294,$B:$B,"&lt;&gt;Patrícia Karla de Sousa Araújo",$B:$B,"&lt;&gt;Lorena Dias de Araujo",$B:$B,"&lt;&gt;Lucas Luiz Romero")*(10/1083),0)))))),0)</f>
        <v/>
      </c>
      <c r="K294" s="3">
        <f>I294-J294</f>
        <v/>
      </c>
      <c r="L294" s="3">
        <f>IF(K294&lt;-5,"CRÍTICO",IF(K294&lt;0,"ATENÇÃO",IF(K294&lt;=5,"OPORTUNO","MUITO BOM")))</f>
        <v/>
      </c>
      <c r="M294" s="3" t="n">
        <v>30</v>
      </c>
      <c r="N294" s="3" t="n">
        <v>98.81</v>
      </c>
      <c r="O294" s="12" t="n">
        <v>26.25698324022346</v>
      </c>
    </row>
    <row r="295">
      <c r="A295" s="10" t="n">
        <v>46141</v>
      </c>
      <c r="B295" t="inlineStr">
        <is>
          <t>Lizandra Gomes Duarte</t>
        </is>
      </c>
      <c r="C295" s="1" t="inlineStr">
        <is>
          <t>Técnico II</t>
        </is>
      </c>
      <c r="D295" s="3" t="n">
        <v>37</v>
      </c>
      <c r="E295" s="3" t="n">
        <v>35</v>
      </c>
      <c r="F295" s="3" t="n">
        <v>15.55</v>
      </c>
      <c r="G295" s="3" t="n">
        <v>0</v>
      </c>
      <c r="H295" s="3" t="n">
        <v>0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IF(K295&lt;-5,"CRÍTICO",IF(K295&lt;0,"ATENÇÃO",IF(K295&lt;=5,"OPORTUNO","MUITO BOM")))</f>
        <v/>
      </c>
      <c r="M295" s="3" t="n">
        <v>18</v>
      </c>
      <c r="N295" s="3" t="n">
        <v>99.17</v>
      </c>
      <c r="O295" s="12" t="n">
        <v>29.75206611570248</v>
      </c>
    </row>
    <row r="296">
      <c r="A296" s="10" t="n">
        <v>46141</v>
      </c>
      <c r="B296" t="inlineStr">
        <is>
          <t>Lorena Dias de Araujo</t>
        </is>
      </c>
      <c r="C296" s="1" t="inlineStr">
        <is>
          <t>Técnico II</t>
        </is>
      </c>
      <c r="D296" s="3" t="n">
        <v>0</v>
      </c>
      <c r="E296" s="3" t="n">
        <v>0</v>
      </c>
      <c r="F296" s="3" t="n">
        <v>0</v>
      </c>
      <c r="G296" s="3" t="n">
        <v>0</v>
      </c>
      <c r="H296" s="3" t="n">
        <v>0</v>
      </c>
      <c r="I296" s="3" t="n">
        <v>0</v>
      </c>
      <c r="J296" s="3" t="n">
        <v>0</v>
      </c>
      <c r="K296" s="3" t="n">
        <v>0</v>
      </c>
      <c r="L296" s="3">
        <f>IF(K296&lt;-5,"CRÍTICO",IF(K296&lt;0,"ATENÇÃO",IF(K296&lt;=5,"OPORTUNO","MUITO BOM")))</f>
        <v/>
      </c>
      <c r="M296" s="3" t="n">
        <v>0</v>
      </c>
      <c r="N296" s="3" t="n">
        <v>98.73</v>
      </c>
      <c r="O296" s="12" t="n">
        <v>28.96174863387978</v>
      </c>
    </row>
    <row r="297">
      <c r="A297" s="10" t="n">
        <v>46141</v>
      </c>
      <c r="B297" t="inlineStr">
        <is>
          <t>Patrícia Karla de Sousa Araújo</t>
        </is>
      </c>
      <c r="C297" s="1" t="inlineStr">
        <is>
          <t>Técnico II</t>
        </is>
      </c>
      <c r="D297" s="3" t="n">
        <v>0</v>
      </c>
      <c r="E297" s="3" t="n">
        <v>0</v>
      </c>
      <c r="F297" s="3" t="n">
        <v>0</v>
      </c>
      <c r="G297" s="3" t="n">
        <v>0</v>
      </c>
      <c r="H297" s="3" t="n">
        <v>0</v>
      </c>
      <c r="I297" s="3" t="n">
        <v>0</v>
      </c>
      <c r="J297" s="3" t="n">
        <v>0</v>
      </c>
      <c r="K297" s="3" t="n">
        <v>0</v>
      </c>
      <c r="L297" s="3">
        <f>IF(K297&lt;-5,"CRÍTICO",IF(K297&lt;0,"ATENÇÃO",IF(K297&lt;=5,"OPORTUNO","MUITO BOM")))</f>
        <v/>
      </c>
      <c r="M297" s="3" t="n">
        <v>0</v>
      </c>
      <c r="N297" s="3" t="n">
        <v>99.02</v>
      </c>
      <c r="O297" s="12" t="n">
        <v>34.7972972972973</v>
      </c>
    </row>
    <row r="298">
      <c r="A298" s="10" t="n">
        <v>46141</v>
      </c>
      <c r="B298" t="inlineStr">
        <is>
          <t>Ana Karollyne Souza Faria</t>
        </is>
      </c>
      <c r="C298" s="1" t="inlineStr">
        <is>
          <t>Técnico I</t>
        </is>
      </c>
      <c r="D298" s="3" t="n">
        <v>33</v>
      </c>
      <c r="E298" s="3" t="n">
        <v>29</v>
      </c>
      <c r="F298" s="3" t="n">
        <v>20.25</v>
      </c>
      <c r="G298" s="3" t="n">
        <v>0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IF(K298&lt;-5,"CRÍTICO",IF(K298&lt;0,"ATENÇÃO",IF(K298&lt;=5,"OPORTUNO","MUITO BOM")))</f>
        <v/>
      </c>
      <c r="M298" s="3" t="n">
        <v>28</v>
      </c>
      <c r="N298" s="3" t="n">
        <v>99.31999999999999</v>
      </c>
      <c r="O298" s="12" t="n">
        <v>30.6483300589391</v>
      </c>
    </row>
    <row r="299">
      <c r="A299" s="10" t="n">
        <v>46141</v>
      </c>
      <c r="B299" t="inlineStr">
        <is>
          <t>Clessiane Pereira dos Santos</t>
        </is>
      </c>
      <c r="C299" s="1" t="inlineStr">
        <is>
          <t>Técnico I</t>
        </is>
      </c>
      <c r="D299" s="3" t="n">
        <v>51</v>
      </c>
      <c r="E299" s="3" t="n">
        <v>13</v>
      </c>
      <c r="F299" s="3" t="n">
        <v>3.26</v>
      </c>
      <c r="G299" s="3" t="n">
        <v>0</v>
      </c>
      <c r="H299" s="3" t="n">
        <v>0</v>
      </c>
      <c r="I299" s="3">
        <f>E299+G299+H299</f>
        <v/>
      </c>
      <c r="J299" s="3">
        <f>ROUND(MIN(IF(C299="Técnico III",35,IF(C299="Técnico II",28,IF(C299="Técnico I",23,IF(C299="JR",20,IF(C299="Estágio",10,0))))),IF(C299="Técnico III",SUMIFS($D:$D,$A:$A,$A299,$B:$B,"&lt;&gt;Patrícia Karla de Sousa Araújo",$B:$B,"&lt;&gt;Lorena Dias de Araujo",$B:$B,"&lt;&gt;Lucas Luiz Romero")*(35/1083),IF(C299="Técnico II",SUMIFS($D:$D,$A:$A,$A299,$B:$B,"&lt;&gt;Patrícia Karla de Sousa Araújo",$B:$B,"&lt;&gt;Lorena Dias de Araujo",$B:$B,"&lt;&gt;Lucas Luiz Romero")*(28/1083),IF(C299="Técnico I",SUMIFS($D:$D,$A:$A,$A299,$B:$B,"&lt;&gt;Patrícia Karla de Sousa Araújo",$B:$B,"&lt;&gt;Lorena Dias de Araujo",$B:$B,"&lt;&gt;Lucas Luiz Romero")*(23/1083),IF(C299="JR",SUMIFS($D:$D,$A:$A,$A299,$B:$B,"&lt;&gt;Patrícia Karla de Sousa Araújo",$B:$B,"&lt;&gt;Lorena Dias de Araujo",$B:$B,"&lt;&gt;Lucas Luiz Romero")*(20/1083),IF(C299="Estágio",SUMIFS($D:$D,$A:$A,$A299,$B:$B,"&lt;&gt;Patrícia Karla de Sousa Araújo",$B:$B,"&lt;&gt;Lorena Dias de Araujo",$B:$B,"&lt;&gt;Lucas Luiz Romero")*(10/1083),0)))))),0)</f>
        <v/>
      </c>
      <c r="K299" s="3">
        <f>I299-J299</f>
        <v/>
      </c>
      <c r="L299" s="3">
        <f>IF(K299&lt;-5,"CRÍTICO",IF(K299&lt;0,"ATENÇÃO",IF(K299&lt;=5,"OPORTUNO","MUITO BOM")))</f>
        <v/>
      </c>
      <c r="M299" s="3" t="n">
        <v>19</v>
      </c>
      <c r="N299" s="3" t="n">
        <v>96.3</v>
      </c>
      <c r="O299" s="12" t="n">
        <v>32.21957040572792</v>
      </c>
    </row>
    <row r="300">
      <c r="A300" s="10" t="n">
        <v>46141</v>
      </c>
      <c r="B300" t="inlineStr">
        <is>
          <t>Daniel Gomes da Silva</t>
        </is>
      </c>
      <c r="C300" s="1" t="inlineStr">
        <is>
          <t>Técnico I</t>
        </is>
      </c>
      <c r="D300" s="3" t="n">
        <v>29</v>
      </c>
      <c r="E300" s="3" t="n">
        <v>28</v>
      </c>
      <c r="F300" s="3" t="n">
        <v>18.51</v>
      </c>
      <c r="G300" s="3" t="n">
        <v>0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IF(K300&lt;-5,"CRÍTICO",IF(K300&lt;0,"ATENÇÃO",IF(K300&lt;=5,"OPORTUNO","MUITO BOM")))</f>
        <v/>
      </c>
      <c r="M300" s="3" t="n">
        <v>22</v>
      </c>
      <c r="N300" s="3" t="n">
        <v>100</v>
      </c>
      <c r="O300" s="12" t="n">
        <v>36.59420289855073</v>
      </c>
    </row>
    <row r="301">
      <c r="A301" s="10" t="n">
        <v>46141</v>
      </c>
      <c r="B301" t="inlineStr">
        <is>
          <t>Gabriel Gomes de Andrade</t>
        </is>
      </c>
      <c r="C301" s="1" t="inlineStr">
        <is>
          <t>Técnico I</t>
        </is>
      </c>
      <c r="D301" s="3" t="n">
        <v>0</v>
      </c>
      <c r="E301" s="3" t="n">
        <v>0</v>
      </c>
      <c r="F301" s="3" t="n">
        <v>0</v>
      </c>
      <c r="G301" s="3" t="n">
        <v>0</v>
      </c>
      <c r="H301" s="3" t="n">
        <v>0</v>
      </c>
      <c r="I301" s="3" t="n">
        <v>0</v>
      </c>
      <c r="J301" s="3" t="n">
        <v>0</v>
      </c>
      <c r="K301" s="3" t="n">
        <v>0</v>
      </c>
      <c r="L301" s="3">
        <f>IF(K301&lt;-5,"CRÍTICO",IF(K301&lt;0,"ATENÇÃO",IF(K301&lt;=5,"OPORTUNO","MUITO BOM")))</f>
        <v/>
      </c>
      <c r="M301" s="3" t="n">
        <v>54</v>
      </c>
      <c r="N301" s="3" t="n">
        <v>99.28</v>
      </c>
      <c r="O301" s="12" t="n">
        <v>27.68924302788844</v>
      </c>
    </row>
    <row r="302">
      <c r="A302" s="10" t="n">
        <v>46141</v>
      </c>
      <c r="B302" t="inlineStr">
        <is>
          <t>Luiz Fernando de Carvalho Junior</t>
        </is>
      </c>
      <c r="C302" s="1" t="inlineStr">
        <is>
          <t>Técnico I</t>
        </is>
      </c>
      <c r="D302" s="3" t="n">
        <v>20</v>
      </c>
      <c r="E302" s="3" t="n">
        <v>18</v>
      </c>
      <c r="F302" s="3" t="n">
        <v>20.37</v>
      </c>
      <c r="G302" s="3" t="n">
        <v>0</v>
      </c>
      <c r="H302" s="3" t="n">
        <v>0</v>
      </c>
      <c r="I302" s="3">
        <f>E302+G302+H302</f>
        <v/>
      </c>
      <c r="J302" s="3">
        <f>ROUND(MIN(IF(C302="Técnico III",35,IF(C302="Técnico II",28,IF(C302="Técnico I",23,IF(C302="JR",20,IF(C302="Estágio",10,0))))),IF(C302="Técnico III",SUMIFS($D:$D,$A:$A,$A302,$B:$B,"&lt;&gt;Patrícia Karla de Sousa Araújo",$B:$B,"&lt;&gt;Lorena Dias de Araujo",$B:$B,"&lt;&gt;Lucas Luiz Romero")*(35/1083),IF(C302="Técnico II",SUMIFS($D:$D,$A:$A,$A302,$B:$B,"&lt;&gt;Patrícia Karla de Sousa Araújo",$B:$B,"&lt;&gt;Lorena Dias de Araujo",$B:$B,"&lt;&gt;Lucas Luiz Romero")*(28/1083),IF(C302="Técnico I",SUMIFS($D:$D,$A:$A,$A302,$B:$B,"&lt;&gt;Patrícia Karla de Sousa Araújo",$B:$B,"&lt;&gt;Lorena Dias de Araujo",$B:$B,"&lt;&gt;Lucas Luiz Romero")*(23/1083),IF(C302="JR",SUMIFS($D:$D,$A:$A,$A302,$B:$B,"&lt;&gt;Patrícia Karla de Sousa Araújo",$B:$B,"&lt;&gt;Lorena Dias de Araujo",$B:$B,"&lt;&gt;Lucas Luiz Romero")*(20/1083),IF(C302="Estágio",SUMIFS($D:$D,$A:$A,$A302,$B:$B,"&lt;&gt;Patrícia Karla de Sousa Araújo",$B:$B,"&lt;&gt;Lorena Dias de Araujo",$B:$B,"&lt;&gt;Lucas Luiz Romero")*(10/1083),0)))))),0)</f>
        <v/>
      </c>
      <c r="K302" s="3">
        <f>I302-J302</f>
        <v/>
      </c>
      <c r="L302" s="3">
        <f>IF(K302&lt;-5,"CRÍTICO",IF(K302&lt;0,"ATENÇÃO",IF(K302&lt;=5,"OPORTUNO","MUITO BOM")))</f>
        <v/>
      </c>
      <c r="M302" s="3" t="n">
        <v>20</v>
      </c>
      <c r="N302" s="3" t="n">
        <v>97.37</v>
      </c>
      <c r="O302" s="12" t="n">
        <v>25.76530612244898</v>
      </c>
    </row>
    <row r="303">
      <c r="A303" s="10" t="n">
        <v>46141</v>
      </c>
      <c r="B303" t="inlineStr">
        <is>
          <t>Raane Batista Matos</t>
        </is>
      </c>
      <c r="C303" s="1" t="inlineStr">
        <is>
          <t>Técnico I</t>
        </is>
      </c>
      <c r="D303" s="3" t="n">
        <v>32</v>
      </c>
      <c r="E303" s="3" t="n">
        <v>28</v>
      </c>
      <c r="F303" s="3" t="n">
        <v>13.21</v>
      </c>
      <c r="G303" s="3" t="n">
        <v>0</v>
      </c>
      <c r="H303" s="3" t="n">
        <v>0</v>
      </c>
      <c r="I303" s="3">
        <f>E303+G303+H303</f>
        <v/>
      </c>
      <c r="J303" s="3">
        <f>ROUND(MIN(IF(C303="Técnico III",35,IF(C303="Técnico II",28,IF(C303="Técnico I",23,IF(C303="JR",20,IF(C303="Estágio",10,0))))),IF(C303="Técnico III",SUMIFS($D:$D,$A:$A,$A303,$B:$B,"&lt;&gt;Patrícia Karla de Sousa Araújo",$B:$B,"&lt;&gt;Lorena Dias de Araujo",$B:$B,"&lt;&gt;Lucas Luiz Romero")*(35/1083),IF(C303="Técnico II",SUMIFS($D:$D,$A:$A,$A303,$B:$B,"&lt;&gt;Patrícia Karla de Sousa Araújo",$B:$B,"&lt;&gt;Lorena Dias de Araujo",$B:$B,"&lt;&gt;Lucas Luiz Romero")*(28/1083),IF(C303="Técnico I",SUMIFS($D:$D,$A:$A,$A303,$B:$B,"&lt;&gt;Patrícia Karla de Sousa Araújo",$B:$B,"&lt;&gt;Lorena Dias de Araujo",$B:$B,"&lt;&gt;Lucas Luiz Romero")*(23/1083),IF(C303="JR",SUMIFS($D:$D,$A:$A,$A303,$B:$B,"&lt;&gt;Patrícia Karla de Sousa Araújo",$B:$B,"&lt;&gt;Lorena Dias de Araujo",$B:$B,"&lt;&gt;Lucas Luiz Romero")*(20/1083),IF(C303="Estágio",SUMIFS($D:$D,$A:$A,$A303,$B:$B,"&lt;&gt;Patrícia Karla de Sousa Araújo",$B:$B,"&lt;&gt;Lorena Dias de Araujo",$B:$B,"&lt;&gt;Lucas Luiz Romero")*(10/1083),0)))))),0)</f>
        <v/>
      </c>
      <c r="K303" s="3">
        <f>I303-J303</f>
        <v/>
      </c>
      <c r="L303" s="3">
        <f>IF(K303&lt;-5,"CRÍTICO",IF(K303&lt;0,"ATENÇÃO",IF(K303&lt;=5,"OPORTUNO","MUITO BOM")))</f>
        <v/>
      </c>
      <c r="M303" s="3" t="n">
        <v>21</v>
      </c>
      <c r="N303" s="3" t="n">
        <v>98.31999999999999</v>
      </c>
      <c r="O303" s="12" t="n">
        <v>26.85851318944844</v>
      </c>
    </row>
    <row r="304">
      <c r="A304" s="10" t="n">
        <v>46141</v>
      </c>
      <c r="B304" t="inlineStr">
        <is>
          <t>Sara Maria Monteiro Lopes</t>
        </is>
      </c>
      <c r="C304" s="1" t="inlineStr">
        <is>
          <t>Técnico I</t>
        </is>
      </c>
      <c r="D304" s="3" t="n">
        <v>15</v>
      </c>
      <c r="E304" s="3" t="n">
        <v>14</v>
      </c>
      <c r="F304" s="3" t="n">
        <v>23.58</v>
      </c>
      <c r="G304" s="3" t="n">
        <v>0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IF(K304&lt;-5,"CRÍTICO",IF(K304&lt;0,"ATENÇÃO",IF(K304&lt;=5,"OPORTUNO","MUITO BOM")))</f>
        <v/>
      </c>
      <c r="M304" s="3" t="n">
        <v>13</v>
      </c>
      <c r="N304" s="3" t="n">
        <v>100</v>
      </c>
      <c r="O304" s="12" t="n">
        <v>26.36986301369863</v>
      </c>
    </row>
    <row r="305">
      <c r="A305" s="10" t="n">
        <v>46142</v>
      </c>
      <c r="B305" t="inlineStr">
        <is>
          <t>Amanda Moura Ferreira</t>
        </is>
      </c>
      <c r="C305" s="1" t="inlineStr">
        <is>
          <t>Técnico III</t>
        </is>
      </c>
      <c r="D305" s="3" t="n">
        <v>0</v>
      </c>
      <c r="E305" s="3" t="n">
        <v>0</v>
      </c>
      <c r="F305" s="3" t="n">
        <v>0</v>
      </c>
      <c r="G305" s="3" t="n">
        <v>0</v>
      </c>
      <c r="H305" s="3" t="n">
        <v>0</v>
      </c>
      <c r="I305" s="3" t="n">
        <v>0</v>
      </c>
      <c r="J305" s="3" t="n">
        <v>0</v>
      </c>
      <c r="K305" s="3" t="n">
        <v>0</v>
      </c>
      <c r="L305" s="3">
        <f>IF(K305&lt;-5,"CRÍTICO",IF(K305&lt;0,"ATENÇÃO",IF(K305&lt;=5,"OPORTUNO","MUITO BOM")))</f>
        <v/>
      </c>
      <c r="M305" s="3" t="n">
        <v>0</v>
      </c>
      <c r="N305" s="3" t="n">
        <v>98.66</v>
      </c>
      <c r="O305" s="12" t="n">
        <v>35.41666666666667</v>
      </c>
    </row>
    <row r="306">
      <c r="A306" s="10" t="n">
        <v>46142</v>
      </c>
      <c r="B306" t="inlineStr">
        <is>
          <t>Ana Paula Da Luz Silva Aleixo</t>
        </is>
      </c>
      <c r="C306" s="1" t="inlineStr">
        <is>
          <t>Técnico III</t>
        </is>
      </c>
      <c r="D306" s="3" t="n">
        <v>33</v>
      </c>
      <c r="E306" s="3" t="n">
        <v>32</v>
      </c>
      <c r="F306" s="3" t="n">
        <v>13.4</v>
      </c>
      <c r="G306" s="3" t="n">
        <v>0</v>
      </c>
      <c r="H306" s="3" t="n">
        <v>0</v>
      </c>
      <c r="I306" s="3">
        <f>E306+G306+H306</f>
        <v/>
      </c>
      <c r="J306" s="3">
        <f>ROUND(MIN(IF(C306="Técnico III",35,IF(C306="Técnico II",28,IF(C306="Técnico I",23,IF(C306="JR",20,IF(C306="Estágio",10,0))))),IF(C306="Técnico III",SUMIFS($D:$D,$A:$A,$A306,$B:$B,"&lt;&gt;Patrícia Karla de Sousa Araújo",$B:$B,"&lt;&gt;Lorena Dias de Araujo",$B:$B,"&lt;&gt;Lucas Luiz Romero")*(35/1083),IF(C306="Técnico II",SUMIFS($D:$D,$A:$A,$A306,$B:$B,"&lt;&gt;Patrícia Karla de Sousa Araújo",$B:$B,"&lt;&gt;Lorena Dias de Araujo",$B:$B,"&lt;&gt;Lucas Luiz Romero")*(28/1083),IF(C306="Técnico I",SUMIFS($D:$D,$A:$A,$A306,$B:$B,"&lt;&gt;Patrícia Karla de Sousa Araújo",$B:$B,"&lt;&gt;Lorena Dias de Araujo",$B:$B,"&lt;&gt;Lucas Luiz Romero")*(23/1083),IF(C306="JR",SUMIFS($D:$D,$A:$A,$A306,$B:$B,"&lt;&gt;Patrícia Karla de Sousa Araújo",$B:$B,"&lt;&gt;Lorena Dias de Araujo",$B:$B,"&lt;&gt;Lucas Luiz Romero")*(20/1083),IF(C306="Estágio",SUMIFS($D:$D,$A:$A,$A306,$B:$B,"&lt;&gt;Patrícia Karla de Sousa Araújo",$B:$B,"&lt;&gt;Lorena Dias de Araujo",$B:$B,"&lt;&gt;Lucas Luiz Romero")*(10/1083),0)))))),0)</f>
        <v/>
      </c>
      <c r="K306" s="3">
        <f>I306-J306</f>
        <v/>
      </c>
      <c r="L306" s="3">
        <f>IF(K306&lt;-5,"CRÍTICO",IF(K306&lt;0,"ATENÇÃO",IF(K306&lt;=5,"OPORTUNO","MUITO BOM")))</f>
        <v/>
      </c>
      <c r="M306" s="3" t="n">
        <v>28</v>
      </c>
      <c r="N306" s="3" t="n">
        <v>100</v>
      </c>
      <c r="O306" s="12" t="n">
        <v>27.80373831775701</v>
      </c>
    </row>
    <row r="307">
      <c r="A307" s="10" t="n">
        <v>46142</v>
      </c>
      <c r="B307" t="inlineStr">
        <is>
          <t>Cristiane Ramos da Silva Rocha</t>
        </is>
      </c>
      <c r="C307" s="1" t="inlineStr">
        <is>
          <t>Técnico III</t>
        </is>
      </c>
      <c r="D307" s="3" t="n">
        <v>39</v>
      </c>
      <c r="E307" s="3" t="n">
        <v>37</v>
      </c>
      <c r="F307" s="3" t="n">
        <v>11.54</v>
      </c>
      <c r="G307" s="3" t="n">
        <v>0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IF(K307&lt;-5,"CRÍTICO",IF(K307&lt;0,"ATENÇÃO",IF(K307&lt;=5,"OPORTUNO","MUITO BOM")))</f>
        <v/>
      </c>
      <c r="M307" s="3" t="n">
        <v>37</v>
      </c>
      <c r="N307" s="3" t="n">
        <v>93.75</v>
      </c>
      <c r="O307" s="12" t="n">
        <v>26.81992337164751</v>
      </c>
    </row>
    <row r="308">
      <c r="A308" s="10" t="n">
        <v>46142</v>
      </c>
      <c r="B308" t="inlineStr">
        <is>
          <t>Davylla Rodrigues Freitas Silva</t>
        </is>
      </c>
      <c r="C308" s="1" t="inlineStr">
        <is>
          <t>Técnico III</t>
        </is>
      </c>
      <c r="D308" s="3" t="n">
        <v>33</v>
      </c>
      <c r="E308" s="3" t="n">
        <v>30</v>
      </c>
      <c r="F308" s="3" t="n">
        <v>20.33</v>
      </c>
      <c r="G308" s="3" t="n">
        <v>0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IF(K308&lt;-5,"CRÍTICO",IF(K308&lt;0,"ATENÇÃO",IF(K308&lt;=5,"OPORTUNO","MUITO BOM")))</f>
        <v/>
      </c>
      <c r="M308" s="3" t="n">
        <v>31</v>
      </c>
      <c r="N308" s="3" t="n">
        <v>100</v>
      </c>
      <c r="O308" s="12" t="n">
        <v>38.65384615384615</v>
      </c>
    </row>
    <row r="309">
      <c r="A309" s="10" t="n">
        <v>46142</v>
      </c>
      <c r="B309" t="inlineStr">
        <is>
          <t>Francielson de Oliveira</t>
        </is>
      </c>
      <c r="C309" s="1" t="inlineStr">
        <is>
          <t>Técnico III</t>
        </is>
      </c>
      <c r="D309" s="3" t="n">
        <v>29</v>
      </c>
      <c r="E309" s="3" t="n">
        <v>26</v>
      </c>
      <c r="F309" s="3" t="n">
        <v>15.07</v>
      </c>
      <c r="G309" s="3" t="n">
        <v>0</v>
      </c>
      <c r="H309" s="3" t="n">
        <v>0</v>
      </c>
      <c r="I309" s="3">
        <f>E309+G309+H309</f>
        <v/>
      </c>
      <c r="J309" s="3">
        <f>ROUND(MIN(IF(C309="Técnico III",35,IF(C309="Técnico II",28,IF(C309="Técnico I",23,IF(C309="JR",20,IF(C309="Estágio",10,0))))),IF(C309="Técnico III",SUMIFS($D:$D,$A:$A,$A309,$B:$B,"&lt;&gt;Patrícia Karla de Sousa Araújo",$B:$B,"&lt;&gt;Lorena Dias de Araujo",$B:$B,"&lt;&gt;Lucas Luiz Romero")*(35/1083),IF(C309="Técnico II",SUMIFS($D:$D,$A:$A,$A309,$B:$B,"&lt;&gt;Patrícia Karla de Sousa Araújo",$B:$B,"&lt;&gt;Lorena Dias de Araujo",$B:$B,"&lt;&gt;Lucas Luiz Romero")*(28/1083),IF(C309="Técnico I",SUMIFS($D:$D,$A:$A,$A309,$B:$B,"&lt;&gt;Patrícia Karla de Sousa Araújo",$B:$B,"&lt;&gt;Lorena Dias de Araujo",$B:$B,"&lt;&gt;Lucas Luiz Romero")*(23/1083),IF(C309="JR",SUMIFS($D:$D,$A:$A,$A309,$B:$B,"&lt;&gt;Patrícia Karla de Sousa Araújo",$B:$B,"&lt;&gt;Lorena Dias de Araujo",$B:$B,"&lt;&gt;Lucas Luiz Romero")*(20/1083),IF(C309="Estágio",SUMIFS($D:$D,$A:$A,$A309,$B:$B,"&lt;&gt;Patrícia Karla de Sousa Araújo",$B:$B,"&lt;&gt;Lorena Dias de Araujo",$B:$B,"&lt;&gt;Lucas Luiz Romero")*(10/1083),0)))))),0)</f>
        <v/>
      </c>
      <c r="K309" s="3">
        <f>I309-J309</f>
        <v/>
      </c>
      <c r="L309" s="3">
        <f>IF(K309&lt;-5,"CRÍTICO",IF(K309&lt;0,"ATENÇÃO",IF(K309&lt;=5,"OPORTUNO","MUITO BOM")))</f>
        <v/>
      </c>
      <c r="M309" s="3" t="n">
        <v>27</v>
      </c>
      <c r="N309" s="3" t="n">
        <v>99.26000000000001</v>
      </c>
      <c r="O309" s="12" t="n">
        <v>29.76653696498055</v>
      </c>
    </row>
    <row r="310">
      <c r="A310" s="10" t="n">
        <v>46142</v>
      </c>
      <c r="B310" t="inlineStr">
        <is>
          <t>Janaina Lima dos Reis Urany</t>
        </is>
      </c>
      <c r="C310" s="1" t="inlineStr">
        <is>
          <t>Técnico III</t>
        </is>
      </c>
      <c r="D310" s="3" t="n">
        <v>47</v>
      </c>
      <c r="E310" s="3" t="n">
        <v>42</v>
      </c>
      <c r="F310" s="3" t="n">
        <v>12.14</v>
      </c>
      <c r="G310" s="3" t="n">
        <v>0</v>
      </c>
      <c r="H310" s="3" t="n">
        <v>0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IF(K310&lt;-5,"CRÍTICO",IF(K310&lt;0,"ATENÇÃO",IF(K310&lt;=5,"OPORTUNO","MUITO BOM")))</f>
        <v/>
      </c>
      <c r="M310" s="3" t="n">
        <v>45</v>
      </c>
      <c r="N310" s="3" t="n">
        <v>99.56999999999999</v>
      </c>
      <c r="O310" s="12" t="n">
        <v>30.63583815028902</v>
      </c>
    </row>
    <row r="311">
      <c r="A311" s="10" t="n">
        <v>46142</v>
      </c>
      <c r="B311" t="inlineStr">
        <is>
          <t>Jaqueline Evangelista da Silva Martins</t>
        </is>
      </c>
      <c r="C311" s="1" t="inlineStr">
        <is>
          <t>Técnico III</t>
        </is>
      </c>
      <c r="D311" s="3" t="n">
        <v>0</v>
      </c>
      <c r="E311" s="3" t="n">
        <v>0</v>
      </c>
      <c r="F311" s="3" t="n">
        <v>0</v>
      </c>
      <c r="G311" s="3" t="n">
        <v>0</v>
      </c>
      <c r="H311" s="3" t="n">
        <v>0</v>
      </c>
      <c r="I311" s="3" t="n">
        <v>0</v>
      </c>
      <c r="J311" s="3" t="n">
        <v>0</v>
      </c>
      <c r="K311" s="3" t="n">
        <v>0</v>
      </c>
      <c r="L311" s="3">
        <f>IF(K311&lt;-5,"CRÍTICO",IF(K311&lt;0,"ATENÇÃO",IF(K311&lt;=5,"OPORTUNO","MUITO BOM")))</f>
        <v/>
      </c>
      <c r="M311" s="3" t="n">
        <v>9</v>
      </c>
      <c r="N311" s="3" t="n">
        <v>95.65000000000001</v>
      </c>
      <c r="O311" s="12" t="n">
        <v>32.43243243243244</v>
      </c>
    </row>
    <row r="312">
      <c r="A312" s="10" t="n">
        <v>46142</v>
      </c>
      <c r="B312" t="inlineStr">
        <is>
          <t>Jéssica Fé Moura</t>
        </is>
      </c>
      <c r="C312" s="1" t="inlineStr">
        <is>
          <t>Técnico III</t>
        </is>
      </c>
      <c r="D312" s="3" t="n">
        <v>0</v>
      </c>
      <c r="E312" s="3" t="n">
        <v>0</v>
      </c>
      <c r="F312" s="3" t="n">
        <v>0</v>
      </c>
      <c r="G312" s="3" t="n">
        <v>0</v>
      </c>
      <c r="H312" s="3" t="n">
        <v>0</v>
      </c>
      <c r="I312" s="3" t="n">
        <v>0</v>
      </c>
      <c r="J312" s="3" t="n">
        <v>0</v>
      </c>
      <c r="K312" s="3" t="n">
        <v>0</v>
      </c>
      <c r="L312" s="3">
        <f>IF(K312&lt;-5,"CRÍTICO",IF(K312&lt;0,"ATENÇÃO",IF(K312&lt;=5,"OPORTUNO","MUITO BOM")))</f>
        <v/>
      </c>
      <c r="M312" s="3" t="n">
        <v>0</v>
      </c>
      <c r="N312" s="3" t="n">
        <v>0</v>
      </c>
      <c r="O312" s="12" t="n">
        <v>0</v>
      </c>
    </row>
    <row r="313">
      <c r="A313" s="10" t="n">
        <v>46142</v>
      </c>
      <c r="B313" t="inlineStr">
        <is>
          <t>Kerollen Cristielly de Jesus Siqueira</t>
        </is>
      </c>
      <c r="C313" s="1" t="inlineStr">
        <is>
          <t>Técnico III</t>
        </is>
      </c>
      <c r="D313" s="3" t="n">
        <v>0</v>
      </c>
      <c r="E313" s="3" t="n">
        <v>0</v>
      </c>
      <c r="F313" s="3" t="n">
        <v>0</v>
      </c>
      <c r="G313" s="3" t="n">
        <v>0</v>
      </c>
      <c r="H313" s="3" t="n">
        <v>0</v>
      </c>
      <c r="I313" s="3" t="n">
        <v>0</v>
      </c>
      <c r="J313" s="3" t="n">
        <v>0</v>
      </c>
      <c r="K313" s="3" t="n">
        <v>0</v>
      </c>
      <c r="L313" s="3">
        <f>IF(K313&lt;-5,"CRÍTICO",IF(K313&lt;0,"ATENÇÃO",IF(K313&lt;=5,"OPORTUNO","MUITO BOM")))</f>
        <v/>
      </c>
      <c r="M313" s="3" t="n">
        <v>16</v>
      </c>
      <c r="N313" s="3" t="n">
        <v>96.81</v>
      </c>
      <c r="O313" s="12" t="n">
        <v>48.01864801864802</v>
      </c>
    </row>
    <row r="314">
      <c r="A314" s="10" t="n">
        <v>46142</v>
      </c>
      <c r="B314" t="inlineStr">
        <is>
          <t>Leandro Oliveira de Sousa</t>
        </is>
      </c>
      <c r="C314" s="1" t="inlineStr">
        <is>
          <t>Técnico III</t>
        </is>
      </c>
      <c r="D314" s="3" t="n">
        <v>31</v>
      </c>
      <c r="E314" s="3" t="n">
        <v>29</v>
      </c>
      <c r="F314" s="3" t="n">
        <v>13.5</v>
      </c>
      <c r="G314" s="3" t="n">
        <v>0</v>
      </c>
      <c r="H314" s="3" t="n">
        <v>0</v>
      </c>
      <c r="I314" s="3">
        <f>E314+G314+H314</f>
        <v/>
      </c>
      <c r="J314" s="3">
        <f>ROUND(MIN(IF(C314="Técnico III",35,IF(C314="Técnico II",28,IF(C314="Técnico I",23,IF(C314="JR",20,IF(C314="Estágio",10,0))))),IF(C314="Técnico III",SUMIFS($D:$D,$A:$A,$A314,$B:$B,"&lt;&gt;Patrícia Karla de Sousa Araújo",$B:$B,"&lt;&gt;Lorena Dias de Araujo",$B:$B,"&lt;&gt;Lucas Luiz Romero")*(35/1083),IF(C314="Técnico II",SUMIFS($D:$D,$A:$A,$A314,$B:$B,"&lt;&gt;Patrícia Karla de Sousa Araújo",$B:$B,"&lt;&gt;Lorena Dias de Araujo",$B:$B,"&lt;&gt;Lucas Luiz Romero")*(28/1083),IF(C314="Técnico I",SUMIFS($D:$D,$A:$A,$A314,$B:$B,"&lt;&gt;Patrícia Karla de Sousa Araújo",$B:$B,"&lt;&gt;Lorena Dias de Araujo",$B:$B,"&lt;&gt;Lucas Luiz Romero")*(23/1083),IF(C314="JR",SUMIFS($D:$D,$A:$A,$A314,$B:$B,"&lt;&gt;Patrícia Karla de Sousa Araújo",$B:$B,"&lt;&gt;Lorena Dias de Araujo",$B:$B,"&lt;&gt;Lucas Luiz Romero")*(20/1083),IF(C314="Estágio",SUMIFS($D:$D,$A:$A,$A314,$B:$B,"&lt;&gt;Patrícia Karla de Sousa Araújo",$B:$B,"&lt;&gt;Lorena Dias de Araujo",$B:$B,"&lt;&gt;Lucas Luiz Romero")*(10/1083),0)))))),0)</f>
        <v/>
      </c>
      <c r="K314" s="3">
        <f>I314-J314</f>
        <v/>
      </c>
      <c r="L314" s="3">
        <f>IF(K314&lt;-5,"CRÍTICO",IF(K314&lt;0,"ATENÇÃO",IF(K314&lt;=5,"OPORTUNO","MUITO BOM")))</f>
        <v/>
      </c>
      <c r="M314" s="3" t="n">
        <v>30</v>
      </c>
      <c r="N314" s="3" t="n">
        <v>99.15000000000001</v>
      </c>
      <c r="O314" s="12" t="n">
        <v>27.58620689655172</v>
      </c>
    </row>
    <row r="315">
      <c r="A315" s="10" t="n">
        <v>46142</v>
      </c>
      <c r="B315" t="inlineStr">
        <is>
          <t>Lucas Luiz Romero</t>
        </is>
      </c>
      <c r="C315" s="1" t="inlineStr">
        <is>
          <t>Técnico III</t>
        </is>
      </c>
      <c r="D315" s="3" t="n">
        <v>0</v>
      </c>
      <c r="E315" s="3" t="n">
        <v>0</v>
      </c>
      <c r="F315" s="3" t="n">
        <v>0</v>
      </c>
      <c r="G315" s="3" t="n">
        <v>0</v>
      </c>
      <c r="H315" s="3" t="n">
        <v>0</v>
      </c>
      <c r="I315" s="3" t="n">
        <v>0</v>
      </c>
      <c r="J315" s="3" t="n">
        <v>0</v>
      </c>
      <c r="K315" s="3" t="n">
        <v>0</v>
      </c>
      <c r="L315" s="3">
        <f>IF(K315&lt;-5,"CRÍTICO",IF(K315&lt;0,"ATENÇÃO",IF(K315&lt;=5,"OPORTUNO","MUITO BOM")))</f>
        <v/>
      </c>
      <c r="M315" s="3" t="n">
        <v>0</v>
      </c>
      <c r="N315" s="3" t="n">
        <v>88.68000000000001</v>
      </c>
      <c r="O315" s="12" t="n">
        <v>22.03389830508474</v>
      </c>
    </row>
    <row r="316">
      <c r="A316" s="10" t="n">
        <v>46085</v>
      </c>
      <c r="B316" t="inlineStr">
        <is>
          <t>Matheus Farias De Souza</t>
        </is>
      </c>
      <c r="C316" s="1" t="inlineStr">
        <is>
          <t>Técnico III</t>
        </is>
      </c>
      <c r="D316" s="3" t="n">
        <v>11</v>
      </c>
      <c r="E316" s="3" t="n">
        <v>11</v>
      </c>
      <c r="F316" s="3" t="n">
        <v>24.12</v>
      </c>
      <c r="G316" s="3" t="n">
        <v>0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s="3" t="n">
        <v>38</v>
      </c>
      <c r="N316" s="3" t="n">
        <v>98.86</v>
      </c>
      <c r="O316" s="12" t="n">
        <v>28.95927601809955</v>
      </c>
    </row>
    <row r="317">
      <c r="A317" s="10" t="n">
        <v>46142</v>
      </c>
      <c r="B317" t="inlineStr">
        <is>
          <t>Maysa Victoria Dias Moura</t>
        </is>
      </c>
      <c r="C317" s="1" t="inlineStr">
        <is>
          <t>Técnico III</t>
        </is>
      </c>
      <c r="D317" s="3" t="n">
        <v>35</v>
      </c>
      <c r="E317" s="3" t="n">
        <v>34</v>
      </c>
      <c r="F317" s="3" t="n">
        <v>14.14</v>
      </c>
      <c r="G317" s="3" t="n">
        <v>0</v>
      </c>
      <c r="H317" s="3" t="n">
        <v>0</v>
      </c>
      <c r="I317" s="3">
        <f>E317+G317+H317</f>
        <v/>
      </c>
      <c r="J317" s="3">
        <f>ROUND(MIN(IF(C317="Técnico III",35,IF(C317="Técnico II",28,IF(C317="Técnico I",23,IF(C317="JR",20,IF(C317="Estágio",10,0))))),IF(C317="Técnico III",SUMIFS($D:$D,$A:$A,$A317,$B:$B,"&lt;&gt;Patrícia Karla de Sousa Araújo",$B:$B,"&lt;&gt;Lorena Dias de Araujo",$B:$B,"&lt;&gt;Lucas Luiz Romero")*(35/1083),IF(C317="Técnico II",SUMIFS($D:$D,$A:$A,$A317,$B:$B,"&lt;&gt;Patrícia Karla de Sousa Araújo",$B:$B,"&lt;&gt;Lorena Dias de Araujo",$B:$B,"&lt;&gt;Lucas Luiz Romero")*(28/1083),IF(C317="Técnico I",SUMIFS($D:$D,$A:$A,$A317,$B:$B,"&lt;&gt;Patrícia Karla de Sousa Araújo",$B:$B,"&lt;&gt;Lorena Dias de Araujo",$B:$B,"&lt;&gt;Lucas Luiz Romero")*(23/1083),IF(C317="JR",SUMIFS($D:$D,$A:$A,$A317,$B:$B,"&lt;&gt;Patrícia Karla de Sousa Araújo",$B:$B,"&lt;&gt;Lorena Dias de Araujo",$B:$B,"&lt;&gt;Lucas Luiz Romero")*(20/1083),IF(C317="Estágio",SUMIFS($D:$D,$A:$A,$A317,$B:$B,"&lt;&gt;Patrícia Karla de Sousa Araújo",$B:$B,"&lt;&gt;Lorena Dias de Araujo",$B:$B,"&lt;&gt;Lucas Luiz Romero")*(10/1083),0)))))),0)</f>
        <v/>
      </c>
      <c r="K317" s="3">
        <f>I317-J317</f>
        <v/>
      </c>
      <c r="L317" s="3">
        <f>IF(K317&lt;-5,"CRÍTICO",IF(K317&lt;0,"ATENÇÃO",IF(K317&lt;=5,"OPORTUNO","MUITO BOM")))</f>
        <v/>
      </c>
      <c r="M317" s="3" t="n">
        <v>27</v>
      </c>
      <c r="N317" s="3" t="n">
        <v>95.48999999999999</v>
      </c>
      <c r="O317" s="12" t="n">
        <v>28.37022132796781</v>
      </c>
    </row>
    <row r="318">
      <c r="A318" s="10" t="n">
        <v>46142</v>
      </c>
      <c r="B318" t="inlineStr">
        <is>
          <t>Rafael Gomes de Morais</t>
        </is>
      </c>
      <c r="C318" s="1" t="inlineStr">
        <is>
          <t>Técnico III</t>
        </is>
      </c>
      <c r="D318" s="3" t="n">
        <v>36</v>
      </c>
      <c r="E318" s="3" t="n">
        <v>33</v>
      </c>
      <c r="F318" s="3" t="n">
        <v>18.2</v>
      </c>
      <c r="G318" s="3" t="n">
        <v>0</v>
      </c>
      <c r="H318" s="3" t="n">
        <v>0</v>
      </c>
      <c r="I318" s="3">
        <f>E318+G318+H318</f>
        <v/>
      </c>
      <c r="J318" s="3">
        <f>ROUND(MIN(IF(C318="Técnico III",35,IF(C318="Técnico II",28,IF(C318="Técnico I",23,IF(C318="JR",20,IF(C318="Estágio",10,0))))),IF(C318="Técnico III",SUMIFS($D:$D,$A:$A,$A318,$B:$B,"&lt;&gt;Patrícia Karla de Sousa Araújo",$B:$B,"&lt;&gt;Lorena Dias de Araujo",$B:$B,"&lt;&gt;Lucas Luiz Romero")*(35/1083),IF(C318="Técnico II",SUMIFS($D:$D,$A:$A,$A318,$B:$B,"&lt;&gt;Patrícia Karla de Sousa Araújo",$B:$B,"&lt;&gt;Lorena Dias de Araujo",$B:$B,"&lt;&gt;Lucas Luiz Romero")*(28/1083),IF(C318="Técnico I",SUMIFS($D:$D,$A:$A,$A318,$B:$B,"&lt;&gt;Patrícia Karla de Sousa Araújo",$B:$B,"&lt;&gt;Lorena Dias de Araujo",$B:$B,"&lt;&gt;Lucas Luiz Romero")*(23/1083),IF(C318="JR",SUMIFS($D:$D,$A:$A,$A318,$B:$B,"&lt;&gt;Patrícia Karla de Sousa Araújo",$B:$B,"&lt;&gt;Lorena Dias de Araujo",$B:$B,"&lt;&gt;Lucas Luiz Romero")*(20/1083),IF(C318="Estágio",SUMIFS($D:$D,$A:$A,$A318,$B:$B,"&lt;&gt;Patrícia Karla de Sousa Araújo",$B:$B,"&lt;&gt;Lorena Dias de Araujo",$B:$B,"&lt;&gt;Lucas Luiz Romero")*(10/1083),0)))))),0)</f>
        <v/>
      </c>
      <c r="K318" s="3">
        <f>I318-J318</f>
        <v/>
      </c>
      <c r="L318" s="3">
        <f>IF(K318&lt;-5,"CRÍTICO",IF(K318&lt;0,"ATENÇÃO",IF(K318&lt;=5,"OPORTUNO","MUITO BOM")))</f>
        <v/>
      </c>
      <c r="M318" s="3" t="n">
        <v>30</v>
      </c>
      <c r="N318" s="3" t="n">
        <v>100</v>
      </c>
      <c r="O318" s="12" t="n">
        <v>31.13553113553114</v>
      </c>
    </row>
    <row r="319">
      <c r="A319" s="10" t="n">
        <v>46142</v>
      </c>
      <c r="B319" t="inlineStr">
        <is>
          <t>Sarah Steffanie de Lima Borges</t>
        </is>
      </c>
      <c r="C319" s="1" t="inlineStr">
        <is>
          <t>Técnico III</t>
        </is>
      </c>
      <c r="D319" s="3" t="n">
        <v>10</v>
      </c>
      <c r="E319" s="3" t="n">
        <v>10</v>
      </c>
      <c r="F319" s="3" t="n">
        <v>20.23</v>
      </c>
      <c r="G319" s="3" t="n">
        <v>0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IF(K319&lt;-5,"CRÍTICO",IF(K319&lt;0,"ATENÇÃO",IF(K319&lt;=5,"OPORTUNO","MUITO BOM")))</f>
        <v/>
      </c>
      <c r="M319" s="3" t="n">
        <v>10</v>
      </c>
      <c r="N319" s="3" t="n">
        <v>99.20999999999999</v>
      </c>
      <c r="O319" s="12" t="n">
        <v>25.18891687657431</v>
      </c>
    </row>
    <row r="320">
      <c r="A320" s="11" t="n">
        <v>46142</v>
      </c>
      <c r="B320" t="inlineStr">
        <is>
          <t>Alisson de Freitas Silva</t>
        </is>
      </c>
      <c r="C320" s="1" t="inlineStr">
        <is>
          <t>Técnico II</t>
        </is>
      </c>
      <c r="D320" s="3" t="n">
        <v>12</v>
      </c>
      <c r="E320" s="3" t="n">
        <v>10</v>
      </c>
      <c r="F320" s="3" t="n">
        <v>9.119999999999999</v>
      </c>
      <c r="G320" s="3" t="n">
        <v>0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IF(K320&lt;-5,"CRÍTICO",IF(K320&lt;0,"ATENÇÃO",IF(K320&lt;=5,"OPORTUNO","MUITO BOM")))</f>
        <v/>
      </c>
      <c r="M320" s="3" t="n">
        <v>8</v>
      </c>
      <c r="N320" s="3" t="n">
        <v>100</v>
      </c>
      <c r="O320" s="12" t="n">
        <v>32.76450511945392</v>
      </c>
    </row>
    <row r="321">
      <c r="A321" s="10" t="n">
        <v>46142</v>
      </c>
      <c r="B321" t="inlineStr">
        <is>
          <t>Brenda de Menezes Silva</t>
        </is>
      </c>
      <c r="C321" s="1" t="inlineStr">
        <is>
          <t>Técnico II</t>
        </is>
      </c>
      <c r="D321" s="3" t="n">
        <v>32</v>
      </c>
      <c r="E321" s="3" t="n">
        <v>31</v>
      </c>
      <c r="F321" s="3" t="n">
        <v>13.5</v>
      </c>
      <c r="G321" s="3" t="n">
        <v>0</v>
      </c>
      <c r="H321" s="3" t="n">
        <v>0</v>
      </c>
      <c r="I321" s="3">
        <f>E321+G321+H321</f>
        <v/>
      </c>
      <c r="J321" s="3">
        <f>ROUND(MIN(IF(C321="Técnico III",35,IF(C321="Técnico II",28,IF(C321="Técnico I",23,IF(C321="JR",20,IF(C321="Estágio",10,0))))),IF(C321="Técnico III",SUMIFS($D:$D,$A:$A,$A321,$B:$B,"&lt;&gt;Patrícia Karla de Sousa Araújo",$B:$B,"&lt;&gt;Lorena Dias de Araujo",$B:$B,"&lt;&gt;Lucas Luiz Romero")*(35/1083),IF(C321="Técnico II",SUMIFS($D:$D,$A:$A,$A321,$B:$B,"&lt;&gt;Patrícia Karla de Sousa Araújo",$B:$B,"&lt;&gt;Lorena Dias de Araujo",$B:$B,"&lt;&gt;Lucas Luiz Romero")*(28/1083),IF(C321="Técnico I",SUMIFS($D:$D,$A:$A,$A321,$B:$B,"&lt;&gt;Patrícia Karla de Sousa Araújo",$B:$B,"&lt;&gt;Lorena Dias de Araujo",$B:$B,"&lt;&gt;Lucas Luiz Romero")*(23/1083),IF(C321="JR",SUMIFS($D:$D,$A:$A,$A321,$B:$B,"&lt;&gt;Patrícia Karla de Sousa Araújo",$B:$B,"&lt;&gt;Lorena Dias de Araujo",$B:$B,"&lt;&gt;Lucas Luiz Romero")*(20/1083),IF(C321="Estágio",SUMIFS($D:$D,$A:$A,$A321,$B:$B,"&lt;&gt;Patrícia Karla de Sousa Araújo",$B:$B,"&lt;&gt;Lorena Dias de Araujo",$B:$B,"&lt;&gt;Lucas Luiz Romero")*(10/1083),0)))))),0)</f>
        <v/>
      </c>
      <c r="K321" s="3">
        <f>I321-J321</f>
        <v/>
      </c>
      <c r="L321" s="3">
        <f>IF(K321&lt;-5,"CRÍTICO",IF(K321&lt;0,"ATENÇÃO",IF(K321&lt;=5,"OPORTUNO","MUITO BOM")))</f>
        <v/>
      </c>
      <c r="M321" s="3" t="n">
        <v>29</v>
      </c>
      <c r="N321" s="3" t="n">
        <v>98.81999999999999</v>
      </c>
      <c r="O321" s="12" t="n">
        <v>30.74141048824593</v>
      </c>
    </row>
    <row r="322">
      <c r="A322" s="10" t="n">
        <v>46142</v>
      </c>
      <c r="B322" t="inlineStr">
        <is>
          <t>Carlos Mateus Cassimiro Nunes</t>
        </is>
      </c>
      <c r="C322" s="1" t="inlineStr">
        <is>
          <t>Técnico II</t>
        </is>
      </c>
      <c r="D322" s="3" t="n">
        <v>32</v>
      </c>
      <c r="E322" s="3" t="n">
        <v>30</v>
      </c>
      <c r="F322" s="3" t="n">
        <v>15.09</v>
      </c>
      <c r="G322" s="3" t="n">
        <v>0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IF(K322&lt;-5,"CRÍTICO",IF(K322&lt;0,"ATENÇÃO",IF(K322&lt;=5,"OPORTUNO","MUITO BOM")))</f>
        <v/>
      </c>
      <c r="M322" s="3" t="n">
        <v>30</v>
      </c>
      <c r="N322" s="3" t="n">
        <v>98.2</v>
      </c>
      <c r="O322" s="12" t="n">
        <v>27.17086834733893</v>
      </c>
    </row>
    <row r="323">
      <c r="A323" s="10" t="n">
        <v>46142</v>
      </c>
      <c r="B323" t="inlineStr">
        <is>
          <t>Damyllis Lorraine de Oliveira Gonçalves</t>
        </is>
      </c>
      <c r="C323" s="1" t="inlineStr">
        <is>
          <t>Técnico II</t>
        </is>
      </c>
      <c r="D323" s="3" t="n">
        <v>27</v>
      </c>
      <c r="E323" s="3" t="n">
        <v>24</v>
      </c>
      <c r="F323" s="3" t="n">
        <v>20.15</v>
      </c>
      <c r="G323" s="3" t="n">
        <v>0</v>
      </c>
      <c r="H323" s="3" t="n">
        <v>0</v>
      </c>
      <c r="I323" s="3">
        <f>E323+G323+H323</f>
        <v/>
      </c>
      <c r="J323" s="3">
        <f>ROUND(MIN(IF(C323="Técnico III",35,IF(C323="Técnico II",28,IF(C323="Técnico I",23,IF(C323="JR",20,IF(C323="Estágio",10,0))))),IF(C323="Técnico III",SUMIFS($D:$D,$A:$A,$A323,$B:$B,"&lt;&gt;Patrícia Karla de Sousa Araújo",$B:$B,"&lt;&gt;Lorena Dias de Araujo",$B:$B,"&lt;&gt;Lucas Luiz Romero")*(35/1083),IF(C323="Técnico II",SUMIFS($D:$D,$A:$A,$A323,$B:$B,"&lt;&gt;Patrícia Karla de Sousa Araújo",$B:$B,"&lt;&gt;Lorena Dias de Araujo",$B:$B,"&lt;&gt;Lucas Luiz Romero")*(28/1083),IF(C323="Técnico I",SUMIFS($D:$D,$A:$A,$A323,$B:$B,"&lt;&gt;Patrícia Karla de Sousa Araújo",$B:$B,"&lt;&gt;Lorena Dias de Araujo",$B:$B,"&lt;&gt;Lucas Luiz Romero")*(23/1083),IF(C323="JR",SUMIFS($D:$D,$A:$A,$A323,$B:$B,"&lt;&gt;Patrícia Karla de Sousa Araújo",$B:$B,"&lt;&gt;Lorena Dias de Araujo",$B:$B,"&lt;&gt;Lucas Luiz Romero")*(20/1083),IF(C323="Estágio",SUMIFS($D:$D,$A:$A,$A323,$B:$B,"&lt;&gt;Patrícia Karla de Sousa Araújo",$B:$B,"&lt;&gt;Lorena Dias de Araujo",$B:$B,"&lt;&gt;Lucas Luiz Romero")*(10/1083),0)))))),0)</f>
        <v/>
      </c>
      <c r="K323" s="3">
        <f>I323-J323</f>
        <v/>
      </c>
      <c r="L323" s="3">
        <f>IF(K323&lt;-5,"CRÍTICO",IF(K323&lt;0,"ATENÇÃO",IF(K323&lt;=5,"OPORTUNO","MUITO BOM")))</f>
        <v/>
      </c>
      <c r="M323" s="3" t="n">
        <v>18</v>
      </c>
      <c r="N323" s="3" t="n">
        <v>97.86</v>
      </c>
      <c r="O323" s="12" t="n">
        <v>31.01851851851852</v>
      </c>
    </row>
    <row r="324">
      <c r="A324" s="10" t="n">
        <v>46142</v>
      </c>
      <c r="B324" t="inlineStr">
        <is>
          <t>Emilly Kamilly Medeiros Miranda</t>
        </is>
      </c>
      <c r="C324" s="1" t="inlineStr">
        <is>
          <t>Técnico II</t>
        </is>
      </c>
      <c r="D324" s="3" t="n">
        <v>38</v>
      </c>
      <c r="E324" s="3" t="n">
        <v>38</v>
      </c>
      <c r="F324" s="3" t="n">
        <v>15.02</v>
      </c>
      <c r="G324" s="3" t="n">
        <v>0</v>
      </c>
      <c r="H324" s="3" t="n">
        <v>0</v>
      </c>
      <c r="I324" s="3">
        <f>E324+G324+H324</f>
        <v/>
      </c>
      <c r="J324" s="3">
        <f>ROUND(MIN(IF(C324="Técnico III",35,IF(C324="Técnico II",28,IF(C324="Técnico I",23,IF(C324="JR",20,IF(C324="Estágio",10,0))))),IF(C324="Técnico III",SUMIFS($D:$D,$A:$A,$A324,$B:$B,"&lt;&gt;Patrícia Karla de Sousa Araújo",$B:$B,"&lt;&gt;Lorena Dias de Araujo",$B:$B,"&lt;&gt;Lucas Luiz Romero")*(35/1083),IF(C324="Técnico II",SUMIFS($D:$D,$A:$A,$A324,$B:$B,"&lt;&gt;Patrícia Karla de Sousa Araújo",$B:$B,"&lt;&gt;Lorena Dias de Araujo",$B:$B,"&lt;&gt;Lucas Luiz Romero")*(28/1083),IF(C324="Técnico I",SUMIFS($D:$D,$A:$A,$A324,$B:$B,"&lt;&gt;Patrícia Karla de Sousa Araújo",$B:$B,"&lt;&gt;Lorena Dias de Araujo",$B:$B,"&lt;&gt;Lucas Luiz Romero")*(23/1083),IF(C324="JR",SUMIFS($D:$D,$A:$A,$A324,$B:$B,"&lt;&gt;Patrícia Karla de Sousa Araújo",$B:$B,"&lt;&gt;Lorena Dias de Araujo",$B:$B,"&lt;&gt;Lucas Luiz Romero")*(20/1083),IF(C324="Estágio",SUMIFS($D:$D,$A:$A,$A324,$B:$B,"&lt;&gt;Patrícia Karla de Sousa Araújo",$B:$B,"&lt;&gt;Lorena Dias de Araujo",$B:$B,"&lt;&gt;Lucas Luiz Romero")*(10/1083),0)))))),0)</f>
        <v/>
      </c>
      <c r="K324" s="3">
        <f>I324-J324</f>
        <v/>
      </c>
      <c r="L324" s="3">
        <f>IF(K324&lt;-5,"CRÍTICO",IF(K324&lt;0,"ATENÇÃO",IF(K324&lt;=5,"OPORTUNO","MUITO BOM")))</f>
        <v/>
      </c>
      <c r="M324" s="3" t="n">
        <v>35</v>
      </c>
      <c r="N324" s="3" t="n">
        <v>97.83</v>
      </c>
      <c r="O324" s="12" t="n">
        <v>28.35164835164835</v>
      </c>
    </row>
    <row r="325">
      <c r="A325" s="10" t="n">
        <v>46036</v>
      </c>
      <c r="B325" t="inlineStr">
        <is>
          <t>Gabriel Gomes de Andrade</t>
        </is>
      </c>
      <c r="C325" s="1" t="inlineStr">
        <is>
          <t>Técnico I</t>
        </is>
      </c>
      <c r="D325" s="3" t="n">
        <v>17</v>
      </c>
      <c r="E325" s="3" t="n">
        <v>16</v>
      </c>
      <c r="F325" s="3" t="n">
        <v>22.33</v>
      </c>
      <c r="G325" s="3" t="n">
        <v>0</v>
      </c>
      <c r="H325" s="3" t="n">
        <v>0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s="3" t="n">
        <v>16</v>
      </c>
      <c r="N325" s="3" t="n">
        <v>98.91</v>
      </c>
      <c r="O325" s="12" t="n">
        <v>31.36729222520107</v>
      </c>
    </row>
    <row r="326">
      <c r="A326" s="10" t="n">
        <v>46142</v>
      </c>
      <c r="B326" t="inlineStr">
        <is>
          <t>Francilene Ferreira de Jesus</t>
        </is>
      </c>
      <c r="C326" s="1" t="inlineStr">
        <is>
          <t>Técnico II</t>
        </is>
      </c>
      <c r="D326" s="3" t="n">
        <v>42</v>
      </c>
      <c r="E326" s="3" t="n">
        <v>42</v>
      </c>
      <c r="F326" s="3" t="n">
        <v>16.41</v>
      </c>
      <c r="G326" s="3" t="n">
        <v>0</v>
      </c>
      <c r="H326" s="3" t="n">
        <v>0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IF(K326&lt;-5,"CRÍTICO",IF(K326&lt;0,"ATENÇÃO",IF(K326&lt;=5,"OPORTUNO","MUITO BOM")))</f>
        <v/>
      </c>
      <c r="M326" s="3" t="n">
        <v>35</v>
      </c>
      <c r="N326" s="3" t="n">
        <v>99.19</v>
      </c>
      <c r="O326" s="12" t="n">
        <v>29.46236559139785</v>
      </c>
    </row>
    <row r="327">
      <c r="A327" s="10" t="n">
        <v>46142</v>
      </c>
      <c r="B327" t="inlineStr">
        <is>
          <t>Isabella Borges de Oliveira</t>
        </is>
      </c>
      <c r="C327" s="1" t="inlineStr">
        <is>
          <t>Técnico II</t>
        </is>
      </c>
      <c r="D327" s="3" t="n">
        <v>25</v>
      </c>
      <c r="E327" s="3" t="n">
        <v>25</v>
      </c>
      <c r="F327" s="3" t="n">
        <v>18.5</v>
      </c>
      <c r="G327" s="3" t="n">
        <v>0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IF(K327&lt;-5,"CRÍTICO",IF(K327&lt;0,"ATENÇÃO",IF(K327&lt;=5,"OPORTUNO","MUITO BOM")))</f>
        <v/>
      </c>
      <c r="M327" s="3" t="n">
        <v>26</v>
      </c>
      <c r="N327" s="3" t="n">
        <v>100</v>
      </c>
      <c r="O327" s="12" t="n">
        <v>28.92156862745098</v>
      </c>
    </row>
    <row r="328">
      <c r="A328" s="10" t="n">
        <v>46142</v>
      </c>
      <c r="B328" t="inlineStr">
        <is>
          <t>Jessica Faria da Silveira</t>
        </is>
      </c>
      <c r="C328" s="1" t="inlineStr">
        <is>
          <t>Técnico II</t>
        </is>
      </c>
      <c r="D328" s="3" t="n">
        <v>21</v>
      </c>
      <c r="E328" s="3" t="n">
        <v>16</v>
      </c>
      <c r="F328" s="3" t="n">
        <v>11.48</v>
      </c>
      <c r="G328" s="3" t="n">
        <v>0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IF(K328&lt;-5,"CRÍTICO",IF(K328&lt;0,"ATENÇÃO",IF(K328&lt;=5,"OPORTUNO","MUITO BOM")))</f>
        <v/>
      </c>
      <c r="M328" s="3" t="n">
        <v>13</v>
      </c>
      <c r="N328" s="3" t="n">
        <v>98.81</v>
      </c>
      <c r="O328" s="12" t="n">
        <v>26.25698324022346</v>
      </c>
    </row>
    <row r="329">
      <c r="A329" s="10" t="n">
        <v>46142</v>
      </c>
      <c r="B329" t="inlineStr">
        <is>
          <t>Lizandra Gomes Duarte</t>
        </is>
      </c>
      <c r="C329" s="1" t="inlineStr">
        <is>
          <t>Técnico II</t>
        </is>
      </c>
      <c r="D329" s="3" t="n">
        <v>18</v>
      </c>
      <c r="E329" s="3" t="n">
        <v>17</v>
      </c>
      <c r="F329" s="3" t="n">
        <v>21.44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IF(K329&lt;-5,"CRÍTICO",IF(K329&lt;0,"ATENÇÃO",IF(K329&lt;=5,"OPORTUNO","MUITO BOM")))</f>
        <v/>
      </c>
      <c r="M329" s="3" t="n">
        <v>1</v>
      </c>
      <c r="N329" s="3" t="n">
        <v>99.17</v>
      </c>
      <c r="O329" s="12" t="n">
        <v>29.75206611570248</v>
      </c>
    </row>
    <row r="330">
      <c r="A330" s="10" t="n">
        <v>46142</v>
      </c>
      <c r="B330" t="inlineStr">
        <is>
          <t>Lorena Dias de Araujo</t>
        </is>
      </c>
      <c r="C330" s="1" t="inlineStr">
        <is>
          <t>Técnico 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IF(K330&lt;-5,"CRÍTICO",IF(K330&lt;0,"ATENÇÃO",IF(K330&lt;=5,"OPORTUNO","MUITO BOM")))</f>
        <v/>
      </c>
      <c r="M330" s="3" t="n">
        <v>0</v>
      </c>
      <c r="N330" s="3" t="n">
        <v>98.73</v>
      </c>
      <c r="O330" s="12" t="n">
        <v>28.96174863387978</v>
      </c>
    </row>
    <row r="331">
      <c r="A331" s="10" t="n">
        <v>46142</v>
      </c>
      <c r="B331" t="inlineStr">
        <is>
          <t>Patrícia Karla de Sousa Araújo</t>
        </is>
      </c>
      <c r="C331" s="1" t="inlineStr">
        <is>
          <t>Técnico II</t>
        </is>
      </c>
      <c r="D331" s="3" t="n">
        <v>31</v>
      </c>
      <c r="E331" s="3" t="n">
        <v>27</v>
      </c>
      <c r="F331" s="3" t="n">
        <v>15.42</v>
      </c>
      <c r="G331" s="3" t="n">
        <v>0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IF(K331&lt;-5,"CRÍTICO",IF(K331&lt;0,"ATENÇÃO",IF(K331&lt;=5,"OPORTUNO","MUITO BOM")))</f>
        <v/>
      </c>
      <c r="M331" s="3" t="n">
        <v>24</v>
      </c>
      <c r="N331" s="3" t="n">
        <v>99.02</v>
      </c>
      <c r="O331" s="12" t="n">
        <v>34.7972972972973</v>
      </c>
    </row>
    <row r="332">
      <c r="A332" s="10" t="n">
        <v>46142</v>
      </c>
      <c r="B332" t="inlineStr">
        <is>
          <t>Ana Karollyne Souza Faria</t>
        </is>
      </c>
      <c r="C332" s="1" t="inlineStr">
        <is>
          <t>Técnico I</t>
        </is>
      </c>
      <c r="D332" s="3" t="n">
        <v>26</v>
      </c>
      <c r="E332" s="3" t="n">
        <v>24</v>
      </c>
      <c r="F332" s="3" t="n">
        <v>18.24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IF(K332&lt;-5,"CRÍTICO",IF(K332&lt;0,"ATENÇÃO",IF(K332&lt;=5,"OPORTUNO","MUITO BOM")))</f>
        <v/>
      </c>
      <c r="M332" s="3" t="n">
        <v>26</v>
      </c>
      <c r="N332" s="3" t="n">
        <v>99.31999999999999</v>
      </c>
      <c r="O332" s="12" t="n">
        <v>30.6483300589391</v>
      </c>
    </row>
    <row r="333">
      <c r="A333" s="10" t="n">
        <v>46142</v>
      </c>
      <c r="B333" t="inlineStr">
        <is>
          <t>Clessiane Pereira dos Santos</t>
        </is>
      </c>
      <c r="C333" s="1" t="inlineStr">
        <is>
          <t>Técnico I</t>
        </is>
      </c>
      <c r="D333" s="3" t="n">
        <v>23</v>
      </c>
      <c r="E333" s="3" t="n">
        <v>23</v>
      </c>
      <c r="F333" s="3" t="n">
        <v>25.3</v>
      </c>
      <c r="G333" s="3" t="n">
        <v>0</v>
      </c>
      <c r="H333" s="3" t="n">
        <v>0</v>
      </c>
      <c r="I333" s="3">
        <f>E333+G333+H333</f>
        <v/>
      </c>
      <c r="J333" s="3">
        <f>ROUND(MIN(IF(C333="Técnico III",35,IF(C333="Técnico II",28,IF(C333="Técnico I",23,IF(C333="JR",20,IF(C333="Estágio",10,0))))),IF(C333="Técnico III",SUMIFS($D:$D,$A:$A,$A333,$B:$B,"&lt;&gt;Patrícia Karla de Sousa Araújo",$B:$B,"&lt;&gt;Lorena Dias de Araujo",$B:$B,"&lt;&gt;Lucas Luiz Romero")*(35/1083),IF(C333="Técnico II",SUMIFS($D:$D,$A:$A,$A333,$B:$B,"&lt;&gt;Patrícia Karla de Sousa Araújo",$B:$B,"&lt;&gt;Lorena Dias de Araujo",$B:$B,"&lt;&gt;Lucas Luiz Romero")*(28/1083),IF(C333="Técnico I",SUMIFS($D:$D,$A:$A,$A333,$B:$B,"&lt;&gt;Patrícia Karla de Sousa Araújo",$B:$B,"&lt;&gt;Lorena Dias de Araujo",$B:$B,"&lt;&gt;Lucas Luiz Romero")*(23/1083),IF(C333="JR",SUMIFS($D:$D,$A:$A,$A333,$B:$B,"&lt;&gt;Patrícia Karla de Sousa Araújo",$B:$B,"&lt;&gt;Lorena Dias de Araujo",$B:$B,"&lt;&gt;Lucas Luiz Romero")*(20/1083),IF(C333="Estágio",SUMIFS($D:$D,$A:$A,$A333,$B:$B,"&lt;&gt;Patrícia Karla de Sousa Araújo",$B:$B,"&lt;&gt;Lorena Dias de Araujo",$B:$B,"&lt;&gt;Lucas Luiz Romero")*(10/1083),0)))))),0)</f>
        <v/>
      </c>
      <c r="K333" s="3">
        <f>I333-J333</f>
        <v/>
      </c>
      <c r="L333" s="3">
        <f>IF(K333&lt;-5,"CRÍTICO",IF(K333&lt;0,"ATENÇÃO",IF(K333&lt;=5,"OPORTUNO","MUITO BOM")))</f>
        <v/>
      </c>
      <c r="M333" s="3" t="n">
        <v>19</v>
      </c>
      <c r="N333" s="3" t="n">
        <v>96.3</v>
      </c>
      <c r="O333" s="12" t="n">
        <v>32.21957040572792</v>
      </c>
    </row>
    <row r="334">
      <c r="A334" s="10" t="n">
        <v>46142</v>
      </c>
      <c r="B334" t="inlineStr">
        <is>
          <t>Daniel Gomes da Silva</t>
        </is>
      </c>
      <c r="C334" s="1" t="inlineStr">
        <is>
          <t>Técnico I</t>
        </is>
      </c>
      <c r="D334" s="3" t="n">
        <v>23</v>
      </c>
      <c r="E334" s="3" t="n">
        <v>23</v>
      </c>
      <c r="F334" s="3" t="n">
        <v>20.21</v>
      </c>
      <c r="G334" s="3" t="n">
        <v>0</v>
      </c>
      <c r="H334" s="3" t="n">
        <v>0</v>
      </c>
      <c r="I334" s="3">
        <f>E334+G334+H334</f>
        <v/>
      </c>
      <c r="J334" s="3">
        <f>ROUND(MIN(IF(C334="Técnico III",35,IF(C334="Técnico II",28,IF(C334="Técnico I",23,IF(C334="JR",20,IF(C334="Estágio",10,0))))),IF(C334="Técnico III",SUMIFS($D:$D,$A:$A,$A334,$B:$B,"&lt;&gt;Patrícia Karla de Sousa Araújo",$B:$B,"&lt;&gt;Lorena Dias de Araujo",$B:$B,"&lt;&gt;Lucas Luiz Romero")*(35/1083),IF(C334="Técnico II",SUMIFS($D:$D,$A:$A,$A334,$B:$B,"&lt;&gt;Patrícia Karla de Sousa Araújo",$B:$B,"&lt;&gt;Lorena Dias de Araujo",$B:$B,"&lt;&gt;Lucas Luiz Romero")*(28/1083),IF(C334="Técnico I",SUMIFS($D:$D,$A:$A,$A334,$B:$B,"&lt;&gt;Patrícia Karla de Sousa Araújo",$B:$B,"&lt;&gt;Lorena Dias de Araujo",$B:$B,"&lt;&gt;Lucas Luiz Romero")*(23/1083),IF(C334="JR",SUMIFS($D:$D,$A:$A,$A334,$B:$B,"&lt;&gt;Patrícia Karla de Sousa Araújo",$B:$B,"&lt;&gt;Lorena Dias de Araujo",$B:$B,"&lt;&gt;Lucas Luiz Romero")*(20/1083),IF(C334="Estágio",SUMIFS($D:$D,$A:$A,$A334,$B:$B,"&lt;&gt;Patrícia Karla de Sousa Araújo",$B:$B,"&lt;&gt;Lorena Dias de Araujo",$B:$B,"&lt;&gt;Lucas Luiz Romero")*(10/1083),0)))))),0)</f>
        <v/>
      </c>
      <c r="K334" s="3">
        <f>I334-J334</f>
        <v/>
      </c>
      <c r="L334" s="3">
        <f>IF(K334&lt;-5,"CRÍTICO",IF(K334&lt;0,"ATENÇÃO",IF(K334&lt;=5,"OPORTUNO","MUITO BOM")))</f>
        <v/>
      </c>
      <c r="M334" s="3" t="n">
        <v>17</v>
      </c>
      <c r="N334" s="3" t="n">
        <v>100</v>
      </c>
      <c r="O334" s="12" t="n">
        <v>36.59420289855073</v>
      </c>
    </row>
    <row r="335">
      <c r="A335" s="10" t="n">
        <v>46142</v>
      </c>
      <c r="B335" t="inlineStr">
        <is>
          <t>Gabriel Gomes de Andrade</t>
        </is>
      </c>
      <c r="C335" s="1" t="inlineStr">
        <is>
          <t>Técnico I</t>
        </is>
      </c>
      <c r="D335" s="3" t="n">
        <v>3</v>
      </c>
      <c r="E335" s="3" t="n">
        <v>3</v>
      </c>
      <c r="F335" s="3" t="n">
        <v>15.05</v>
      </c>
      <c r="G335" s="3" t="n">
        <v>0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IF(K335&lt;-5,"CRÍTICO",IF(K335&lt;0,"ATENÇÃO",IF(K335&lt;=5,"OPORTUNO","MUITO BOM")))</f>
        <v/>
      </c>
      <c r="M335" s="3" t="n">
        <v>24</v>
      </c>
      <c r="N335" s="3" t="n">
        <v>99.28</v>
      </c>
      <c r="O335" s="12" t="n">
        <v>27.68924302788844</v>
      </c>
    </row>
    <row r="336">
      <c r="A336" s="10" t="n">
        <v>46142</v>
      </c>
      <c r="B336" t="inlineStr">
        <is>
          <t>Luiz Fernando de Carvalho Junior</t>
        </is>
      </c>
      <c r="C336" s="1" t="inlineStr">
        <is>
          <t>Técnico I</t>
        </is>
      </c>
      <c r="D336" s="3" t="n">
        <v>30</v>
      </c>
      <c r="E336" s="3" t="n">
        <v>28</v>
      </c>
      <c r="F336" s="3" t="n">
        <v>16.54</v>
      </c>
      <c r="G336" s="3" t="n">
        <v>0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IF(K336&lt;-5,"CRÍTICO",IF(K336&lt;0,"ATENÇÃO",IF(K336&lt;=5,"OPORTUNO","MUITO BOM")))</f>
        <v/>
      </c>
      <c r="M336" s="3" t="n">
        <v>26</v>
      </c>
      <c r="N336" s="3" t="n">
        <v>97.37</v>
      </c>
      <c r="O336" s="12" t="n">
        <v>25.76530612244898</v>
      </c>
    </row>
    <row r="337">
      <c r="A337" s="10" t="n">
        <v>46142</v>
      </c>
      <c r="B337" t="inlineStr">
        <is>
          <t>Raane Batista Matos</t>
        </is>
      </c>
      <c r="C337" s="1" t="inlineStr">
        <is>
          <t>Técnico I</t>
        </is>
      </c>
      <c r="D337" s="3" t="n">
        <v>27</v>
      </c>
      <c r="E337" s="3" t="n">
        <v>24</v>
      </c>
      <c r="F337" s="3" t="n">
        <v>15.08</v>
      </c>
      <c r="G337" s="3" t="n">
        <v>0</v>
      </c>
      <c r="H337" s="3" t="n">
        <v>0</v>
      </c>
      <c r="I337" s="3">
        <f>E337+G337+H337</f>
        <v/>
      </c>
      <c r="J337" s="3">
        <f>ROUND(MIN(IF(C337="Técnico III",35,IF(C337="Técnico II",28,IF(C337="Técnico I",23,IF(C337="JR",20,IF(C337="Estágio",10,0))))),IF(C337="Técnico III",SUMIFS($D:$D,$A:$A,$A337,$B:$B,"&lt;&gt;Patrícia Karla de Sousa Araújo",$B:$B,"&lt;&gt;Lorena Dias de Araujo",$B:$B,"&lt;&gt;Lucas Luiz Romero")*(35/1083),IF(C337="Técnico II",SUMIFS($D:$D,$A:$A,$A337,$B:$B,"&lt;&gt;Patrícia Karla de Sousa Araújo",$B:$B,"&lt;&gt;Lorena Dias de Araujo",$B:$B,"&lt;&gt;Lucas Luiz Romero")*(28/1083),IF(C337="Técnico I",SUMIFS($D:$D,$A:$A,$A337,$B:$B,"&lt;&gt;Patrícia Karla de Sousa Araújo",$B:$B,"&lt;&gt;Lorena Dias de Araujo",$B:$B,"&lt;&gt;Lucas Luiz Romero")*(23/1083),IF(C337="JR",SUMIFS($D:$D,$A:$A,$A337,$B:$B,"&lt;&gt;Patrícia Karla de Sousa Araújo",$B:$B,"&lt;&gt;Lorena Dias de Araujo",$B:$B,"&lt;&gt;Lucas Luiz Romero")*(20/1083),IF(C337="Estágio",SUMIFS($D:$D,$A:$A,$A337,$B:$B,"&lt;&gt;Patrícia Karla de Sousa Araújo",$B:$B,"&lt;&gt;Lorena Dias de Araujo",$B:$B,"&lt;&gt;Lucas Luiz Romero")*(10/1083),0)))))),0)</f>
        <v/>
      </c>
      <c r="K337" s="3">
        <f>I337-J337</f>
        <v/>
      </c>
      <c r="L337" s="3">
        <f>IF(K337&lt;-5,"CRÍTICO",IF(K337&lt;0,"ATENÇÃO",IF(K337&lt;=5,"OPORTUNO","MUITO BOM")))</f>
        <v/>
      </c>
      <c r="M337" s="3" t="n">
        <v>22</v>
      </c>
      <c r="N337" s="3" t="n">
        <v>98.31999999999999</v>
      </c>
      <c r="O337" s="12" t="n">
        <v>26.85851318944844</v>
      </c>
    </row>
    <row r="338">
      <c r="A338" s="10" t="n">
        <v>46142</v>
      </c>
      <c r="B338" t="inlineStr">
        <is>
          <t>Sara Maria Monteiro Lopes</t>
        </is>
      </c>
      <c r="C338" s="1" t="inlineStr">
        <is>
          <t>Técnico I</t>
        </is>
      </c>
      <c r="D338" s="3" t="n">
        <v>10</v>
      </c>
      <c r="E338" s="3" t="n">
        <v>10</v>
      </c>
      <c r="F338" s="3" t="n">
        <v>23.27</v>
      </c>
      <c r="G338" s="3" t="n">
        <v>0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IF(K338&lt;-5,"CRÍTICO",IF(K338&lt;0,"ATENÇÃO",IF(K338&lt;=5,"OPORTUNO","MUITO BOM")))</f>
        <v/>
      </c>
      <c r="M338" s="3" t="n">
        <v>10</v>
      </c>
      <c r="N338" s="3" t="n">
        <v>100</v>
      </c>
      <c r="O338" s="12" t="n">
        <v>26.36986301369863</v>
      </c>
    </row>
    <row r="339">
      <c r="A339" s="5" t="n">
        <v>46149</v>
      </c>
      <c r="B339" s="6" t="inlineStr">
        <is>
          <t>Lucas Luiz Romero</t>
        </is>
      </c>
      <c r="C339" s="1" t="inlineStr">
        <is>
          <t>Técnico III</t>
        </is>
      </c>
      <c r="D339" s="3" t="n">
        <v>0</v>
      </c>
      <c r="E339" s="3" t="n">
        <v>0</v>
      </c>
      <c r="F339" s="3" t="n">
        <v>0</v>
      </c>
      <c r="G339" s="3" t="n">
        <v>0</v>
      </c>
      <c r="H339" s="3" t="n">
        <v>0</v>
      </c>
      <c r="I339" s="3" t="n">
        <v>0</v>
      </c>
      <c r="J339" s="3" t="n">
        <v>0</v>
      </c>
      <c r="K339" s="3" t="n">
        <v>0</v>
      </c>
      <c r="L339" s="3">
        <f>IF(K339&lt;-5,"CRÍTICO",IF(K339&lt;0,"ATENÇÃO",IF(K339&lt;=5,"OPORTUNO","MUITO BOM")))</f>
        <v/>
      </c>
      <c r="M339" s="3" t="n">
        <v>0</v>
      </c>
      <c r="N339" s="3" t="n">
        <v>100</v>
      </c>
      <c r="O339" s="12" t="n">
        <v>15.78947368421053</v>
      </c>
    </row>
    <row r="340">
      <c r="A340" s="5" t="n">
        <v>46149</v>
      </c>
      <c r="B340" s="6" t="inlineStr">
        <is>
          <t>Maysa Victoria Dias Moura</t>
        </is>
      </c>
      <c r="C340" s="1" t="inlineStr">
        <is>
          <t>Técnico III</t>
        </is>
      </c>
      <c r="D340" s="3" t="n">
        <v>26</v>
      </c>
      <c r="E340" s="3" t="n">
        <v>23</v>
      </c>
      <c r="F340" s="3" t="n">
        <v>15.28</v>
      </c>
      <c r="G340" s="3" t="n">
        <v>6</v>
      </c>
      <c r="H340" s="3" t="n">
        <v>0</v>
      </c>
      <c r="I340" s="3">
        <f>E340+G340+H340</f>
        <v/>
      </c>
      <c r="J340" s="3">
        <f>ROUND(MIN(IF(C340="Técnico III",35,IF(C340="Técnico II",28,IF(C340="Técnico I",23,IF(C340="JR",20,IF(C340="Estágio",10,0))))),IF(C340="Técnico III",SUMIFS($D:$D,$A:$A,$A340,$B:$B,"&lt;&gt;Patrícia Karla de Sousa Araújo",$B:$B,"&lt;&gt;Lorena Dias de Araujo",$B:$B,"&lt;&gt;Lucas Luiz Romero")*(35/1083),IF(C340="Técnico II",SUMIFS($D:$D,$A:$A,$A340,$B:$B,"&lt;&gt;Patrícia Karla de Sousa Araújo",$B:$B,"&lt;&gt;Lorena Dias de Araujo",$B:$B,"&lt;&gt;Lucas Luiz Romero")*(28/1083),IF(C340="Técnico I",SUMIFS($D:$D,$A:$A,$A340,$B:$B,"&lt;&gt;Patrícia Karla de Sousa Araújo",$B:$B,"&lt;&gt;Lorena Dias de Araujo",$B:$B,"&lt;&gt;Lucas Luiz Romero")*(23/1083),IF(C340="JR",SUMIFS($D:$D,$A:$A,$A340,$B:$B,"&lt;&gt;Patrícia Karla de Sousa Araújo",$B:$B,"&lt;&gt;Lorena Dias de Araujo",$B:$B,"&lt;&gt;Lucas Luiz Romero")*(20/1083),IF(C340="Estágio",SUMIFS($D:$D,$A:$A,$A340,$B:$B,"&lt;&gt;Patrícia Karla de Sousa Araújo",$B:$B,"&lt;&gt;Lorena Dias de Araujo",$B:$B,"&lt;&gt;Lucas Luiz Romero")*(10/1083),0)))))),0)</f>
        <v/>
      </c>
      <c r="K340" s="3">
        <f>I340-J340</f>
        <v/>
      </c>
      <c r="L340" s="3">
        <f>IF(K340&lt;-5,"CRÍTICO",IF(K340&lt;0,"ATENÇÃO",IF(K340&lt;=5,"OPORTUNO","MUITO BOM")))</f>
        <v/>
      </c>
      <c r="M340" s="3" t="n">
        <v>26</v>
      </c>
      <c r="N340" s="3" t="n">
        <v>96.38</v>
      </c>
      <c r="O340" s="12" t="n">
        <v>23.1981981981982</v>
      </c>
    </row>
    <row r="341">
      <c r="A341" s="5" t="n">
        <v>46149</v>
      </c>
      <c r="B341" s="6" t="inlineStr">
        <is>
          <t>Rafael Gomes de Morais</t>
        </is>
      </c>
      <c r="C341" s="1" t="inlineStr">
        <is>
          <t>Técnico III</t>
        </is>
      </c>
      <c r="D341" s="3" t="n">
        <v>35</v>
      </c>
      <c r="E341" s="3" t="n">
        <v>30</v>
      </c>
      <c r="F341" s="3" t="n">
        <v>13.33</v>
      </c>
      <c r="G341" s="3" t="n">
        <v>8</v>
      </c>
      <c r="H341" s="3" t="n">
        <v>0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IF(K341&lt;-5,"CRÍTICO",IF(K341&lt;0,"ATENÇÃO",IF(K341&lt;=5,"OPORTUNO","MUITO BOM")))</f>
        <v/>
      </c>
      <c r="M341" s="3" t="n">
        <v>37</v>
      </c>
      <c r="N341" s="3" t="n">
        <v>99.39</v>
      </c>
      <c r="O341" s="12" t="n">
        <v>25.20325203252033</v>
      </c>
    </row>
    <row r="342">
      <c r="A342" s="5" t="n">
        <v>46149</v>
      </c>
      <c r="B342" s="6" t="inlineStr">
        <is>
          <t>Sarah Steffanie de Lima Borges</t>
        </is>
      </c>
      <c r="C342" s="1" t="inlineStr">
        <is>
          <t>Técnico III</t>
        </is>
      </c>
      <c r="D342" s="3" t="n">
        <v>34</v>
      </c>
      <c r="E342" s="3" t="n">
        <v>31</v>
      </c>
      <c r="F342" s="3" t="n">
        <v>15.09</v>
      </c>
      <c r="G342" s="3" t="n">
        <v>1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IF(K342&lt;-5,"CRÍTICO",IF(K342&lt;0,"ATENÇÃO",IF(K342&lt;=5,"OPORTUNO","MUITO BOM")))</f>
        <v/>
      </c>
      <c r="M342" s="3" t="n">
        <v>28</v>
      </c>
      <c r="N342" s="3" t="n">
        <v>97</v>
      </c>
      <c r="O342" s="12" t="n">
        <v>20.32520325203252</v>
      </c>
    </row>
    <row r="343">
      <c r="A343" s="5" t="n">
        <v>46149</v>
      </c>
      <c r="B343" s="6" t="inlineStr">
        <is>
          <t>Alisson de Freitas Silva</t>
        </is>
      </c>
      <c r="C343" s="1" t="inlineStr">
        <is>
          <t>Técnico II</t>
        </is>
      </c>
      <c r="D343" s="3" t="n">
        <v>39</v>
      </c>
      <c r="E343" s="3" t="n">
        <v>34</v>
      </c>
      <c r="F343" s="3" t="n">
        <v>8.33</v>
      </c>
      <c r="G343" s="3" t="n">
        <v>0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IF(K343&lt;-5,"CRÍTICO",IF(K343&lt;0,"ATENÇÃO",IF(K343&lt;=5,"OPORTUNO","MUITO BOM")))</f>
        <v/>
      </c>
      <c r="M343" s="3" t="n">
        <v>19</v>
      </c>
      <c r="N343" s="3" t="n">
        <v>99.18000000000001</v>
      </c>
      <c r="O343" s="12" t="n">
        <v>24.5014245014245</v>
      </c>
    </row>
    <row r="344">
      <c r="A344" s="5" t="n">
        <v>46149</v>
      </c>
      <c r="B344" s="6" t="inlineStr">
        <is>
          <t>Brenda de Menezes Silva</t>
        </is>
      </c>
      <c r="C344" s="1" t="inlineStr">
        <is>
          <t>Técnico II</t>
        </is>
      </c>
      <c r="D344" s="3" t="n">
        <v>33</v>
      </c>
      <c r="E344" s="3" t="n">
        <v>29</v>
      </c>
      <c r="F344" s="3" t="n">
        <v>13.37</v>
      </c>
      <c r="G344" s="3" t="n">
        <v>5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IF(K344&lt;-5,"CRÍTICO",IF(K344&lt;0,"ATENÇÃO",IF(K344&lt;=5,"OPORTUNO","MUITO BOM")))</f>
        <v/>
      </c>
      <c r="M344" s="3" t="n">
        <v>31</v>
      </c>
      <c r="N344" s="3" t="n">
        <v>99.34999999999999</v>
      </c>
      <c r="O344" s="12" t="n">
        <v>19.85294117647059</v>
      </c>
    </row>
    <row r="345">
      <c r="A345" s="5" t="n">
        <v>46149</v>
      </c>
      <c r="B345" s="6" t="inlineStr">
        <is>
          <t>Carlos Mateus Cassimiro Nunes</t>
        </is>
      </c>
      <c r="C345" s="1" t="inlineStr">
        <is>
          <t>Técnico II</t>
        </is>
      </c>
      <c r="D345" s="3" t="n">
        <v>24</v>
      </c>
      <c r="E345" s="3" t="n">
        <v>24</v>
      </c>
      <c r="F345" s="3" t="n">
        <v>25.23</v>
      </c>
      <c r="G345" s="3" t="n">
        <v>5</v>
      </c>
      <c r="H345" s="3" t="n">
        <v>0</v>
      </c>
      <c r="I345" s="3">
        <f>E345+G345+H345</f>
        <v/>
      </c>
      <c r="J345" s="3">
        <f>ROUND(MIN(IF(C345="Técnico III",35,IF(C345="Técnico II",28,IF(C345="Técnico I",23,IF(C345="JR",20,IF(C345="Estágio",10,0))))),IF(C345="Técnico III",SUMIFS($D:$D,$A:$A,$A345,$B:$B,"&lt;&gt;Patrícia Karla de Sousa Araújo",$B:$B,"&lt;&gt;Lorena Dias de Araujo",$B:$B,"&lt;&gt;Lucas Luiz Romero")*(35/1083),IF(C345="Técnico II",SUMIFS($D:$D,$A:$A,$A345,$B:$B,"&lt;&gt;Patrícia Karla de Sousa Araújo",$B:$B,"&lt;&gt;Lorena Dias de Araujo",$B:$B,"&lt;&gt;Lucas Luiz Romero")*(28/1083),IF(C345="Técnico I",SUMIFS($D:$D,$A:$A,$A345,$B:$B,"&lt;&gt;Patrícia Karla de Sousa Araújo",$B:$B,"&lt;&gt;Lorena Dias de Araujo",$B:$B,"&lt;&gt;Lucas Luiz Romero")*(23/1083),IF(C345="JR",SUMIFS($D:$D,$A:$A,$A345,$B:$B,"&lt;&gt;Patrícia Karla de Sousa Araújo",$B:$B,"&lt;&gt;Lorena Dias de Araujo",$B:$B,"&lt;&gt;Lucas Luiz Romero")*(20/1083),IF(C345="Estágio",SUMIFS($D:$D,$A:$A,$A345,$B:$B,"&lt;&gt;Patrícia Karla de Sousa Araújo",$B:$B,"&lt;&gt;Lorena Dias de Araujo",$B:$B,"&lt;&gt;Lucas Luiz Romero")*(10/1083),0)))))),0)</f>
        <v/>
      </c>
      <c r="K345" s="3">
        <f>I345-J345</f>
        <v/>
      </c>
      <c r="L345" s="3">
        <f>IF(K345&lt;-5,"CRÍTICO",IF(K345&lt;0,"ATENÇÃO",IF(K345&lt;=5,"OPORTUNO","MUITO BOM")))</f>
        <v/>
      </c>
      <c r="M345" s="3" t="n">
        <v>27</v>
      </c>
      <c r="N345" s="3" t="n">
        <v>99.06999999999999</v>
      </c>
      <c r="O345" s="12" t="n">
        <v>20.09803921568627</v>
      </c>
    </row>
    <row r="346">
      <c r="A346" s="5" t="n">
        <v>46149</v>
      </c>
      <c r="B346" s="6" t="inlineStr">
        <is>
          <t>Damyllis Lorraine de Oliveira Gonçalves</t>
        </is>
      </c>
      <c r="C346" s="1" t="inlineStr">
        <is>
          <t>Técnico II</t>
        </is>
      </c>
      <c r="D346" s="3" t="n">
        <v>17</v>
      </c>
      <c r="E346" s="3" t="n">
        <v>16</v>
      </c>
      <c r="F346" s="3" t="n">
        <v>30.25</v>
      </c>
      <c r="G346" s="3" t="n">
        <v>0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IF(K346&lt;-5,"CRÍTICO",IF(K346&lt;0,"ATENÇÃO",IF(K346&lt;=5,"OPORTUNO","MUITO BOM")))</f>
        <v/>
      </c>
      <c r="M346" s="3" t="n">
        <v>19</v>
      </c>
      <c r="N346" s="3" t="n">
        <v>98.81</v>
      </c>
      <c r="O346" s="12" t="n">
        <v>22.76785714285714</v>
      </c>
    </row>
    <row r="347">
      <c r="A347" s="5" t="n">
        <v>46149</v>
      </c>
      <c r="B347" s="6" t="inlineStr">
        <is>
          <t>Emilly Kamilly Medeiros Miranda</t>
        </is>
      </c>
      <c r="C347" s="1" t="inlineStr">
        <is>
          <t>Técnico II</t>
        </is>
      </c>
      <c r="D347" s="3" t="n">
        <v>30</v>
      </c>
      <c r="E347" s="3" t="n">
        <v>29</v>
      </c>
      <c r="F347" s="3" t="n">
        <v>17.1</v>
      </c>
      <c r="G347" s="3" t="n">
        <v>2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IF(K347&lt;-5,"CRÍTICO",IF(K347&lt;0,"ATENÇÃO",IF(K347&lt;=5,"OPORTUNO","MUITO BOM")))</f>
        <v/>
      </c>
      <c r="M347" s="3" t="n">
        <v>28</v>
      </c>
      <c r="N347" s="3" t="n">
        <v>99.01000000000001</v>
      </c>
      <c r="O347" s="12" t="n">
        <v>17.76649746192894</v>
      </c>
    </row>
    <row r="348">
      <c r="A348" s="5" t="n">
        <v>46149</v>
      </c>
      <c r="B348" s="6" t="inlineStr">
        <is>
          <t>Francilene Ferreira de Jesus</t>
        </is>
      </c>
      <c r="C348" s="1" t="inlineStr">
        <is>
          <t>Técnico II</t>
        </is>
      </c>
      <c r="D348" s="3" t="n">
        <v>0</v>
      </c>
      <c r="E348" s="3" t="n">
        <v>0</v>
      </c>
      <c r="F348" s="3" t="n">
        <v>0</v>
      </c>
      <c r="G348" s="3" t="n">
        <v>0</v>
      </c>
      <c r="H348" s="3" t="n">
        <v>0</v>
      </c>
      <c r="I348" s="3" t="n">
        <v>0</v>
      </c>
      <c r="J348" s="3" t="n">
        <v>0</v>
      </c>
      <c r="K348" s="3" t="n">
        <v>0</v>
      </c>
      <c r="L348" s="3">
        <f>IF(K348&lt;-5,"CRÍTICO",IF(K348&lt;0,"ATENÇÃO",IF(K348&lt;=5,"OPORTUNO","MUITO BOM")))</f>
        <v/>
      </c>
      <c r="M348" s="3" t="n">
        <v>0</v>
      </c>
      <c r="N348" s="3" t="n">
        <v>100</v>
      </c>
      <c r="O348" s="12" t="n">
        <v>17.24137931034483</v>
      </c>
    </row>
    <row r="349">
      <c r="A349" s="5" t="n">
        <v>46149</v>
      </c>
      <c r="B349" s="6" t="inlineStr">
        <is>
          <t>Isabella Borges de Oliveira</t>
        </is>
      </c>
      <c r="C349" s="1" t="inlineStr">
        <is>
          <t>Técnico II</t>
        </is>
      </c>
      <c r="D349" s="3" t="n">
        <v>25</v>
      </c>
      <c r="E349" s="3" t="n">
        <v>24</v>
      </c>
      <c r="F349" s="3" t="n">
        <v>24.02</v>
      </c>
      <c r="G349" s="3" t="n">
        <v>0</v>
      </c>
      <c r="H349" s="3" t="n">
        <v>0</v>
      </c>
      <c r="I349" s="3">
        <f>E349+G349+H349</f>
        <v/>
      </c>
      <c r="J349" s="3">
        <f>ROUND(MIN(IF(C349="Técnico III",35,IF(C349="Técnico II",28,IF(C349="Técnico I",23,IF(C349="JR",20,IF(C349="Estágio",10,0))))),IF(C349="Técnico III",SUMIFS($D:$D,$A:$A,$A349,$B:$B,"&lt;&gt;Patrícia Karla de Sousa Araújo",$B:$B,"&lt;&gt;Lorena Dias de Araujo",$B:$B,"&lt;&gt;Lucas Luiz Romero")*(35/1083),IF(C349="Técnico II",SUMIFS($D:$D,$A:$A,$A349,$B:$B,"&lt;&gt;Patrícia Karla de Sousa Araújo",$B:$B,"&lt;&gt;Lorena Dias de Araujo",$B:$B,"&lt;&gt;Lucas Luiz Romero")*(28/1083),IF(C349="Técnico I",SUMIFS($D:$D,$A:$A,$A349,$B:$B,"&lt;&gt;Patrícia Karla de Sousa Araújo",$B:$B,"&lt;&gt;Lorena Dias de Araujo",$B:$B,"&lt;&gt;Lucas Luiz Romero")*(23/1083),IF(C349="JR",SUMIFS($D:$D,$A:$A,$A349,$B:$B,"&lt;&gt;Patrícia Karla de Sousa Araújo",$B:$B,"&lt;&gt;Lorena Dias de Araujo",$B:$B,"&lt;&gt;Lucas Luiz Romero")*(20/1083),IF(C349="Estágio",SUMIFS($D:$D,$A:$A,$A349,$B:$B,"&lt;&gt;Patrícia Karla de Sousa Araújo",$B:$B,"&lt;&gt;Lorena Dias de Araujo",$B:$B,"&lt;&gt;Lucas Luiz Romero")*(10/1083),0)))))),0)</f>
        <v/>
      </c>
      <c r="K349" s="3">
        <f>I349-J349</f>
        <v/>
      </c>
      <c r="L349" s="3">
        <f>IF(K349&lt;-5,"CRÍTICO",IF(K349&lt;0,"ATENÇÃO",IF(K349&lt;=5,"OPORTUNO","MUITO BOM")))</f>
        <v/>
      </c>
      <c r="M349" s="3" t="n">
        <v>22</v>
      </c>
      <c r="N349" s="3" t="n">
        <v>98.98</v>
      </c>
      <c r="O349" s="12" t="n">
        <v>19.35483870967742</v>
      </c>
    </row>
    <row r="350">
      <c r="A350" s="10" t="n">
        <v>46086</v>
      </c>
      <c r="B350" t="inlineStr">
        <is>
          <t>Matheus Farias De Souza</t>
        </is>
      </c>
      <c r="C350" s="1" t="inlineStr">
        <is>
          <t>Técnico III</t>
        </is>
      </c>
      <c r="D350" s="3" t="n">
        <v>7</v>
      </c>
      <c r="E350" s="3" t="n">
        <v>7</v>
      </c>
      <c r="F350" s="3" t="n">
        <v>10.57</v>
      </c>
      <c r="G350" s="3" t="n">
        <v>0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s="3" t="n">
        <v>52</v>
      </c>
      <c r="N350" s="3" t="n">
        <v>98.86</v>
      </c>
      <c r="O350" s="12" t="n">
        <v>28.95927601809955</v>
      </c>
    </row>
    <row r="351">
      <c r="A351" s="5" t="n">
        <v>46149</v>
      </c>
      <c r="B351" s="6" t="inlineStr">
        <is>
          <t>Jessica Faria da Silveira</t>
        </is>
      </c>
      <c r="C351" s="1" t="inlineStr">
        <is>
          <t>Técnico II</t>
        </is>
      </c>
      <c r="D351" s="3" t="n">
        <v>34</v>
      </c>
      <c r="E351" s="3" t="n">
        <v>28</v>
      </c>
      <c r="F351" s="3" t="n">
        <v>13.53</v>
      </c>
      <c r="G351" s="3" t="n">
        <v>0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IF(K351&lt;-5,"CRÍTICO",IF(K351&lt;0,"ATENÇÃO",IF(K351&lt;=5,"OPORTUNO","MUITO BOM")))</f>
        <v/>
      </c>
      <c r="M351" s="3" t="n">
        <v>26</v>
      </c>
      <c r="N351" s="3" t="n">
        <v>98.94</v>
      </c>
      <c r="O351" s="12" t="n">
        <v>21.2707182320442</v>
      </c>
    </row>
    <row r="352">
      <c r="A352" s="5" t="n">
        <v>46149</v>
      </c>
      <c r="B352" s="6" t="inlineStr">
        <is>
          <t>Lizandra Gomes Duarte</t>
        </is>
      </c>
      <c r="C352" s="1" t="inlineStr">
        <is>
          <t>Técnico II</t>
        </is>
      </c>
      <c r="D352" s="3" t="n">
        <v>40</v>
      </c>
      <c r="E352" s="3" t="n">
        <v>37</v>
      </c>
      <c r="F352" s="3" t="n">
        <v>13.54</v>
      </c>
      <c r="G352" s="3" t="n">
        <v>6</v>
      </c>
      <c r="H352" s="3" t="n">
        <v>0</v>
      </c>
      <c r="I352" s="3">
        <f>E352+G352+H352</f>
        <v/>
      </c>
      <c r="J352" s="3">
        <f>ROUND(MIN(IF(C352="Técnico III",35,IF(C352="Técnico II",28,IF(C352="Técnico I",23,IF(C352="JR",20,IF(C352="Estágio",10,0))))),IF(C352="Técnico III",SUMIFS($D:$D,$A:$A,$A352,$B:$B,"&lt;&gt;Patrícia Karla de Sousa Araújo",$B:$B,"&lt;&gt;Lorena Dias de Araujo",$B:$B,"&lt;&gt;Lucas Luiz Romero")*(35/1083),IF(C352="Técnico II",SUMIFS($D:$D,$A:$A,$A352,$B:$B,"&lt;&gt;Patrícia Karla de Sousa Araújo",$B:$B,"&lt;&gt;Lorena Dias de Araujo",$B:$B,"&lt;&gt;Lucas Luiz Romero")*(28/1083),IF(C352="Técnico I",SUMIFS($D:$D,$A:$A,$A352,$B:$B,"&lt;&gt;Patrícia Karla de Sousa Araújo",$B:$B,"&lt;&gt;Lorena Dias de Araujo",$B:$B,"&lt;&gt;Lucas Luiz Romero")*(23/1083),IF(C352="JR",SUMIFS($D:$D,$A:$A,$A352,$B:$B,"&lt;&gt;Patrícia Karla de Sousa Araújo",$B:$B,"&lt;&gt;Lorena Dias de Araujo",$B:$B,"&lt;&gt;Lucas Luiz Romero")*(20/1083),IF(C352="Estágio",SUMIFS($D:$D,$A:$A,$A352,$B:$B,"&lt;&gt;Patrícia Karla de Sousa Araújo",$B:$B,"&lt;&gt;Lorena Dias de Araujo",$B:$B,"&lt;&gt;Lucas Luiz Romero")*(10/1083),0)))))),0)</f>
        <v/>
      </c>
      <c r="K352" s="3">
        <f>I352-J352</f>
        <v/>
      </c>
      <c r="L352" s="3">
        <f>IF(K352&lt;-5,"CRÍTICO",IF(K352&lt;0,"ATENÇÃO",IF(K352&lt;=5,"OPORTUNO","MUITO BOM")))</f>
        <v/>
      </c>
      <c r="M352" s="3" t="n">
        <v>51</v>
      </c>
      <c r="N352" s="3" t="n">
        <v>99</v>
      </c>
      <c r="O352" s="12" t="n">
        <v>22.01086956521739</v>
      </c>
    </row>
    <row r="353">
      <c r="A353" s="5" t="n">
        <v>46149</v>
      </c>
      <c r="B353" s="6" t="inlineStr">
        <is>
          <t>Lorena Dias de Araujo</t>
        </is>
      </c>
      <c r="C353" s="1" t="inlineStr">
        <is>
          <t>Técnico II</t>
        </is>
      </c>
      <c r="D353" s="3" t="n">
        <v>26</v>
      </c>
      <c r="E353" s="3" t="n">
        <v>24</v>
      </c>
      <c r="F353" s="3" t="n">
        <v>18.21</v>
      </c>
      <c r="G353" s="3" t="n">
        <v>0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IF(K353&lt;-5,"CRÍTICO",IF(K353&lt;0,"ATENÇÃO",IF(K353&lt;=5,"OPORTUNO","MUITO BOM")))</f>
        <v/>
      </c>
      <c r="M353" s="3" t="n">
        <v>26</v>
      </c>
      <c r="N353" s="3" t="n">
        <v>100</v>
      </c>
      <c r="O353" s="12" t="n">
        <v>25</v>
      </c>
    </row>
    <row r="354">
      <c r="A354" s="5" t="n">
        <v>46149</v>
      </c>
      <c r="B354" s="6" t="inlineStr">
        <is>
          <t>Patrícia Karla de Sousa Araújo</t>
        </is>
      </c>
      <c r="C354" s="1" t="inlineStr">
        <is>
          <t>Técnico II</t>
        </is>
      </c>
      <c r="D354" s="3" t="n">
        <v>10</v>
      </c>
      <c r="E354" s="3" t="n">
        <v>10</v>
      </c>
      <c r="F354" s="3" t="n">
        <v>28.38</v>
      </c>
      <c r="G354" s="3" t="n">
        <v>0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IF(K354&lt;-5,"CRÍTICO",IF(K354&lt;0,"ATENÇÃO",IF(K354&lt;=5,"OPORTUNO","MUITO BOM")))</f>
        <v/>
      </c>
      <c r="M354" s="3" t="n">
        <v>9</v>
      </c>
      <c r="N354" s="3" t="n">
        <v>100</v>
      </c>
      <c r="O354" s="12" t="n">
        <v>20.18348623853211</v>
      </c>
    </row>
    <row r="355">
      <c r="A355" s="5" t="n">
        <v>46149</v>
      </c>
      <c r="B355" s="6" t="inlineStr">
        <is>
          <t>Ana Karollyne Souza Faria</t>
        </is>
      </c>
      <c r="C355" s="1" t="inlineStr">
        <is>
          <t>Técnico I</t>
        </is>
      </c>
      <c r="D355" s="3" t="n">
        <v>31</v>
      </c>
      <c r="E355" s="3" t="n">
        <v>28</v>
      </c>
      <c r="F355" s="3" t="n">
        <v>15.11</v>
      </c>
      <c r="G355" s="3" t="n">
        <v>10</v>
      </c>
      <c r="H355" s="3" t="n">
        <v>0</v>
      </c>
      <c r="I355" s="3">
        <f>E355+G355+H355</f>
        <v/>
      </c>
      <c r="J355" s="3">
        <f>ROUND(MIN(IF(C355="Técnico III",35,IF(C355="Técnico II",28,IF(C355="Técnico I",23,IF(C355="JR",20,IF(C355="Estágio",10,0))))),IF(C355="Técnico III",SUMIFS($D:$D,$A:$A,$A355,$B:$B,"&lt;&gt;Patrícia Karla de Sousa Araújo",$B:$B,"&lt;&gt;Lorena Dias de Araujo",$B:$B,"&lt;&gt;Lucas Luiz Romero")*(35/1083),IF(C355="Técnico II",SUMIFS($D:$D,$A:$A,$A355,$B:$B,"&lt;&gt;Patrícia Karla de Sousa Araújo",$B:$B,"&lt;&gt;Lorena Dias de Araujo",$B:$B,"&lt;&gt;Lucas Luiz Romero")*(28/1083),IF(C355="Técnico I",SUMIFS($D:$D,$A:$A,$A355,$B:$B,"&lt;&gt;Patrícia Karla de Sousa Araújo",$B:$B,"&lt;&gt;Lorena Dias de Araujo",$B:$B,"&lt;&gt;Lucas Luiz Romero")*(23/1083),IF(C355="JR",SUMIFS($D:$D,$A:$A,$A355,$B:$B,"&lt;&gt;Patrícia Karla de Sousa Araújo",$B:$B,"&lt;&gt;Lorena Dias de Araujo",$B:$B,"&lt;&gt;Lucas Luiz Romero")*(20/1083),IF(C355="Estágio",SUMIFS($D:$D,$A:$A,$A355,$B:$B,"&lt;&gt;Patrícia Karla de Sousa Araújo",$B:$B,"&lt;&gt;Lorena Dias de Araujo",$B:$B,"&lt;&gt;Lucas Luiz Romero")*(10/1083),0)))))),0)</f>
        <v/>
      </c>
      <c r="K355" s="3">
        <f>I355-J355</f>
        <v/>
      </c>
      <c r="L355" s="3">
        <f>IF(K355&lt;-5,"CRÍTICO",IF(K355&lt;0,"ATENÇÃO",IF(K355&lt;=5,"OPORTUNO","MUITO BOM")))</f>
        <v/>
      </c>
      <c r="M355" s="3" t="n">
        <v>36</v>
      </c>
      <c r="N355" s="3" t="n">
        <v>96.25</v>
      </c>
      <c r="O355" s="12" t="n">
        <v>25.5863539445629</v>
      </c>
    </row>
    <row r="356">
      <c r="A356" s="5" t="n">
        <v>46149</v>
      </c>
      <c r="B356" s="6" t="inlineStr">
        <is>
          <t>Clessiane Pereira dos Santos</t>
        </is>
      </c>
      <c r="C356" s="1" t="inlineStr">
        <is>
          <t>Técnico I</t>
        </is>
      </c>
      <c r="D356" s="3" t="n">
        <v>25</v>
      </c>
      <c r="E356" s="3" t="n">
        <v>23</v>
      </c>
      <c r="F356" s="3" t="n">
        <v>16.56</v>
      </c>
      <c r="G356" s="3" t="n">
        <v>1</v>
      </c>
      <c r="H356" s="3" t="n">
        <v>0</v>
      </c>
      <c r="I356" s="3">
        <f>E356+G356+H356</f>
        <v/>
      </c>
      <c r="J356" s="3">
        <f>ROUND(MIN(IF(C356="Técnico III",35,IF(C356="Técnico II",28,IF(C356="Técnico I",23,IF(C356="JR",20,IF(C356="Estágio",10,0))))),IF(C356="Técnico III",SUMIFS($D:$D,$A:$A,$A356,$B:$B,"&lt;&gt;Patrícia Karla de Sousa Araújo",$B:$B,"&lt;&gt;Lorena Dias de Araujo",$B:$B,"&lt;&gt;Lucas Luiz Romero")*(35/1083),IF(C356="Técnico II",SUMIFS($D:$D,$A:$A,$A356,$B:$B,"&lt;&gt;Patrícia Karla de Sousa Araújo",$B:$B,"&lt;&gt;Lorena Dias de Araujo",$B:$B,"&lt;&gt;Lucas Luiz Romero")*(28/1083),IF(C356="Técnico I",SUMIFS($D:$D,$A:$A,$A356,$B:$B,"&lt;&gt;Patrícia Karla de Sousa Araújo",$B:$B,"&lt;&gt;Lorena Dias de Araujo",$B:$B,"&lt;&gt;Lucas Luiz Romero")*(23/1083),IF(C356="JR",SUMIFS($D:$D,$A:$A,$A356,$B:$B,"&lt;&gt;Patrícia Karla de Sousa Araújo",$B:$B,"&lt;&gt;Lorena Dias de Araujo",$B:$B,"&lt;&gt;Lucas Luiz Romero")*(20/1083),IF(C356="Estágio",SUMIFS($D:$D,$A:$A,$A356,$B:$B,"&lt;&gt;Patrícia Karla de Sousa Araújo",$B:$B,"&lt;&gt;Lorena Dias de Araujo",$B:$B,"&lt;&gt;Lucas Luiz Romero")*(10/1083),0)))))),0)</f>
        <v/>
      </c>
      <c r="K356" s="3">
        <f>I356-J356</f>
        <v/>
      </c>
      <c r="L356" s="3">
        <f>IF(K356&lt;-5,"CRÍTICO",IF(K356&lt;0,"ATENÇÃO",IF(K356&lt;=5,"OPORTUNO","MUITO BOM")))</f>
        <v/>
      </c>
      <c r="M356" s="3" t="n">
        <v>22</v>
      </c>
      <c r="N356" s="3" t="n">
        <v>97.48</v>
      </c>
      <c r="O356" s="12" t="n">
        <v>22.99465240641711</v>
      </c>
    </row>
    <row r="357">
      <c r="A357" s="5" t="n">
        <v>46149</v>
      </c>
      <c r="B357" s="6" t="inlineStr">
        <is>
          <t>Daniel Gomes da Silva</t>
        </is>
      </c>
      <c r="C357" s="1" t="inlineStr">
        <is>
          <t>Técnico I</t>
        </is>
      </c>
      <c r="D357" s="3" t="n">
        <v>17</v>
      </c>
      <c r="E357" s="3" t="n">
        <v>17</v>
      </c>
      <c r="F357" s="3" t="n">
        <v>16.5</v>
      </c>
      <c r="G357" s="3" t="n">
        <v>7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IF(K357&lt;-5,"CRÍTICO",IF(K357&lt;0,"ATENÇÃO",IF(K357&lt;=5,"OPORTUNO","MUITO BOM")))</f>
        <v/>
      </c>
      <c r="M357" s="3" t="n">
        <v>19</v>
      </c>
      <c r="N357" s="3" t="n">
        <v>100</v>
      </c>
      <c r="O357" s="12" t="n">
        <v>20.78853046594982</v>
      </c>
    </row>
    <row r="358">
      <c r="A358" s="5" t="n">
        <v>46149</v>
      </c>
      <c r="B358" s="6" t="inlineStr">
        <is>
          <t>Luiz Fernando de Carvalho Junior</t>
        </is>
      </c>
      <c r="C358" s="1" t="inlineStr">
        <is>
          <t>Técnico I</t>
        </is>
      </c>
      <c r="D358" s="3" t="n">
        <v>25</v>
      </c>
      <c r="E358" s="3" t="n">
        <v>25</v>
      </c>
      <c r="F358" s="3" t="n">
        <v>25.28</v>
      </c>
      <c r="G358" s="3" t="n">
        <v>1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IF(K358&lt;-5,"CRÍTICO",IF(K358&lt;0,"ATENÇÃO",IF(K358&lt;=5,"OPORTUNO","MUITO BOM")))</f>
        <v/>
      </c>
      <c r="M358" s="3" t="n">
        <v>25</v>
      </c>
      <c r="N358" s="3" t="n">
        <v>94.55</v>
      </c>
      <c r="O358" s="12" t="n">
        <v>23.45013477088949</v>
      </c>
    </row>
    <row r="359">
      <c r="A359" s="5" t="n">
        <v>46149</v>
      </c>
      <c r="B359" s="6" t="inlineStr">
        <is>
          <t>Raane Batista Matos</t>
        </is>
      </c>
      <c r="C359" s="1" t="inlineStr">
        <is>
          <t>Técnico I</t>
        </is>
      </c>
      <c r="D359" s="3" t="n">
        <v>31</v>
      </c>
      <c r="E359" s="3" t="n">
        <v>26</v>
      </c>
      <c r="F359" s="3" t="n">
        <v>11.59</v>
      </c>
      <c r="G359" s="3" t="n">
        <v>14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IF(K359&lt;-5,"CRÍTICO",IF(K359&lt;0,"ATENÇÃO",IF(K359&lt;=5,"OPORTUNO","MUITO BOM")))</f>
        <v/>
      </c>
      <c r="M359" s="3" t="n">
        <v>23</v>
      </c>
      <c r="N359" s="3" t="n">
        <v>98</v>
      </c>
      <c r="O359" s="12" t="n">
        <v>20.73490813648294</v>
      </c>
    </row>
    <row r="360">
      <c r="A360" s="5" t="n">
        <v>46149</v>
      </c>
      <c r="B360" s="6" t="inlineStr">
        <is>
          <t>Sara Maria Monteiro Lopes</t>
        </is>
      </c>
      <c r="C360" s="1" t="inlineStr">
        <is>
          <t>Técnico I</t>
        </is>
      </c>
      <c r="D360" s="3" t="n">
        <v>14</v>
      </c>
      <c r="E360" s="3" t="n">
        <v>14</v>
      </c>
      <c r="F360" s="3" t="n">
        <v>33.45</v>
      </c>
      <c r="G360" s="3" t="n">
        <v>6</v>
      </c>
      <c r="H360" s="3" t="n">
        <v>0</v>
      </c>
      <c r="I360" s="3">
        <f>E360+G360+H360</f>
        <v/>
      </c>
      <c r="J360" s="3">
        <f>ROUND(MIN(IF(C360="Técnico III",35,IF(C360="Técnico II",28,IF(C360="Técnico I",23,IF(C360="JR",20,IF(C360="Estágio",10,0))))),IF(C360="Técnico III",SUMIFS($D:$D,$A:$A,$A360,$B:$B,"&lt;&gt;Patrícia Karla de Sousa Araújo",$B:$B,"&lt;&gt;Lorena Dias de Araujo",$B:$B,"&lt;&gt;Lucas Luiz Romero")*(35/1083),IF(C360="Técnico II",SUMIFS($D:$D,$A:$A,$A360,$B:$B,"&lt;&gt;Patrícia Karla de Sousa Araújo",$B:$B,"&lt;&gt;Lorena Dias de Araujo",$B:$B,"&lt;&gt;Lucas Luiz Romero")*(28/1083),IF(C360="Técnico I",SUMIFS($D:$D,$A:$A,$A360,$B:$B,"&lt;&gt;Patrícia Karla de Sousa Araújo",$B:$B,"&lt;&gt;Lorena Dias de Araujo",$B:$B,"&lt;&gt;Lucas Luiz Romero")*(23/1083),IF(C360="JR",SUMIFS($D:$D,$A:$A,$A360,$B:$B,"&lt;&gt;Patrícia Karla de Sousa Araújo",$B:$B,"&lt;&gt;Lorena Dias de Araujo",$B:$B,"&lt;&gt;Lucas Luiz Romero")*(20/1083),IF(C360="Estágio",SUMIFS($D:$D,$A:$A,$A360,$B:$B,"&lt;&gt;Patrícia Karla de Sousa Araújo",$B:$B,"&lt;&gt;Lorena Dias de Araujo",$B:$B,"&lt;&gt;Lucas Luiz Romero")*(10/1083),0)))))),0)</f>
        <v/>
      </c>
      <c r="K360" s="3">
        <f>I360-J360</f>
        <v/>
      </c>
      <c r="L360" s="3">
        <f>IF(K360&lt;-5,"CRÍTICO",IF(K360&lt;0,"ATENÇÃO",IF(K360&lt;=5,"OPORTUNO","MUITO BOM")))</f>
        <v/>
      </c>
      <c r="M360" s="3" t="n">
        <v>20</v>
      </c>
      <c r="N360" s="3" t="n">
        <v>100</v>
      </c>
      <c r="O360" s="12" t="n">
        <v>18</v>
      </c>
    </row>
    <row r="361">
      <c r="A361" s="5" t="n">
        <v>46149</v>
      </c>
      <c r="B361" s="6" t="inlineStr">
        <is>
          <t>Gabriel Gomes de Andrade</t>
        </is>
      </c>
      <c r="C361" s="1" t="inlineStr">
        <is>
          <t>Técnico I</t>
        </is>
      </c>
      <c r="D361" s="3" t="n">
        <v>26</v>
      </c>
      <c r="E361" s="3" t="n">
        <v>26</v>
      </c>
      <c r="F361" s="3" t="n">
        <v>18.46</v>
      </c>
      <c r="G361" s="3" t="n">
        <v>2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IF(K361&lt;-5,"CRÍTICO",IF(K361&lt;0,"ATENÇÃO",IF(K361&lt;=5,"OPORTUNO","MUITO BOM")))</f>
        <v/>
      </c>
      <c r="M361" s="3" t="n">
        <v>24</v>
      </c>
      <c r="N361" s="3" t="n">
        <v>99.06</v>
      </c>
      <c r="O361" s="12" t="n">
        <v>19.41747572815534</v>
      </c>
    </row>
    <row r="362">
      <c r="A362" s="5" t="n">
        <v>46160</v>
      </c>
      <c r="B362" s="6" t="inlineStr">
        <is>
          <t>Emilly Caylane Costa</t>
        </is>
      </c>
      <c r="C362" s="1" t="inlineStr">
        <is>
          <t>Estágio</t>
        </is>
      </c>
      <c r="D362" s="3" t="n">
        <v>32</v>
      </c>
      <c r="E362" s="3" t="n">
        <v>13</v>
      </c>
      <c r="F362" s="3" t="n">
        <v>4.16</v>
      </c>
      <c r="G362" s="3" t="n">
        <v>0</v>
      </c>
      <c r="H362" s="3" t="n">
        <v>0</v>
      </c>
      <c r="I362" s="3" t="n">
        <v>13</v>
      </c>
      <c r="J362" s="3" t="n">
        <v>8</v>
      </c>
      <c r="K362" s="3" t="n">
        <v>5</v>
      </c>
      <c r="L362" s="3" t="inlineStr">
        <is>
          <t>BOM</t>
        </is>
      </c>
      <c r="M362" s="3" t="n">
        <v>0</v>
      </c>
      <c r="N362" s="3" t="n">
        <v>100</v>
      </c>
      <c r="O362" s="12" t="n">
        <v>28.94736842105263</v>
      </c>
    </row>
    <row r="363">
      <c r="A363" s="7" t="n">
        <v>46161</v>
      </c>
      <c r="B363" s="8" t="inlineStr">
        <is>
          <t>Emilly Caylane Costa</t>
        </is>
      </c>
      <c r="C363" s="1" t="inlineStr">
        <is>
          <t>Estágio</t>
        </is>
      </c>
      <c r="D363" s="3" t="n">
        <v>17</v>
      </c>
      <c r="E363" s="3" t="n">
        <v>5</v>
      </c>
      <c r="F363" s="3" t="n">
        <v>2.2</v>
      </c>
      <c r="G363" s="3" t="n">
        <v>0</v>
      </c>
      <c r="H363" s="3" t="n">
        <v>0</v>
      </c>
      <c r="I363" s="3" t="n">
        <v>5</v>
      </c>
      <c r="J363" s="3" t="n">
        <v>8</v>
      </c>
      <c r="K363" s="3" t="n">
        <v>-3</v>
      </c>
      <c r="L363" s="3" t="inlineStr">
        <is>
          <t>ATENÇÃO</t>
        </is>
      </c>
      <c r="M363" s="3" t="n">
        <v>0</v>
      </c>
      <c r="N363" s="3" t="n">
        <v>100</v>
      </c>
      <c r="O363" s="12" t="n">
        <v>28.94736842105263</v>
      </c>
    </row>
    <row r="364">
      <c r="A364" s="5" t="n">
        <v>46149</v>
      </c>
      <c r="B364" s="6" t="inlineStr">
        <is>
          <t>Matheus Farias De Souza</t>
        </is>
      </c>
      <c r="C364" s="1" t="inlineStr">
        <is>
          <t>Técnico III</t>
        </is>
      </c>
      <c r="D364" s="3" t="n">
        <v>15</v>
      </c>
      <c r="E364" s="3" t="n">
        <v>14</v>
      </c>
      <c r="F364" s="3" t="n">
        <v>9.02</v>
      </c>
      <c r="G364" s="3" t="n">
        <v>0</v>
      </c>
      <c r="H364" s="3" t="n">
        <v>32</v>
      </c>
      <c r="I364" s="3">
        <f>E364+G364+H364</f>
        <v/>
      </c>
      <c r="J364" s="3">
        <f>ROUND(MIN(IF(C364="Técnico III",35,IF(C364="Técnico II",28,IF(C364="Técnico I",23,IF(C364="JR",20,IF(C364="Estágio",10,0))))),IF(C364="Técnico III",SUMIFS($D:$D,$A:$A,$A364,$B:$B,"&lt;&gt;Patrícia Karla de Sousa Araújo",$B:$B,"&lt;&gt;Lorena Dias de Araujo",$B:$B,"&lt;&gt;Lucas Luiz Romero")*(35/1083),IF(C364="Técnico II",SUMIFS($D:$D,$A:$A,$A364,$B:$B,"&lt;&gt;Patrícia Karla de Sousa Araújo",$B:$B,"&lt;&gt;Lorena Dias de Araujo",$B:$B,"&lt;&gt;Lucas Luiz Romero")*(28/1083),IF(C364="Técnico I",SUMIFS($D:$D,$A:$A,$A364,$B:$B,"&lt;&gt;Patrícia Karla de Sousa Araújo",$B:$B,"&lt;&gt;Lorena Dias de Araujo",$B:$B,"&lt;&gt;Lucas Luiz Romero")*(23/1083),IF(C364="JR",SUMIFS($D:$D,$A:$A,$A364,$B:$B,"&lt;&gt;Patrícia Karla de Sousa Araújo",$B:$B,"&lt;&gt;Lorena Dias de Araujo",$B:$B,"&lt;&gt;Lucas Luiz Romero")*(20/1083),IF(C364="Estágio",SUMIFS($D:$D,$A:$A,$A364,$B:$B,"&lt;&gt;Patrícia Karla de Sousa Araújo",$B:$B,"&lt;&gt;Lorena Dias de Araujo",$B:$B,"&lt;&gt;Lucas Luiz Romero")*(10/1083),0)))))),0)</f>
        <v/>
      </c>
      <c r="K364" s="3">
        <f>I364-J364</f>
        <v/>
      </c>
      <c r="L364" s="3">
        <f>IF(K364&lt;-5,"CRÍTICO",IF(K364&lt;0,"ATENÇÃO",IF(K364&lt;=5,"OPORTUNO","MUITO BOM")))</f>
        <v/>
      </c>
      <c r="M364" s="3" t="n">
        <v>35</v>
      </c>
      <c r="N364" s="3" t="n">
        <v>98.39</v>
      </c>
      <c r="O364" s="12" t="n">
        <v>8.799999999999999</v>
      </c>
    </row>
    <row r="365">
      <c r="A365" s="7" t="n">
        <v>46162</v>
      </c>
      <c r="B365" s="8" t="inlineStr">
        <is>
          <t>Emilly Caylane Costa</t>
        </is>
      </c>
      <c r="C365" s="1" t="inlineStr">
        <is>
          <t>Estágio</t>
        </is>
      </c>
      <c r="D365" s="3" t="n">
        <v>10</v>
      </c>
      <c r="E365" s="3" t="n">
        <v>4</v>
      </c>
      <c r="F365" s="3" t="n">
        <v>3.22</v>
      </c>
      <c r="G365" s="3" t="n">
        <v>0</v>
      </c>
      <c r="H365" s="3" t="n">
        <v>0</v>
      </c>
      <c r="I365" s="3" t="n">
        <v>4</v>
      </c>
      <c r="J365" s="3" t="n">
        <v>7</v>
      </c>
      <c r="K365" s="3" t="n">
        <v>-3</v>
      </c>
      <c r="L365" s="3" t="inlineStr">
        <is>
          <t>ATENÇÃO</t>
        </is>
      </c>
      <c r="M365" s="3" t="n">
        <v>0</v>
      </c>
      <c r="N365" s="3" t="n">
        <v>100</v>
      </c>
      <c r="O365" s="12" t="n">
        <v>28.94736842105263</v>
      </c>
    </row>
    <row r="366">
      <c r="A366" s="5" t="n">
        <v>46163</v>
      </c>
      <c r="B366" s="6" t="inlineStr">
        <is>
          <t>Emilly Caylane Costa</t>
        </is>
      </c>
      <c r="C366" s="1" t="inlineStr">
        <is>
          <t>Estágio</t>
        </is>
      </c>
      <c r="D366" s="3" t="n">
        <v>9</v>
      </c>
      <c r="E366" s="3" t="n">
        <v>8</v>
      </c>
      <c r="F366" s="3" t="n">
        <v>23.57</v>
      </c>
      <c r="G366" s="3" t="n">
        <v>0</v>
      </c>
      <c r="H366" s="3" t="n">
        <v>0</v>
      </c>
      <c r="I366" s="3" t="n">
        <v>8</v>
      </c>
      <c r="J366" s="3" t="n">
        <v>6</v>
      </c>
      <c r="K366" s="3" t="n">
        <v>2</v>
      </c>
      <c r="L366" s="3" t="inlineStr">
        <is>
          <t>BOM</t>
        </is>
      </c>
      <c r="M366" s="3" t="n">
        <v>6</v>
      </c>
      <c r="N366" s="3" t="n">
        <v>100</v>
      </c>
      <c r="O366" s="12" t="n">
        <v>28.94736842105263</v>
      </c>
    </row>
    <row r="367">
      <c r="A367" s="9" t="n">
        <v>46164</v>
      </c>
      <c r="B367" s="6" t="inlineStr">
        <is>
          <t>Emilly Caylane Costa</t>
        </is>
      </c>
      <c r="C367" s="1" t="inlineStr">
        <is>
          <t>Estágio</t>
        </is>
      </c>
      <c r="D367" s="3" t="n">
        <v>6</v>
      </c>
      <c r="E367" s="3" t="n">
        <v>6</v>
      </c>
      <c r="F367" s="3" t="n">
        <v>36.58</v>
      </c>
      <c r="G367" s="3" t="n">
        <v>0</v>
      </c>
      <c r="H367" s="3" t="n">
        <v>0</v>
      </c>
      <c r="I367" s="3" t="n">
        <v>6</v>
      </c>
      <c r="J367" s="3" t="n">
        <v>6</v>
      </c>
      <c r="K367" s="3" t="n">
        <v>0</v>
      </c>
      <c r="L367" s="3" t="inlineStr">
        <is>
          <t>BOM</t>
        </is>
      </c>
      <c r="M367" s="3" t="n">
        <v>6</v>
      </c>
      <c r="N367" s="3" t="n">
        <v>100</v>
      </c>
      <c r="O367" s="12" t="n">
        <v>28.94736842105263</v>
      </c>
    </row>
    <row r="368">
      <c r="A368" s="10" t="n">
        <v>46167</v>
      </c>
      <c r="B368" t="inlineStr">
        <is>
          <t>Emilly Caylane Costa</t>
        </is>
      </c>
      <c r="C368" s="1" t="inlineStr">
        <is>
          <t>Estágio</t>
        </is>
      </c>
      <c r="D368" s="3" t="n">
        <v>1</v>
      </c>
      <c r="E368" s="3" t="n">
        <v>1</v>
      </c>
      <c r="F368" s="3" t="n">
        <v>72.06999999999999</v>
      </c>
      <c r="G368" s="3" t="n">
        <v>0</v>
      </c>
      <c r="H368" s="3" t="n">
        <v>0</v>
      </c>
      <c r="I368" s="3" t="n">
        <v>1</v>
      </c>
      <c r="J368" s="3" t="n">
        <v>6</v>
      </c>
      <c r="K368" s="3" t="n">
        <v>-5</v>
      </c>
      <c r="L368" s="3" t="inlineStr">
        <is>
          <t>ATENÇÃO</t>
        </is>
      </c>
      <c r="M368" s="3" t="n">
        <v>1</v>
      </c>
      <c r="N368" s="3" t="n">
        <v>100</v>
      </c>
      <c r="O368" s="12" t="n">
        <v>28.94736842105263</v>
      </c>
    </row>
    <row r="369">
      <c r="A369" s="10" t="n">
        <v>46037</v>
      </c>
      <c r="B369" t="inlineStr">
        <is>
          <t>Gabriel Gomes de Andrade</t>
        </is>
      </c>
      <c r="C369" s="1" t="inlineStr">
        <is>
          <t>Técnico I</t>
        </is>
      </c>
      <c r="D369" s="3" t="n">
        <v>27</v>
      </c>
      <c r="E369" s="3" t="n">
        <v>27</v>
      </c>
      <c r="F369" s="3" t="n">
        <v>18.35</v>
      </c>
      <c r="G369" s="3" t="n">
        <v>0</v>
      </c>
      <c r="H369" s="3" t="n">
        <v>0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s="3" t="n">
        <v>24</v>
      </c>
      <c r="N369" s="3" t="n">
        <v>98.91</v>
      </c>
      <c r="O369" s="12" t="n">
        <v>31.36729222520107</v>
      </c>
    </row>
    <row r="370">
      <c r="A370" s="10" t="n">
        <v>46168</v>
      </c>
      <c r="B370" t="inlineStr">
        <is>
          <t>Emilly Caylane Costa</t>
        </is>
      </c>
      <c r="C370" s="1" t="inlineStr">
        <is>
          <t>Estágio</t>
        </is>
      </c>
      <c r="D370" s="3" t="n">
        <v>7</v>
      </c>
      <c r="E370" s="3" t="n">
        <v>7</v>
      </c>
      <c r="F370" s="3" t="n">
        <v>41.42</v>
      </c>
      <c r="G370" s="3" t="n">
        <v>0</v>
      </c>
      <c r="H370" s="3" t="n">
        <v>0</v>
      </c>
      <c r="I370" s="3" t="n">
        <v>7</v>
      </c>
      <c r="J370" s="3" t="n">
        <v>8</v>
      </c>
      <c r="K370" s="3" t="n">
        <v>-1</v>
      </c>
      <c r="L370" s="3" t="inlineStr">
        <is>
          <t>ATENÇÃO</t>
        </is>
      </c>
      <c r="M370" s="3" t="n">
        <v>6</v>
      </c>
      <c r="N370" s="3" t="n">
        <v>100</v>
      </c>
      <c r="O370" s="12" t="n">
        <v>31.57894736842105</v>
      </c>
    </row>
    <row r="371">
      <c r="A371" s="10" t="n">
        <v>46169</v>
      </c>
      <c r="B371" t="inlineStr">
        <is>
          <t>Emilly Caylane Costa</t>
        </is>
      </c>
      <c r="C371" s="1" t="inlineStr">
        <is>
          <t>Estágio</t>
        </is>
      </c>
      <c r="D371" s="3" t="n">
        <v>5</v>
      </c>
      <c r="E371" s="3" t="n">
        <v>5</v>
      </c>
      <c r="F371" s="3" t="n">
        <v>57</v>
      </c>
      <c r="G371" s="3" t="n">
        <v>0</v>
      </c>
      <c r="H371" s="3" t="n">
        <v>0</v>
      </c>
      <c r="I371" s="3" t="n">
        <v>5</v>
      </c>
      <c r="J371" s="3" t="n">
        <v>8</v>
      </c>
      <c r="K371" s="3" t="n">
        <v>-3</v>
      </c>
      <c r="L371" s="3" t="inlineStr">
        <is>
          <t>ATENÇÃO</t>
        </is>
      </c>
      <c r="M371" s="3" t="n">
        <v>5</v>
      </c>
      <c r="N371" s="3" t="n">
        <v>100</v>
      </c>
      <c r="O371" s="12" t="n">
        <v>30.23255813953488</v>
      </c>
    </row>
    <row r="372">
      <c r="A372" s="10" t="n">
        <v>46170</v>
      </c>
      <c r="B372" t="inlineStr">
        <is>
          <t>Emilly Caylane Costa</t>
        </is>
      </c>
      <c r="C372" s="1" t="inlineStr">
        <is>
          <t>Estágio</t>
        </is>
      </c>
      <c r="D372" s="3" t="n">
        <v>9</v>
      </c>
      <c r="E372" s="3" t="n">
        <v>8</v>
      </c>
      <c r="F372" s="3" t="n">
        <v>32.24</v>
      </c>
      <c r="G372" s="3" t="n">
        <v>0</v>
      </c>
      <c r="H372" s="3" t="n">
        <v>0</v>
      </c>
      <c r="I372" s="3" t="n">
        <v>8</v>
      </c>
      <c r="J372" s="3" t="n">
        <v>8</v>
      </c>
      <c r="K372" s="3" t="n">
        <v>0</v>
      </c>
      <c r="L372" s="3" t="inlineStr">
        <is>
          <t>BOM</t>
        </is>
      </c>
      <c r="M372" s="3" t="n">
        <v>8</v>
      </c>
      <c r="N372" s="3" t="n">
        <v>100</v>
      </c>
      <c r="O372" s="12" t="n">
        <v>33.33333333333333</v>
      </c>
    </row>
    <row r="373">
      <c r="A373" s="10" t="n">
        <v>46171</v>
      </c>
      <c r="B373" t="inlineStr">
        <is>
          <t>Emilly Caylane Costa</t>
        </is>
      </c>
      <c r="C373" s="1" t="inlineStr">
        <is>
          <t>Estágio</t>
        </is>
      </c>
      <c r="D373" s="3" t="n">
        <v>6</v>
      </c>
      <c r="E373" s="3" t="n">
        <v>6</v>
      </c>
      <c r="F373" s="3" t="n">
        <v>49.01</v>
      </c>
      <c r="G373" s="3" t="n">
        <v>0</v>
      </c>
      <c r="H373" s="3" t="n">
        <v>0</v>
      </c>
      <c r="I373" s="3" t="n">
        <v>6</v>
      </c>
      <c r="J373" s="3" t="n">
        <v>8</v>
      </c>
      <c r="K373" s="3" t="n">
        <v>-2</v>
      </c>
      <c r="L373" s="3" t="inlineStr">
        <is>
          <t>ATENÇÃO</t>
        </is>
      </c>
      <c r="M373" s="3" t="n">
        <v>1</v>
      </c>
      <c r="N373" s="3" t="n">
        <v>100</v>
      </c>
      <c r="O373" s="12" t="n">
        <v>32.69230769230769</v>
      </c>
    </row>
    <row r="374">
      <c r="A374" s="5" t="n">
        <v>46150</v>
      </c>
      <c r="B374" s="6" t="inlineStr">
        <is>
          <t>Gabriel Alves</t>
        </is>
      </c>
      <c r="C374" s="1" t="inlineStr">
        <is>
          <t>Estágio</t>
        </is>
      </c>
      <c r="D374" s="3" t="n">
        <v>46</v>
      </c>
      <c r="E374" s="3" t="n">
        <v>42</v>
      </c>
      <c r="F374" s="3" t="n">
        <v>5.38</v>
      </c>
      <c r="G374" s="3" t="n">
        <v>0</v>
      </c>
      <c r="H374" s="3" t="n">
        <v>0</v>
      </c>
      <c r="I374" s="3">
        <f>E374+G374+H374</f>
        <v/>
      </c>
      <c r="J374" s="3">
        <f>ROUND(MIN(IF(C374="Técnico III",35,IF(C374="Técnico II",28,IF(C374="Técnico I",23,IF(C374="JR",20,IF(C374="Estágio",10,0))))),IF(C374="Técnico III",SUMIFS($D:$D,$A:$A,$A374,$B:$B,"&lt;&gt;Patrícia Karla de Sousa Araújo",$B:$B,"&lt;&gt;Lorena Dias de Araujo",$B:$B,"&lt;&gt;Lucas Luiz Romero")*(35/1083),IF(C374="Técnico II",SUMIFS($D:$D,$A:$A,$A374,$B:$B,"&lt;&gt;Patrícia Karla de Sousa Araújo",$B:$B,"&lt;&gt;Lorena Dias de Araujo",$B:$B,"&lt;&gt;Lucas Luiz Romero")*(28/1083),IF(C374="Técnico I",SUMIFS($D:$D,$A:$A,$A374,$B:$B,"&lt;&gt;Patrícia Karla de Sousa Araújo",$B:$B,"&lt;&gt;Lorena Dias de Araujo",$B:$B,"&lt;&gt;Lucas Luiz Romero")*(23/1083),IF(C374="JR",SUMIFS($D:$D,$A:$A,$A374,$B:$B,"&lt;&gt;Patrícia Karla de Sousa Araújo",$B:$B,"&lt;&gt;Lorena Dias de Araujo",$B:$B,"&lt;&gt;Lucas Luiz Romero")*(20/1083),IF(C374="Estágio",SUMIFS($D:$D,$A:$A,$A374,$B:$B,"&lt;&gt;Patrícia Karla de Sousa Araújo",$B:$B,"&lt;&gt;Lorena Dias de Araujo",$B:$B,"&lt;&gt;Lucas Luiz Romero")*(10/1083),0)))))),0)</f>
        <v/>
      </c>
      <c r="K374" s="3">
        <f>I374-J374</f>
        <v/>
      </c>
      <c r="L374" s="3">
        <f>IF(K374&lt;-5,"CRÍTICO",IF(K374&lt;0,"ATENÇÃO",IF(K374&lt;=5,"OPORTUNO","MUITO BOM")))</f>
        <v/>
      </c>
      <c r="M374" s="3" t="n">
        <v>0</v>
      </c>
      <c r="N374" s="3" t="n">
        <v>100</v>
      </c>
      <c r="O374" s="12" t="n">
        <v>33.33333333333333</v>
      </c>
    </row>
    <row r="375">
      <c r="A375" s="5" t="n">
        <v>46157</v>
      </c>
      <c r="B375" s="6" t="inlineStr">
        <is>
          <t>Gabriel Alves</t>
        </is>
      </c>
      <c r="C375" s="1" t="inlineStr">
        <is>
          <t>Estágio</t>
        </is>
      </c>
      <c r="D375" s="3" t="n">
        <v>4</v>
      </c>
      <c r="E375" s="3" t="n">
        <v>4</v>
      </c>
      <c r="F375" s="3" t="n">
        <v>55.52</v>
      </c>
      <c r="G375" s="3" t="n">
        <v>0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IF(K375&lt;-5,"CRÍTICO",IF(K375&lt;0,"ATENÇÃO",IF(K375&lt;=5,"OPORTUNO","MUITO BOM")))</f>
        <v/>
      </c>
      <c r="M375" s="3" t="n">
        <v>3</v>
      </c>
      <c r="N375" s="3" t="n">
        <v>100</v>
      </c>
      <c r="O375" s="12" t="n">
        <v>33.33333333333333</v>
      </c>
    </row>
    <row r="376">
      <c r="A376" s="5" t="n">
        <v>46150</v>
      </c>
      <c r="B376" s="6" t="inlineStr">
        <is>
          <t>Amanda Moura Ferreira</t>
        </is>
      </c>
      <c r="C376" s="1" t="inlineStr">
        <is>
          <t>Técnico III</t>
        </is>
      </c>
      <c r="D376" s="3" t="n">
        <v>0</v>
      </c>
      <c r="E376" s="3" t="n">
        <v>0</v>
      </c>
      <c r="F376" s="3" t="n">
        <v>0</v>
      </c>
      <c r="G376" s="3" t="n">
        <v>0</v>
      </c>
      <c r="H376" s="3" t="n">
        <v>0</v>
      </c>
      <c r="I376" s="3" t="n">
        <v>0</v>
      </c>
      <c r="J376" s="3" t="n">
        <v>0</v>
      </c>
      <c r="K376" s="3" t="n">
        <v>0</v>
      </c>
      <c r="L376" s="3">
        <f>IF(K376&lt;-5,"CRÍTICO",IF(K376&lt;0,"ATENÇÃO",IF(K376&lt;=5,"OPORTUNO","MUITO BOM")))</f>
        <v/>
      </c>
      <c r="M376" s="3" t="n">
        <v>0</v>
      </c>
      <c r="N376" s="3" t="n">
        <v>100</v>
      </c>
      <c r="O376" s="12" t="n">
        <v>0</v>
      </c>
    </row>
    <row r="377">
      <c r="A377" s="5" t="n">
        <v>46150</v>
      </c>
      <c r="B377" s="6" t="inlineStr">
        <is>
          <t>Ana Paula Da Luz Silva Aleixo</t>
        </is>
      </c>
      <c r="C377" s="1" t="inlineStr">
        <is>
          <t>Técnico III</t>
        </is>
      </c>
      <c r="D377" s="3" t="n">
        <v>22</v>
      </c>
      <c r="E377" s="3" t="n">
        <v>21</v>
      </c>
      <c r="F377" s="3" t="n">
        <v>16.5</v>
      </c>
      <c r="G377" s="3" t="n">
        <v>3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IF(K377&lt;-5,"CRÍTICO",IF(K377&lt;0,"ATENÇÃO",IF(K377&lt;=5,"OPORTUNO","MUITO BOM")))</f>
        <v/>
      </c>
      <c r="M377" s="3" t="n">
        <v>20</v>
      </c>
      <c r="N377" s="3" t="n">
        <v>96.94</v>
      </c>
      <c r="O377" s="12" t="n">
        <v>19.61325966850829</v>
      </c>
    </row>
    <row r="378">
      <c r="A378" s="5" t="n">
        <v>46150</v>
      </c>
      <c r="B378" s="6" t="inlineStr">
        <is>
          <t>Cristiane Ramos da Silva Rocha</t>
        </is>
      </c>
      <c r="C378" s="1" t="inlineStr">
        <is>
          <t>Técnico III</t>
        </is>
      </c>
      <c r="D378" s="3" t="n">
        <v>27</v>
      </c>
      <c r="E378" s="3" t="n">
        <v>26</v>
      </c>
      <c r="F378" s="3" t="n">
        <v>17.37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IF(K378&lt;-5,"CRÍTICO",IF(K378&lt;0,"ATENÇÃO",IF(K378&lt;=5,"OPORTUNO","MUITO BOM")))</f>
        <v/>
      </c>
      <c r="M378" s="3" t="n">
        <v>25</v>
      </c>
      <c r="N378" s="3" t="n">
        <v>92.81</v>
      </c>
      <c r="O378" s="12" t="n">
        <v>25.47770700636943</v>
      </c>
    </row>
    <row r="379">
      <c r="A379" s="5" t="n">
        <v>46150</v>
      </c>
      <c r="B379" s="6" t="inlineStr">
        <is>
          <t>Davylla Rodrigues Freitas Silva</t>
        </is>
      </c>
      <c r="C379" s="1" t="inlineStr">
        <is>
          <t>Técnico III</t>
        </is>
      </c>
      <c r="D379" s="3" t="n">
        <v>17</v>
      </c>
      <c r="E379" s="3" t="n">
        <v>17</v>
      </c>
      <c r="F379" s="3" t="n">
        <v>25.05</v>
      </c>
      <c r="G379" s="3" t="n">
        <v>0</v>
      </c>
      <c r="H379" s="3" t="n">
        <v>0</v>
      </c>
      <c r="I379" s="3">
        <f>E379+G379+H379</f>
        <v/>
      </c>
      <c r="J379" s="3">
        <f>ROUND(MIN(IF(C379="Técnico III",35,IF(C379="Técnico II",28,IF(C379="Técnico I",23,IF(C379="JR",20,IF(C379="Estágio",10,0))))),IF(C379="Técnico III",SUMIFS($D:$D,$A:$A,$A379,$B:$B,"&lt;&gt;Patrícia Karla de Sousa Araújo",$B:$B,"&lt;&gt;Lorena Dias de Araujo",$B:$B,"&lt;&gt;Lucas Luiz Romero")*(35/1083),IF(C379="Técnico II",SUMIFS($D:$D,$A:$A,$A379,$B:$B,"&lt;&gt;Patrícia Karla de Sousa Araújo",$B:$B,"&lt;&gt;Lorena Dias de Araujo",$B:$B,"&lt;&gt;Lucas Luiz Romero")*(28/1083),IF(C379="Técnico I",SUMIFS($D:$D,$A:$A,$A379,$B:$B,"&lt;&gt;Patrícia Karla de Sousa Araújo",$B:$B,"&lt;&gt;Lorena Dias de Araujo",$B:$B,"&lt;&gt;Lucas Luiz Romero")*(23/1083),IF(C379="JR",SUMIFS($D:$D,$A:$A,$A379,$B:$B,"&lt;&gt;Patrícia Karla de Sousa Araújo",$B:$B,"&lt;&gt;Lorena Dias de Araujo",$B:$B,"&lt;&gt;Lucas Luiz Romero")*(20/1083),IF(C379="Estágio",SUMIFS($D:$D,$A:$A,$A379,$B:$B,"&lt;&gt;Patrícia Karla de Sousa Araújo",$B:$B,"&lt;&gt;Lorena Dias de Araujo",$B:$B,"&lt;&gt;Lucas Luiz Romero")*(10/1083),0)))))),0)</f>
        <v/>
      </c>
      <c r="K379" s="3">
        <f>I379-J379</f>
        <v/>
      </c>
      <c r="L379" s="3">
        <f>IF(K379&lt;-5,"CRÍTICO",IF(K379&lt;0,"ATENÇÃO",IF(K379&lt;=5,"OPORTUNO","MUITO BOM")))</f>
        <v/>
      </c>
      <c r="M379" s="3" t="n">
        <v>22</v>
      </c>
      <c r="N379" s="3" t="n">
        <v>99.19</v>
      </c>
      <c r="O379" s="12" t="n">
        <v>28.40466926070039</v>
      </c>
    </row>
    <row r="380">
      <c r="A380" s="5" t="n">
        <v>46150</v>
      </c>
      <c r="B380" s="6" t="inlineStr">
        <is>
          <t>Francielson de Oliveira</t>
        </is>
      </c>
      <c r="C380" s="1" t="inlineStr">
        <is>
          <t>Técnico III</t>
        </is>
      </c>
      <c r="D380" s="3" t="n">
        <v>0</v>
      </c>
      <c r="E380" s="3" t="n">
        <v>0</v>
      </c>
      <c r="F380" s="3" t="n">
        <v>0</v>
      </c>
      <c r="G380" s="3" t="n">
        <v>0</v>
      </c>
      <c r="H380" s="3" t="n">
        <v>0</v>
      </c>
      <c r="I380" s="3" t="n">
        <v>0</v>
      </c>
      <c r="J380" s="3" t="n">
        <v>0</v>
      </c>
      <c r="K380" s="3" t="n">
        <v>0</v>
      </c>
      <c r="L380" s="3">
        <f>IF(K380&lt;-5,"CRÍTICO",IF(K380&lt;0,"ATENÇÃO",IF(K380&lt;=5,"OPORTUNO","MUITO BOM")))</f>
        <v/>
      </c>
      <c r="M380" s="3" t="n">
        <v>0</v>
      </c>
      <c r="N380" s="3" t="n">
        <v>100</v>
      </c>
      <c r="O380" s="12" t="n">
        <v>13.51351351351351</v>
      </c>
    </row>
    <row r="381">
      <c r="A381" s="5" t="n">
        <v>46150</v>
      </c>
      <c r="B381" s="6" t="inlineStr">
        <is>
          <t>Janaina Lima dos Reis Urany</t>
        </is>
      </c>
      <c r="C381" s="1" t="inlineStr">
        <is>
          <t>Técnico III</t>
        </is>
      </c>
      <c r="D381" s="3" t="n">
        <v>41</v>
      </c>
      <c r="E381" s="3" t="n">
        <v>37</v>
      </c>
      <c r="F381" s="3" t="n">
        <v>14.1</v>
      </c>
      <c r="G381" s="3" t="n">
        <v>8</v>
      </c>
      <c r="H381" s="3" t="n">
        <v>0</v>
      </c>
      <c r="I381" s="3">
        <f>E381+G381+H381</f>
        <v/>
      </c>
      <c r="J381" s="3">
        <f>ROUND(MIN(IF(C381="Técnico III",35,IF(C381="Técnico II",28,IF(C381="Técnico I",23,IF(C381="JR",20,IF(C381="Estágio",10,0))))),IF(C381="Técnico III",SUMIFS($D:$D,$A:$A,$A381,$B:$B,"&lt;&gt;Patrícia Karla de Sousa Araújo",$B:$B,"&lt;&gt;Lorena Dias de Araujo",$B:$B,"&lt;&gt;Lucas Luiz Romero")*(35/1083),IF(C381="Técnico II",SUMIFS($D:$D,$A:$A,$A381,$B:$B,"&lt;&gt;Patrícia Karla de Sousa Araújo",$B:$B,"&lt;&gt;Lorena Dias de Araujo",$B:$B,"&lt;&gt;Lucas Luiz Romero")*(28/1083),IF(C381="Técnico I",SUMIFS($D:$D,$A:$A,$A381,$B:$B,"&lt;&gt;Patrícia Karla de Sousa Araújo",$B:$B,"&lt;&gt;Lorena Dias de Araujo",$B:$B,"&lt;&gt;Lucas Luiz Romero")*(23/1083),IF(C381="JR",SUMIFS($D:$D,$A:$A,$A381,$B:$B,"&lt;&gt;Patrícia Karla de Sousa Araújo",$B:$B,"&lt;&gt;Lorena Dias de Araujo",$B:$B,"&lt;&gt;Lucas Luiz Romero")*(20/1083),IF(C381="Estágio",SUMIFS($D:$D,$A:$A,$A381,$B:$B,"&lt;&gt;Patrícia Karla de Sousa Araújo",$B:$B,"&lt;&gt;Lorena Dias de Araujo",$B:$B,"&lt;&gt;Lucas Luiz Romero")*(10/1083),0)))))),0)</f>
        <v/>
      </c>
      <c r="K381" s="3">
        <f>I381-J381</f>
        <v/>
      </c>
      <c r="L381" s="3">
        <f>IF(K381&lt;-5,"CRÍTICO",IF(K381&lt;0,"ATENÇÃO",IF(K381&lt;=5,"OPORTUNO","MUITO BOM")))</f>
        <v/>
      </c>
      <c r="M381" s="3" t="n">
        <v>41</v>
      </c>
      <c r="N381" s="3" t="n">
        <v>99</v>
      </c>
      <c r="O381" s="12" t="n">
        <v>22.27414330218069</v>
      </c>
    </row>
    <row r="382">
      <c r="A382" s="5" t="n">
        <v>46150</v>
      </c>
      <c r="B382" s="6" t="inlineStr">
        <is>
          <t>Jaqueline Evangelista da Silva Martins</t>
        </is>
      </c>
      <c r="C382" s="1" t="inlineStr">
        <is>
          <t>Técnico III</t>
        </is>
      </c>
      <c r="D382" s="3" t="n">
        <v>20</v>
      </c>
      <c r="E382" s="3" t="n">
        <v>19</v>
      </c>
      <c r="F382" s="3" t="n">
        <v>12.31</v>
      </c>
      <c r="G382" s="3" t="n">
        <v>5</v>
      </c>
      <c r="H382" s="3" t="n">
        <v>0</v>
      </c>
      <c r="I382" s="3">
        <f>E382+G382+H382</f>
        <v/>
      </c>
      <c r="J382" s="3">
        <f>ROUND(MIN(IF(C382="Técnico III",35,IF(C382="Técnico II",28,IF(C382="Técnico I",23,IF(C382="JR",20,IF(C382="Estágio",10,0))))),IF(C382="Técnico III",SUMIFS($D:$D,$A:$A,$A382,$B:$B,"&lt;&gt;Patrícia Karla de Sousa Araújo",$B:$B,"&lt;&gt;Lorena Dias de Araujo",$B:$B,"&lt;&gt;Lucas Luiz Romero")*(35/1083),IF(C382="Técnico II",SUMIFS($D:$D,$A:$A,$A382,$B:$B,"&lt;&gt;Patrícia Karla de Sousa Araújo",$B:$B,"&lt;&gt;Lorena Dias de Araujo",$B:$B,"&lt;&gt;Lucas Luiz Romero")*(28/1083),IF(C382="Técnico I",SUMIFS($D:$D,$A:$A,$A382,$B:$B,"&lt;&gt;Patrícia Karla de Sousa Araújo",$B:$B,"&lt;&gt;Lorena Dias de Araujo",$B:$B,"&lt;&gt;Lucas Luiz Romero")*(23/1083),IF(C382="JR",SUMIFS($D:$D,$A:$A,$A382,$B:$B,"&lt;&gt;Patrícia Karla de Sousa Araújo",$B:$B,"&lt;&gt;Lorena Dias de Araujo",$B:$B,"&lt;&gt;Lucas Luiz Romero")*(20/1083),IF(C382="Estágio",SUMIFS($D:$D,$A:$A,$A382,$B:$B,"&lt;&gt;Patrícia Karla de Sousa Araújo",$B:$B,"&lt;&gt;Lorena Dias de Araujo",$B:$B,"&lt;&gt;Lucas Luiz Romero")*(10/1083),0)))))),0)</f>
        <v/>
      </c>
      <c r="K382" s="3">
        <f>I382-J382</f>
        <v/>
      </c>
      <c r="L382" s="3">
        <f>IF(K382&lt;-5,"CRÍTICO",IF(K382&lt;0,"ATENÇÃO",IF(K382&lt;=5,"OPORTUNO","MUITO BOM")))</f>
        <v/>
      </c>
      <c r="M382" s="3" t="n">
        <v>21</v>
      </c>
      <c r="N382" s="3" t="n">
        <v>97.04000000000001</v>
      </c>
      <c r="O382" s="12" t="n">
        <v>29.82885085574572</v>
      </c>
    </row>
    <row r="383">
      <c r="A383" s="5" t="n">
        <v>46150</v>
      </c>
      <c r="B383" s="6" t="inlineStr">
        <is>
          <t>Jéssica Fé Moura</t>
        </is>
      </c>
      <c r="C383" s="1" t="inlineStr">
        <is>
          <t>Técnico III</t>
        </is>
      </c>
      <c r="D383" s="3" t="n">
        <v>0</v>
      </c>
      <c r="E383" s="3" t="n">
        <v>0</v>
      </c>
      <c r="F383" s="3" t="n">
        <v>0</v>
      </c>
      <c r="G383" s="3" t="n">
        <v>0</v>
      </c>
      <c r="H383" s="3" t="n">
        <v>0</v>
      </c>
      <c r="I383" s="3" t="n">
        <v>0</v>
      </c>
      <c r="J383" s="3" t="n">
        <v>0</v>
      </c>
      <c r="K383" s="3" t="n">
        <v>0</v>
      </c>
      <c r="L383" s="3">
        <f>IF(K383&lt;-5,"CRÍTICO",IF(K383&lt;0,"ATENÇÃO",IF(K383&lt;=5,"OPORTUNO","MUITO BOM")))</f>
        <v/>
      </c>
      <c r="M383" s="3" t="n">
        <v>0</v>
      </c>
      <c r="N383" s="3" t="n">
        <v>0</v>
      </c>
      <c r="O383" s="12" t="n">
        <v>0</v>
      </c>
    </row>
    <row r="384">
      <c r="A384" s="10" t="n">
        <v>46087</v>
      </c>
      <c r="B384" t="inlineStr">
        <is>
          <t>Matheus Farias De Souza</t>
        </is>
      </c>
      <c r="C384" s="1" t="inlineStr">
        <is>
          <t>Técnico III</t>
        </is>
      </c>
      <c r="D384" s="3" t="n">
        <v>11</v>
      </c>
      <c r="E384" s="3" t="n">
        <v>10</v>
      </c>
      <c r="F384" s="3" t="n">
        <v>18.29</v>
      </c>
      <c r="G384" s="3" t="n">
        <v>0</v>
      </c>
      <c r="H384" s="3" t="n">
        <v>0</v>
      </c>
      <c r="I384" s="3">
        <f>E384+G384+H384</f>
        <v/>
      </c>
      <c r="J384" s="3">
        <f>ROUND(MIN(IF(C384="Técnico III",35,IF(C384="Técnico II",28,IF(C384="Técnico I",23,IF(C384="JR",20,IF(C384="Estágio",10,0))))),IF(C384="Técnico III",SUMIFS($D:$D,$A:$A,$A384,$B:$B,"&lt;&gt;Patrícia Karla de Sousa Araújo",$B:$B,"&lt;&gt;Lorena Dias de Araujo",$B:$B,"&lt;&gt;Lucas Luiz Romero")*(35/1083),IF(C384="Técnico II",SUMIFS($D:$D,$A:$A,$A384,$B:$B,"&lt;&gt;Patrícia Karla de Sousa Araújo",$B:$B,"&lt;&gt;Lorena Dias de Araujo",$B:$B,"&lt;&gt;Lucas Luiz Romero")*(28/1083),IF(C384="Técnico I",SUMIFS($D:$D,$A:$A,$A384,$B:$B,"&lt;&gt;Patrícia Karla de Sousa Araújo",$B:$B,"&lt;&gt;Lorena Dias de Araujo",$B:$B,"&lt;&gt;Lucas Luiz Romero")*(23/1083),IF(C384="JR",SUMIFS($D:$D,$A:$A,$A384,$B:$B,"&lt;&gt;Patrícia Karla de Sousa Araújo",$B:$B,"&lt;&gt;Lorena Dias de Araujo",$B:$B,"&lt;&gt;Lucas Luiz Romero")*(20/1083),IF(C384="Estágio",SUMIFS($D:$D,$A:$A,$A384,$B:$B,"&lt;&gt;Patrícia Karla de Sousa Araújo",$B:$B,"&lt;&gt;Lorena Dias de Araujo",$B:$B,"&lt;&gt;Lucas Luiz Romero")*(10/1083),0)))))),0)</f>
        <v/>
      </c>
      <c r="K384" s="3">
        <f>I384-J384</f>
        <v/>
      </c>
      <c r="L384" s="3">
        <f>IF(K384&lt;-5,"CRÍTICO",IF(K384&lt;0,"ATENÇÃO",IF(K384&lt;=5,"OPORTUNO","MUITO BOM")))</f>
        <v/>
      </c>
      <c r="M384" s="3" t="n">
        <v>48</v>
      </c>
      <c r="N384" s="3" t="n">
        <v>98.86</v>
      </c>
      <c r="O384" s="12" t="n">
        <v>28.95927601809955</v>
      </c>
    </row>
    <row r="385">
      <c r="A385" s="5" t="n">
        <v>46150</v>
      </c>
      <c r="B385" s="6" t="inlineStr">
        <is>
          <t>Kerollen Cristielly de Jesus Siqueira</t>
        </is>
      </c>
      <c r="C385" s="1" t="inlineStr">
        <is>
          <t>Técnico III</t>
        </is>
      </c>
      <c r="D385" s="3" t="n">
        <v>4</v>
      </c>
      <c r="E385" s="3" t="n">
        <v>4</v>
      </c>
      <c r="F385" s="3" t="n">
        <v>30.5</v>
      </c>
      <c r="G385" s="3" t="n">
        <v>0</v>
      </c>
      <c r="H385" s="3" t="n">
        <v>0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IF(K385&lt;-5,"CRÍTICO",IF(K385&lt;0,"ATENÇÃO",IF(K385&lt;=5,"OPORTUNO","MUITO BOM")))</f>
        <v/>
      </c>
      <c r="M385" s="3" t="n">
        <v>4</v>
      </c>
      <c r="N385" s="3" t="n">
        <v>96.84</v>
      </c>
      <c r="O385" s="12" t="n">
        <v>16.33802816901408</v>
      </c>
    </row>
    <row r="386">
      <c r="A386" s="5" t="n">
        <v>46150</v>
      </c>
      <c r="B386" s="6" t="inlineStr">
        <is>
          <t>Leandro Oliveira de Sousa</t>
        </is>
      </c>
      <c r="C386" s="1" t="inlineStr">
        <is>
          <t>Técnico III</t>
        </is>
      </c>
      <c r="D386" s="3" t="n">
        <v>29</v>
      </c>
      <c r="E386" s="3" t="n">
        <v>28</v>
      </c>
      <c r="F386" s="3" t="n">
        <v>22.03</v>
      </c>
      <c r="G386" s="3" t="n">
        <v>0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IF(K386&lt;-5,"CRÍTICO",IF(K386&lt;0,"ATENÇÃO",IF(K386&lt;=5,"OPORTUNO","MUITO BOM")))</f>
        <v/>
      </c>
      <c r="M386" s="3" t="n">
        <v>24</v>
      </c>
      <c r="N386" s="3" t="n">
        <v>100</v>
      </c>
      <c r="O386" s="12" t="n">
        <v>18.24480369515012</v>
      </c>
    </row>
    <row r="387">
      <c r="A387" s="5" t="n">
        <v>46150</v>
      </c>
      <c r="B387" s="6" t="inlineStr">
        <is>
          <t>Lucas Luiz Romero</t>
        </is>
      </c>
      <c r="C387" s="1" t="inlineStr">
        <is>
          <t>Técnico III</t>
        </is>
      </c>
      <c r="D387" s="3" t="n">
        <v>0</v>
      </c>
      <c r="E387" s="3" t="n">
        <v>0</v>
      </c>
      <c r="F387" s="3" t="n">
        <v>0</v>
      </c>
      <c r="G387" s="3" t="n">
        <v>0</v>
      </c>
      <c r="H387" s="3" t="n">
        <v>0</v>
      </c>
      <c r="I387" s="3" t="n">
        <v>0</v>
      </c>
      <c r="J387" s="3" t="n">
        <v>0</v>
      </c>
      <c r="K387" s="3" t="n">
        <v>0</v>
      </c>
      <c r="L387" s="3">
        <f>IF(K387&lt;-5,"CRÍTICO",IF(K387&lt;0,"ATENÇÃO",IF(K387&lt;=5,"OPORTUNO","MUITO BOM")))</f>
        <v/>
      </c>
      <c r="M387" s="3" t="n">
        <v>0</v>
      </c>
      <c r="N387" s="3" t="n">
        <v>100</v>
      </c>
      <c r="O387" s="12" t="n">
        <v>15.78947368421053</v>
      </c>
    </row>
    <row r="388">
      <c r="A388" s="5" t="n">
        <v>46150</v>
      </c>
      <c r="B388" s="6" t="inlineStr">
        <is>
          <t>Maysa Victoria Dias Moura</t>
        </is>
      </c>
      <c r="C388" s="1" t="inlineStr">
        <is>
          <t>Técnico III</t>
        </is>
      </c>
      <c r="D388" s="3" t="n">
        <v>30</v>
      </c>
      <c r="E388" s="3" t="n">
        <v>28</v>
      </c>
      <c r="F388" s="3" t="n">
        <v>13.33</v>
      </c>
      <c r="G388" s="3" t="n">
        <v>1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IF(K388&lt;-5,"CRÍTICO",IF(K388&lt;0,"ATENÇÃO",IF(K388&lt;=5,"OPORTUNO","MUITO BOM")))</f>
        <v/>
      </c>
      <c r="M388" s="3" t="n">
        <v>23</v>
      </c>
      <c r="N388" s="3" t="n">
        <v>96.38</v>
      </c>
      <c r="O388" s="12" t="n">
        <v>23.1981981981982</v>
      </c>
    </row>
    <row r="389">
      <c r="A389" s="5" t="n">
        <v>46150</v>
      </c>
      <c r="B389" s="6" t="inlineStr">
        <is>
          <t>Rafael Gomes de Morais</t>
        </is>
      </c>
      <c r="C389" s="1" t="inlineStr">
        <is>
          <t>Técnico III</t>
        </is>
      </c>
      <c r="D389" s="3" t="n">
        <v>44</v>
      </c>
      <c r="E389" s="3" t="n">
        <v>38</v>
      </c>
      <c r="F389" s="3" t="n">
        <v>10.22</v>
      </c>
      <c r="G389" s="3" t="n">
        <v>0</v>
      </c>
      <c r="H389" s="3" t="n">
        <v>0</v>
      </c>
      <c r="I389" s="3">
        <f>E389+G389+H389</f>
        <v/>
      </c>
      <c r="J389" s="3">
        <f>ROUND(MIN(IF(C389="Técnico III",35,IF(C389="Técnico II",28,IF(C389="Técnico I",23,IF(C389="JR",20,IF(C389="Estágio",10,0))))),IF(C389="Técnico III",SUMIFS($D:$D,$A:$A,$A389,$B:$B,"&lt;&gt;Patrícia Karla de Sousa Araújo",$B:$B,"&lt;&gt;Lorena Dias de Araujo",$B:$B,"&lt;&gt;Lucas Luiz Romero")*(35/1083),IF(C389="Técnico II",SUMIFS($D:$D,$A:$A,$A389,$B:$B,"&lt;&gt;Patrícia Karla de Sousa Araújo",$B:$B,"&lt;&gt;Lorena Dias de Araujo",$B:$B,"&lt;&gt;Lucas Luiz Romero")*(28/1083),IF(C389="Técnico I",SUMIFS($D:$D,$A:$A,$A389,$B:$B,"&lt;&gt;Patrícia Karla de Sousa Araújo",$B:$B,"&lt;&gt;Lorena Dias de Araujo",$B:$B,"&lt;&gt;Lucas Luiz Romero")*(23/1083),IF(C389="JR",SUMIFS($D:$D,$A:$A,$A389,$B:$B,"&lt;&gt;Patrícia Karla de Sousa Araújo",$B:$B,"&lt;&gt;Lorena Dias de Araujo",$B:$B,"&lt;&gt;Lucas Luiz Romero")*(20/1083),IF(C389="Estágio",SUMIFS($D:$D,$A:$A,$A389,$B:$B,"&lt;&gt;Patrícia Karla de Sousa Araújo",$B:$B,"&lt;&gt;Lorena Dias de Araujo",$B:$B,"&lt;&gt;Lucas Luiz Romero")*(10/1083),0)))))),0)</f>
        <v/>
      </c>
      <c r="K389" s="3">
        <f>I389-J389</f>
        <v/>
      </c>
      <c r="L389" s="3">
        <f>IF(K389&lt;-5,"CRÍTICO",IF(K389&lt;0,"ATENÇÃO",IF(K389&lt;=5,"OPORTUNO","MUITO BOM")))</f>
        <v/>
      </c>
      <c r="M389" s="3" t="n">
        <v>26</v>
      </c>
      <c r="N389" s="3" t="n">
        <v>99.39</v>
      </c>
      <c r="O389" s="12" t="n">
        <v>25.20325203252033</v>
      </c>
    </row>
    <row r="390">
      <c r="A390" s="5" t="n">
        <v>46150</v>
      </c>
      <c r="B390" s="6" t="inlineStr">
        <is>
          <t>Sarah Steffanie de Lima Borges</t>
        </is>
      </c>
      <c r="C390" s="1" t="inlineStr">
        <is>
          <t>Técnico III</t>
        </is>
      </c>
      <c r="D390" s="3" t="n">
        <v>22</v>
      </c>
      <c r="E390" s="3" t="n">
        <v>21</v>
      </c>
      <c r="F390" s="3" t="n">
        <v>14.04</v>
      </c>
      <c r="G390" s="3" t="n">
        <v>5</v>
      </c>
      <c r="H390" s="3" t="n">
        <v>0</v>
      </c>
      <c r="I390" s="3">
        <f>E390+G390+H390</f>
        <v/>
      </c>
      <c r="J390" s="3">
        <f>ROUND(MIN(IF(C390="Técnico III",35,IF(C390="Técnico II",28,IF(C390="Técnico I",23,IF(C390="JR",20,IF(C390="Estágio",10,0))))),IF(C390="Técnico III",SUMIFS($D:$D,$A:$A,$A390,$B:$B,"&lt;&gt;Patrícia Karla de Sousa Araújo",$B:$B,"&lt;&gt;Lorena Dias de Araujo",$B:$B,"&lt;&gt;Lucas Luiz Romero")*(35/1083),IF(C390="Técnico II",SUMIFS($D:$D,$A:$A,$A390,$B:$B,"&lt;&gt;Patrícia Karla de Sousa Araújo",$B:$B,"&lt;&gt;Lorena Dias de Araujo",$B:$B,"&lt;&gt;Lucas Luiz Romero")*(28/1083),IF(C390="Técnico I",SUMIFS($D:$D,$A:$A,$A390,$B:$B,"&lt;&gt;Patrícia Karla de Sousa Araújo",$B:$B,"&lt;&gt;Lorena Dias de Araujo",$B:$B,"&lt;&gt;Lucas Luiz Romero")*(23/1083),IF(C390="JR",SUMIFS($D:$D,$A:$A,$A390,$B:$B,"&lt;&gt;Patrícia Karla de Sousa Araújo",$B:$B,"&lt;&gt;Lorena Dias de Araujo",$B:$B,"&lt;&gt;Lucas Luiz Romero")*(20/1083),IF(C390="Estágio",SUMIFS($D:$D,$A:$A,$A390,$B:$B,"&lt;&gt;Patrícia Karla de Sousa Araújo",$B:$B,"&lt;&gt;Lorena Dias de Araujo",$B:$B,"&lt;&gt;Lucas Luiz Romero")*(10/1083),0)))))),0)</f>
        <v/>
      </c>
      <c r="K390" s="3">
        <f>I390-J390</f>
        <v/>
      </c>
      <c r="L390" s="3">
        <f>IF(K390&lt;-5,"CRÍTICO",IF(K390&lt;0,"ATENÇÃO",IF(K390&lt;=5,"OPORTUNO","MUITO BOM")))</f>
        <v/>
      </c>
      <c r="M390" s="3" t="n">
        <v>25</v>
      </c>
      <c r="N390" s="3" t="n">
        <v>97</v>
      </c>
      <c r="O390" s="12" t="n">
        <v>20.32520325203252</v>
      </c>
    </row>
    <row r="391">
      <c r="A391" s="5" t="n">
        <v>46150</v>
      </c>
      <c r="B391" s="6" t="inlineStr">
        <is>
          <t>Alisson de Freitas Silva</t>
        </is>
      </c>
      <c r="C391" s="1" t="inlineStr">
        <is>
          <t>Técnico II</t>
        </is>
      </c>
      <c r="D391" s="3" t="n">
        <v>34</v>
      </c>
      <c r="E391" s="3" t="n">
        <v>30</v>
      </c>
      <c r="F391" s="3" t="n">
        <v>11.56</v>
      </c>
      <c r="G391" s="3" t="n">
        <v>4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IF(K391&lt;-5,"CRÍTICO",IF(K391&lt;0,"ATENÇÃO",IF(K391&lt;=5,"OPORTUNO","MUITO BOM")))</f>
        <v/>
      </c>
      <c r="M391" s="3" t="n">
        <v>21</v>
      </c>
      <c r="N391" s="3" t="n">
        <v>99.18000000000001</v>
      </c>
      <c r="O391" s="12" t="n">
        <v>24.5014245014245</v>
      </c>
    </row>
    <row r="392">
      <c r="A392" s="5" t="n">
        <v>46150</v>
      </c>
      <c r="B392" s="6" t="inlineStr">
        <is>
          <t>Brenda de Menezes Silva</t>
        </is>
      </c>
      <c r="C392" s="1" t="inlineStr">
        <is>
          <t>Técnico II</t>
        </is>
      </c>
      <c r="D392" s="3" t="n">
        <v>31</v>
      </c>
      <c r="E392" s="3" t="n">
        <v>28</v>
      </c>
      <c r="F392" s="3" t="n">
        <v>15.19</v>
      </c>
      <c r="G392" s="3" t="n">
        <v>4</v>
      </c>
      <c r="H392" s="3" t="n">
        <v>0</v>
      </c>
      <c r="I392" s="3">
        <f>E392+G392+H392</f>
        <v/>
      </c>
      <c r="J392" s="3">
        <f>ROUND(MIN(IF(C392="Técnico III",35,IF(C392="Técnico II",28,IF(C392="Técnico I",23,IF(C392="JR",20,IF(C392="Estágio",10,0))))),IF(C392="Técnico III",SUMIFS($D:$D,$A:$A,$A392,$B:$B,"&lt;&gt;Patrícia Karla de Sousa Araújo",$B:$B,"&lt;&gt;Lorena Dias de Araujo",$B:$B,"&lt;&gt;Lucas Luiz Romero")*(35/1083),IF(C392="Técnico II",SUMIFS($D:$D,$A:$A,$A392,$B:$B,"&lt;&gt;Patrícia Karla de Sousa Araújo",$B:$B,"&lt;&gt;Lorena Dias de Araujo",$B:$B,"&lt;&gt;Lucas Luiz Romero")*(28/1083),IF(C392="Técnico I",SUMIFS($D:$D,$A:$A,$A392,$B:$B,"&lt;&gt;Patrícia Karla de Sousa Araújo",$B:$B,"&lt;&gt;Lorena Dias de Araujo",$B:$B,"&lt;&gt;Lucas Luiz Romero")*(23/1083),IF(C392="JR",SUMIFS($D:$D,$A:$A,$A392,$B:$B,"&lt;&gt;Patrícia Karla de Sousa Araújo",$B:$B,"&lt;&gt;Lorena Dias de Araujo",$B:$B,"&lt;&gt;Lucas Luiz Romero")*(20/1083),IF(C392="Estágio",SUMIFS($D:$D,$A:$A,$A392,$B:$B,"&lt;&gt;Patrícia Karla de Sousa Araújo",$B:$B,"&lt;&gt;Lorena Dias de Araujo",$B:$B,"&lt;&gt;Lucas Luiz Romero")*(10/1083),0)))))),0)</f>
        <v/>
      </c>
      <c r="K392" s="3">
        <f>I392-J392</f>
        <v/>
      </c>
      <c r="L392" s="3">
        <f>IF(K392&lt;-5,"CRÍTICO",IF(K392&lt;0,"ATENÇÃO",IF(K392&lt;=5,"OPORTUNO","MUITO BOM")))</f>
        <v/>
      </c>
      <c r="M392" s="3" t="n">
        <v>35</v>
      </c>
      <c r="N392" s="3" t="n">
        <v>99.34999999999999</v>
      </c>
      <c r="O392" s="12" t="n">
        <v>19.85294117647059</v>
      </c>
    </row>
    <row r="393">
      <c r="A393" s="5" t="n">
        <v>46150</v>
      </c>
      <c r="B393" s="6" t="inlineStr">
        <is>
          <t>Carlos Mateus Cassimiro Nunes</t>
        </is>
      </c>
      <c r="C393" s="1" t="inlineStr">
        <is>
          <t>Técnico II</t>
        </is>
      </c>
      <c r="D393" s="3" t="n">
        <v>12</v>
      </c>
      <c r="E393" s="3" t="n">
        <v>12</v>
      </c>
      <c r="F393" s="3" t="n">
        <v>38.58</v>
      </c>
      <c r="G393" s="3" t="n">
        <v>0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IF(K393&lt;-5,"CRÍTICO",IF(K393&lt;0,"ATENÇÃO",IF(K393&lt;=5,"OPORTUNO","MUITO BOM")))</f>
        <v/>
      </c>
      <c r="M393" s="3" t="n">
        <v>12</v>
      </c>
      <c r="N393" s="3" t="n">
        <v>99.06999999999999</v>
      </c>
      <c r="O393" s="12" t="n">
        <v>20.09803921568627</v>
      </c>
    </row>
    <row r="394">
      <c r="A394" s="5" t="n">
        <v>46150</v>
      </c>
      <c r="B394" s="6" t="inlineStr">
        <is>
          <t>Damyllis Lorraine de Oliveira Gonçalves</t>
        </is>
      </c>
      <c r="C394" s="1" t="inlineStr">
        <is>
          <t>Técnico II</t>
        </is>
      </c>
      <c r="D394" s="3" t="n">
        <v>19</v>
      </c>
      <c r="E394" s="3" t="n">
        <v>17</v>
      </c>
      <c r="F394" s="3" t="n">
        <v>23.59</v>
      </c>
      <c r="G394" s="3" t="n">
        <v>0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IF(K394&lt;-5,"CRÍTICO",IF(K394&lt;0,"ATENÇÃO",IF(K394&lt;=5,"OPORTUNO","MUITO BOM")))</f>
        <v/>
      </c>
      <c r="M394" s="3" t="n">
        <v>16</v>
      </c>
      <c r="N394" s="3" t="n">
        <v>98.81</v>
      </c>
      <c r="O394" s="12" t="n">
        <v>22.76785714285714</v>
      </c>
    </row>
    <row r="395">
      <c r="A395" s="5" t="n">
        <v>46150</v>
      </c>
      <c r="B395" s="6" t="inlineStr">
        <is>
          <t>Emilly Kamilly Medeiros Miranda</t>
        </is>
      </c>
      <c r="C395" s="1" t="inlineStr">
        <is>
          <t>Técnico II</t>
        </is>
      </c>
      <c r="D395" s="3" t="n">
        <v>25</v>
      </c>
      <c r="E395" s="3" t="n">
        <v>23</v>
      </c>
      <c r="F395" s="3" t="n">
        <v>12.17</v>
      </c>
      <c r="G395" s="3" t="n">
        <v>6</v>
      </c>
      <c r="H395" s="3" t="n">
        <v>0</v>
      </c>
      <c r="I395" s="3">
        <f>E395+G395+H395</f>
        <v/>
      </c>
      <c r="J395" s="3">
        <f>ROUND(MIN(IF(C395="Técnico III",35,IF(C395="Técnico II",28,IF(C395="Técnico I",23,IF(C395="JR",20,IF(C395="Estágio",10,0))))),IF(C395="Técnico III",SUMIFS($D:$D,$A:$A,$A395,$B:$B,"&lt;&gt;Patrícia Karla de Sousa Araújo",$B:$B,"&lt;&gt;Lorena Dias de Araujo",$B:$B,"&lt;&gt;Lucas Luiz Romero")*(35/1083),IF(C395="Técnico II",SUMIFS($D:$D,$A:$A,$A395,$B:$B,"&lt;&gt;Patrícia Karla de Sousa Araújo",$B:$B,"&lt;&gt;Lorena Dias de Araujo",$B:$B,"&lt;&gt;Lucas Luiz Romero")*(28/1083),IF(C395="Técnico I",SUMIFS($D:$D,$A:$A,$A395,$B:$B,"&lt;&gt;Patrícia Karla de Sousa Araújo",$B:$B,"&lt;&gt;Lorena Dias de Araujo",$B:$B,"&lt;&gt;Lucas Luiz Romero")*(23/1083),IF(C395="JR",SUMIFS($D:$D,$A:$A,$A395,$B:$B,"&lt;&gt;Patrícia Karla de Sousa Araújo",$B:$B,"&lt;&gt;Lorena Dias de Araujo",$B:$B,"&lt;&gt;Lucas Luiz Romero")*(20/1083),IF(C395="Estágio",SUMIFS($D:$D,$A:$A,$A395,$B:$B,"&lt;&gt;Patrícia Karla de Sousa Araújo",$B:$B,"&lt;&gt;Lorena Dias de Araujo",$B:$B,"&lt;&gt;Lucas Luiz Romero")*(10/1083),0)))))),0)</f>
        <v/>
      </c>
      <c r="K395" s="3">
        <f>I395-J395</f>
        <v/>
      </c>
      <c r="L395" s="3">
        <f>IF(K395&lt;-5,"CRÍTICO",IF(K395&lt;0,"ATENÇÃO",IF(K395&lt;=5,"OPORTUNO","MUITO BOM")))</f>
        <v/>
      </c>
      <c r="M395" s="3" t="n">
        <v>26</v>
      </c>
      <c r="N395" s="3" t="n">
        <v>99.01000000000001</v>
      </c>
      <c r="O395" s="12" t="n">
        <v>17.76649746192894</v>
      </c>
    </row>
    <row r="396">
      <c r="A396" s="5" t="n">
        <v>46150</v>
      </c>
      <c r="B396" s="6" t="inlineStr">
        <is>
          <t>Francilene Ferreira de Jesus</t>
        </is>
      </c>
      <c r="C396" s="1" t="inlineStr">
        <is>
          <t>Técnico II</t>
        </is>
      </c>
      <c r="D396" s="3" t="n">
        <v>0</v>
      </c>
      <c r="E396" s="3" t="n">
        <v>0</v>
      </c>
      <c r="F396" s="3" t="n">
        <v>0</v>
      </c>
      <c r="G396" s="3" t="n">
        <v>0</v>
      </c>
      <c r="H396" s="3" t="n">
        <v>0</v>
      </c>
      <c r="I396" s="3" t="n">
        <v>0</v>
      </c>
      <c r="J396" s="3" t="n">
        <v>0</v>
      </c>
      <c r="K396" s="3" t="n">
        <v>0</v>
      </c>
      <c r="L396" s="3">
        <f>IF(K396&lt;-5,"CRÍTICO",IF(K396&lt;0,"ATENÇÃO",IF(K396&lt;=5,"OPORTUNO","MUITO BOM")))</f>
        <v/>
      </c>
      <c r="M396" s="3" t="n">
        <v>0</v>
      </c>
      <c r="N396" s="3" t="n">
        <v>100</v>
      </c>
      <c r="O396" s="12" t="n">
        <v>17.24137931034483</v>
      </c>
    </row>
    <row r="397">
      <c r="A397" s="5" t="n">
        <v>46150</v>
      </c>
      <c r="B397" s="6" t="inlineStr">
        <is>
          <t>Isabella Borges de Oliveira</t>
        </is>
      </c>
      <c r="C397" s="1" t="inlineStr">
        <is>
          <t>Técnico II</t>
        </is>
      </c>
      <c r="D397" s="3" t="n">
        <v>30</v>
      </c>
      <c r="E397" s="3" t="n">
        <v>27</v>
      </c>
      <c r="F397" s="3" t="n">
        <v>15.28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IF(K397&lt;-5,"CRÍTICO",IF(K397&lt;0,"ATENÇÃO",IF(K397&lt;=5,"OPORTUNO","MUITO BOM")))</f>
        <v/>
      </c>
      <c r="M397" s="3" t="n">
        <v>22</v>
      </c>
      <c r="N397" s="3" t="n">
        <v>98.98</v>
      </c>
      <c r="O397" s="12" t="n">
        <v>19.35483870967742</v>
      </c>
    </row>
    <row r="398">
      <c r="A398" s="5" t="n">
        <v>46150</v>
      </c>
      <c r="B398" s="6" t="inlineStr">
        <is>
          <t>Jessica Faria da Silveira</t>
        </is>
      </c>
      <c r="C398" s="1" t="inlineStr">
        <is>
          <t>Técnico II</t>
        </is>
      </c>
      <c r="D398" s="3" t="n">
        <v>25</v>
      </c>
      <c r="E398" s="3" t="n">
        <v>20</v>
      </c>
      <c r="F398" s="3" t="n">
        <v>14.16</v>
      </c>
      <c r="G398" s="3" t="n">
        <v>3</v>
      </c>
      <c r="H398" s="3" t="n">
        <v>0</v>
      </c>
      <c r="I398" s="3">
        <f>E398+G398+H398</f>
        <v/>
      </c>
      <c r="J398" s="3">
        <f>ROUND(MIN(IF(C398="Técnico III",35,IF(C398="Técnico II",28,IF(C398="Técnico I",23,IF(C398="JR",20,IF(C398="Estágio",10,0))))),IF(C398="Técnico III",SUMIFS($D:$D,$A:$A,$A398,$B:$B,"&lt;&gt;Patrícia Karla de Sousa Araújo",$B:$B,"&lt;&gt;Lorena Dias de Araujo",$B:$B,"&lt;&gt;Lucas Luiz Romero")*(35/1083),IF(C398="Técnico II",SUMIFS($D:$D,$A:$A,$A398,$B:$B,"&lt;&gt;Patrícia Karla de Sousa Araújo",$B:$B,"&lt;&gt;Lorena Dias de Araujo",$B:$B,"&lt;&gt;Lucas Luiz Romero")*(28/1083),IF(C398="Técnico I",SUMIFS($D:$D,$A:$A,$A398,$B:$B,"&lt;&gt;Patrícia Karla de Sousa Araújo",$B:$B,"&lt;&gt;Lorena Dias de Araujo",$B:$B,"&lt;&gt;Lucas Luiz Romero")*(23/1083),IF(C398="JR",SUMIFS($D:$D,$A:$A,$A398,$B:$B,"&lt;&gt;Patrícia Karla de Sousa Araújo",$B:$B,"&lt;&gt;Lorena Dias de Araujo",$B:$B,"&lt;&gt;Lucas Luiz Romero")*(20/1083),IF(C398="Estágio",SUMIFS($D:$D,$A:$A,$A398,$B:$B,"&lt;&gt;Patrícia Karla de Sousa Araújo",$B:$B,"&lt;&gt;Lorena Dias de Araujo",$B:$B,"&lt;&gt;Lucas Luiz Romero")*(10/1083),0)))))),0)</f>
        <v/>
      </c>
      <c r="K398" s="3">
        <f>I398-J398</f>
        <v/>
      </c>
      <c r="L398" s="3">
        <f>IF(K398&lt;-5,"CRÍTICO",IF(K398&lt;0,"ATENÇÃO",IF(K398&lt;=5,"OPORTUNO","MUITO BOM")))</f>
        <v/>
      </c>
      <c r="M398" s="3" t="n">
        <v>24</v>
      </c>
      <c r="N398" s="3" t="n">
        <v>98.94</v>
      </c>
      <c r="O398" s="12" t="n">
        <v>21.2707182320442</v>
      </c>
    </row>
    <row r="399">
      <c r="A399" s="5" t="n">
        <v>46150</v>
      </c>
      <c r="B399" s="6" t="inlineStr">
        <is>
          <t>Lizandra Gomes Duarte</t>
        </is>
      </c>
      <c r="C399" s="1" t="inlineStr">
        <is>
          <t>Técnico II</t>
        </is>
      </c>
      <c r="D399" s="3" t="n">
        <v>22</v>
      </c>
      <c r="E399" s="3" t="n">
        <v>18</v>
      </c>
      <c r="F399" s="3" t="n">
        <v>15.45</v>
      </c>
      <c r="G399" s="3" t="n">
        <v>3</v>
      </c>
      <c r="H399" s="3" t="n">
        <v>0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IF(K399&lt;-5,"CRÍTICO",IF(K399&lt;0,"ATENÇÃO",IF(K399&lt;=5,"OPORTUNO","MUITO BOM")))</f>
        <v/>
      </c>
      <c r="M399" s="3" t="n">
        <v>18</v>
      </c>
      <c r="N399" s="3" t="n">
        <v>99</v>
      </c>
      <c r="O399" s="12" t="n">
        <v>22.01086956521739</v>
      </c>
    </row>
    <row r="400">
      <c r="A400" s="5" t="n">
        <v>46150</v>
      </c>
      <c r="B400" s="6" t="inlineStr">
        <is>
          <t>Lorena Dias de Araujo</t>
        </is>
      </c>
      <c r="C400" s="1" t="inlineStr">
        <is>
          <t>Técnico II</t>
        </is>
      </c>
      <c r="D400" s="3" t="n">
        <v>26</v>
      </c>
      <c r="E400" s="3" t="n">
        <v>26</v>
      </c>
      <c r="F400" s="3" t="n">
        <v>20.06</v>
      </c>
      <c r="G400" s="3" t="n">
        <v>0</v>
      </c>
      <c r="H400" s="3" t="n">
        <v>0</v>
      </c>
      <c r="I400" s="3">
        <f>E400+G400+H400</f>
        <v/>
      </c>
      <c r="J400" s="3">
        <f>ROUND(MIN(IF(C400="Técnico III",35,IF(C400="Técnico II",28,IF(C400="Técnico I",23,IF(C400="JR",20,IF(C400="Estágio",10,0))))),IF(C400="Técnico III",SUMIFS($D:$D,$A:$A,$A400,$B:$B,"&lt;&gt;Patrícia Karla de Sousa Araújo",$B:$B,"&lt;&gt;Lorena Dias de Araujo",$B:$B,"&lt;&gt;Lucas Luiz Romero")*(35/1083),IF(C400="Técnico II",SUMIFS($D:$D,$A:$A,$A400,$B:$B,"&lt;&gt;Patrícia Karla de Sousa Araújo",$B:$B,"&lt;&gt;Lorena Dias de Araujo",$B:$B,"&lt;&gt;Lucas Luiz Romero")*(28/1083),IF(C400="Técnico I",SUMIFS($D:$D,$A:$A,$A400,$B:$B,"&lt;&gt;Patrícia Karla de Sousa Araújo",$B:$B,"&lt;&gt;Lorena Dias de Araujo",$B:$B,"&lt;&gt;Lucas Luiz Romero")*(23/1083),IF(C400="JR",SUMIFS($D:$D,$A:$A,$A400,$B:$B,"&lt;&gt;Patrícia Karla de Sousa Araújo",$B:$B,"&lt;&gt;Lorena Dias de Araujo",$B:$B,"&lt;&gt;Lucas Luiz Romero")*(20/1083),IF(C400="Estágio",SUMIFS($D:$D,$A:$A,$A400,$B:$B,"&lt;&gt;Patrícia Karla de Sousa Araújo",$B:$B,"&lt;&gt;Lorena Dias de Araujo",$B:$B,"&lt;&gt;Lucas Luiz Romero")*(10/1083),0)))))),0)</f>
        <v/>
      </c>
      <c r="K400" s="3">
        <f>I400-J400</f>
        <v/>
      </c>
      <c r="L400" s="3">
        <f>IF(K400&lt;-5,"CRÍTICO",IF(K400&lt;0,"ATENÇÃO",IF(K400&lt;=5,"OPORTUNO","MUITO BOM")))</f>
        <v/>
      </c>
      <c r="M400" s="3" t="n">
        <v>21</v>
      </c>
      <c r="N400" s="3" t="n">
        <v>100</v>
      </c>
      <c r="O400" s="12" t="n">
        <v>25</v>
      </c>
    </row>
    <row r="401">
      <c r="A401" s="5" t="n">
        <v>46150</v>
      </c>
      <c r="B401" s="6" t="inlineStr">
        <is>
          <t>Patrícia Karla de Sousa Araújo</t>
        </is>
      </c>
      <c r="C401" s="1" t="inlineStr">
        <is>
          <t>Técnico II</t>
        </is>
      </c>
      <c r="D401" s="3" t="n">
        <v>19</v>
      </c>
      <c r="E401" s="3" t="n">
        <v>19</v>
      </c>
      <c r="F401" s="3" t="n">
        <v>17.08</v>
      </c>
      <c r="G401" s="3" t="n">
        <v>0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IF(K401&lt;-5,"CRÍTICO",IF(K401&lt;0,"ATENÇÃO",IF(K401&lt;=5,"OPORTUNO","MUITO BOM")))</f>
        <v/>
      </c>
      <c r="M401" s="3" t="n">
        <v>17</v>
      </c>
      <c r="N401" s="3" t="n">
        <v>100</v>
      </c>
      <c r="O401" s="12" t="n">
        <v>20.18348623853211</v>
      </c>
    </row>
    <row r="402">
      <c r="A402" s="5" t="n">
        <v>46150</v>
      </c>
      <c r="B402" s="6" t="inlineStr">
        <is>
          <t>Ana Karollyne Souza Faria</t>
        </is>
      </c>
      <c r="C402" s="1" t="inlineStr">
        <is>
          <t>Técnico I</t>
        </is>
      </c>
      <c r="D402" s="3" t="n">
        <v>26</v>
      </c>
      <c r="E402" s="3" t="n">
        <v>25</v>
      </c>
      <c r="F402" s="3" t="n">
        <v>22.39</v>
      </c>
      <c r="G402" s="3" t="n">
        <v>0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IF(K402&lt;-5,"CRÍTICO",IF(K402&lt;0,"ATENÇÃO",IF(K402&lt;=5,"OPORTUNO","MUITO BOM")))</f>
        <v/>
      </c>
      <c r="M402" s="3" t="n">
        <v>24</v>
      </c>
      <c r="N402" s="3" t="n">
        <v>96.25</v>
      </c>
      <c r="O402" s="12" t="n">
        <v>25.5863539445629</v>
      </c>
    </row>
    <row r="403">
      <c r="A403" s="5" t="n">
        <v>46150</v>
      </c>
      <c r="B403" s="6" t="inlineStr">
        <is>
          <t>Clessiane Pereira dos Santos</t>
        </is>
      </c>
      <c r="C403" s="1" t="inlineStr">
        <is>
          <t>Técnico I</t>
        </is>
      </c>
      <c r="D403" s="3" t="n">
        <v>25</v>
      </c>
      <c r="E403" s="3" t="n">
        <v>24</v>
      </c>
      <c r="F403" s="3" t="n">
        <v>17.35</v>
      </c>
      <c r="G403" s="3" t="n">
        <v>6</v>
      </c>
      <c r="H403" s="3" t="n">
        <v>0</v>
      </c>
      <c r="I403" s="3">
        <f>E403+G403+H403</f>
        <v/>
      </c>
      <c r="J403" s="3">
        <f>ROUND(MIN(IF(C403="Técnico III",35,IF(C403="Técnico II",28,IF(C403="Técnico I",23,IF(C403="JR",20,IF(C403="Estágio",10,0))))),IF(C403="Técnico III",SUMIFS($D:$D,$A:$A,$A403,$B:$B,"&lt;&gt;Patrícia Karla de Sousa Araújo",$B:$B,"&lt;&gt;Lorena Dias de Araujo",$B:$B,"&lt;&gt;Lucas Luiz Romero")*(35/1083),IF(C403="Técnico II",SUMIFS($D:$D,$A:$A,$A403,$B:$B,"&lt;&gt;Patrícia Karla de Sousa Araújo",$B:$B,"&lt;&gt;Lorena Dias de Araujo",$B:$B,"&lt;&gt;Lucas Luiz Romero")*(28/1083),IF(C403="Técnico I",SUMIFS($D:$D,$A:$A,$A403,$B:$B,"&lt;&gt;Patrícia Karla de Sousa Araújo",$B:$B,"&lt;&gt;Lorena Dias de Araujo",$B:$B,"&lt;&gt;Lucas Luiz Romero")*(23/1083),IF(C403="JR",SUMIFS($D:$D,$A:$A,$A403,$B:$B,"&lt;&gt;Patrícia Karla de Sousa Araújo",$B:$B,"&lt;&gt;Lorena Dias de Araujo",$B:$B,"&lt;&gt;Lucas Luiz Romero")*(20/1083),IF(C403="Estágio",SUMIFS($D:$D,$A:$A,$A403,$B:$B,"&lt;&gt;Patrícia Karla de Sousa Araújo",$B:$B,"&lt;&gt;Lorena Dias de Araujo",$B:$B,"&lt;&gt;Lucas Luiz Romero")*(10/1083),0)))))),0)</f>
        <v/>
      </c>
      <c r="K403" s="3">
        <f>I403-J403</f>
        <v/>
      </c>
      <c r="L403" s="3">
        <f>IF(K403&lt;-5,"CRÍTICO",IF(K403&lt;0,"ATENÇÃO",IF(K403&lt;=5,"OPORTUNO","MUITO BOM")))</f>
        <v/>
      </c>
      <c r="M403" s="3" t="n">
        <v>27</v>
      </c>
      <c r="N403" s="3" t="n">
        <v>97.48</v>
      </c>
      <c r="O403" s="12" t="n">
        <v>22.99465240641711</v>
      </c>
    </row>
    <row r="404">
      <c r="A404" s="5" t="n">
        <v>46150</v>
      </c>
      <c r="B404" s="6" t="inlineStr">
        <is>
          <t>Daniel Gomes da Silva</t>
        </is>
      </c>
      <c r="C404" s="1" t="inlineStr">
        <is>
          <t>Técnico I</t>
        </is>
      </c>
      <c r="D404" s="3" t="n">
        <v>16</v>
      </c>
      <c r="E404" s="3" t="n">
        <v>16</v>
      </c>
      <c r="F404" s="3" t="n">
        <v>23.51</v>
      </c>
      <c r="G404" s="3" t="n">
        <v>0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IF(K404&lt;-5,"CRÍTICO",IF(K404&lt;0,"ATENÇÃO",IF(K404&lt;=5,"OPORTUNO","MUITO BOM")))</f>
        <v/>
      </c>
      <c r="M404" s="3" t="n">
        <v>11</v>
      </c>
      <c r="N404" s="3" t="n">
        <v>100</v>
      </c>
      <c r="O404" s="12" t="n">
        <v>20.78853046594982</v>
      </c>
    </row>
    <row r="405">
      <c r="A405" s="5" t="n">
        <v>46150</v>
      </c>
      <c r="B405" s="6" t="inlineStr">
        <is>
          <t>Luiz Fernando de Carvalho Junior</t>
        </is>
      </c>
      <c r="C405" s="1" t="inlineStr">
        <is>
          <t>Técnico I</t>
        </is>
      </c>
      <c r="D405" s="3" t="n">
        <v>18</v>
      </c>
      <c r="E405" s="3" t="n">
        <v>17</v>
      </c>
      <c r="F405" s="3" t="n">
        <v>25.06</v>
      </c>
      <c r="G405" s="3" t="n">
        <v>6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IF(K405&lt;-5,"CRÍTICO",IF(K405&lt;0,"ATENÇÃO",IF(K405&lt;=5,"OPORTUNO","MUITO BOM")))</f>
        <v/>
      </c>
      <c r="M405" s="3" t="n">
        <v>23</v>
      </c>
      <c r="N405" s="3" t="n">
        <v>94.55</v>
      </c>
      <c r="O405" s="12" t="n">
        <v>23.45013477088949</v>
      </c>
    </row>
    <row r="406">
      <c r="A406" s="5" t="n">
        <v>46150</v>
      </c>
      <c r="B406" s="6" t="inlineStr">
        <is>
          <t>Raane Batista Matos</t>
        </is>
      </c>
      <c r="C406" s="1" t="inlineStr">
        <is>
          <t>Técnico I</t>
        </is>
      </c>
      <c r="D406" s="3" t="n">
        <v>39</v>
      </c>
      <c r="E406" s="3" t="n">
        <v>34</v>
      </c>
      <c r="F406" s="3" t="n">
        <v>12.08</v>
      </c>
      <c r="G406" s="3" t="n">
        <v>2</v>
      </c>
      <c r="H406" s="3" t="n">
        <v>0</v>
      </c>
      <c r="I406" s="3">
        <f>E406+G406+H406</f>
        <v/>
      </c>
      <c r="J406" s="3">
        <f>ROUND(MIN(IF(C406="Técnico III",35,IF(C406="Técnico II",28,IF(C406="Técnico I",23,IF(C406="JR",20,IF(C406="Estágio",10,0))))),IF(C406="Técnico III",SUMIFS($D:$D,$A:$A,$A406,$B:$B,"&lt;&gt;Patrícia Karla de Sousa Araújo",$B:$B,"&lt;&gt;Lorena Dias de Araujo",$B:$B,"&lt;&gt;Lucas Luiz Romero")*(35/1083),IF(C406="Técnico II",SUMIFS($D:$D,$A:$A,$A406,$B:$B,"&lt;&gt;Patrícia Karla de Sousa Araújo",$B:$B,"&lt;&gt;Lorena Dias de Araujo",$B:$B,"&lt;&gt;Lucas Luiz Romero")*(28/1083),IF(C406="Técnico I",SUMIFS($D:$D,$A:$A,$A406,$B:$B,"&lt;&gt;Patrícia Karla de Sousa Araújo",$B:$B,"&lt;&gt;Lorena Dias de Araujo",$B:$B,"&lt;&gt;Lucas Luiz Romero")*(23/1083),IF(C406="JR",SUMIFS($D:$D,$A:$A,$A406,$B:$B,"&lt;&gt;Patrícia Karla de Sousa Araújo",$B:$B,"&lt;&gt;Lorena Dias de Araujo",$B:$B,"&lt;&gt;Lucas Luiz Romero")*(20/1083),IF(C406="Estágio",SUMIFS($D:$D,$A:$A,$A406,$B:$B,"&lt;&gt;Patrícia Karla de Sousa Araújo",$B:$B,"&lt;&gt;Lorena Dias de Araujo",$B:$B,"&lt;&gt;Lucas Luiz Romero")*(10/1083),0)))))),0)</f>
        <v/>
      </c>
      <c r="K406" s="3">
        <f>I406-J406</f>
        <v/>
      </c>
      <c r="L406" s="3">
        <f>IF(K406&lt;-5,"CRÍTICO",IF(K406&lt;0,"ATENÇÃO",IF(K406&lt;=5,"OPORTUNO","MUITO BOM")))</f>
        <v/>
      </c>
      <c r="M406" s="3" t="n">
        <v>32</v>
      </c>
      <c r="N406" s="3" t="n">
        <v>98</v>
      </c>
      <c r="O406" s="12" t="n">
        <v>20.73490813648294</v>
      </c>
    </row>
    <row r="407">
      <c r="A407" s="5" t="n">
        <v>46150</v>
      </c>
      <c r="B407" s="6" t="inlineStr">
        <is>
          <t>Sara Maria Monteiro Lopes</t>
        </is>
      </c>
      <c r="C407" s="1" t="inlineStr">
        <is>
          <t>Técnico I</t>
        </is>
      </c>
      <c r="D407" s="3" t="n">
        <v>0</v>
      </c>
      <c r="E407" s="3" t="n">
        <v>0</v>
      </c>
      <c r="F407" s="3" t="n">
        <v>0</v>
      </c>
      <c r="G407" s="3" t="n">
        <v>0</v>
      </c>
      <c r="H407" s="3" t="n">
        <v>0</v>
      </c>
      <c r="I407" s="3" t="n">
        <v>0</v>
      </c>
      <c r="J407" s="3" t="n">
        <v>0</v>
      </c>
      <c r="K407" s="3" t="n">
        <v>0</v>
      </c>
      <c r="L407" s="3">
        <f>IF(K407&lt;-5,"CRÍTICO",IF(K407&lt;0,"ATENÇÃO",IF(K407&lt;=5,"OPORTUNO","MUITO BOM")))</f>
        <v/>
      </c>
      <c r="M407" s="3" t="n">
        <v>0</v>
      </c>
      <c r="N407" s="3" t="n">
        <v>100</v>
      </c>
      <c r="O407" s="12" t="n">
        <v>18</v>
      </c>
    </row>
    <row r="408">
      <c r="A408" s="5" t="n">
        <v>46150</v>
      </c>
      <c r="B408" s="6" t="inlineStr">
        <is>
          <t>Gabriel Gomes de Andrade</t>
        </is>
      </c>
      <c r="C408" s="1" t="inlineStr">
        <is>
          <t>Técnico I</t>
        </is>
      </c>
      <c r="D408" s="3" t="n">
        <v>0</v>
      </c>
      <c r="E408" s="3" t="n">
        <v>0</v>
      </c>
      <c r="F408" s="3" t="n">
        <v>0</v>
      </c>
      <c r="G408" s="3" t="n">
        <v>0</v>
      </c>
      <c r="H408" s="3" t="n">
        <v>0</v>
      </c>
      <c r="I408" s="3" t="n">
        <v>0</v>
      </c>
      <c r="J408" s="3" t="n">
        <v>0</v>
      </c>
      <c r="K408" s="3" t="n">
        <v>0</v>
      </c>
      <c r="L408" s="3">
        <f>IF(K408&lt;-5,"CRÍTICO",IF(K408&lt;0,"ATENÇÃO",IF(K408&lt;=5,"OPORTUNO","MUITO BOM")))</f>
        <v/>
      </c>
      <c r="M408" s="3" t="n">
        <v>0</v>
      </c>
      <c r="N408" s="3" t="n">
        <v>99.06</v>
      </c>
      <c r="O408" s="12" t="n">
        <v>19.41747572815534</v>
      </c>
    </row>
    <row r="409">
      <c r="A409" s="5" t="n">
        <v>46160</v>
      </c>
      <c r="B409" s="6" t="inlineStr">
        <is>
          <t>Gabriel Alves</t>
        </is>
      </c>
      <c r="C409" s="1" t="inlineStr">
        <is>
          <t>Estágio</t>
        </is>
      </c>
      <c r="D409" s="3" t="n">
        <v>2</v>
      </c>
      <c r="E409" s="3" t="n">
        <v>2</v>
      </c>
      <c r="F409" s="3" t="n">
        <v>170.55</v>
      </c>
      <c r="G409" s="3" t="n">
        <v>0</v>
      </c>
      <c r="H409" s="3" t="n">
        <v>0</v>
      </c>
      <c r="I409" s="3" t="n">
        <v>2</v>
      </c>
      <c r="J409" s="3" t="n">
        <v>8</v>
      </c>
      <c r="K409" s="3" t="n">
        <v>-6</v>
      </c>
      <c r="L409" s="3" t="inlineStr">
        <is>
          <t>CRÍTICO</t>
        </is>
      </c>
      <c r="M409" s="3" t="n">
        <v>2</v>
      </c>
      <c r="N409" s="3" t="n">
        <v>100</v>
      </c>
      <c r="O409" s="12" t="n">
        <v>33.33333333333333</v>
      </c>
    </row>
    <row r="410">
      <c r="A410" s="7" t="n">
        <v>46161</v>
      </c>
      <c r="B410" s="8" t="inlineStr">
        <is>
          <t>Gabriel Alves</t>
        </is>
      </c>
      <c r="C410" s="1" t="inlineStr">
        <is>
          <t>Estágio</t>
        </is>
      </c>
      <c r="D410" s="3" t="n">
        <v>4</v>
      </c>
      <c r="E410" s="3" t="n">
        <v>4</v>
      </c>
      <c r="F410" s="3" t="n">
        <v>56.44</v>
      </c>
      <c r="G410" s="3" t="n">
        <v>0</v>
      </c>
      <c r="H410" s="3" t="n">
        <v>0</v>
      </c>
      <c r="I410" s="3" t="n">
        <v>4</v>
      </c>
      <c r="J410" s="3" t="n">
        <v>8</v>
      </c>
      <c r="K410" s="3" t="n">
        <v>-4</v>
      </c>
      <c r="L410" s="3" t="inlineStr">
        <is>
          <t>ATENÇÃO</t>
        </is>
      </c>
      <c r="M410" s="3" t="n">
        <v>3</v>
      </c>
      <c r="N410" s="3" t="n">
        <v>100</v>
      </c>
      <c r="O410" s="12" t="n">
        <v>33.33333333333333</v>
      </c>
    </row>
    <row r="411">
      <c r="A411" s="5" t="n">
        <v>46150</v>
      </c>
      <c r="B411" s="6" t="inlineStr">
        <is>
          <t>Matheus Farias De Souza</t>
        </is>
      </c>
      <c r="C411" s="1" t="inlineStr">
        <is>
          <t>Técnico III</t>
        </is>
      </c>
      <c r="D411" s="3" t="n">
        <v>0</v>
      </c>
      <c r="E411" s="3" t="n">
        <v>0</v>
      </c>
      <c r="F411" s="3" t="n">
        <v>0</v>
      </c>
      <c r="G411" s="3" t="n">
        <v>0</v>
      </c>
      <c r="H411" s="3" t="n">
        <v>31</v>
      </c>
      <c r="I411" s="3">
        <f>E411+G411+H411</f>
        <v/>
      </c>
      <c r="J411" s="3">
        <f>ROUND(MIN(IF(C411="Técnico III",35,IF(C411="Técnico II",28,IF(C411="Técnico I",23,IF(C411="JR",20,IF(C411="Estágio",10,0))))),IF(C411="Técnico III",SUMIFS($D:$D,$A:$A,$A411,$B:$B,"&lt;&gt;Patrícia Karla de Sousa Araújo",$B:$B,"&lt;&gt;Lorena Dias de Araujo",$B:$B,"&lt;&gt;Lucas Luiz Romero")*(35/1083),IF(C411="Técnico II",SUMIFS($D:$D,$A:$A,$A411,$B:$B,"&lt;&gt;Patrícia Karla de Sousa Araújo",$B:$B,"&lt;&gt;Lorena Dias de Araujo",$B:$B,"&lt;&gt;Lucas Luiz Romero")*(28/1083),IF(C411="Técnico I",SUMIFS($D:$D,$A:$A,$A411,$B:$B,"&lt;&gt;Patrícia Karla de Sousa Araújo",$B:$B,"&lt;&gt;Lorena Dias de Araujo",$B:$B,"&lt;&gt;Lucas Luiz Romero")*(23/1083),IF(C411="JR",SUMIFS($D:$D,$A:$A,$A411,$B:$B,"&lt;&gt;Patrícia Karla de Sousa Araújo",$B:$B,"&lt;&gt;Lorena Dias de Araujo",$B:$B,"&lt;&gt;Lucas Luiz Romero")*(20/1083),IF(C411="Estágio",SUMIFS($D:$D,$A:$A,$A411,$B:$B,"&lt;&gt;Patrícia Karla de Sousa Araújo",$B:$B,"&lt;&gt;Lorena Dias de Araujo",$B:$B,"&lt;&gt;Lucas Luiz Romero")*(10/1083),0)))))),0)</f>
        <v/>
      </c>
      <c r="K411" s="3">
        <f>I411-J411</f>
        <v/>
      </c>
      <c r="L411" s="3">
        <f>IF(K411&lt;-5,"CRÍTICO",IF(K411&lt;0,"ATENÇÃO",IF(K411&lt;=5,"OPORTUNO","MUITO BOM")))</f>
        <v/>
      </c>
      <c r="M411" s="3" t="n">
        <v>21</v>
      </c>
      <c r="N411" s="3" t="n">
        <v>98.39</v>
      </c>
      <c r="O411" s="12" t="n">
        <v>8.799999999999999</v>
      </c>
    </row>
    <row r="412">
      <c r="A412" s="10" t="n">
        <v>46038</v>
      </c>
      <c r="B412" t="inlineStr">
        <is>
          <t>Gabriel Gomes de Andrade</t>
        </is>
      </c>
      <c r="C412" s="1" t="inlineStr">
        <is>
          <t>Técnico I</t>
        </is>
      </c>
      <c r="D412" s="3" t="n">
        <v>19</v>
      </c>
      <c r="E412" s="3" t="n">
        <v>19</v>
      </c>
      <c r="F412" s="3" t="n">
        <v>24.19</v>
      </c>
      <c r="G412" s="3" t="n">
        <v>0</v>
      </c>
      <c r="H412" s="3" t="n">
        <v>0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s="3" t="n">
        <v>16</v>
      </c>
      <c r="N412" s="3" t="n">
        <v>98.91</v>
      </c>
      <c r="O412" s="12" t="n">
        <v>31.36729222520107</v>
      </c>
    </row>
    <row r="413">
      <c r="A413" s="7" t="n">
        <v>46162</v>
      </c>
      <c r="B413" s="8" t="inlineStr">
        <is>
          <t>Gabriel Alves</t>
        </is>
      </c>
      <c r="C413" s="1" t="inlineStr">
        <is>
          <t>Estágio</t>
        </is>
      </c>
      <c r="D413" s="3" t="n">
        <v>7</v>
      </c>
      <c r="E413" s="3" t="n">
        <v>7</v>
      </c>
      <c r="F413" s="3" t="n">
        <v>37.06</v>
      </c>
      <c r="G413" s="3" t="n">
        <v>0</v>
      </c>
      <c r="H413" s="3" t="n">
        <v>0</v>
      </c>
      <c r="I413" s="3" t="n">
        <v>7</v>
      </c>
      <c r="J413" s="3" t="n">
        <v>7</v>
      </c>
      <c r="K413" s="3" t="n">
        <v>0</v>
      </c>
      <c r="L413" s="3" t="inlineStr">
        <is>
          <t>BOM</t>
        </is>
      </c>
      <c r="M413" s="3" t="n">
        <v>6</v>
      </c>
      <c r="N413" s="3" t="n">
        <v>100</v>
      </c>
      <c r="O413" s="12" t="n">
        <v>33.33333333333333</v>
      </c>
    </row>
    <row r="414">
      <c r="A414" s="5" t="n">
        <v>46163</v>
      </c>
      <c r="B414" s="6" t="inlineStr">
        <is>
          <t>Gabriel Alves</t>
        </is>
      </c>
      <c r="C414" s="1" t="inlineStr">
        <is>
          <t>Estágio</t>
        </is>
      </c>
      <c r="D414" s="3" t="n">
        <v>0</v>
      </c>
      <c r="E414" s="3" t="n">
        <v>0</v>
      </c>
      <c r="F414" s="3" t="n">
        <v>0</v>
      </c>
      <c r="G414" s="3" t="n">
        <v>0</v>
      </c>
      <c r="H414" s="3" t="n">
        <v>0</v>
      </c>
      <c r="I414" s="3" t="n">
        <v>0</v>
      </c>
      <c r="J414" s="3" t="n">
        <v>0</v>
      </c>
      <c r="K414" s="3" t="n">
        <v>0</v>
      </c>
      <c r="L414" s="3" t="inlineStr">
        <is>
          <t>BOM</t>
        </is>
      </c>
      <c r="M414" s="3" t="n">
        <v>0</v>
      </c>
      <c r="N414" s="3" t="n">
        <v>100</v>
      </c>
      <c r="O414" s="12" t="n">
        <v>33.33333333333333</v>
      </c>
    </row>
    <row r="415">
      <c r="A415" s="9" t="n">
        <v>46164</v>
      </c>
      <c r="B415" s="6" t="inlineStr">
        <is>
          <t>Gabriel Alves</t>
        </is>
      </c>
      <c r="C415" s="1" t="inlineStr">
        <is>
          <t>Estágio</t>
        </is>
      </c>
      <c r="D415" s="3" t="n">
        <v>0</v>
      </c>
      <c r="E415" s="3" t="n">
        <v>0</v>
      </c>
      <c r="F415" s="3" t="n">
        <v>0</v>
      </c>
      <c r="G415" s="3" t="n">
        <v>0</v>
      </c>
      <c r="H415" s="3" t="n">
        <v>0</v>
      </c>
      <c r="I415" s="3" t="n">
        <v>0</v>
      </c>
      <c r="J415" s="3" t="n">
        <v>0</v>
      </c>
      <c r="K415" s="3" t="n">
        <v>0</v>
      </c>
      <c r="L415" s="3" t="inlineStr">
        <is>
          <t>BOM</t>
        </is>
      </c>
      <c r="M415" s="3" t="n">
        <v>0</v>
      </c>
      <c r="N415" s="3" t="n">
        <v>100</v>
      </c>
      <c r="O415" s="12" t="n">
        <v>33.33333333333333</v>
      </c>
    </row>
    <row r="416">
      <c r="A416" s="10" t="n">
        <v>46167</v>
      </c>
      <c r="B416" t="inlineStr">
        <is>
          <t>Gabriel Alves</t>
        </is>
      </c>
      <c r="C416" s="1" t="inlineStr">
        <is>
          <t>Estágio</t>
        </is>
      </c>
      <c r="D416" s="3" t="n">
        <v>0</v>
      </c>
      <c r="E416" s="3" t="n">
        <v>0</v>
      </c>
      <c r="F416" s="3" t="n">
        <v>0</v>
      </c>
      <c r="G416" s="3" t="n">
        <v>0</v>
      </c>
      <c r="H416" s="3" t="n">
        <v>0</v>
      </c>
      <c r="I416" s="3" t="n">
        <v>0</v>
      </c>
      <c r="J416" s="3" t="n">
        <v>0</v>
      </c>
      <c r="K416" s="3" t="n">
        <v>0</v>
      </c>
      <c r="L416" s="3" t="inlineStr">
        <is>
          <t>BOM</t>
        </is>
      </c>
      <c r="M416" s="3" t="n">
        <v>0</v>
      </c>
      <c r="N416" s="3" t="n">
        <v>100</v>
      </c>
      <c r="O416" s="12" t="n">
        <v>33.33333333333333</v>
      </c>
    </row>
    <row r="417">
      <c r="A417" s="10" t="n">
        <v>46168</v>
      </c>
      <c r="B417" t="inlineStr">
        <is>
          <t>Gabriel Alves</t>
        </is>
      </c>
      <c r="C417" s="1" t="inlineStr">
        <is>
          <t>Estágio</t>
        </is>
      </c>
      <c r="D417" s="3" t="n">
        <v>1</v>
      </c>
      <c r="E417" s="3" t="n">
        <v>1</v>
      </c>
      <c r="F417" s="3" t="n">
        <v>55.47</v>
      </c>
      <c r="G417" s="3" t="n">
        <v>0</v>
      </c>
      <c r="H417" s="3" t="n">
        <v>0</v>
      </c>
      <c r="I417" s="3" t="n">
        <v>1</v>
      </c>
      <c r="J417" s="3" t="n">
        <v>8</v>
      </c>
      <c r="K417" s="3" t="n">
        <v>-7</v>
      </c>
      <c r="L417" s="3" t="inlineStr">
        <is>
          <t>CRÍTICO</t>
        </is>
      </c>
      <c r="M417" s="3" t="n">
        <v>1</v>
      </c>
      <c r="N417" s="3" t="n">
        <v>100</v>
      </c>
      <c r="O417" s="12" t="n">
        <v>33.33333333333333</v>
      </c>
    </row>
    <row r="418">
      <c r="A418" s="10" t="n">
        <v>46090</v>
      </c>
      <c r="B418" t="inlineStr">
        <is>
          <t>Matheus Farias De Souza</t>
        </is>
      </c>
      <c r="C418" s="1" t="inlineStr">
        <is>
          <t>Técnico III</t>
        </is>
      </c>
      <c r="D418" s="3" t="n">
        <v>35</v>
      </c>
      <c r="E418" s="3" t="n">
        <v>35</v>
      </c>
      <c r="F418" s="3" t="n">
        <v>20.02</v>
      </c>
      <c r="G418" s="3" t="n">
        <v>0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IF(K418&lt;-5,"CRÍTICO",IF(K418&lt;0,"ATENÇÃO",IF(K418&lt;=5,"OPORTUNO","MUITO BOM")))</f>
        <v/>
      </c>
      <c r="M418" s="3" t="n">
        <v>30</v>
      </c>
      <c r="N418" s="3" t="n">
        <v>98.86</v>
      </c>
      <c r="O418" s="12" t="n">
        <v>28.95927601809955</v>
      </c>
    </row>
    <row r="419">
      <c r="A419" s="10" t="n">
        <v>46169</v>
      </c>
      <c r="B419" t="inlineStr">
        <is>
          <t>Gabriel Alves</t>
        </is>
      </c>
      <c r="C419" s="1" t="inlineStr">
        <is>
          <t>Estágio</t>
        </is>
      </c>
      <c r="D419" s="3" t="n">
        <v>7</v>
      </c>
      <c r="E419" s="3" t="n">
        <v>7</v>
      </c>
      <c r="F419" s="3" t="n">
        <v>46.44</v>
      </c>
      <c r="G419" s="3" t="n">
        <v>0</v>
      </c>
      <c r="H419" s="3" t="n">
        <v>0</v>
      </c>
      <c r="I419" s="3" t="n">
        <v>7</v>
      </c>
      <c r="J419" s="3" t="n">
        <v>8</v>
      </c>
      <c r="K419" s="3" t="n">
        <v>-1</v>
      </c>
      <c r="L419" s="3" t="inlineStr">
        <is>
          <t>ATENÇÃO</t>
        </is>
      </c>
      <c r="M419" s="3" t="n">
        <v>7</v>
      </c>
      <c r="N419" s="3" t="n">
        <v>100</v>
      </c>
      <c r="O419" s="12" t="n">
        <v>27.27272727272727</v>
      </c>
    </row>
    <row r="420">
      <c r="A420" s="10" t="n">
        <v>46170</v>
      </c>
      <c r="B420" t="inlineStr">
        <is>
          <t>Gabriel Alves</t>
        </is>
      </c>
      <c r="C420" s="1" t="inlineStr">
        <is>
          <t>Estágio</t>
        </is>
      </c>
      <c r="D420" s="3" t="n">
        <v>12</v>
      </c>
      <c r="E420" s="3" t="n">
        <v>9</v>
      </c>
      <c r="F420" s="3" t="n">
        <v>16.53</v>
      </c>
      <c r="G420" s="3" t="n">
        <v>0</v>
      </c>
      <c r="H420" s="3" t="n">
        <v>0</v>
      </c>
      <c r="I420" s="3" t="n">
        <v>9</v>
      </c>
      <c r="J420" s="3" t="n">
        <v>8</v>
      </c>
      <c r="K420" s="3" t="n">
        <v>1</v>
      </c>
      <c r="L420" s="3" t="inlineStr">
        <is>
          <t>BOM</t>
        </is>
      </c>
      <c r="M420" s="3" t="n">
        <v>8</v>
      </c>
      <c r="N420" s="3" t="n">
        <v>100</v>
      </c>
      <c r="O420" s="12" t="n">
        <v>26.66666666666667</v>
      </c>
    </row>
    <row r="421">
      <c r="A421" s="10" t="n">
        <v>46171</v>
      </c>
      <c r="B421" t="inlineStr">
        <is>
          <t>Gabriel Alves</t>
        </is>
      </c>
      <c r="C421" s="1" t="inlineStr">
        <is>
          <t>Estágio</t>
        </is>
      </c>
      <c r="D421" s="3" t="n">
        <v>8</v>
      </c>
      <c r="E421" s="3" t="n">
        <v>8</v>
      </c>
      <c r="F421" s="3" t="n">
        <v>49.11</v>
      </c>
      <c r="G421" s="3" t="n">
        <v>0</v>
      </c>
      <c r="H421" s="3" t="n">
        <v>0</v>
      </c>
      <c r="I421" s="3" t="n">
        <v>8</v>
      </c>
      <c r="J421" s="3" t="n">
        <v>8</v>
      </c>
      <c r="K421" s="3" t="n">
        <v>0</v>
      </c>
      <c r="L421" s="3" t="inlineStr">
        <is>
          <t>BOM</t>
        </is>
      </c>
      <c r="M421" s="3" t="n">
        <v>0</v>
      </c>
      <c r="N421" s="3" t="n">
        <v>100</v>
      </c>
      <c r="O421" s="12" t="n">
        <v>26.66666666666667</v>
      </c>
    </row>
    <row r="422">
      <c r="A422" s="5" t="n">
        <v>46153</v>
      </c>
      <c r="B422" s="6" t="inlineStr">
        <is>
          <t>Amanda Moura Ferreira</t>
        </is>
      </c>
      <c r="C422" s="1" t="inlineStr">
        <is>
          <t>Técnico III</t>
        </is>
      </c>
      <c r="D422" s="3" t="n">
        <v>0</v>
      </c>
      <c r="E422" s="3" t="n">
        <v>0</v>
      </c>
      <c r="F422" s="3" t="n">
        <v>0</v>
      </c>
      <c r="G422" s="3" t="n">
        <v>0</v>
      </c>
      <c r="H422" s="3" t="n">
        <v>0</v>
      </c>
      <c r="I422" s="3" t="n">
        <v>0</v>
      </c>
      <c r="J422" s="3" t="n">
        <v>0</v>
      </c>
      <c r="K422" s="3" t="n">
        <v>0</v>
      </c>
      <c r="L422" s="3">
        <f>IF(K422&lt;-5,"CRÍTICO",IF(K422&lt;0,"ATENÇÃO",IF(K422&lt;=5,"OPORTUNO","MUITO BOM")))</f>
        <v/>
      </c>
      <c r="M422" s="3" t="n">
        <v>0</v>
      </c>
      <c r="N422" s="3" t="n">
        <v>100</v>
      </c>
      <c r="O422" s="12" t="n">
        <v>0</v>
      </c>
    </row>
    <row r="423">
      <c r="A423" s="5" t="n">
        <v>46153</v>
      </c>
      <c r="B423" s="6" t="inlineStr">
        <is>
          <t>Ana Paula Da Luz Silva Aleixo</t>
        </is>
      </c>
      <c r="C423" s="1" t="inlineStr">
        <is>
          <t>Técnico III</t>
        </is>
      </c>
      <c r="D423" s="3" t="n">
        <v>18</v>
      </c>
      <c r="E423" s="3" t="n">
        <v>16</v>
      </c>
      <c r="F423" s="3" t="n">
        <v>23.31</v>
      </c>
      <c r="G423" s="3" t="n">
        <v>0</v>
      </c>
      <c r="H423" s="3" t="n">
        <v>0</v>
      </c>
      <c r="I423" s="3">
        <f>E423+G423+H423</f>
        <v/>
      </c>
      <c r="J423" s="3">
        <f>ROUND(MIN(IF(C423="Técnico III",35,IF(C423="Técnico II",28,IF(C423="Técnico I",23,IF(C423="JR",20,IF(C423="Estágio",10,0))))),IF(C423="Técnico III",SUMIFS($D:$D,$A:$A,$A423,$B:$B,"&lt;&gt;Patrícia Karla de Sousa Araújo",$B:$B,"&lt;&gt;Lorena Dias de Araujo",$B:$B,"&lt;&gt;Lucas Luiz Romero")*(35/1083),IF(C423="Técnico II",SUMIFS($D:$D,$A:$A,$A423,$B:$B,"&lt;&gt;Patrícia Karla de Sousa Araújo",$B:$B,"&lt;&gt;Lorena Dias de Araujo",$B:$B,"&lt;&gt;Lucas Luiz Romero")*(28/1083),IF(C423="Técnico I",SUMIFS($D:$D,$A:$A,$A423,$B:$B,"&lt;&gt;Patrícia Karla de Sousa Araújo",$B:$B,"&lt;&gt;Lorena Dias de Araujo",$B:$B,"&lt;&gt;Lucas Luiz Romero")*(23/1083),IF(C423="JR",SUMIFS($D:$D,$A:$A,$A423,$B:$B,"&lt;&gt;Patrícia Karla de Sousa Araújo",$B:$B,"&lt;&gt;Lorena Dias de Araujo",$B:$B,"&lt;&gt;Lucas Luiz Romero")*(20/1083),IF(C423="Estágio",SUMIFS($D:$D,$A:$A,$A423,$B:$B,"&lt;&gt;Patrícia Karla de Sousa Araújo",$B:$B,"&lt;&gt;Lorena Dias de Araujo",$B:$B,"&lt;&gt;Lucas Luiz Romero")*(10/1083),0)))))),0)</f>
        <v/>
      </c>
      <c r="K423" s="3">
        <f>I423-J423</f>
        <v/>
      </c>
      <c r="L423" s="3">
        <f>IF(K423&lt;-5,"CRÍTICO",IF(K423&lt;0,"ATENÇÃO",IF(K423&lt;=5,"OPORTUNO","MUITO BOM")))</f>
        <v/>
      </c>
      <c r="M423" s="3" t="n">
        <v>13</v>
      </c>
      <c r="N423" s="3" t="n">
        <v>96.94</v>
      </c>
      <c r="O423" s="12" t="n">
        <v>19.61325966850829</v>
      </c>
    </row>
    <row r="424">
      <c r="A424" s="5" t="n">
        <v>46153</v>
      </c>
      <c r="B424" s="6" t="inlineStr">
        <is>
          <t>Cristiane Ramos da Silva Rocha</t>
        </is>
      </c>
      <c r="C424" s="1" t="inlineStr">
        <is>
          <t>Técnico III</t>
        </is>
      </c>
      <c r="D424" s="3" t="n">
        <v>35</v>
      </c>
      <c r="E424" s="3" t="n">
        <v>35</v>
      </c>
      <c r="F424" s="3" t="n">
        <v>12.1</v>
      </c>
      <c r="G424" s="3" t="n">
        <v>0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IF(K424&lt;-5,"CRÍTICO",IF(K424&lt;0,"ATENÇÃO",IF(K424&lt;=5,"OPORTUNO","MUITO BOM")))</f>
        <v/>
      </c>
      <c r="M424" s="3" t="n">
        <v>31</v>
      </c>
      <c r="N424" s="3" t="n">
        <v>92.81</v>
      </c>
      <c r="O424" s="12" t="n">
        <v>25.47770700636943</v>
      </c>
    </row>
    <row r="425">
      <c r="A425" s="5" t="n">
        <v>46153</v>
      </c>
      <c r="B425" s="6" t="inlineStr">
        <is>
          <t>Davylla Rodrigues Freitas Silva</t>
        </is>
      </c>
      <c r="C425" s="1" t="inlineStr">
        <is>
          <t>Técnico III</t>
        </is>
      </c>
      <c r="D425" s="3" t="n">
        <v>25</v>
      </c>
      <c r="E425" s="3" t="n">
        <v>25</v>
      </c>
      <c r="F425" s="3" t="n">
        <v>29.18</v>
      </c>
      <c r="G425" s="3" t="n">
        <v>0</v>
      </c>
      <c r="H425" s="3" t="n">
        <v>0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IF(K425&lt;-5,"CRÍTICO",IF(K425&lt;0,"ATENÇÃO",IF(K425&lt;=5,"OPORTUNO","MUITO BOM")))</f>
        <v/>
      </c>
      <c r="M425" s="3" t="n">
        <v>25</v>
      </c>
      <c r="N425" s="3" t="n">
        <v>99.19</v>
      </c>
      <c r="O425" s="12" t="n">
        <v>28.40466926070039</v>
      </c>
    </row>
    <row r="426">
      <c r="A426" s="5" t="n">
        <v>46153</v>
      </c>
      <c r="B426" s="6" t="inlineStr">
        <is>
          <t>Francielson de Oliveira</t>
        </is>
      </c>
      <c r="C426" s="1" t="inlineStr">
        <is>
          <t>Técnico III</t>
        </is>
      </c>
      <c r="D426" s="3" t="n">
        <v>0</v>
      </c>
      <c r="E426" s="3" t="n">
        <v>0</v>
      </c>
      <c r="F426" s="3" t="n">
        <v>0</v>
      </c>
      <c r="G426" s="3" t="n">
        <v>0</v>
      </c>
      <c r="H426" s="3" t="n">
        <v>0</v>
      </c>
      <c r="I426" s="3" t="n">
        <v>0</v>
      </c>
      <c r="J426" s="3" t="n">
        <v>0</v>
      </c>
      <c r="K426" s="3" t="n">
        <v>0</v>
      </c>
      <c r="L426" s="3">
        <f>IF(K426&lt;-5,"CRÍTICO",IF(K426&lt;0,"ATENÇÃO",IF(K426&lt;=5,"OPORTUNO","MUITO BOM")))</f>
        <v/>
      </c>
      <c r="M426" s="3" t="n">
        <v>0</v>
      </c>
      <c r="N426" s="3" t="n">
        <v>100</v>
      </c>
      <c r="O426" s="12" t="n">
        <v>13.51351351351351</v>
      </c>
    </row>
    <row r="427">
      <c r="A427" s="5" t="n">
        <v>46153</v>
      </c>
      <c r="B427" s="6" t="inlineStr">
        <is>
          <t>Janaina Lima dos Reis Urany</t>
        </is>
      </c>
      <c r="C427" s="1" t="inlineStr">
        <is>
          <t>Técnico III</t>
        </is>
      </c>
      <c r="D427" s="3" t="n">
        <v>53</v>
      </c>
      <c r="E427" s="3" t="n">
        <v>46</v>
      </c>
      <c r="F427" s="3" t="n">
        <v>11.56</v>
      </c>
      <c r="G427" s="3" t="n">
        <v>3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IF(K427&lt;-5,"CRÍTICO",IF(K427&lt;0,"ATENÇÃO",IF(K427&lt;=5,"OPORTUNO","MUITO BOM")))</f>
        <v/>
      </c>
      <c r="M427" s="3" t="n">
        <v>44</v>
      </c>
      <c r="N427" s="3" t="n">
        <v>99</v>
      </c>
      <c r="O427" s="12" t="n">
        <v>22.27414330218069</v>
      </c>
    </row>
    <row r="428">
      <c r="A428" s="5" t="n">
        <v>46153</v>
      </c>
      <c r="B428" s="6" t="inlineStr">
        <is>
          <t>Jaqueline Evangelista da Silva Martins</t>
        </is>
      </c>
      <c r="C428" s="1" t="inlineStr">
        <is>
          <t>Técnico III</t>
        </is>
      </c>
      <c r="D428" s="3" t="n">
        <v>22</v>
      </c>
      <c r="E428" s="3" t="n">
        <v>20</v>
      </c>
      <c r="F428" s="3" t="n">
        <v>11.59</v>
      </c>
      <c r="G428" s="3" t="n">
        <v>4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IF(K428&lt;-5,"CRÍTICO",IF(K428&lt;0,"ATENÇÃO",IF(K428&lt;=5,"OPORTUNO","MUITO BOM")))</f>
        <v/>
      </c>
      <c r="M428" s="3" t="n">
        <v>17</v>
      </c>
      <c r="N428" s="3" t="n">
        <v>97.04000000000001</v>
      </c>
      <c r="O428" s="12" t="n">
        <v>29.82885085574572</v>
      </c>
    </row>
    <row r="429">
      <c r="A429" s="10" t="n">
        <v>46041</v>
      </c>
      <c r="B429" t="inlineStr">
        <is>
          <t>Gabriel Gomes de Andrade</t>
        </is>
      </c>
      <c r="C429" s="1" t="inlineStr">
        <is>
          <t>Técnico I</t>
        </is>
      </c>
      <c r="D429" s="3" t="n">
        <v>13</v>
      </c>
      <c r="E429" s="3" t="n">
        <v>13</v>
      </c>
      <c r="F429" s="3" t="n">
        <v>29.11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IF(K429&lt;-5,"CRÍTICO",IF(K429&lt;0,"ATENÇÃO",IF(K429&lt;=5,"BOM","EXCELENTE")))</f>
        <v/>
      </c>
      <c r="M429" s="3" t="n">
        <v>12</v>
      </c>
      <c r="N429" s="3" t="n">
        <v>98.91</v>
      </c>
      <c r="O429" s="12" t="n">
        <v>31.36729222520107</v>
      </c>
    </row>
    <row r="430">
      <c r="A430" s="5" t="n">
        <v>46153</v>
      </c>
      <c r="B430" s="6" t="inlineStr">
        <is>
          <t>Jéssica Fé Moura</t>
        </is>
      </c>
      <c r="C430" s="1" t="inlineStr">
        <is>
          <t>Técnico III</t>
        </is>
      </c>
      <c r="D430" s="3" t="n">
        <v>0</v>
      </c>
      <c r="E430" s="3" t="n">
        <v>0</v>
      </c>
      <c r="F430" s="3" t="n">
        <v>0</v>
      </c>
      <c r="G430" s="3" t="n">
        <v>0</v>
      </c>
      <c r="H430" s="3" t="n">
        <v>0</v>
      </c>
      <c r="I430" s="3" t="n">
        <v>0</v>
      </c>
      <c r="J430" s="3" t="n">
        <v>0</v>
      </c>
      <c r="K430" s="3" t="n">
        <v>0</v>
      </c>
      <c r="L430" s="3">
        <f>IF(K430&lt;-5,"CRÍTICO",IF(K430&lt;0,"ATENÇÃO",IF(K430&lt;=5,"OPORTUNO","MUITO BOM")))</f>
        <v/>
      </c>
      <c r="M430" s="3" t="n">
        <v>0</v>
      </c>
      <c r="N430" s="3" t="n">
        <v>0</v>
      </c>
      <c r="O430" s="12" t="n">
        <v>0</v>
      </c>
    </row>
    <row r="431">
      <c r="A431" s="5" t="n">
        <v>46153</v>
      </c>
      <c r="B431" s="6" t="inlineStr">
        <is>
          <t>Kerollen Cristielly de Jesus Siqueira</t>
        </is>
      </c>
      <c r="C431" s="1" t="inlineStr">
        <is>
          <t>Técnico III</t>
        </is>
      </c>
      <c r="D431" s="3" t="n">
        <v>24</v>
      </c>
      <c r="E431" s="3" t="n">
        <v>23</v>
      </c>
      <c r="F431" s="3" t="n">
        <v>20</v>
      </c>
      <c r="G431" s="3" t="n">
        <v>1</v>
      </c>
      <c r="H431" s="3" t="n">
        <v>0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IF(K431&lt;-5,"CRÍTICO",IF(K431&lt;0,"ATENÇÃO",IF(K431&lt;=5,"OPORTUNO","MUITO BOM")))</f>
        <v/>
      </c>
      <c r="M431" s="3" t="n">
        <v>23</v>
      </c>
      <c r="N431" s="3" t="n">
        <v>96.84</v>
      </c>
      <c r="O431" s="12" t="n">
        <v>16.33802816901408</v>
      </c>
    </row>
    <row r="432">
      <c r="A432" s="5" t="n">
        <v>46153</v>
      </c>
      <c r="B432" s="6" t="inlineStr">
        <is>
          <t>Leandro Oliveira de Sousa</t>
        </is>
      </c>
      <c r="C432" s="1" t="inlineStr">
        <is>
          <t>Técnico III</t>
        </is>
      </c>
      <c r="D432" s="3" t="n">
        <v>31</v>
      </c>
      <c r="E432" s="3" t="n">
        <v>29</v>
      </c>
      <c r="F432" s="3" t="n">
        <v>14.18</v>
      </c>
      <c r="G432" s="3" t="n">
        <v>0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IF(K432&lt;-5,"CRÍTICO",IF(K432&lt;0,"ATENÇÃO",IF(K432&lt;=5,"OPORTUNO","MUITO BOM")))</f>
        <v/>
      </c>
      <c r="M432" s="3" t="n">
        <v>29</v>
      </c>
      <c r="N432" s="3" t="n">
        <v>100</v>
      </c>
      <c r="O432" s="12" t="n">
        <v>18.24480369515012</v>
      </c>
    </row>
    <row r="433">
      <c r="A433" s="5" t="n">
        <v>46153</v>
      </c>
      <c r="B433" s="6" t="inlineStr">
        <is>
          <t>Lucas Luiz Romero</t>
        </is>
      </c>
      <c r="C433" s="1" t="inlineStr">
        <is>
          <t>Técnico III</t>
        </is>
      </c>
      <c r="D433" s="3" t="n">
        <v>0</v>
      </c>
      <c r="E433" s="3" t="n">
        <v>0</v>
      </c>
      <c r="F433" s="3" t="n">
        <v>0</v>
      </c>
      <c r="G433" s="3" t="n">
        <v>0</v>
      </c>
      <c r="H433" s="3" t="n">
        <v>0</v>
      </c>
      <c r="I433" s="3" t="n">
        <v>0</v>
      </c>
      <c r="J433" s="3" t="n">
        <v>0</v>
      </c>
      <c r="K433" s="3" t="n">
        <v>0</v>
      </c>
      <c r="L433" s="3">
        <f>IF(K433&lt;-5,"CRÍTICO",IF(K433&lt;0,"ATENÇÃO",IF(K433&lt;=5,"OPORTUNO","MUITO BOM")))</f>
        <v/>
      </c>
      <c r="M433" s="3" t="n">
        <v>0</v>
      </c>
      <c r="N433" s="3" t="n">
        <v>100</v>
      </c>
      <c r="O433" s="12" t="n">
        <v>15.78947368421053</v>
      </c>
    </row>
    <row r="434">
      <c r="A434" s="5" t="n">
        <v>46153</v>
      </c>
      <c r="B434" s="6" t="inlineStr">
        <is>
          <t>Maysa Victoria Dias Moura</t>
        </is>
      </c>
      <c r="C434" s="1" t="inlineStr">
        <is>
          <t>Técnico III</t>
        </is>
      </c>
      <c r="D434" s="3" t="n">
        <v>33</v>
      </c>
      <c r="E434" s="3" t="n">
        <v>24</v>
      </c>
      <c r="F434" s="3" t="n">
        <v>8.43</v>
      </c>
      <c r="G434" s="3" t="n">
        <v>5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IF(K434&lt;-5,"CRÍTICO",IF(K434&lt;0,"ATENÇÃO",IF(K434&lt;=5,"OPORTUNO","MUITO BOM")))</f>
        <v/>
      </c>
      <c r="M434" s="3" t="n">
        <v>26</v>
      </c>
      <c r="N434" s="3" t="n">
        <v>96.38</v>
      </c>
      <c r="O434" s="12" t="n">
        <v>23.1981981981982</v>
      </c>
    </row>
    <row r="435">
      <c r="A435" s="5" t="n">
        <v>46153</v>
      </c>
      <c r="B435" s="6" t="inlineStr">
        <is>
          <t>Rafael Gomes de Morais</t>
        </is>
      </c>
      <c r="C435" s="1" t="inlineStr">
        <is>
          <t>Técnico III</t>
        </is>
      </c>
      <c r="D435" s="3" t="n">
        <v>23</v>
      </c>
      <c r="E435" s="3" t="n">
        <v>21</v>
      </c>
      <c r="F435" s="3" t="n">
        <v>17.37</v>
      </c>
      <c r="G435" s="3" t="n">
        <v>2</v>
      </c>
      <c r="H435" s="3" t="n">
        <v>0</v>
      </c>
      <c r="I435" s="3">
        <f>E435+G435+H435</f>
        <v/>
      </c>
      <c r="J435" s="3">
        <f>ROUND(MIN(IF(C435="Técnico III",35,IF(C435="Técnico II",28,IF(C435="Técnico I",23,IF(C435="JR",20,IF(C435="Estágio",10,0))))),IF(C435="Técnico III",SUMIFS($D:$D,$A:$A,$A435,$B:$B,"&lt;&gt;Patrícia Karla de Sousa Araújo",$B:$B,"&lt;&gt;Lorena Dias de Araujo",$B:$B,"&lt;&gt;Lucas Luiz Romero")*(35/1083),IF(C435="Técnico II",SUMIFS($D:$D,$A:$A,$A435,$B:$B,"&lt;&gt;Patrícia Karla de Sousa Araújo",$B:$B,"&lt;&gt;Lorena Dias de Araujo",$B:$B,"&lt;&gt;Lucas Luiz Romero")*(28/1083),IF(C435="Técnico I",SUMIFS($D:$D,$A:$A,$A435,$B:$B,"&lt;&gt;Patrícia Karla de Sousa Araújo",$B:$B,"&lt;&gt;Lorena Dias de Araujo",$B:$B,"&lt;&gt;Lucas Luiz Romero")*(23/1083),IF(C435="JR",SUMIFS($D:$D,$A:$A,$A435,$B:$B,"&lt;&gt;Patrícia Karla de Sousa Araújo",$B:$B,"&lt;&gt;Lorena Dias de Araujo",$B:$B,"&lt;&gt;Lucas Luiz Romero")*(20/1083),IF(C435="Estágio",SUMIFS($D:$D,$A:$A,$A435,$B:$B,"&lt;&gt;Patrícia Karla de Sousa Araújo",$B:$B,"&lt;&gt;Lorena Dias de Araujo",$B:$B,"&lt;&gt;Lucas Luiz Romero")*(10/1083),0)))))),0)</f>
        <v/>
      </c>
      <c r="K435" s="3">
        <f>I435-J435</f>
        <v/>
      </c>
      <c r="L435" s="3">
        <f>IF(K435&lt;-5,"CRÍTICO",IF(K435&lt;0,"ATENÇÃO",IF(K435&lt;=5,"OPORTUNO","MUITO BOM")))</f>
        <v/>
      </c>
      <c r="M435" s="3" t="n">
        <v>17</v>
      </c>
      <c r="N435" s="3" t="n">
        <v>99.39</v>
      </c>
      <c r="O435" s="12" t="n">
        <v>25.20325203252033</v>
      </c>
    </row>
    <row r="436">
      <c r="A436" s="5" t="n">
        <v>46153</v>
      </c>
      <c r="B436" s="6" t="inlineStr">
        <is>
          <t>Sarah Steffanie de Lima Borges</t>
        </is>
      </c>
      <c r="C436" s="1" t="inlineStr">
        <is>
          <t>Técnico III</t>
        </is>
      </c>
      <c r="D436" s="3" t="n">
        <v>25</v>
      </c>
      <c r="E436" s="3" t="n">
        <v>21</v>
      </c>
      <c r="F436" s="3" t="n">
        <v>15.04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IF(K436&lt;-5,"CRÍTICO",IF(K436&lt;0,"ATENÇÃO",IF(K436&lt;=5,"OPORTUNO","MUITO BOM")))</f>
        <v/>
      </c>
      <c r="M436" s="3" t="n">
        <v>16</v>
      </c>
      <c r="N436" s="3" t="n">
        <v>97</v>
      </c>
      <c r="O436" s="12" t="n">
        <v>20.32520325203252</v>
      </c>
    </row>
    <row r="437">
      <c r="A437" s="5" t="n">
        <v>46153</v>
      </c>
      <c r="B437" s="6" t="inlineStr">
        <is>
          <t>Alisson de Freitas Silva</t>
        </is>
      </c>
      <c r="C437" s="1" t="inlineStr">
        <is>
          <t>Técnico II</t>
        </is>
      </c>
      <c r="D437" s="3" t="n">
        <v>36</v>
      </c>
      <c r="E437" s="3" t="n">
        <v>29</v>
      </c>
      <c r="F437" s="3" t="n">
        <v>11.5</v>
      </c>
      <c r="G437" s="3" t="n">
        <v>5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IF(K437&lt;-5,"CRÍTICO",IF(K437&lt;0,"ATENÇÃO",IF(K437&lt;=5,"OPORTUNO","MUITO BOM")))</f>
        <v/>
      </c>
      <c r="M437" s="3" t="n">
        <v>18</v>
      </c>
      <c r="N437" s="3" t="n">
        <v>99.18000000000001</v>
      </c>
      <c r="O437" s="12" t="n">
        <v>24.5014245014245</v>
      </c>
    </row>
    <row r="438">
      <c r="A438" s="5" t="n">
        <v>46153</v>
      </c>
      <c r="B438" s="6" t="inlineStr">
        <is>
          <t>Brenda de Menezes Silva</t>
        </is>
      </c>
      <c r="C438" s="1" t="inlineStr">
        <is>
          <t>Técnico II</t>
        </is>
      </c>
      <c r="D438" s="3" t="n">
        <v>31</v>
      </c>
      <c r="E438" s="3" t="n">
        <v>29</v>
      </c>
      <c r="F438" s="3" t="n">
        <v>17.13</v>
      </c>
      <c r="G438" s="3" t="n">
        <v>1</v>
      </c>
      <c r="H438" s="3" t="n">
        <v>0</v>
      </c>
      <c r="I438" s="3">
        <f>E438+G438+H438</f>
        <v/>
      </c>
      <c r="J438" s="3">
        <f>ROUND(MIN(IF(C438="Técnico III",35,IF(C438="Técnico II",28,IF(C438="Técnico I",23,IF(C438="JR",20,IF(C438="Estágio",10,0))))),IF(C438="Técnico III",SUMIFS($D:$D,$A:$A,$A438,$B:$B,"&lt;&gt;Patrícia Karla de Sousa Araújo",$B:$B,"&lt;&gt;Lorena Dias de Araujo",$B:$B,"&lt;&gt;Lucas Luiz Romero")*(35/1083),IF(C438="Técnico II",SUMIFS($D:$D,$A:$A,$A438,$B:$B,"&lt;&gt;Patrícia Karla de Sousa Araújo",$B:$B,"&lt;&gt;Lorena Dias de Araujo",$B:$B,"&lt;&gt;Lucas Luiz Romero")*(28/1083),IF(C438="Técnico I",SUMIFS($D:$D,$A:$A,$A438,$B:$B,"&lt;&gt;Patrícia Karla de Sousa Araújo",$B:$B,"&lt;&gt;Lorena Dias de Araujo",$B:$B,"&lt;&gt;Lucas Luiz Romero")*(23/1083),IF(C438="JR",SUMIFS($D:$D,$A:$A,$A438,$B:$B,"&lt;&gt;Patrícia Karla de Sousa Araújo",$B:$B,"&lt;&gt;Lorena Dias de Araujo",$B:$B,"&lt;&gt;Lucas Luiz Romero")*(20/1083),IF(C438="Estágio",SUMIFS($D:$D,$A:$A,$A438,$B:$B,"&lt;&gt;Patrícia Karla de Sousa Araújo",$B:$B,"&lt;&gt;Lorena Dias de Araujo",$B:$B,"&lt;&gt;Lucas Luiz Romero")*(10/1083),0)))))),0)</f>
        <v/>
      </c>
      <c r="K438" s="3">
        <f>I438-J438</f>
        <v/>
      </c>
      <c r="L438" s="3">
        <f>IF(K438&lt;-5,"CRÍTICO",IF(K438&lt;0,"ATENÇÃO",IF(K438&lt;=5,"OPORTUNO","MUITO BOM")))</f>
        <v/>
      </c>
      <c r="M438" s="3" t="n">
        <v>30</v>
      </c>
      <c r="N438" s="3" t="n">
        <v>99.34999999999999</v>
      </c>
      <c r="O438" s="12" t="n">
        <v>19.85294117647059</v>
      </c>
    </row>
    <row r="439">
      <c r="A439" s="5" t="n">
        <v>46153</v>
      </c>
      <c r="B439" s="6" t="inlineStr">
        <is>
          <t>Carlos Mateus Cassimiro Nunes</t>
        </is>
      </c>
      <c r="C439" s="1" t="inlineStr">
        <is>
          <t>Técnico II</t>
        </is>
      </c>
      <c r="D439" s="3" t="n">
        <v>22</v>
      </c>
      <c r="E439" s="3" t="n">
        <v>22</v>
      </c>
      <c r="F439" s="3" t="n">
        <v>26.55</v>
      </c>
      <c r="G439" s="3" t="n">
        <v>4</v>
      </c>
      <c r="H439" s="3" t="n">
        <v>0</v>
      </c>
      <c r="I439" s="3">
        <f>E439+G439+H439</f>
        <v/>
      </c>
      <c r="J439" s="3">
        <f>ROUND(MIN(IF(C439="Técnico III",35,IF(C439="Técnico II",28,IF(C439="Técnico I",23,IF(C439="JR",20,IF(C439="Estágio",10,0))))),IF(C439="Técnico III",SUMIFS($D:$D,$A:$A,$A439,$B:$B,"&lt;&gt;Patrícia Karla de Sousa Araújo",$B:$B,"&lt;&gt;Lorena Dias de Araujo",$B:$B,"&lt;&gt;Lucas Luiz Romero")*(35/1083),IF(C439="Técnico II",SUMIFS($D:$D,$A:$A,$A439,$B:$B,"&lt;&gt;Patrícia Karla de Sousa Araújo",$B:$B,"&lt;&gt;Lorena Dias de Araujo",$B:$B,"&lt;&gt;Lucas Luiz Romero")*(28/1083),IF(C439="Técnico I",SUMIFS($D:$D,$A:$A,$A439,$B:$B,"&lt;&gt;Patrícia Karla de Sousa Araújo",$B:$B,"&lt;&gt;Lorena Dias de Araujo",$B:$B,"&lt;&gt;Lucas Luiz Romero")*(23/1083),IF(C439="JR",SUMIFS($D:$D,$A:$A,$A439,$B:$B,"&lt;&gt;Patrícia Karla de Sousa Araújo",$B:$B,"&lt;&gt;Lorena Dias de Araujo",$B:$B,"&lt;&gt;Lucas Luiz Romero")*(20/1083),IF(C439="Estágio",SUMIFS($D:$D,$A:$A,$A439,$B:$B,"&lt;&gt;Patrícia Karla de Sousa Araújo",$B:$B,"&lt;&gt;Lorena Dias de Araujo",$B:$B,"&lt;&gt;Lucas Luiz Romero")*(10/1083),0)))))),0)</f>
        <v/>
      </c>
      <c r="K439" s="3">
        <f>I439-J439</f>
        <v/>
      </c>
      <c r="L439" s="3">
        <f>IF(K439&lt;-5,"CRÍTICO",IF(K439&lt;0,"ATENÇÃO",IF(K439&lt;=5,"OPORTUNO","MUITO BOM")))</f>
        <v/>
      </c>
      <c r="M439" s="3" t="n">
        <v>26</v>
      </c>
      <c r="N439" s="3" t="n">
        <v>99.06999999999999</v>
      </c>
      <c r="O439" s="12" t="n">
        <v>20.09803921568627</v>
      </c>
    </row>
    <row r="440">
      <c r="A440" s="5" t="n">
        <v>46153</v>
      </c>
      <c r="B440" s="6" t="inlineStr">
        <is>
          <t>Damyllis Lorraine de Oliveira Gonçalves</t>
        </is>
      </c>
      <c r="C440" s="1" t="inlineStr">
        <is>
          <t>Técnico II</t>
        </is>
      </c>
      <c r="D440" s="3" t="n">
        <v>30</v>
      </c>
      <c r="E440" s="3" t="n">
        <v>27</v>
      </c>
      <c r="F440" s="3" t="n">
        <v>16.46</v>
      </c>
      <c r="G440" s="3" t="n">
        <v>0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IF(K440&lt;-5,"CRÍTICO",IF(K440&lt;0,"ATENÇÃO",IF(K440&lt;=5,"OPORTUNO","MUITO BOM")))</f>
        <v/>
      </c>
      <c r="M440" s="3" t="n">
        <v>22</v>
      </c>
      <c r="N440" s="3" t="n">
        <v>98.81</v>
      </c>
      <c r="O440" s="12" t="n">
        <v>22.76785714285714</v>
      </c>
    </row>
    <row r="441">
      <c r="A441" s="5" t="n">
        <v>46153</v>
      </c>
      <c r="B441" s="6" t="inlineStr">
        <is>
          <t>Emilly Kamilly Medeiros Miranda</t>
        </is>
      </c>
      <c r="C441" s="1" t="inlineStr">
        <is>
          <t>Técnico II</t>
        </is>
      </c>
      <c r="D441" s="3" t="n">
        <v>28</v>
      </c>
      <c r="E441" s="3" t="n">
        <v>27</v>
      </c>
      <c r="F441" s="3" t="n">
        <v>15.05</v>
      </c>
      <c r="G441" s="3" t="n">
        <v>4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IF(K441&lt;-5,"CRÍTICO",IF(K441&lt;0,"ATENÇÃO",IF(K441&lt;=5,"OPORTUNO","MUITO BOM")))</f>
        <v/>
      </c>
      <c r="M441" s="3" t="n">
        <v>27</v>
      </c>
      <c r="N441" s="3" t="n">
        <v>99.01000000000001</v>
      </c>
      <c r="O441" s="12" t="n">
        <v>17.76649746192894</v>
      </c>
    </row>
    <row r="442">
      <c r="A442" s="5" t="n">
        <v>46153</v>
      </c>
      <c r="B442" s="6" t="inlineStr">
        <is>
          <t>Francilene Ferreira de Jesus</t>
        </is>
      </c>
      <c r="C442" s="1" t="inlineStr">
        <is>
          <t>Técnico II</t>
        </is>
      </c>
      <c r="D442" s="3" t="n">
        <v>0</v>
      </c>
      <c r="E442" s="3" t="n">
        <v>0</v>
      </c>
      <c r="F442" s="3" t="n">
        <v>0</v>
      </c>
      <c r="G442" s="3" t="n">
        <v>0</v>
      </c>
      <c r="H442" s="3" t="n">
        <v>0</v>
      </c>
      <c r="I442" s="3" t="n">
        <v>0</v>
      </c>
      <c r="J442" s="3" t="n">
        <v>0</v>
      </c>
      <c r="K442" s="3" t="n">
        <v>0</v>
      </c>
      <c r="L442" s="3">
        <f>IF(K442&lt;-5,"CRÍTICO",IF(K442&lt;0,"ATENÇÃO",IF(K442&lt;=5,"OPORTUNO","MUITO BOM")))</f>
        <v/>
      </c>
      <c r="M442" s="3" t="n">
        <v>0</v>
      </c>
      <c r="N442" s="3" t="n">
        <v>100</v>
      </c>
      <c r="O442" s="12" t="n">
        <v>17.24137931034483</v>
      </c>
    </row>
    <row r="443">
      <c r="A443" s="5" t="n">
        <v>46153</v>
      </c>
      <c r="B443" s="6" t="inlineStr">
        <is>
          <t>Isabella Borges de Oliveira</t>
        </is>
      </c>
      <c r="C443" s="1" t="inlineStr">
        <is>
          <t>Técnico II</t>
        </is>
      </c>
      <c r="D443" s="3" t="n">
        <v>26</v>
      </c>
      <c r="E443" s="3" t="n">
        <v>24</v>
      </c>
      <c r="F443" s="3" t="n">
        <v>18.31</v>
      </c>
      <c r="G443" s="3" t="n">
        <v>0</v>
      </c>
      <c r="H443" s="3" t="n">
        <v>0</v>
      </c>
      <c r="I443" s="3">
        <f>E443+G443+H443</f>
        <v/>
      </c>
      <c r="J443" s="3">
        <f>ROUND(MIN(IF(C443="Técnico III",35,IF(C443="Técnico II",28,IF(C443="Técnico I",23,IF(C443="JR",20,IF(C443="Estágio",10,0))))),IF(C443="Técnico III",SUMIFS($D:$D,$A:$A,$A443,$B:$B,"&lt;&gt;Patrícia Karla de Sousa Araújo",$B:$B,"&lt;&gt;Lorena Dias de Araujo",$B:$B,"&lt;&gt;Lucas Luiz Romero")*(35/1083),IF(C443="Técnico II",SUMIFS($D:$D,$A:$A,$A443,$B:$B,"&lt;&gt;Patrícia Karla de Sousa Araújo",$B:$B,"&lt;&gt;Lorena Dias de Araujo",$B:$B,"&lt;&gt;Lucas Luiz Romero")*(28/1083),IF(C443="Técnico I",SUMIFS($D:$D,$A:$A,$A443,$B:$B,"&lt;&gt;Patrícia Karla de Sousa Araújo",$B:$B,"&lt;&gt;Lorena Dias de Araujo",$B:$B,"&lt;&gt;Lucas Luiz Romero")*(23/1083),IF(C443="JR",SUMIFS($D:$D,$A:$A,$A443,$B:$B,"&lt;&gt;Patrícia Karla de Sousa Araújo",$B:$B,"&lt;&gt;Lorena Dias de Araujo",$B:$B,"&lt;&gt;Lucas Luiz Romero")*(20/1083),IF(C443="Estágio",SUMIFS($D:$D,$A:$A,$A443,$B:$B,"&lt;&gt;Patrícia Karla de Sousa Araújo",$B:$B,"&lt;&gt;Lorena Dias de Araujo",$B:$B,"&lt;&gt;Lucas Luiz Romero")*(10/1083),0)))))),0)</f>
        <v/>
      </c>
      <c r="K443" s="3">
        <f>I443-J443</f>
        <v/>
      </c>
      <c r="L443" s="3">
        <f>IF(K443&lt;-5,"CRÍTICO",IF(K443&lt;0,"ATENÇÃO",IF(K443&lt;=5,"OPORTUNO","MUITO BOM")))</f>
        <v/>
      </c>
      <c r="M443" s="3" t="n">
        <v>23</v>
      </c>
      <c r="N443" s="3" t="n">
        <v>98.98</v>
      </c>
      <c r="O443" s="12" t="n">
        <v>19.35483870967742</v>
      </c>
    </row>
    <row r="444">
      <c r="A444" s="5" t="n">
        <v>46153</v>
      </c>
      <c r="B444" s="6" t="inlineStr">
        <is>
          <t>Jessica Faria da Silveira</t>
        </is>
      </c>
      <c r="C444" s="1" t="inlineStr">
        <is>
          <t>Técnico II</t>
        </is>
      </c>
      <c r="D444" s="3" t="n">
        <v>39</v>
      </c>
      <c r="E444" s="3" t="n">
        <v>31</v>
      </c>
      <c r="F444" s="3" t="n">
        <v>12</v>
      </c>
      <c r="G444" s="3" t="n">
        <v>1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IF(K444&lt;-5,"CRÍTICO",IF(K444&lt;0,"ATENÇÃO",IF(K444&lt;=5,"OPORTUNO","MUITO BOM")))</f>
        <v/>
      </c>
      <c r="M444" s="3" t="n">
        <v>25</v>
      </c>
      <c r="N444" s="3" t="n">
        <v>98.94</v>
      </c>
      <c r="O444" s="12" t="n">
        <v>21.2707182320442</v>
      </c>
    </row>
    <row r="445">
      <c r="A445" s="5" t="n">
        <v>46153</v>
      </c>
      <c r="B445" s="6" t="inlineStr">
        <is>
          <t>Lizandra Gomes Duarte</t>
        </is>
      </c>
      <c r="C445" s="1" t="inlineStr">
        <is>
          <t>Técnico II</t>
        </is>
      </c>
      <c r="D445" s="3" t="n">
        <v>25</v>
      </c>
      <c r="E445" s="3" t="n">
        <v>22</v>
      </c>
      <c r="F445" s="3" t="n">
        <v>17.13</v>
      </c>
      <c r="G445" s="3" t="n">
        <v>2</v>
      </c>
      <c r="H445" s="3" t="n">
        <v>0</v>
      </c>
      <c r="I445" s="3">
        <f>E445+G445+H445</f>
        <v/>
      </c>
      <c r="J445" s="3">
        <f>ROUND(MIN(IF(C445="Técnico III",35,IF(C445="Técnico II",28,IF(C445="Técnico I",23,IF(C445="JR",20,IF(C445="Estágio",10,0))))),IF(C445="Técnico III",SUMIFS($D:$D,$A:$A,$A445,$B:$B,"&lt;&gt;Patrícia Karla de Sousa Araújo",$B:$B,"&lt;&gt;Lorena Dias de Araujo",$B:$B,"&lt;&gt;Lucas Luiz Romero")*(35/1083),IF(C445="Técnico II",SUMIFS($D:$D,$A:$A,$A445,$B:$B,"&lt;&gt;Patrícia Karla de Sousa Araújo",$B:$B,"&lt;&gt;Lorena Dias de Araujo",$B:$B,"&lt;&gt;Lucas Luiz Romero")*(28/1083),IF(C445="Técnico I",SUMIFS($D:$D,$A:$A,$A445,$B:$B,"&lt;&gt;Patrícia Karla de Sousa Araújo",$B:$B,"&lt;&gt;Lorena Dias de Araujo",$B:$B,"&lt;&gt;Lucas Luiz Romero")*(23/1083),IF(C445="JR",SUMIFS($D:$D,$A:$A,$A445,$B:$B,"&lt;&gt;Patrícia Karla de Sousa Araújo",$B:$B,"&lt;&gt;Lorena Dias de Araujo",$B:$B,"&lt;&gt;Lucas Luiz Romero")*(20/1083),IF(C445="Estágio",SUMIFS($D:$D,$A:$A,$A445,$B:$B,"&lt;&gt;Patrícia Karla de Sousa Araújo",$B:$B,"&lt;&gt;Lorena Dias de Araujo",$B:$B,"&lt;&gt;Lucas Luiz Romero")*(10/1083),0)))))),0)</f>
        <v/>
      </c>
      <c r="K445" s="3">
        <f>I445-J445</f>
        <v/>
      </c>
      <c r="L445" s="3">
        <f>IF(K445&lt;-5,"CRÍTICO",IF(K445&lt;0,"ATENÇÃO",IF(K445&lt;=5,"OPORTUNO","MUITO BOM")))</f>
        <v/>
      </c>
      <c r="M445" s="3" t="n">
        <v>21</v>
      </c>
      <c r="N445" s="3" t="n">
        <v>99</v>
      </c>
      <c r="O445" s="12" t="n">
        <v>22.01086956521739</v>
      </c>
    </row>
    <row r="446">
      <c r="A446" s="5" t="n">
        <v>46153</v>
      </c>
      <c r="B446" s="6" t="inlineStr">
        <is>
          <t>Lorena Dias de Araujo</t>
        </is>
      </c>
      <c r="C446" s="1" t="inlineStr">
        <is>
          <t>Técnico II</t>
        </is>
      </c>
      <c r="D446" s="3" t="n">
        <v>31</v>
      </c>
      <c r="E446" s="3" t="n">
        <v>30</v>
      </c>
      <c r="F446" s="3" t="n">
        <v>17.05</v>
      </c>
      <c r="G446" s="3" t="n">
        <v>0</v>
      </c>
      <c r="H446" s="3" t="n">
        <v>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IF(K446&lt;-5,"CRÍTICO",IF(K446&lt;0,"ATENÇÃO",IF(K446&lt;=5,"OPORTUNO","MUITO BOM")))</f>
        <v/>
      </c>
      <c r="M446" s="3" t="n">
        <v>25</v>
      </c>
      <c r="N446" s="3" t="n">
        <v>100</v>
      </c>
      <c r="O446" s="12" t="n">
        <v>25</v>
      </c>
    </row>
    <row r="447">
      <c r="A447" s="5" t="n">
        <v>46153</v>
      </c>
      <c r="B447" s="6" t="inlineStr">
        <is>
          <t>Patrícia Karla de Sousa Araújo</t>
        </is>
      </c>
      <c r="C447" s="1" t="inlineStr">
        <is>
          <t>Técnico II</t>
        </is>
      </c>
      <c r="D447" s="3" t="n">
        <v>9</v>
      </c>
      <c r="E447" s="3" t="n">
        <v>8</v>
      </c>
      <c r="F447" s="3" t="n">
        <v>23.37</v>
      </c>
      <c r="G447" s="3" t="n">
        <v>0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IF(K447&lt;-5,"CRÍTICO",IF(K447&lt;0,"ATENÇÃO",IF(K447&lt;=5,"OPORTUNO","MUITO BOM")))</f>
        <v/>
      </c>
      <c r="M447" s="3" t="n">
        <v>7</v>
      </c>
      <c r="N447" s="3" t="n">
        <v>100</v>
      </c>
      <c r="O447" s="12" t="n">
        <v>20.18348623853211</v>
      </c>
    </row>
    <row r="448">
      <c r="A448" s="5" t="n">
        <v>46153</v>
      </c>
      <c r="B448" s="6" t="inlineStr">
        <is>
          <t>Ana Karollyne Souza Faria</t>
        </is>
      </c>
      <c r="C448" s="1" t="inlineStr">
        <is>
          <t>Técnico I</t>
        </is>
      </c>
      <c r="D448" s="3" t="n">
        <v>40</v>
      </c>
      <c r="E448" s="3" t="n">
        <v>38</v>
      </c>
      <c r="F448" s="3" t="n">
        <v>13.44</v>
      </c>
      <c r="G448" s="3" t="n">
        <v>8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IF(K448&lt;-5,"CRÍTICO",IF(K448&lt;0,"ATENÇÃO",IF(K448&lt;=5,"OPORTUNO","MUITO BOM")))</f>
        <v/>
      </c>
      <c r="M448" s="3" t="n">
        <v>38</v>
      </c>
      <c r="N448" s="3" t="n">
        <v>96.25</v>
      </c>
      <c r="O448" s="12" t="n">
        <v>25.5863539445629</v>
      </c>
    </row>
    <row r="449">
      <c r="A449" s="5" t="n">
        <v>46153</v>
      </c>
      <c r="B449" s="6" t="inlineStr">
        <is>
          <t>Clessiane Pereira dos Santos</t>
        </is>
      </c>
      <c r="C449" s="1" t="inlineStr">
        <is>
          <t>Técnico I</t>
        </is>
      </c>
      <c r="D449" s="3" t="n">
        <v>24</v>
      </c>
      <c r="E449" s="3" t="n">
        <v>23</v>
      </c>
      <c r="F449" s="3" t="n">
        <v>18.57</v>
      </c>
      <c r="G449" s="3" t="n">
        <v>2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IF(K449&lt;-5,"CRÍTICO",IF(K449&lt;0,"ATENÇÃO",IF(K449&lt;=5,"OPORTUNO","MUITO BOM")))</f>
        <v/>
      </c>
      <c r="M449" s="3" t="n">
        <v>21</v>
      </c>
      <c r="N449" s="3" t="n">
        <v>97.48</v>
      </c>
      <c r="O449" s="12" t="n">
        <v>22.99465240641711</v>
      </c>
    </row>
    <row r="450">
      <c r="A450" s="5" t="n">
        <v>46153</v>
      </c>
      <c r="B450" s="6" t="inlineStr">
        <is>
          <t>Daniel Gomes da Silva</t>
        </is>
      </c>
      <c r="C450" s="1" t="inlineStr">
        <is>
          <t>Técnico I</t>
        </is>
      </c>
      <c r="D450" s="3" t="n">
        <v>24</v>
      </c>
      <c r="E450" s="3" t="n">
        <v>20</v>
      </c>
      <c r="F450" s="3" t="n">
        <v>13.37</v>
      </c>
      <c r="G450" s="3" t="n">
        <v>2</v>
      </c>
      <c r="H450" s="3" t="n">
        <v>0</v>
      </c>
      <c r="I450" s="3">
        <f>E450+G450+H450</f>
        <v/>
      </c>
      <c r="J450" s="3">
        <f>ROUND(MIN(IF(C450="Técnico III",35,IF(C450="Técnico II",28,IF(C450="Técnico I",23,IF(C450="JR",20,IF(C450="Estágio",10,0))))),IF(C450="Técnico III",SUMIFS($D:$D,$A:$A,$A450,$B:$B,"&lt;&gt;Patrícia Karla de Sousa Araújo",$B:$B,"&lt;&gt;Lorena Dias de Araujo",$B:$B,"&lt;&gt;Lucas Luiz Romero")*(35/1083),IF(C450="Técnico II",SUMIFS($D:$D,$A:$A,$A450,$B:$B,"&lt;&gt;Patrícia Karla de Sousa Araújo",$B:$B,"&lt;&gt;Lorena Dias de Araujo",$B:$B,"&lt;&gt;Lucas Luiz Romero")*(28/1083),IF(C450="Técnico I",SUMIFS($D:$D,$A:$A,$A450,$B:$B,"&lt;&gt;Patrícia Karla de Sousa Araújo",$B:$B,"&lt;&gt;Lorena Dias de Araujo",$B:$B,"&lt;&gt;Lucas Luiz Romero")*(23/1083),IF(C450="JR",SUMIFS($D:$D,$A:$A,$A450,$B:$B,"&lt;&gt;Patrícia Karla de Sousa Araújo",$B:$B,"&lt;&gt;Lorena Dias de Araujo",$B:$B,"&lt;&gt;Lucas Luiz Romero")*(20/1083),IF(C450="Estágio",SUMIFS($D:$D,$A:$A,$A450,$B:$B,"&lt;&gt;Patrícia Karla de Sousa Araújo",$B:$B,"&lt;&gt;Lorena Dias de Araujo",$B:$B,"&lt;&gt;Lucas Luiz Romero")*(10/1083),0)))))),0)</f>
        <v/>
      </c>
      <c r="K450" s="3">
        <f>I450-J450</f>
        <v/>
      </c>
      <c r="L450" s="3">
        <f>IF(K450&lt;-5,"CRÍTICO",IF(K450&lt;0,"ATENÇÃO",IF(K450&lt;=5,"OPORTUNO","MUITO BOM")))</f>
        <v/>
      </c>
      <c r="M450" s="3" t="n">
        <v>19</v>
      </c>
      <c r="N450" s="3" t="n">
        <v>100</v>
      </c>
      <c r="O450" s="12" t="n">
        <v>20.78853046594982</v>
      </c>
    </row>
    <row r="451">
      <c r="A451" s="10" t="n">
        <v>46091</v>
      </c>
      <c r="B451" t="inlineStr">
        <is>
          <t>Matheus Farias De Souza</t>
        </is>
      </c>
      <c r="C451" s="1" t="inlineStr">
        <is>
          <t>Técnico III</t>
        </is>
      </c>
      <c r="D451" s="3" t="n">
        <v>25</v>
      </c>
      <c r="E451" s="3" t="n">
        <v>24</v>
      </c>
      <c r="F451" s="3" t="n">
        <v>18.29</v>
      </c>
      <c r="G451" s="3" t="n">
        <v>0</v>
      </c>
      <c r="H451" s="3" t="n">
        <v>0</v>
      </c>
      <c r="I451" s="3">
        <f>E451+G451+H451</f>
        <v/>
      </c>
      <c r="J451" s="3">
        <f>ROUND(MIN(IF(C451="Técnico III",35,IF(C451="Técnico II",28,IF(C451="Técnico I",23,IF(C451="JR",20,IF(C451="Estágio",10,0))))),IF(C451="Técnico III",SUMIFS($D:$D,$A:$A,$A451,$B:$B,"&lt;&gt;Patrícia Karla de Sousa Araújo",$B:$B,"&lt;&gt;Lorena Dias de Araujo",$B:$B,"&lt;&gt;Lucas Luiz Romero")*(35/1083),IF(C451="Técnico II",SUMIFS($D:$D,$A:$A,$A451,$B:$B,"&lt;&gt;Patrícia Karla de Sousa Araújo",$B:$B,"&lt;&gt;Lorena Dias de Araujo",$B:$B,"&lt;&gt;Lucas Luiz Romero")*(28/1083),IF(C451="Técnico I",SUMIFS($D:$D,$A:$A,$A451,$B:$B,"&lt;&gt;Patrícia Karla de Sousa Araújo",$B:$B,"&lt;&gt;Lorena Dias de Araujo",$B:$B,"&lt;&gt;Lucas Luiz Romero")*(23/1083),IF(C451="JR",SUMIFS($D:$D,$A:$A,$A451,$B:$B,"&lt;&gt;Patrícia Karla de Sousa Araújo",$B:$B,"&lt;&gt;Lorena Dias de Araujo",$B:$B,"&lt;&gt;Lucas Luiz Romero")*(20/1083),IF(C451="Estágio",SUMIFS($D:$D,$A:$A,$A451,$B:$B,"&lt;&gt;Patrícia Karla de Sousa Araújo",$B:$B,"&lt;&gt;Lorena Dias de Araujo",$B:$B,"&lt;&gt;Lucas Luiz Romero")*(10/1083),0)))))),0)</f>
        <v/>
      </c>
      <c r="K451" s="3">
        <f>I451-J451</f>
        <v/>
      </c>
      <c r="L451" s="3">
        <f>IF(K451&lt;-5,"CRÍTICO",IF(K451&lt;0,"ATENÇÃO",IF(K451&lt;=5,"OPORTUNO","MUITO BOM")))</f>
        <v/>
      </c>
      <c r="M451" s="3" t="n">
        <v>22</v>
      </c>
      <c r="N451" s="3" t="n">
        <v>98.86</v>
      </c>
      <c r="O451" s="12" t="n">
        <v>28.95927601809955</v>
      </c>
    </row>
    <row r="452">
      <c r="A452" s="5" t="n">
        <v>46153</v>
      </c>
      <c r="B452" s="6" t="inlineStr">
        <is>
          <t>Luiz Fernando de Carvalho Junior</t>
        </is>
      </c>
      <c r="C452" s="1" t="inlineStr">
        <is>
          <t>Técnico I</t>
        </is>
      </c>
      <c r="D452" s="3" t="n">
        <v>24</v>
      </c>
      <c r="E452" s="3" t="n">
        <v>23</v>
      </c>
      <c r="F452" s="3" t="n">
        <v>17.22</v>
      </c>
      <c r="G452" s="3" t="n">
        <v>1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IF(K452&lt;-5,"CRÍTICO",IF(K452&lt;0,"ATENÇÃO",IF(K452&lt;=5,"OPORTUNO","MUITO BOM")))</f>
        <v/>
      </c>
      <c r="M452" s="3" t="n">
        <v>25</v>
      </c>
      <c r="N452" s="3" t="n">
        <v>94.55</v>
      </c>
      <c r="O452" s="12" t="n">
        <v>23.45013477088949</v>
      </c>
    </row>
    <row r="453">
      <c r="A453" s="5" t="n">
        <v>46153</v>
      </c>
      <c r="B453" s="6" t="inlineStr">
        <is>
          <t>Raane Batista Matos</t>
        </is>
      </c>
      <c r="C453" s="1" t="inlineStr">
        <is>
          <t>Técnico I</t>
        </is>
      </c>
      <c r="D453" s="3" t="n">
        <v>29</v>
      </c>
      <c r="E453" s="3" t="n">
        <v>25</v>
      </c>
      <c r="F453" s="3" t="n">
        <v>22.14</v>
      </c>
      <c r="G453" s="3" t="n">
        <v>6</v>
      </c>
      <c r="H453" s="3" t="n">
        <v>0</v>
      </c>
      <c r="I453" s="3">
        <f>E453+G453+H453</f>
        <v/>
      </c>
      <c r="J453" s="3">
        <f>ROUND(MIN(IF(C453="Técnico III",35,IF(C453="Técnico II",28,IF(C453="Técnico I",23,IF(C453="JR",20,IF(C453="Estágio",10,0))))),IF(C453="Técnico III",SUMIFS($D:$D,$A:$A,$A453,$B:$B,"&lt;&gt;Patrícia Karla de Sousa Araújo",$B:$B,"&lt;&gt;Lorena Dias de Araujo",$B:$B,"&lt;&gt;Lucas Luiz Romero")*(35/1083),IF(C453="Técnico II",SUMIFS($D:$D,$A:$A,$A453,$B:$B,"&lt;&gt;Patrícia Karla de Sousa Araújo",$B:$B,"&lt;&gt;Lorena Dias de Araujo",$B:$B,"&lt;&gt;Lucas Luiz Romero")*(28/1083),IF(C453="Técnico I",SUMIFS($D:$D,$A:$A,$A453,$B:$B,"&lt;&gt;Patrícia Karla de Sousa Araújo",$B:$B,"&lt;&gt;Lorena Dias de Araujo",$B:$B,"&lt;&gt;Lucas Luiz Romero")*(23/1083),IF(C453="JR",SUMIFS($D:$D,$A:$A,$A453,$B:$B,"&lt;&gt;Patrícia Karla de Sousa Araújo",$B:$B,"&lt;&gt;Lorena Dias de Araujo",$B:$B,"&lt;&gt;Lucas Luiz Romero")*(20/1083),IF(C453="Estágio",SUMIFS($D:$D,$A:$A,$A453,$B:$B,"&lt;&gt;Patrícia Karla de Sousa Araújo",$B:$B,"&lt;&gt;Lorena Dias de Araujo",$B:$B,"&lt;&gt;Lucas Luiz Romero")*(10/1083),0)))))),0)</f>
        <v/>
      </c>
      <c r="K453" s="3">
        <f>I453-J453</f>
        <v/>
      </c>
      <c r="L453" s="3">
        <f>IF(K453&lt;-5,"CRÍTICO",IF(K453&lt;0,"ATENÇÃO",IF(K453&lt;=5,"OPORTUNO","MUITO BOM")))</f>
        <v/>
      </c>
      <c r="M453" s="3" t="n">
        <v>24</v>
      </c>
      <c r="N453" s="3" t="n">
        <v>98</v>
      </c>
      <c r="O453" s="12" t="n">
        <v>20.73490813648294</v>
      </c>
    </row>
    <row r="454">
      <c r="A454" s="5" t="n">
        <v>46153</v>
      </c>
      <c r="B454" s="6" t="inlineStr">
        <is>
          <t>Sara Maria Monteiro Lopes</t>
        </is>
      </c>
      <c r="C454" s="1" t="inlineStr">
        <is>
          <t>Técnico I</t>
        </is>
      </c>
      <c r="D454" s="3" t="n">
        <v>16</v>
      </c>
      <c r="E454" s="3" t="n">
        <v>16</v>
      </c>
      <c r="F454" s="3" t="n">
        <v>33.21</v>
      </c>
      <c r="G454" s="3" t="n">
        <v>1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IF(K454&lt;-5,"CRÍTICO",IF(K454&lt;0,"ATENÇÃO",IF(K454&lt;=5,"OPORTUNO","MUITO BOM")))</f>
        <v/>
      </c>
      <c r="M454" s="3" t="n">
        <v>15</v>
      </c>
      <c r="N454" s="3" t="n">
        <v>100</v>
      </c>
      <c r="O454" s="12" t="n">
        <v>18</v>
      </c>
    </row>
    <row r="455">
      <c r="A455" s="10" t="n">
        <v>46042</v>
      </c>
      <c r="B455" t="inlineStr">
        <is>
          <t>Gabriel Gomes de Andrade</t>
        </is>
      </c>
      <c r="C455" s="1" t="inlineStr">
        <is>
          <t>Técnico I</t>
        </is>
      </c>
      <c r="D455" s="3" t="n">
        <v>12</v>
      </c>
      <c r="E455" s="3" t="n">
        <v>9</v>
      </c>
      <c r="F455" s="3" t="n">
        <v>10.01</v>
      </c>
      <c r="G455" s="3" t="n">
        <v>0</v>
      </c>
      <c r="H455" s="3" t="n">
        <v>0</v>
      </c>
      <c r="I455" s="3">
        <f>E455+G455+H455</f>
        <v/>
      </c>
      <c r="J455" s="3">
        <f>ROUND(MIN(IF(C455="Técnico III",35,IF(C455="Técnico II",28,IF(C455="Técnico I",23,IF(C455="JR",20,IF(C455="Estágio",10,0))))),IF(C455="Técnico III",SUMIFS($D:$D,$A:$A,$A455,$B:$B,"&lt;&gt;Patrícia Karla de Sousa Araújo",$B:$B,"&lt;&gt;Lorena Dias de Araujo",$B:$B,"&lt;&gt;Lucas Luiz Romero")*(35/1083),IF(C455="Técnico II",SUMIFS($D:$D,$A:$A,$A455,$B:$B,"&lt;&gt;Patrícia Karla de Sousa Araújo",$B:$B,"&lt;&gt;Lorena Dias de Araujo",$B:$B,"&lt;&gt;Lucas Luiz Romero")*(28/1083),IF(C455="Técnico I",SUMIFS($D:$D,$A:$A,$A455,$B:$B,"&lt;&gt;Patrícia Karla de Sousa Araújo",$B:$B,"&lt;&gt;Lorena Dias de Araujo",$B:$B,"&lt;&gt;Lucas Luiz Romero")*(23/1083),IF(C455="JR",SUMIFS($D:$D,$A:$A,$A455,$B:$B,"&lt;&gt;Patrícia Karla de Sousa Araújo",$B:$B,"&lt;&gt;Lorena Dias de Araujo",$B:$B,"&lt;&gt;Lucas Luiz Romero")*(20/1083),IF(C455="Estágio",SUMIFS($D:$D,$A:$A,$A455,$B:$B,"&lt;&gt;Patrícia Karla de Sousa Araújo",$B:$B,"&lt;&gt;Lorena Dias de Araujo",$B:$B,"&lt;&gt;Lucas Luiz Romero")*(10/1083),0)))))),0)</f>
        <v/>
      </c>
      <c r="K455" s="3">
        <f>I455-J455</f>
        <v/>
      </c>
      <c r="L455" s="3">
        <f>IF(K455&lt;-5,"CRÍTICO",IF(K455&lt;0,"ATENÇÃO",IF(K455&lt;=5,"BOM","EXCELENTE")))</f>
        <v/>
      </c>
      <c r="M455" s="3" t="n">
        <v>6</v>
      </c>
      <c r="N455" s="3" t="n">
        <v>98.91</v>
      </c>
      <c r="O455" s="12" t="n">
        <v>31.36729222520107</v>
      </c>
    </row>
    <row r="456">
      <c r="A456" s="5" t="n">
        <v>46153</v>
      </c>
      <c r="B456" s="6" t="inlineStr">
        <is>
          <t>Gabriel Gomes de Andrade</t>
        </is>
      </c>
      <c r="C456" s="1" t="inlineStr">
        <is>
          <t>Técnico I</t>
        </is>
      </c>
      <c r="D456" s="3" t="n">
        <v>25</v>
      </c>
      <c r="E456" s="3" t="n">
        <v>22</v>
      </c>
      <c r="F456" s="3" t="n">
        <v>17.3</v>
      </c>
      <c r="G456" s="3" t="n">
        <v>5</v>
      </c>
      <c r="H456" s="3" t="n">
        <v>0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IF(K456&lt;-5,"CRÍTICO",IF(K456&lt;0,"ATENÇÃO",IF(K456&lt;=5,"OPORTUNO","MUITO BOM")))</f>
        <v/>
      </c>
      <c r="M456" s="3" t="n">
        <v>23</v>
      </c>
      <c r="N456" s="3" t="n">
        <v>99.06</v>
      </c>
      <c r="O456" s="12" t="n">
        <v>19.41747572815534</v>
      </c>
    </row>
    <row r="457">
      <c r="A457" s="5" t="n">
        <v>46146</v>
      </c>
      <c r="B457" s="6" t="inlineStr">
        <is>
          <t>Karina Gonçalves Martins</t>
        </is>
      </c>
      <c r="C457" s="1" t="inlineStr">
        <is>
          <t>JR</t>
        </is>
      </c>
      <c r="D457" s="3" t="n">
        <v>24</v>
      </c>
      <c r="E457" s="3" t="n">
        <v>24</v>
      </c>
      <c r="F457" s="3" t="n">
        <v>18.51</v>
      </c>
      <c r="G457" s="3" t="n">
        <v>0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IF(K457&lt;-5,"CRÍTICO",IF(K457&lt;0,"ATENÇÃO",IF(K457&lt;=5,"OPORTUNO","MUITO BOM")))</f>
        <v/>
      </c>
      <c r="M457" s="3" t="n">
        <v>22</v>
      </c>
      <c r="N457" s="3" t="n">
        <v>97.62</v>
      </c>
      <c r="O457" s="12" t="n">
        <v>17.82477341389728</v>
      </c>
    </row>
    <row r="458">
      <c r="A458" s="5" t="n">
        <v>46147</v>
      </c>
      <c r="B458" s="6" t="inlineStr">
        <is>
          <t>Karina Gonçalves Martins</t>
        </is>
      </c>
      <c r="C458" s="1" t="inlineStr">
        <is>
          <t>JR</t>
        </is>
      </c>
      <c r="D458" s="3" t="n">
        <v>10</v>
      </c>
      <c r="E458" s="3" t="n">
        <v>10</v>
      </c>
      <c r="F458" s="3" t="n">
        <v>21.42</v>
      </c>
      <c r="G458" s="3" t="n">
        <v>10</v>
      </c>
      <c r="H458" s="3" t="n">
        <v>0</v>
      </c>
      <c r="I458" s="3">
        <f>E458+G458+H458</f>
        <v/>
      </c>
      <c r="J458" s="3">
        <f>ROUND(MIN(IF(C458="Técnico III",35,IF(C458="Técnico II",28,IF(C458="Técnico I",23,IF(C458="JR",20,IF(C458="Estágio",10,0))))),IF(C458="Técnico III",SUMIFS($D:$D,$A:$A,$A458,$B:$B,"&lt;&gt;Patrícia Karla de Sousa Araújo",$B:$B,"&lt;&gt;Lorena Dias de Araujo",$B:$B,"&lt;&gt;Lucas Luiz Romero")*(35/1083),IF(C458="Técnico II",SUMIFS($D:$D,$A:$A,$A458,$B:$B,"&lt;&gt;Patrícia Karla de Sousa Araújo",$B:$B,"&lt;&gt;Lorena Dias de Araujo",$B:$B,"&lt;&gt;Lucas Luiz Romero")*(28/1083),IF(C458="Técnico I",SUMIFS($D:$D,$A:$A,$A458,$B:$B,"&lt;&gt;Patrícia Karla de Sousa Araújo",$B:$B,"&lt;&gt;Lorena Dias de Araujo",$B:$B,"&lt;&gt;Lucas Luiz Romero")*(23/1083),IF(C458="JR",SUMIFS($D:$D,$A:$A,$A458,$B:$B,"&lt;&gt;Patrícia Karla de Sousa Araújo",$B:$B,"&lt;&gt;Lorena Dias de Araujo",$B:$B,"&lt;&gt;Lucas Luiz Romero")*(20/1083),IF(C458="Estágio",SUMIFS($D:$D,$A:$A,$A458,$B:$B,"&lt;&gt;Patrícia Karla de Sousa Araújo",$B:$B,"&lt;&gt;Lorena Dias de Araujo",$B:$B,"&lt;&gt;Lucas Luiz Romero")*(10/1083),0)))))),0)</f>
        <v/>
      </c>
      <c r="K458" s="3">
        <f>I458-J458</f>
        <v/>
      </c>
      <c r="L458" s="3">
        <f>IF(K458&lt;-5,"CRÍTICO",IF(K458&lt;0,"ATENÇÃO",IF(K458&lt;=5,"OPORTUNO","MUITO BOM")))</f>
        <v/>
      </c>
      <c r="M458" s="3" t="n">
        <v>27</v>
      </c>
      <c r="N458" s="3" t="n">
        <v>97.62</v>
      </c>
      <c r="O458" s="12" t="n">
        <v>17.82477341389728</v>
      </c>
    </row>
    <row r="459">
      <c r="A459" s="5" t="n">
        <v>46153</v>
      </c>
      <c r="B459" s="6" t="inlineStr">
        <is>
          <t>Matheus Farias De Souza</t>
        </is>
      </c>
      <c r="C459" s="1" t="inlineStr">
        <is>
          <t>Técnico III</t>
        </is>
      </c>
      <c r="D459" s="3" t="n">
        <v>0</v>
      </c>
      <c r="E459" s="3" t="n">
        <v>0</v>
      </c>
      <c r="F459" s="3" t="n">
        <v>0</v>
      </c>
      <c r="H459" s="3" t="n">
        <v>46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IF(K459&lt;-5,"CRÍTICO",IF(K459&lt;0,"ATENÇÃO",IF(K459&lt;=5,"OPORTUNO","MUITO BOM")))</f>
        <v/>
      </c>
      <c r="M459" s="3" t="n">
        <v>27</v>
      </c>
      <c r="N459" s="3" t="n">
        <v>98.39</v>
      </c>
      <c r="O459" s="12" t="n">
        <v>8.799999999999999</v>
      </c>
    </row>
    <row r="460">
      <c r="A460" s="5" t="n">
        <v>46148</v>
      </c>
      <c r="B460" s="6" t="inlineStr">
        <is>
          <t>Karina Gonçalves Martins</t>
        </is>
      </c>
      <c r="C460" s="1" t="inlineStr">
        <is>
          <t>JR</t>
        </is>
      </c>
      <c r="D460" s="3" t="n">
        <v>22</v>
      </c>
      <c r="E460" s="3" t="n">
        <v>22</v>
      </c>
      <c r="F460" s="3" t="n">
        <v>30.08</v>
      </c>
      <c r="G460" s="3" t="n">
        <v>1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IF(K460&lt;-5,"CRÍTICO",IF(K460&lt;0,"ATENÇÃO",IF(K460&lt;=5,"OPORTUNO","MUITO BOM")))</f>
        <v/>
      </c>
      <c r="M460" s="3" t="n">
        <v>22</v>
      </c>
      <c r="N460" s="3" t="n">
        <v>97.62</v>
      </c>
      <c r="O460" s="12" t="n">
        <v>17.82477341389728</v>
      </c>
    </row>
    <row r="461">
      <c r="A461" s="5" t="n">
        <v>46149</v>
      </c>
      <c r="B461" s="6" t="inlineStr">
        <is>
          <t>Karina Gonçalves Martins</t>
        </is>
      </c>
      <c r="C461" s="1" t="inlineStr">
        <is>
          <t>JR</t>
        </is>
      </c>
      <c r="D461" s="3" t="n">
        <v>18</v>
      </c>
      <c r="E461" s="3" t="n">
        <v>17</v>
      </c>
      <c r="F461" s="3" t="n">
        <v>23.23</v>
      </c>
      <c r="G461" s="3" t="n">
        <v>9</v>
      </c>
      <c r="H461" s="3" t="n">
        <v>0</v>
      </c>
      <c r="I461" s="3">
        <f>E461+G461+H461</f>
        <v/>
      </c>
      <c r="J461" s="3">
        <f>ROUND(MIN(IF(C461="Técnico III",35,IF(C461="Técnico II",28,IF(C461="Técnico I",23,IF(C461="JR",20,IF(C461="Estágio",10,0))))),IF(C461="Técnico III",SUMIFS($D:$D,$A:$A,$A461,$B:$B,"&lt;&gt;Patrícia Karla de Sousa Araújo",$B:$B,"&lt;&gt;Lorena Dias de Araujo",$B:$B,"&lt;&gt;Lucas Luiz Romero")*(35/1083),IF(C461="Técnico II",SUMIFS($D:$D,$A:$A,$A461,$B:$B,"&lt;&gt;Patrícia Karla de Sousa Araújo",$B:$B,"&lt;&gt;Lorena Dias de Araujo",$B:$B,"&lt;&gt;Lucas Luiz Romero")*(28/1083),IF(C461="Técnico I",SUMIFS($D:$D,$A:$A,$A461,$B:$B,"&lt;&gt;Patrícia Karla de Sousa Araújo",$B:$B,"&lt;&gt;Lorena Dias de Araujo",$B:$B,"&lt;&gt;Lucas Luiz Romero")*(23/1083),IF(C461="JR",SUMIFS($D:$D,$A:$A,$A461,$B:$B,"&lt;&gt;Patrícia Karla de Sousa Araújo",$B:$B,"&lt;&gt;Lorena Dias de Araujo",$B:$B,"&lt;&gt;Lucas Luiz Romero")*(20/1083),IF(C461="Estágio",SUMIFS($D:$D,$A:$A,$A461,$B:$B,"&lt;&gt;Patrícia Karla de Sousa Araújo",$B:$B,"&lt;&gt;Lorena Dias de Araujo",$B:$B,"&lt;&gt;Lucas Luiz Romero")*(10/1083),0)))))),0)</f>
        <v/>
      </c>
      <c r="K461" s="3">
        <f>I461-J461</f>
        <v/>
      </c>
      <c r="L461" s="3">
        <f>IF(K461&lt;-5,"CRÍTICO",IF(K461&lt;0,"ATENÇÃO",IF(K461&lt;=5,"OPORTUNO","MUITO BOM")))</f>
        <v/>
      </c>
      <c r="M461" s="3" t="n">
        <v>22</v>
      </c>
      <c r="N461" s="3" t="n">
        <v>97.62</v>
      </c>
      <c r="O461" s="12" t="n">
        <v>17.82477341389728</v>
      </c>
    </row>
    <row r="462">
      <c r="A462" s="5" t="n">
        <v>46150</v>
      </c>
      <c r="B462" s="6" t="inlineStr">
        <is>
          <t>Karina Gonçalves Martins</t>
        </is>
      </c>
      <c r="C462" s="1" t="inlineStr">
        <is>
          <t>JR</t>
        </is>
      </c>
      <c r="D462" s="3" t="n">
        <v>21</v>
      </c>
      <c r="E462" s="3" t="n">
        <v>20</v>
      </c>
      <c r="F462" s="3" t="n">
        <v>22.21</v>
      </c>
      <c r="G462" s="3" t="n">
        <v>1</v>
      </c>
      <c r="H462" s="3" t="n">
        <v>0</v>
      </c>
      <c r="I462" s="3">
        <f>E462+G462+H462</f>
        <v/>
      </c>
      <c r="J462" s="3">
        <f>ROUND(MIN(IF(C462="Técnico III",35,IF(C462="Técnico II",28,IF(C462="Técnico I",23,IF(C462="JR",20,IF(C462="Estágio",10,0))))),IF(C462="Técnico III",SUMIFS($D:$D,$A:$A,$A462,$B:$B,"&lt;&gt;Patrícia Karla de Sousa Araújo",$B:$B,"&lt;&gt;Lorena Dias de Araujo",$B:$B,"&lt;&gt;Lucas Luiz Romero")*(35/1083),IF(C462="Técnico II",SUMIFS($D:$D,$A:$A,$A462,$B:$B,"&lt;&gt;Patrícia Karla de Sousa Araújo",$B:$B,"&lt;&gt;Lorena Dias de Araujo",$B:$B,"&lt;&gt;Lucas Luiz Romero")*(28/1083),IF(C462="Técnico I",SUMIFS($D:$D,$A:$A,$A462,$B:$B,"&lt;&gt;Patrícia Karla de Sousa Araújo",$B:$B,"&lt;&gt;Lorena Dias de Araujo",$B:$B,"&lt;&gt;Lucas Luiz Romero")*(23/1083),IF(C462="JR",SUMIFS($D:$D,$A:$A,$A462,$B:$B,"&lt;&gt;Patrícia Karla de Sousa Araújo",$B:$B,"&lt;&gt;Lorena Dias de Araujo",$B:$B,"&lt;&gt;Lucas Luiz Romero")*(20/1083),IF(C462="Estágio",SUMIFS($D:$D,$A:$A,$A462,$B:$B,"&lt;&gt;Patrícia Karla de Sousa Araújo",$B:$B,"&lt;&gt;Lorena Dias de Araujo",$B:$B,"&lt;&gt;Lucas Luiz Romero")*(10/1083),0)))))),0)</f>
        <v/>
      </c>
      <c r="K462" s="3">
        <f>I462-J462</f>
        <v/>
      </c>
      <c r="L462" s="3">
        <f>IF(K462&lt;-5,"CRÍTICO",IF(K462&lt;0,"ATENÇÃO",IF(K462&lt;=5,"OPORTUNO","MUITO BOM")))</f>
        <v/>
      </c>
      <c r="M462" s="3" t="n">
        <v>16</v>
      </c>
      <c r="N462" s="3" t="n">
        <v>97.62</v>
      </c>
      <c r="O462" s="12" t="n">
        <v>17.82477341389728</v>
      </c>
    </row>
    <row r="463">
      <c r="A463" s="5" t="n">
        <v>46153</v>
      </c>
      <c r="B463" s="6" t="inlineStr">
        <is>
          <t>Karina Gonçalves Martins</t>
        </is>
      </c>
      <c r="C463" s="1" t="inlineStr">
        <is>
          <t>JR</t>
        </is>
      </c>
      <c r="D463" s="3" t="n">
        <v>17</v>
      </c>
      <c r="E463" s="3" t="n">
        <v>17</v>
      </c>
      <c r="F463" s="3" t="n">
        <v>30.53</v>
      </c>
      <c r="G463" s="3" t="n">
        <v>2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IF(K463&lt;-5,"CRÍTICO",IF(K463&lt;0,"ATENÇÃO",IF(K463&lt;=5,"OPORTUNO","MUITO BOM")))</f>
        <v/>
      </c>
      <c r="M463" s="3" t="n">
        <v>18</v>
      </c>
      <c r="N463" s="3" t="n">
        <v>97.62</v>
      </c>
      <c r="O463" s="12" t="n">
        <v>17.82477341389728</v>
      </c>
    </row>
    <row r="464">
      <c r="A464" s="5" t="n">
        <v>46154</v>
      </c>
      <c r="B464" s="6" t="inlineStr">
        <is>
          <t>Karina Gonçalves Martins</t>
        </is>
      </c>
      <c r="C464" s="1" t="inlineStr">
        <is>
          <t>JR</t>
        </is>
      </c>
      <c r="D464" s="3" t="n">
        <v>26</v>
      </c>
      <c r="E464" s="3" t="n">
        <v>22</v>
      </c>
      <c r="F464" s="3" t="n">
        <v>21.43</v>
      </c>
      <c r="G464" s="3" t="n">
        <v>0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IF(K464&lt;-5,"CRÍTICO",IF(K464&lt;0,"ATENÇÃO",IF(K464&lt;=5,"OPORTUNO","MUITO BOM")))</f>
        <v/>
      </c>
      <c r="M464" s="3" t="n">
        <v>22</v>
      </c>
      <c r="N464" s="3" t="n">
        <v>97.62</v>
      </c>
      <c r="O464" s="12" t="n">
        <v>17.82477341389728</v>
      </c>
    </row>
    <row r="465">
      <c r="A465" s="5" t="n">
        <v>46155</v>
      </c>
      <c r="B465" s="6" t="inlineStr">
        <is>
          <t>Karina Gonçalves Martins</t>
        </is>
      </c>
      <c r="C465" s="1" t="inlineStr">
        <is>
          <t>JR</t>
        </is>
      </c>
      <c r="D465" s="3" t="n">
        <v>17</v>
      </c>
      <c r="E465" s="3" t="n">
        <v>14</v>
      </c>
      <c r="F465" s="3" t="n">
        <v>24.07</v>
      </c>
      <c r="G465" s="3" t="n">
        <v>6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IF(K465&lt;-5,"CRÍTICO",IF(K465&lt;0,"ATENÇÃO",IF(K465&lt;=5,"OPORTUNO","MUITO BOM")))</f>
        <v/>
      </c>
      <c r="M465" s="3" t="n">
        <v>18</v>
      </c>
      <c r="N465" s="3" t="n">
        <v>97.62</v>
      </c>
      <c r="O465" s="12" t="n">
        <v>17.82477341389728</v>
      </c>
    </row>
    <row r="466">
      <c r="A466" s="5" t="n">
        <v>46156</v>
      </c>
      <c r="B466" s="6" t="inlineStr">
        <is>
          <t>Karina Gonçalves Martins</t>
        </is>
      </c>
      <c r="C466" s="1" t="inlineStr">
        <is>
          <t>JR</t>
        </is>
      </c>
      <c r="D466" s="3" t="n">
        <v>23</v>
      </c>
      <c r="E466" s="3" t="n">
        <v>23</v>
      </c>
      <c r="F466" s="3" t="n">
        <v>25.1</v>
      </c>
      <c r="G466" s="3" t="n">
        <v>0</v>
      </c>
      <c r="H466" s="3" t="n">
        <v>0</v>
      </c>
      <c r="I466" s="3">
        <f>E466+G466+H466</f>
        <v/>
      </c>
      <c r="J466" s="3">
        <f>ROUND(MIN(IF(C466="Técnico III",35,IF(C466="Técnico II",28,IF(C466="Técnico I",23,IF(C466="JR",20,IF(C466="Estágio",10,0))))),IF(C466="Técnico III",SUMIFS($D:$D,$A:$A,$A466,$B:$B,"&lt;&gt;Patrícia Karla de Sousa Araújo",$B:$B,"&lt;&gt;Lorena Dias de Araujo",$B:$B,"&lt;&gt;Lucas Luiz Romero")*(35/1083),IF(C466="Técnico II",SUMIFS($D:$D,$A:$A,$A466,$B:$B,"&lt;&gt;Patrícia Karla de Sousa Araújo",$B:$B,"&lt;&gt;Lorena Dias de Araujo",$B:$B,"&lt;&gt;Lucas Luiz Romero")*(28/1083),IF(C466="Técnico I",SUMIFS($D:$D,$A:$A,$A466,$B:$B,"&lt;&gt;Patrícia Karla de Sousa Araújo",$B:$B,"&lt;&gt;Lorena Dias de Araujo",$B:$B,"&lt;&gt;Lucas Luiz Romero")*(23/1083),IF(C466="JR",SUMIFS($D:$D,$A:$A,$A466,$B:$B,"&lt;&gt;Patrícia Karla de Sousa Araújo",$B:$B,"&lt;&gt;Lorena Dias de Araujo",$B:$B,"&lt;&gt;Lucas Luiz Romero")*(20/1083),IF(C466="Estágio",SUMIFS($D:$D,$A:$A,$A466,$B:$B,"&lt;&gt;Patrícia Karla de Sousa Araújo",$B:$B,"&lt;&gt;Lorena Dias de Araujo",$B:$B,"&lt;&gt;Lucas Luiz Romero")*(10/1083),0)))))),0)</f>
        <v/>
      </c>
      <c r="K466" s="3">
        <f>I466-J466</f>
        <v/>
      </c>
      <c r="L466" s="3">
        <f>IF(K466&lt;-5,"CRÍTICO",IF(K466&lt;0,"ATENÇÃO",IF(K466&lt;=5,"OPORTUNO","MUITO BOM")))</f>
        <v/>
      </c>
      <c r="M466" s="3" t="n">
        <v>22</v>
      </c>
      <c r="N466" s="3" t="n">
        <v>97.62</v>
      </c>
      <c r="O466" s="12" t="n">
        <v>17.82477341389728</v>
      </c>
    </row>
    <row r="467">
      <c r="A467" s="5" t="n">
        <v>46157</v>
      </c>
      <c r="B467" s="6" t="inlineStr">
        <is>
          <t>Karina Gonçalves Martins</t>
        </is>
      </c>
      <c r="C467" s="1" t="inlineStr">
        <is>
          <t>JR</t>
        </is>
      </c>
      <c r="D467" s="3" t="n">
        <v>23</v>
      </c>
      <c r="E467" s="3" t="n">
        <v>20</v>
      </c>
      <c r="F467" s="3" t="n">
        <v>25.17</v>
      </c>
      <c r="G467" s="3" t="n">
        <v>5</v>
      </c>
      <c r="H467" s="3" t="n">
        <v>0</v>
      </c>
      <c r="I467" s="3">
        <f>E467+G467+H467</f>
        <v/>
      </c>
      <c r="J467" s="3">
        <f>ROUND(MIN(IF(C467="Técnico III",35,IF(C467="Técnico II",28,IF(C467="Técnico I",23,IF(C467="JR",20,IF(C467="Estágio",10,0))))),IF(C467="Técnico III",SUMIFS($D:$D,$A:$A,$A467,$B:$B,"&lt;&gt;Patrícia Karla de Sousa Araújo",$B:$B,"&lt;&gt;Lorena Dias de Araujo",$B:$B,"&lt;&gt;Lucas Luiz Romero")*(35/1083),IF(C467="Técnico II",SUMIFS($D:$D,$A:$A,$A467,$B:$B,"&lt;&gt;Patrícia Karla de Sousa Araújo",$B:$B,"&lt;&gt;Lorena Dias de Araujo",$B:$B,"&lt;&gt;Lucas Luiz Romero")*(28/1083),IF(C467="Técnico I",SUMIFS($D:$D,$A:$A,$A467,$B:$B,"&lt;&gt;Patrícia Karla de Sousa Araújo",$B:$B,"&lt;&gt;Lorena Dias de Araujo",$B:$B,"&lt;&gt;Lucas Luiz Romero")*(23/1083),IF(C467="JR",SUMIFS($D:$D,$A:$A,$A467,$B:$B,"&lt;&gt;Patrícia Karla de Sousa Araújo",$B:$B,"&lt;&gt;Lorena Dias de Araujo",$B:$B,"&lt;&gt;Lucas Luiz Romero")*(20/1083),IF(C467="Estágio",SUMIFS($D:$D,$A:$A,$A467,$B:$B,"&lt;&gt;Patrícia Karla de Sousa Araújo",$B:$B,"&lt;&gt;Lorena Dias de Araujo",$B:$B,"&lt;&gt;Lucas Luiz Romero")*(10/1083),0)))))),0)</f>
        <v/>
      </c>
      <c r="K467" s="3">
        <f>I467-J467</f>
        <v/>
      </c>
      <c r="L467" s="3">
        <f>IF(K467&lt;-5,"CRÍTICO",IF(K467&lt;0,"ATENÇÃO",IF(K467&lt;=5,"OPORTUNO","MUITO BOM")))</f>
        <v/>
      </c>
      <c r="M467" s="3" t="n">
        <v>23</v>
      </c>
      <c r="N467" s="3" t="n">
        <v>97.62</v>
      </c>
      <c r="O467" s="12" t="n">
        <v>17.82477341389728</v>
      </c>
    </row>
    <row r="468">
      <c r="A468" s="5" t="n">
        <v>46160</v>
      </c>
      <c r="B468" s="6" t="inlineStr">
        <is>
          <t>Karina Gonçalves Martins</t>
        </is>
      </c>
      <c r="C468" s="1" t="inlineStr">
        <is>
          <t>JR</t>
        </is>
      </c>
      <c r="D468" s="3" t="n">
        <v>18</v>
      </c>
      <c r="E468" s="3" t="n">
        <v>17</v>
      </c>
      <c r="F468" s="3" t="n">
        <v>30.41</v>
      </c>
      <c r="G468" s="3" t="n">
        <v>2</v>
      </c>
      <c r="H468" s="3" t="n">
        <v>0</v>
      </c>
      <c r="I468" s="3" t="n">
        <v>19</v>
      </c>
      <c r="J468" s="3" t="n">
        <v>15</v>
      </c>
      <c r="K468" s="3" t="n">
        <v>4</v>
      </c>
      <c r="L468" s="3" t="inlineStr">
        <is>
          <t>BOM</t>
        </is>
      </c>
      <c r="M468" s="3" t="n">
        <v>21</v>
      </c>
      <c r="N468" s="3" t="n">
        <v>97.62</v>
      </c>
      <c r="O468" s="12" t="n">
        <v>17.82477341389728</v>
      </c>
    </row>
    <row r="469">
      <c r="A469" s="5" t="n">
        <v>46154</v>
      </c>
      <c r="B469" s="6" t="inlineStr">
        <is>
          <t>Amanda Moura Ferreira</t>
        </is>
      </c>
      <c r="C469" s="1" t="inlineStr">
        <is>
          <t>Técnico III</t>
        </is>
      </c>
      <c r="D469" s="3" t="n">
        <v>0</v>
      </c>
      <c r="E469" s="3" t="n">
        <v>0</v>
      </c>
      <c r="F469" s="3" t="n">
        <v>0</v>
      </c>
      <c r="G469" s="3" t="n">
        <v>0</v>
      </c>
      <c r="H469" s="3" t="n">
        <v>0</v>
      </c>
      <c r="I469" s="3" t="n">
        <v>0</v>
      </c>
      <c r="J469" s="3" t="n">
        <v>0</v>
      </c>
      <c r="K469" s="3" t="n">
        <v>0</v>
      </c>
      <c r="L469" s="3">
        <f>IF(K469&lt;-5,"CRÍTICO",IF(K469&lt;0,"ATENÇÃO",IF(K469&lt;=5,"OPORTUNO","MUITO BOM")))</f>
        <v/>
      </c>
      <c r="M469" s="3" t="n">
        <v>0</v>
      </c>
      <c r="N469" s="3" t="n">
        <v>100</v>
      </c>
      <c r="O469" s="12" t="n">
        <v>0</v>
      </c>
    </row>
    <row r="470">
      <c r="A470" s="5" t="n">
        <v>46154</v>
      </c>
      <c r="B470" s="6" t="inlineStr">
        <is>
          <t>Ana Paula Da Luz Silva Aleixo</t>
        </is>
      </c>
      <c r="C470" s="1" t="inlineStr">
        <is>
          <t>Técnico III</t>
        </is>
      </c>
      <c r="D470" s="3" t="n">
        <v>28</v>
      </c>
      <c r="E470" s="3" t="n">
        <v>24</v>
      </c>
      <c r="F470" s="3" t="n">
        <v>15.56</v>
      </c>
      <c r="G470" s="3" t="n">
        <v>4</v>
      </c>
      <c r="H470" s="3" t="n">
        <v>0</v>
      </c>
      <c r="I470" s="3">
        <f>E470+G470+H470</f>
        <v/>
      </c>
      <c r="J470" s="3">
        <f>ROUND(MIN(IF(C470="Técnico III",35,IF(C470="Técnico II",28,IF(C470="Técnico I",23,IF(C470="JR",20,IF(C470="Estágio",10,0))))),IF(C470="Técnico III",SUMIFS($D:$D,$A:$A,$A470,$B:$B,"&lt;&gt;Patrícia Karla de Sousa Araújo",$B:$B,"&lt;&gt;Lorena Dias de Araujo",$B:$B,"&lt;&gt;Lucas Luiz Romero")*(35/1083),IF(C470="Técnico II",SUMIFS($D:$D,$A:$A,$A470,$B:$B,"&lt;&gt;Patrícia Karla de Sousa Araújo",$B:$B,"&lt;&gt;Lorena Dias de Araujo",$B:$B,"&lt;&gt;Lucas Luiz Romero")*(28/1083),IF(C470="Técnico I",SUMIFS($D:$D,$A:$A,$A470,$B:$B,"&lt;&gt;Patrícia Karla de Sousa Araújo",$B:$B,"&lt;&gt;Lorena Dias de Araujo",$B:$B,"&lt;&gt;Lucas Luiz Romero")*(23/1083),IF(C470="JR",SUMIFS($D:$D,$A:$A,$A470,$B:$B,"&lt;&gt;Patrícia Karla de Sousa Araújo",$B:$B,"&lt;&gt;Lorena Dias de Araujo",$B:$B,"&lt;&gt;Lucas Luiz Romero")*(20/1083),IF(C470="Estágio",SUMIFS($D:$D,$A:$A,$A470,$B:$B,"&lt;&gt;Patrícia Karla de Sousa Araújo",$B:$B,"&lt;&gt;Lorena Dias de Araujo",$B:$B,"&lt;&gt;Lucas Luiz Romero")*(10/1083),0)))))),0)</f>
        <v/>
      </c>
      <c r="K470" s="3">
        <f>I470-J470</f>
        <v/>
      </c>
      <c r="L470" s="3">
        <f>IF(K470&lt;-5,"CRÍTICO",IF(K470&lt;0,"ATENÇÃO",IF(K470&lt;=5,"OPORTUNO","MUITO BOM")))</f>
        <v/>
      </c>
      <c r="M470" s="3" t="n">
        <v>25</v>
      </c>
      <c r="N470" s="3" t="n">
        <v>96.94</v>
      </c>
      <c r="O470" s="12" t="n">
        <v>19.61325966850829</v>
      </c>
    </row>
    <row r="471">
      <c r="A471" s="5" t="n">
        <v>46154</v>
      </c>
      <c r="B471" s="6" t="inlineStr">
        <is>
          <t>Cristiane Ramos da Silva Rocha</t>
        </is>
      </c>
      <c r="C471" s="1" t="inlineStr">
        <is>
          <t>Técnico III</t>
        </is>
      </c>
      <c r="D471" s="3" t="n">
        <v>41</v>
      </c>
      <c r="E471" s="3" t="n">
        <v>39</v>
      </c>
      <c r="F471" s="3" t="n">
        <v>10.52</v>
      </c>
      <c r="G471" s="3" t="n">
        <v>0</v>
      </c>
      <c r="H471" s="3" t="n">
        <v>0</v>
      </c>
      <c r="I471" s="3">
        <f>E471+G471+H471</f>
        <v/>
      </c>
      <c r="J471" s="3">
        <f>ROUND(MIN(IF(C471="Técnico III",35,IF(C471="Técnico II",28,IF(C471="Técnico I",23,IF(C471="JR",20,IF(C471="Estágio",10,0))))),IF(C471="Técnico III",SUMIFS($D:$D,$A:$A,$A471,$B:$B,"&lt;&gt;Patrícia Karla de Sousa Araújo",$B:$B,"&lt;&gt;Lorena Dias de Araujo",$B:$B,"&lt;&gt;Lucas Luiz Romero")*(35/1083),IF(C471="Técnico II",SUMIFS($D:$D,$A:$A,$A471,$B:$B,"&lt;&gt;Patrícia Karla de Sousa Araújo",$B:$B,"&lt;&gt;Lorena Dias de Araujo",$B:$B,"&lt;&gt;Lucas Luiz Romero")*(28/1083),IF(C471="Técnico I",SUMIFS($D:$D,$A:$A,$A471,$B:$B,"&lt;&gt;Patrícia Karla de Sousa Araújo",$B:$B,"&lt;&gt;Lorena Dias de Araujo",$B:$B,"&lt;&gt;Lucas Luiz Romero")*(23/1083),IF(C471="JR",SUMIFS($D:$D,$A:$A,$A471,$B:$B,"&lt;&gt;Patrícia Karla de Sousa Araújo",$B:$B,"&lt;&gt;Lorena Dias de Araujo",$B:$B,"&lt;&gt;Lucas Luiz Romero")*(20/1083),IF(C471="Estágio",SUMIFS($D:$D,$A:$A,$A471,$B:$B,"&lt;&gt;Patrícia Karla de Sousa Araújo",$B:$B,"&lt;&gt;Lorena Dias de Araujo",$B:$B,"&lt;&gt;Lucas Luiz Romero")*(10/1083),0)))))),0)</f>
        <v/>
      </c>
      <c r="K471" s="3">
        <f>I471-J471</f>
        <v/>
      </c>
      <c r="L471" s="3">
        <f>IF(K471&lt;-5,"CRÍTICO",IF(K471&lt;0,"ATENÇÃO",IF(K471&lt;=5,"OPORTUNO","MUITO BOM")))</f>
        <v/>
      </c>
      <c r="M471" s="3" t="n">
        <v>33</v>
      </c>
      <c r="N471" s="3" t="n">
        <v>92.81</v>
      </c>
      <c r="O471" s="12" t="n">
        <v>25.47770700636943</v>
      </c>
    </row>
    <row r="472">
      <c r="A472" s="5" t="n">
        <v>46154</v>
      </c>
      <c r="B472" s="6" t="inlineStr">
        <is>
          <t>Davylla Rodrigues Freitas Silva</t>
        </is>
      </c>
      <c r="C472" s="1" t="inlineStr">
        <is>
          <t>Técnico III</t>
        </is>
      </c>
      <c r="D472" s="3" t="n">
        <v>23</v>
      </c>
      <c r="E472" s="3" t="n">
        <v>23</v>
      </c>
      <c r="F472" s="3" t="n">
        <v>25.03</v>
      </c>
      <c r="G472" s="3" t="n">
        <v>0</v>
      </c>
      <c r="H472" s="3" t="n">
        <v>0</v>
      </c>
      <c r="I472" s="3">
        <f>E472+G472+H472</f>
        <v/>
      </c>
      <c r="J472" s="3">
        <f>ROUND(MIN(IF(C472="Técnico III",35,IF(C472="Técnico II",28,IF(C472="Técnico I",23,IF(C472="JR",20,IF(C472="Estágio",10,0))))),IF(C472="Técnico III",SUMIFS($D:$D,$A:$A,$A472,$B:$B,"&lt;&gt;Patrícia Karla de Sousa Araújo",$B:$B,"&lt;&gt;Lorena Dias de Araujo",$B:$B,"&lt;&gt;Lucas Luiz Romero")*(35/1083),IF(C472="Técnico II",SUMIFS($D:$D,$A:$A,$A472,$B:$B,"&lt;&gt;Patrícia Karla de Sousa Araújo",$B:$B,"&lt;&gt;Lorena Dias de Araujo",$B:$B,"&lt;&gt;Lucas Luiz Romero")*(28/1083),IF(C472="Técnico I",SUMIFS($D:$D,$A:$A,$A472,$B:$B,"&lt;&gt;Patrícia Karla de Sousa Araújo",$B:$B,"&lt;&gt;Lorena Dias de Araujo",$B:$B,"&lt;&gt;Lucas Luiz Romero")*(23/1083),IF(C472="JR",SUMIFS($D:$D,$A:$A,$A472,$B:$B,"&lt;&gt;Patrícia Karla de Sousa Araújo",$B:$B,"&lt;&gt;Lorena Dias de Araujo",$B:$B,"&lt;&gt;Lucas Luiz Romero")*(20/1083),IF(C472="Estágio",SUMIFS($D:$D,$A:$A,$A472,$B:$B,"&lt;&gt;Patrícia Karla de Sousa Araújo",$B:$B,"&lt;&gt;Lorena Dias de Araujo",$B:$B,"&lt;&gt;Lucas Luiz Romero")*(10/1083),0)))))),0)</f>
        <v/>
      </c>
      <c r="K472" s="3">
        <f>I472-J472</f>
        <v/>
      </c>
      <c r="L472" s="3">
        <f>IF(K472&lt;-5,"CRÍTICO",IF(K472&lt;0,"ATENÇÃO",IF(K472&lt;=5,"OPORTUNO","MUITO BOM")))</f>
        <v/>
      </c>
      <c r="M472" s="3" t="n">
        <v>27</v>
      </c>
      <c r="N472" s="3" t="n">
        <v>99.19</v>
      </c>
      <c r="O472" s="12" t="n">
        <v>28.40466926070039</v>
      </c>
    </row>
    <row r="473">
      <c r="A473" s="5" t="n">
        <v>46154</v>
      </c>
      <c r="B473" s="6" t="inlineStr">
        <is>
          <t>Francielson de Oliveira</t>
        </is>
      </c>
      <c r="C473" s="1" t="inlineStr">
        <is>
          <t>Técnico III</t>
        </is>
      </c>
      <c r="D473" s="3" t="n">
        <v>0</v>
      </c>
      <c r="E473" s="3" t="n">
        <v>0</v>
      </c>
      <c r="F473" s="3" t="n">
        <v>0</v>
      </c>
      <c r="G473" s="3" t="n">
        <v>0</v>
      </c>
      <c r="H473" s="3" t="n">
        <v>0</v>
      </c>
      <c r="I473" s="3" t="n">
        <v>0</v>
      </c>
      <c r="J473" s="3" t="n">
        <v>0</v>
      </c>
      <c r="K473" s="3" t="n">
        <v>0</v>
      </c>
      <c r="L473" s="3">
        <f>IF(K473&lt;-5,"CRÍTICO",IF(K473&lt;0,"ATENÇÃO",IF(K473&lt;=5,"OPORTUNO","MUITO BOM")))</f>
        <v/>
      </c>
      <c r="M473" s="3" t="n">
        <v>0</v>
      </c>
      <c r="N473" s="3" t="n">
        <v>100</v>
      </c>
      <c r="O473" s="12" t="n">
        <v>13.51351351351351</v>
      </c>
    </row>
    <row r="474">
      <c r="A474" s="5" t="n">
        <v>46154</v>
      </c>
      <c r="B474" s="6" t="inlineStr">
        <is>
          <t>Janaina Lima dos Reis Urany</t>
        </is>
      </c>
      <c r="C474" s="1" t="inlineStr">
        <is>
          <t>Técnico III</t>
        </is>
      </c>
      <c r="D474" s="3" t="n">
        <v>47</v>
      </c>
      <c r="E474" s="3" t="n">
        <v>43</v>
      </c>
      <c r="F474" s="3" t="n">
        <v>10.34</v>
      </c>
      <c r="G474" s="3" t="n">
        <v>8</v>
      </c>
      <c r="H474" s="3" t="n">
        <v>0</v>
      </c>
      <c r="I474" s="3">
        <f>E474+G474+H474</f>
        <v/>
      </c>
      <c r="J474" s="3">
        <f>ROUND(MIN(IF(C474="Técnico III",35,IF(C474="Técnico II",28,IF(C474="Técnico I",23,IF(C474="JR",20,IF(C474="Estágio",10,0))))),IF(C474="Técnico III",SUMIFS($D:$D,$A:$A,$A474,$B:$B,"&lt;&gt;Patrícia Karla de Sousa Araújo",$B:$B,"&lt;&gt;Lorena Dias de Araujo",$B:$B,"&lt;&gt;Lucas Luiz Romero")*(35/1083),IF(C474="Técnico II",SUMIFS($D:$D,$A:$A,$A474,$B:$B,"&lt;&gt;Patrícia Karla de Sousa Araújo",$B:$B,"&lt;&gt;Lorena Dias de Araujo",$B:$B,"&lt;&gt;Lucas Luiz Romero")*(28/1083),IF(C474="Técnico I",SUMIFS($D:$D,$A:$A,$A474,$B:$B,"&lt;&gt;Patrícia Karla de Sousa Araújo",$B:$B,"&lt;&gt;Lorena Dias de Araujo",$B:$B,"&lt;&gt;Lucas Luiz Romero")*(23/1083),IF(C474="JR",SUMIFS($D:$D,$A:$A,$A474,$B:$B,"&lt;&gt;Patrícia Karla de Sousa Araújo",$B:$B,"&lt;&gt;Lorena Dias de Araujo",$B:$B,"&lt;&gt;Lucas Luiz Romero")*(20/1083),IF(C474="Estágio",SUMIFS($D:$D,$A:$A,$A474,$B:$B,"&lt;&gt;Patrícia Karla de Sousa Araújo",$B:$B,"&lt;&gt;Lorena Dias de Araujo",$B:$B,"&lt;&gt;Lucas Luiz Romero")*(10/1083),0)))))),0)</f>
        <v/>
      </c>
      <c r="K474" s="3">
        <f>I474-J474</f>
        <v/>
      </c>
      <c r="L474" s="3">
        <f>IF(K474&lt;-5,"CRÍTICO",IF(K474&lt;0,"ATENÇÃO",IF(K474&lt;=5,"OPORTUNO","MUITO BOM")))</f>
        <v/>
      </c>
      <c r="M474" s="3" t="n">
        <v>45</v>
      </c>
      <c r="N474" s="3" t="n">
        <v>99</v>
      </c>
      <c r="O474" s="12" t="n">
        <v>22.27414330218069</v>
      </c>
    </row>
    <row r="475">
      <c r="A475" s="5" t="n">
        <v>46154</v>
      </c>
      <c r="B475" s="6" t="inlineStr">
        <is>
          <t>Jaqueline Evangelista da Silva Martins</t>
        </is>
      </c>
      <c r="C475" s="1" t="inlineStr">
        <is>
          <t>Técnico III</t>
        </is>
      </c>
      <c r="D475" s="3" t="n">
        <v>42</v>
      </c>
      <c r="E475" s="3" t="n">
        <v>37</v>
      </c>
      <c r="F475" s="3" t="n">
        <v>10.49</v>
      </c>
      <c r="G475" s="3" t="n">
        <v>9</v>
      </c>
      <c r="H475" s="3" t="n">
        <v>0</v>
      </c>
      <c r="I475" s="3">
        <f>E475+G475+H475</f>
        <v/>
      </c>
      <c r="J475" s="3">
        <f>ROUND(MIN(IF(C475="Técnico III",35,IF(C475="Técnico II",28,IF(C475="Técnico I",23,IF(C475="JR",20,IF(C475="Estágio",10,0))))),IF(C475="Técnico III",SUMIFS($D:$D,$A:$A,$A475,$B:$B,"&lt;&gt;Patrícia Karla de Sousa Araújo",$B:$B,"&lt;&gt;Lorena Dias de Araujo",$B:$B,"&lt;&gt;Lucas Luiz Romero")*(35/1083),IF(C475="Técnico II",SUMIFS($D:$D,$A:$A,$A475,$B:$B,"&lt;&gt;Patrícia Karla de Sousa Araújo",$B:$B,"&lt;&gt;Lorena Dias de Araujo",$B:$B,"&lt;&gt;Lucas Luiz Romero")*(28/1083),IF(C475="Técnico I",SUMIFS($D:$D,$A:$A,$A475,$B:$B,"&lt;&gt;Patrícia Karla de Sousa Araújo",$B:$B,"&lt;&gt;Lorena Dias de Araujo",$B:$B,"&lt;&gt;Lucas Luiz Romero")*(23/1083),IF(C475="JR",SUMIFS($D:$D,$A:$A,$A475,$B:$B,"&lt;&gt;Patrícia Karla de Sousa Araújo",$B:$B,"&lt;&gt;Lorena Dias de Araujo",$B:$B,"&lt;&gt;Lucas Luiz Romero")*(20/1083),IF(C475="Estágio",SUMIFS($D:$D,$A:$A,$A475,$B:$B,"&lt;&gt;Patrícia Karla de Sousa Araújo",$B:$B,"&lt;&gt;Lorena Dias de Araujo",$B:$B,"&lt;&gt;Lucas Luiz Romero")*(10/1083),0)))))),0)</f>
        <v/>
      </c>
      <c r="K475" s="3">
        <f>I475-J475</f>
        <v/>
      </c>
      <c r="L475" s="3">
        <f>IF(K475&lt;-5,"CRÍTICO",IF(K475&lt;0,"ATENÇÃO",IF(K475&lt;=5,"OPORTUNO","MUITO BOM")))</f>
        <v/>
      </c>
      <c r="M475" s="3" t="n">
        <v>37</v>
      </c>
      <c r="N475" s="3" t="n">
        <v>97.04000000000001</v>
      </c>
      <c r="O475" s="12" t="n">
        <v>29.82885085574572</v>
      </c>
    </row>
    <row r="476">
      <c r="A476" s="5" t="n">
        <v>46154</v>
      </c>
      <c r="B476" s="6" t="inlineStr">
        <is>
          <t>Jéssica Fé Moura</t>
        </is>
      </c>
      <c r="C476" s="1" t="inlineStr">
        <is>
          <t>Técnico III</t>
        </is>
      </c>
      <c r="D476" s="3" t="n">
        <v>0</v>
      </c>
      <c r="E476" s="3" t="n">
        <v>0</v>
      </c>
      <c r="F476" s="3" t="n">
        <v>0</v>
      </c>
      <c r="G476" s="3" t="n">
        <v>0</v>
      </c>
      <c r="H476" s="3" t="n">
        <v>0</v>
      </c>
      <c r="I476" s="3" t="n">
        <v>0</v>
      </c>
      <c r="J476" s="3" t="n">
        <v>0</v>
      </c>
      <c r="K476" s="3" t="n">
        <v>0</v>
      </c>
      <c r="L476" s="3">
        <f>IF(K476&lt;-5,"CRÍTICO",IF(K476&lt;0,"ATENÇÃO",IF(K476&lt;=5,"OPORTUNO","MUITO BOM")))</f>
        <v/>
      </c>
      <c r="M476" s="3" t="n">
        <v>0</v>
      </c>
      <c r="N476" s="3" t="n">
        <v>0</v>
      </c>
      <c r="O476" s="12" t="n">
        <v>0</v>
      </c>
    </row>
    <row r="477">
      <c r="A477" s="10" t="n">
        <v>46043</v>
      </c>
      <c r="B477" t="inlineStr">
        <is>
          <t>Gabriel Gomes de Andrade</t>
        </is>
      </c>
      <c r="C477" s="1" t="inlineStr">
        <is>
          <t>Técnico I</t>
        </is>
      </c>
      <c r="D477" s="3" t="n">
        <v>17</v>
      </c>
      <c r="E477" s="3" t="n">
        <v>17</v>
      </c>
      <c r="F477" s="3" t="n">
        <v>26.55</v>
      </c>
      <c r="G477" s="3" t="n">
        <v>0</v>
      </c>
      <c r="H477" s="3" t="n">
        <v>0</v>
      </c>
      <c r="I477" s="3">
        <f>E477+G477+H477</f>
        <v/>
      </c>
      <c r="J477" s="3">
        <f>ROUND(MIN(IF(C477="Técnico III",35,IF(C477="Técnico II",28,IF(C477="Técnico I",23,IF(C477="JR",20,IF(C477="Estágio",10,0))))),IF(C477="Técnico III",SUMIFS($D:$D,$A:$A,$A477,$B:$B,"&lt;&gt;Patrícia Karla de Sousa Araújo",$B:$B,"&lt;&gt;Lorena Dias de Araujo",$B:$B,"&lt;&gt;Lucas Luiz Romero")*(35/1083),IF(C477="Técnico II",SUMIFS($D:$D,$A:$A,$A477,$B:$B,"&lt;&gt;Patrícia Karla de Sousa Araújo",$B:$B,"&lt;&gt;Lorena Dias de Araujo",$B:$B,"&lt;&gt;Lucas Luiz Romero")*(28/1083),IF(C477="Técnico I",SUMIFS($D:$D,$A:$A,$A477,$B:$B,"&lt;&gt;Patrícia Karla de Sousa Araújo",$B:$B,"&lt;&gt;Lorena Dias de Araujo",$B:$B,"&lt;&gt;Lucas Luiz Romero")*(23/1083),IF(C477="JR",SUMIFS($D:$D,$A:$A,$A477,$B:$B,"&lt;&gt;Patrícia Karla de Sousa Araújo",$B:$B,"&lt;&gt;Lorena Dias de Araujo",$B:$B,"&lt;&gt;Lucas Luiz Romero")*(20/1083),IF(C477="Estágio",SUMIFS($D:$D,$A:$A,$A477,$B:$B,"&lt;&gt;Patrícia Karla de Sousa Araújo",$B:$B,"&lt;&gt;Lorena Dias de Araujo",$B:$B,"&lt;&gt;Lucas Luiz Romero")*(10/1083),0)))))),0)</f>
        <v/>
      </c>
      <c r="K477" s="3">
        <f>I477-J477</f>
        <v/>
      </c>
      <c r="L477" s="3">
        <f>IF(K477&lt;-5,"CRÍTICO",IF(K477&lt;0,"ATENÇÃO",IF(K477&lt;=5,"BOM","EXCELENTE")))</f>
        <v/>
      </c>
      <c r="M477" s="3" t="n">
        <v>15</v>
      </c>
      <c r="N477" s="3" t="n">
        <v>98.91</v>
      </c>
      <c r="O477" s="12" t="n">
        <v>31.36729222520107</v>
      </c>
    </row>
    <row r="478">
      <c r="A478" s="5" t="n">
        <v>46154</v>
      </c>
      <c r="B478" s="6" t="inlineStr">
        <is>
          <t>Kerollen Cristielly de Jesus Siqueira</t>
        </is>
      </c>
      <c r="C478" s="1" t="inlineStr">
        <is>
          <t>Técnico III</t>
        </is>
      </c>
      <c r="D478" s="3" t="n">
        <v>19</v>
      </c>
      <c r="E478" s="3" t="n">
        <v>17</v>
      </c>
      <c r="F478" s="3" t="n">
        <v>25.12</v>
      </c>
      <c r="G478" s="3" t="n">
        <v>1</v>
      </c>
      <c r="H478" s="3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IF(K478&lt;-5,"CRÍTICO",IF(K478&lt;0,"ATENÇÃO",IF(K478&lt;=5,"OPORTUNO","MUITO BOM")))</f>
        <v/>
      </c>
      <c r="M478" s="3" t="n">
        <v>18</v>
      </c>
      <c r="N478" s="3" t="n">
        <v>96.84</v>
      </c>
      <c r="O478" s="12" t="n">
        <v>16.33802816901408</v>
      </c>
    </row>
    <row r="479">
      <c r="A479" s="5" t="n">
        <v>46154</v>
      </c>
      <c r="B479" s="6" t="inlineStr">
        <is>
          <t>Leandro Oliveira de Sousa</t>
        </is>
      </c>
      <c r="C479" s="1" t="inlineStr">
        <is>
          <t>Técnico III</t>
        </is>
      </c>
      <c r="D479" s="3" t="n">
        <v>31</v>
      </c>
      <c r="E479" s="3" t="n">
        <v>25</v>
      </c>
      <c r="F479" s="3" t="n">
        <v>16.55</v>
      </c>
      <c r="G479" s="3" t="n">
        <v>0</v>
      </c>
      <c r="H479" s="3" t="n">
        <v>0</v>
      </c>
      <c r="I479" s="3">
        <f>E479+G479+H479</f>
        <v/>
      </c>
      <c r="J479" s="3">
        <f>ROUND(MIN(IF(C479="Técnico III",35,IF(C479="Técnico II",28,IF(C479="Técnico I",23,IF(C479="JR",20,IF(C479="Estágio",10,0))))),IF(C479="Técnico III",SUMIFS($D:$D,$A:$A,$A479,$B:$B,"&lt;&gt;Patrícia Karla de Sousa Araújo",$B:$B,"&lt;&gt;Lorena Dias de Araujo",$B:$B,"&lt;&gt;Lucas Luiz Romero")*(35/1083),IF(C479="Técnico II",SUMIFS($D:$D,$A:$A,$A479,$B:$B,"&lt;&gt;Patrícia Karla de Sousa Araújo",$B:$B,"&lt;&gt;Lorena Dias de Araujo",$B:$B,"&lt;&gt;Lucas Luiz Romero")*(28/1083),IF(C479="Técnico I",SUMIFS($D:$D,$A:$A,$A479,$B:$B,"&lt;&gt;Patrícia Karla de Sousa Araújo",$B:$B,"&lt;&gt;Lorena Dias de Araujo",$B:$B,"&lt;&gt;Lucas Luiz Romero")*(23/1083),IF(C479="JR",SUMIFS($D:$D,$A:$A,$A479,$B:$B,"&lt;&gt;Patrícia Karla de Sousa Araújo",$B:$B,"&lt;&gt;Lorena Dias de Araujo",$B:$B,"&lt;&gt;Lucas Luiz Romero")*(20/1083),IF(C479="Estágio",SUMIFS($D:$D,$A:$A,$A479,$B:$B,"&lt;&gt;Patrícia Karla de Sousa Araújo",$B:$B,"&lt;&gt;Lorena Dias de Araujo",$B:$B,"&lt;&gt;Lucas Luiz Romero")*(10/1083),0)))))),0)</f>
        <v/>
      </c>
      <c r="K479" s="3">
        <f>I479-J479</f>
        <v/>
      </c>
      <c r="L479" s="3">
        <f>IF(K479&lt;-5,"CRÍTICO",IF(K479&lt;0,"ATENÇÃO",IF(K479&lt;=5,"OPORTUNO","MUITO BOM")))</f>
        <v/>
      </c>
      <c r="M479" s="3" t="n">
        <v>28</v>
      </c>
      <c r="N479" s="3" t="n">
        <v>100</v>
      </c>
      <c r="O479" s="12" t="n">
        <v>18.24480369515012</v>
      </c>
    </row>
    <row r="480">
      <c r="A480" s="5" t="n">
        <v>46154</v>
      </c>
      <c r="B480" s="6" t="inlineStr">
        <is>
          <t>Lucas Luiz Romero</t>
        </is>
      </c>
      <c r="C480" s="1" t="inlineStr">
        <is>
          <t>Técnico III</t>
        </is>
      </c>
      <c r="D480" s="3" t="n">
        <v>0</v>
      </c>
      <c r="E480" s="3" t="n">
        <v>0</v>
      </c>
      <c r="F480" s="3" t="n">
        <v>0</v>
      </c>
      <c r="G480" s="3" t="n">
        <v>0</v>
      </c>
      <c r="H480" s="3" t="n">
        <v>0</v>
      </c>
      <c r="I480" s="3" t="n">
        <v>0</v>
      </c>
      <c r="J480" s="3" t="n">
        <v>0</v>
      </c>
      <c r="K480" s="3" t="n">
        <v>0</v>
      </c>
      <c r="L480" s="3">
        <f>IF(K480&lt;-5,"CRÍTICO",IF(K480&lt;0,"ATENÇÃO",IF(K480&lt;=5,"OPORTUNO","MUITO BOM")))</f>
        <v/>
      </c>
      <c r="M480" s="3" t="n">
        <v>0</v>
      </c>
      <c r="N480" s="3" t="n">
        <v>100</v>
      </c>
      <c r="O480" s="12" t="n">
        <v>15.78947368421053</v>
      </c>
    </row>
    <row r="481">
      <c r="A481" s="5" t="n">
        <v>46154</v>
      </c>
      <c r="B481" s="6" t="inlineStr">
        <is>
          <t>Maysa Victoria Dias Moura</t>
        </is>
      </c>
      <c r="C481" s="1" t="inlineStr">
        <is>
          <t>Técnico III</t>
        </is>
      </c>
      <c r="D481" s="3" t="n">
        <v>36</v>
      </c>
      <c r="E481" s="3" t="n">
        <v>31</v>
      </c>
      <c r="F481" s="3" t="n">
        <v>13.49</v>
      </c>
      <c r="G481" s="3" t="n">
        <v>2</v>
      </c>
      <c r="H481" s="3" t="n">
        <v>0</v>
      </c>
      <c r="I481" s="3">
        <f>E481+G481+H481</f>
        <v/>
      </c>
      <c r="J481" s="3">
        <f>ROUND(MIN(IF(C481="Técnico III",35,IF(C481="Técnico II",28,IF(C481="Técnico I",23,IF(C481="JR",20,IF(C481="Estágio",10,0))))),IF(C481="Técnico III",SUMIFS($D:$D,$A:$A,$A481,$B:$B,"&lt;&gt;Patrícia Karla de Sousa Araújo",$B:$B,"&lt;&gt;Lorena Dias de Araujo",$B:$B,"&lt;&gt;Lucas Luiz Romero")*(35/1083),IF(C481="Técnico II",SUMIFS($D:$D,$A:$A,$A481,$B:$B,"&lt;&gt;Patrícia Karla de Sousa Araújo",$B:$B,"&lt;&gt;Lorena Dias de Araujo",$B:$B,"&lt;&gt;Lucas Luiz Romero")*(28/1083),IF(C481="Técnico I",SUMIFS($D:$D,$A:$A,$A481,$B:$B,"&lt;&gt;Patrícia Karla de Sousa Araújo",$B:$B,"&lt;&gt;Lorena Dias de Araujo",$B:$B,"&lt;&gt;Lucas Luiz Romero")*(23/1083),IF(C481="JR",SUMIFS($D:$D,$A:$A,$A481,$B:$B,"&lt;&gt;Patrícia Karla de Sousa Araújo",$B:$B,"&lt;&gt;Lorena Dias de Araujo",$B:$B,"&lt;&gt;Lucas Luiz Romero")*(20/1083),IF(C481="Estágio",SUMIFS($D:$D,$A:$A,$A481,$B:$B,"&lt;&gt;Patrícia Karla de Sousa Araújo",$B:$B,"&lt;&gt;Lorena Dias de Araujo",$B:$B,"&lt;&gt;Lucas Luiz Romero")*(10/1083),0)))))),0)</f>
        <v/>
      </c>
      <c r="K481" s="3">
        <f>I481-J481</f>
        <v/>
      </c>
      <c r="L481" s="3">
        <f>IF(K481&lt;-5,"CRÍTICO",IF(K481&lt;0,"ATENÇÃO",IF(K481&lt;=5,"OPORTUNO","MUITO BOM")))</f>
        <v/>
      </c>
      <c r="M481" s="3" t="n">
        <v>28</v>
      </c>
      <c r="N481" s="3" t="n">
        <v>96.38</v>
      </c>
      <c r="O481" s="12" t="n">
        <v>23.1981981981982</v>
      </c>
    </row>
    <row r="482">
      <c r="A482" s="5" t="n">
        <v>46154</v>
      </c>
      <c r="B482" s="6" t="inlineStr">
        <is>
          <t>Rafael Gomes de Morais</t>
        </is>
      </c>
      <c r="C482" s="1" t="inlineStr">
        <is>
          <t>Técnico III</t>
        </is>
      </c>
      <c r="D482" s="3" t="n">
        <v>33</v>
      </c>
      <c r="E482" s="3" t="n">
        <v>28</v>
      </c>
      <c r="F482" s="3" t="n">
        <v>13.43</v>
      </c>
      <c r="G482" s="3" t="n">
        <v>1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IF(K482&lt;-5,"CRÍTICO",IF(K482&lt;0,"ATENÇÃO",IF(K482&lt;=5,"OPORTUNO","MUITO BOM")))</f>
        <v/>
      </c>
      <c r="M482" s="3" t="n">
        <v>22</v>
      </c>
      <c r="N482" s="3" t="n">
        <v>99.39</v>
      </c>
      <c r="O482" s="12" t="n">
        <v>25.20325203252033</v>
      </c>
    </row>
    <row r="483">
      <c r="A483" s="5" t="n">
        <v>46154</v>
      </c>
      <c r="B483" s="6" t="inlineStr">
        <is>
          <t>Sarah Steffanie de Lima Borges</t>
        </is>
      </c>
      <c r="C483" s="1" t="inlineStr">
        <is>
          <t>Técnico III</t>
        </is>
      </c>
      <c r="D483" s="3" t="n">
        <v>29</v>
      </c>
      <c r="E483" s="3" t="n">
        <v>28</v>
      </c>
      <c r="F483" s="3" t="n">
        <v>14.1</v>
      </c>
      <c r="G483" s="3" t="n">
        <v>4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IF(K483&lt;-5,"CRÍTICO",IF(K483&lt;0,"ATENÇÃO",IF(K483&lt;=5,"OPORTUNO","MUITO BOM")))</f>
        <v/>
      </c>
      <c r="M483" s="3" t="n">
        <v>25</v>
      </c>
      <c r="N483" s="3" t="n">
        <v>97</v>
      </c>
      <c r="O483" s="12" t="n">
        <v>20.32520325203252</v>
      </c>
    </row>
    <row r="484">
      <c r="A484" s="5" t="n">
        <v>46154</v>
      </c>
      <c r="B484" s="6" t="inlineStr">
        <is>
          <t>Alisson de Freitas Silva</t>
        </is>
      </c>
      <c r="C484" s="1" t="inlineStr">
        <is>
          <t>Técnico II</t>
        </is>
      </c>
      <c r="D484" s="3" t="n">
        <v>25</v>
      </c>
      <c r="E484" s="3" t="n">
        <v>18</v>
      </c>
      <c r="F484" s="3" t="n">
        <v>9</v>
      </c>
      <c r="G484" s="3" t="n">
        <v>8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IF(K484&lt;-5,"CRÍTICO",IF(K484&lt;0,"ATENÇÃO",IF(K484&lt;=5,"OPORTUNO","MUITO BOM")))</f>
        <v/>
      </c>
      <c r="M484" s="3" t="n">
        <v>17</v>
      </c>
      <c r="N484" s="3" t="n">
        <v>99.18000000000001</v>
      </c>
      <c r="O484" s="12" t="n">
        <v>24.5014245014245</v>
      </c>
    </row>
    <row r="485">
      <c r="A485" s="5" t="n">
        <v>46154</v>
      </c>
      <c r="B485" s="6" t="inlineStr">
        <is>
          <t>Brenda de Menezes Silva</t>
        </is>
      </c>
      <c r="C485" s="1" t="inlineStr">
        <is>
          <t>Técnico II</t>
        </is>
      </c>
      <c r="D485" s="3" t="n">
        <v>38</v>
      </c>
      <c r="E485" s="3" t="n">
        <v>35</v>
      </c>
      <c r="F485" s="3" t="n">
        <v>12.22</v>
      </c>
      <c r="G485" s="3" t="n">
        <v>3</v>
      </c>
      <c r="H485" s="3" t="n">
        <v>0</v>
      </c>
      <c r="I485" s="3">
        <f>E485+G485+H485</f>
        <v/>
      </c>
      <c r="J485" s="3">
        <f>ROUND(MIN(IF(C485="Técnico III",35,IF(C485="Técnico II",28,IF(C485="Técnico I",23,IF(C485="JR",20,IF(C485="Estágio",10,0))))),IF(C485="Técnico III",SUMIFS($D:$D,$A:$A,$A485,$B:$B,"&lt;&gt;Patrícia Karla de Sousa Araújo",$B:$B,"&lt;&gt;Lorena Dias de Araujo",$B:$B,"&lt;&gt;Lucas Luiz Romero")*(35/1083),IF(C485="Técnico II",SUMIFS($D:$D,$A:$A,$A485,$B:$B,"&lt;&gt;Patrícia Karla de Sousa Araújo",$B:$B,"&lt;&gt;Lorena Dias de Araujo",$B:$B,"&lt;&gt;Lucas Luiz Romero")*(28/1083),IF(C485="Técnico I",SUMIFS($D:$D,$A:$A,$A485,$B:$B,"&lt;&gt;Patrícia Karla de Sousa Araújo",$B:$B,"&lt;&gt;Lorena Dias de Araujo",$B:$B,"&lt;&gt;Lucas Luiz Romero")*(23/1083),IF(C485="JR",SUMIFS($D:$D,$A:$A,$A485,$B:$B,"&lt;&gt;Patrícia Karla de Sousa Araújo",$B:$B,"&lt;&gt;Lorena Dias de Araujo",$B:$B,"&lt;&gt;Lucas Luiz Romero")*(20/1083),IF(C485="Estágio",SUMIFS($D:$D,$A:$A,$A485,$B:$B,"&lt;&gt;Patrícia Karla de Sousa Araújo",$B:$B,"&lt;&gt;Lorena Dias de Araujo",$B:$B,"&lt;&gt;Lucas Luiz Romero")*(10/1083),0)))))),0)</f>
        <v/>
      </c>
      <c r="K485" s="3">
        <f>I485-J485</f>
        <v/>
      </c>
      <c r="L485" s="3">
        <f>IF(K485&lt;-5,"CRÍTICO",IF(K485&lt;0,"ATENÇÃO",IF(K485&lt;=5,"OPORTUNO","MUITO BOM")))</f>
        <v/>
      </c>
      <c r="M485" s="3" t="n">
        <v>34</v>
      </c>
      <c r="N485" s="3" t="n">
        <v>99.34999999999999</v>
      </c>
      <c r="O485" s="12" t="n">
        <v>19.85294117647059</v>
      </c>
    </row>
    <row r="486">
      <c r="A486" s="10" t="n">
        <v>46092</v>
      </c>
      <c r="B486" t="inlineStr">
        <is>
          <t>Matheus Farias De Souza</t>
        </is>
      </c>
      <c r="C486" s="1" t="inlineStr">
        <is>
          <t>Técnico III</t>
        </is>
      </c>
      <c r="D486" s="3" t="n">
        <v>39</v>
      </c>
      <c r="E486" s="3" t="n">
        <v>36</v>
      </c>
      <c r="F486" s="3" t="n">
        <v>17.07</v>
      </c>
      <c r="G486" s="3" t="n">
        <v>0</v>
      </c>
      <c r="H486" s="3" t="n">
        <v>0</v>
      </c>
      <c r="I486" s="3">
        <f>E486+G486+H486</f>
        <v/>
      </c>
      <c r="J486" s="3">
        <f>ROUND(MIN(IF(C486="Técnico III",35,IF(C486="Técnico II",28,IF(C486="Técnico I",23,IF(C486="JR",20,IF(C486="Estágio",10,0))))),IF(C486="Técnico III",SUMIFS($D:$D,$A:$A,$A486,$B:$B,"&lt;&gt;Patrícia Karla de Sousa Araújo",$B:$B,"&lt;&gt;Lorena Dias de Araujo",$B:$B,"&lt;&gt;Lucas Luiz Romero")*(35/1083),IF(C486="Técnico II",SUMIFS($D:$D,$A:$A,$A486,$B:$B,"&lt;&gt;Patrícia Karla de Sousa Araújo",$B:$B,"&lt;&gt;Lorena Dias de Araujo",$B:$B,"&lt;&gt;Lucas Luiz Romero")*(28/1083),IF(C486="Técnico I",SUMIFS($D:$D,$A:$A,$A486,$B:$B,"&lt;&gt;Patrícia Karla de Sousa Araújo",$B:$B,"&lt;&gt;Lorena Dias de Araujo",$B:$B,"&lt;&gt;Lucas Luiz Romero")*(23/1083),IF(C486="JR",SUMIFS($D:$D,$A:$A,$A486,$B:$B,"&lt;&gt;Patrícia Karla de Sousa Araújo",$B:$B,"&lt;&gt;Lorena Dias de Araujo",$B:$B,"&lt;&gt;Lucas Luiz Romero")*(20/1083),IF(C486="Estágio",SUMIFS($D:$D,$A:$A,$A486,$B:$B,"&lt;&gt;Patrícia Karla de Sousa Araújo",$B:$B,"&lt;&gt;Lorena Dias de Araujo",$B:$B,"&lt;&gt;Lucas Luiz Romero")*(10/1083),0)))))),0)</f>
        <v/>
      </c>
      <c r="K486" s="3">
        <f>I486-J486</f>
        <v/>
      </c>
      <c r="L486" s="3">
        <f>IF(K486&lt;-5,"CRÍTICO",IF(K486&lt;0,"ATENÇÃO",IF(K486&lt;=5,"OPORTUNO","MUITO BOM")))</f>
        <v/>
      </c>
      <c r="M486" s="3" t="n">
        <v>33</v>
      </c>
      <c r="N486" s="3" t="n">
        <v>98.86</v>
      </c>
      <c r="O486" s="12" t="n">
        <v>28.95927601809955</v>
      </c>
    </row>
    <row r="487">
      <c r="A487" s="5" t="n">
        <v>46154</v>
      </c>
      <c r="B487" s="6" t="inlineStr">
        <is>
          <t>Carlos Mateus Cassimiro Nunes</t>
        </is>
      </c>
      <c r="C487" s="1" t="inlineStr">
        <is>
          <t>Técnico II</t>
        </is>
      </c>
      <c r="D487" s="3" t="n">
        <v>26</v>
      </c>
      <c r="E487" s="3" t="n">
        <v>26</v>
      </c>
      <c r="F487" s="3" t="n">
        <v>27</v>
      </c>
      <c r="G487" s="3" t="n">
        <v>0</v>
      </c>
      <c r="H487" s="3" t="n">
        <v>0</v>
      </c>
      <c r="I487" s="3">
        <f>E487+G487+H487</f>
        <v/>
      </c>
      <c r="J487" s="3">
        <f>ROUND(MIN(IF(C487="Técnico III",35,IF(C487="Técnico II",28,IF(C487="Técnico I",23,IF(C487="JR",20,IF(C487="Estágio",10,0))))),IF(C487="Técnico III",SUMIFS($D:$D,$A:$A,$A487,$B:$B,"&lt;&gt;Patrícia Karla de Sousa Araújo",$B:$B,"&lt;&gt;Lorena Dias de Araujo",$B:$B,"&lt;&gt;Lucas Luiz Romero")*(35/1083),IF(C487="Técnico II",SUMIFS($D:$D,$A:$A,$A487,$B:$B,"&lt;&gt;Patrícia Karla de Sousa Araújo",$B:$B,"&lt;&gt;Lorena Dias de Araujo",$B:$B,"&lt;&gt;Lucas Luiz Romero")*(28/1083),IF(C487="Técnico I",SUMIFS($D:$D,$A:$A,$A487,$B:$B,"&lt;&gt;Patrícia Karla de Sousa Araújo",$B:$B,"&lt;&gt;Lorena Dias de Araujo",$B:$B,"&lt;&gt;Lucas Luiz Romero")*(23/1083),IF(C487="JR",SUMIFS($D:$D,$A:$A,$A487,$B:$B,"&lt;&gt;Patrícia Karla de Sousa Araújo",$B:$B,"&lt;&gt;Lorena Dias de Araujo",$B:$B,"&lt;&gt;Lucas Luiz Romero")*(20/1083),IF(C487="Estágio",SUMIFS($D:$D,$A:$A,$A487,$B:$B,"&lt;&gt;Patrícia Karla de Sousa Araújo",$B:$B,"&lt;&gt;Lorena Dias de Araujo",$B:$B,"&lt;&gt;Lucas Luiz Romero")*(10/1083),0)))))),0)</f>
        <v/>
      </c>
      <c r="K487" s="3">
        <f>I487-J487</f>
        <v/>
      </c>
      <c r="L487" s="3">
        <f>IF(K487&lt;-5,"CRÍTICO",IF(K487&lt;0,"ATENÇÃO",IF(K487&lt;=5,"OPORTUNO","MUITO BOM")))</f>
        <v/>
      </c>
      <c r="M487" s="3" t="n">
        <v>24</v>
      </c>
      <c r="N487" s="3" t="n">
        <v>99.06999999999999</v>
      </c>
      <c r="O487" s="12" t="n">
        <v>20.09803921568627</v>
      </c>
    </row>
    <row r="488">
      <c r="A488" s="5" t="n">
        <v>46154</v>
      </c>
      <c r="B488" s="6" t="inlineStr">
        <is>
          <t>Damyllis Lorraine de Oliveira Gonçalves</t>
        </is>
      </c>
      <c r="C488" s="1" t="inlineStr">
        <is>
          <t>Técnico II</t>
        </is>
      </c>
      <c r="D488" s="3" t="n">
        <v>37</v>
      </c>
      <c r="E488" s="3" t="n">
        <v>30</v>
      </c>
      <c r="F488" s="3" t="n">
        <v>13.28</v>
      </c>
      <c r="G488" s="3" t="n">
        <v>0</v>
      </c>
      <c r="H488" s="3" t="n">
        <v>0</v>
      </c>
      <c r="I488" s="3">
        <f>E488+G488+H488</f>
        <v/>
      </c>
      <c r="J488" s="3">
        <f>ROUND(MIN(IF(C488="Técnico III",35,IF(C488="Técnico II",28,IF(C488="Técnico I",23,IF(C488="JR",20,IF(C488="Estágio",10,0))))),IF(C488="Técnico III",SUMIFS($D:$D,$A:$A,$A488,$B:$B,"&lt;&gt;Patrícia Karla de Sousa Araújo",$B:$B,"&lt;&gt;Lorena Dias de Araujo",$B:$B,"&lt;&gt;Lucas Luiz Romero")*(35/1083),IF(C488="Técnico II",SUMIFS($D:$D,$A:$A,$A488,$B:$B,"&lt;&gt;Patrícia Karla de Sousa Araújo",$B:$B,"&lt;&gt;Lorena Dias de Araujo",$B:$B,"&lt;&gt;Lucas Luiz Romero")*(28/1083),IF(C488="Técnico I",SUMIFS($D:$D,$A:$A,$A488,$B:$B,"&lt;&gt;Patrícia Karla de Sousa Araújo",$B:$B,"&lt;&gt;Lorena Dias de Araujo",$B:$B,"&lt;&gt;Lucas Luiz Romero")*(23/1083),IF(C488="JR",SUMIFS($D:$D,$A:$A,$A488,$B:$B,"&lt;&gt;Patrícia Karla de Sousa Araújo",$B:$B,"&lt;&gt;Lorena Dias de Araujo",$B:$B,"&lt;&gt;Lucas Luiz Romero")*(20/1083),IF(C488="Estágio",SUMIFS($D:$D,$A:$A,$A488,$B:$B,"&lt;&gt;Patrícia Karla de Sousa Araújo",$B:$B,"&lt;&gt;Lorena Dias de Araujo",$B:$B,"&lt;&gt;Lucas Luiz Romero")*(10/1083),0)))))),0)</f>
        <v/>
      </c>
      <c r="K488" s="3">
        <f>I488-J488</f>
        <v/>
      </c>
      <c r="L488" s="3">
        <f>IF(K488&lt;-5,"CRÍTICO",IF(K488&lt;0,"ATENÇÃO",IF(K488&lt;=5,"OPORTUNO","MUITO BOM")))</f>
        <v/>
      </c>
      <c r="M488" s="3" t="n">
        <v>27</v>
      </c>
      <c r="N488" s="3" t="n">
        <v>98.81</v>
      </c>
      <c r="O488" s="12" t="n">
        <v>22.76785714285714</v>
      </c>
    </row>
    <row r="489">
      <c r="A489" s="5" t="n">
        <v>46154</v>
      </c>
      <c r="B489" s="6" t="inlineStr">
        <is>
          <t>Emilly Kamilly Medeiros Miranda</t>
        </is>
      </c>
      <c r="C489" s="1" t="inlineStr">
        <is>
          <t>Técnico II</t>
        </is>
      </c>
      <c r="D489" s="3" t="n">
        <v>25</v>
      </c>
      <c r="E489" s="3" t="n">
        <v>24</v>
      </c>
      <c r="F489" s="3" t="n">
        <v>17.21</v>
      </c>
      <c r="G489" s="3" t="n">
        <v>5</v>
      </c>
      <c r="H489" s="3" t="n">
        <v>0</v>
      </c>
      <c r="I489" s="3">
        <f>E489+G489+H489</f>
        <v/>
      </c>
      <c r="J489" s="3">
        <f>ROUND(MIN(IF(C489="Técnico III",35,IF(C489="Técnico II",28,IF(C489="Técnico I",23,IF(C489="JR",20,IF(C489="Estágio",10,0))))),IF(C489="Técnico III",SUMIFS($D:$D,$A:$A,$A489,$B:$B,"&lt;&gt;Patrícia Karla de Sousa Araújo",$B:$B,"&lt;&gt;Lorena Dias de Araujo",$B:$B,"&lt;&gt;Lucas Luiz Romero")*(35/1083),IF(C489="Técnico II",SUMIFS($D:$D,$A:$A,$A489,$B:$B,"&lt;&gt;Patrícia Karla de Sousa Araújo",$B:$B,"&lt;&gt;Lorena Dias de Araujo",$B:$B,"&lt;&gt;Lucas Luiz Romero")*(28/1083),IF(C489="Técnico I",SUMIFS($D:$D,$A:$A,$A489,$B:$B,"&lt;&gt;Patrícia Karla de Sousa Araújo",$B:$B,"&lt;&gt;Lorena Dias de Araujo",$B:$B,"&lt;&gt;Lucas Luiz Romero")*(23/1083),IF(C489="JR",SUMIFS($D:$D,$A:$A,$A489,$B:$B,"&lt;&gt;Patrícia Karla de Sousa Araújo",$B:$B,"&lt;&gt;Lorena Dias de Araujo",$B:$B,"&lt;&gt;Lucas Luiz Romero")*(20/1083),IF(C489="Estágio",SUMIFS($D:$D,$A:$A,$A489,$B:$B,"&lt;&gt;Patrícia Karla de Sousa Araújo",$B:$B,"&lt;&gt;Lorena Dias de Araujo",$B:$B,"&lt;&gt;Lucas Luiz Romero")*(10/1083),0)))))),0)</f>
        <v/>
      </c>
      <c r="K489" s="3">
        <f>I489-J489</f>
        <v/>
      </c>
      <c r="L489" s="3">
        <f>IF(K489&lt;-5,"CRÍTICO",IF(K489&lt;0,"ATENÇÃO",IF(K489&lt;=5,"OPORTUNO","MUITO BOM")))</f>
        <v/>
      </c>
      <c r="M489" s="3" t="n">
        <v>26</v>
      </c>
      <c r="N489" s="3" t="n">
        <v>99.01000000000001</v>
      </c>
      <c r="O489" s="12" t="n">
        <v>17.76649746192894</v>
      </c>
    </row>
    <row r="490">
      <c r="A490" s="5" t="n">
        <v>46154</v>
      </c>
      <c r="B490" s="6" t="inlineStr">
        <is>
          <t>Francilene Ferreira de Jesus</t>
        </is>
      </c>
      <c r="C490" s="1" t="inlineStr">
        <is>
          <t>Técnico II</t>
        </is>
      </c>
      <c r="D490" s="3" t="n">
        <v>0</v>
      </c>
      <c r="E490" s="3" t="n">
        <v>0</v>
      </c>
      <c r="F490" s="3" t="n">
        <v>0</v>
      </c>
      <c r="G490" s="3" t="n">
        <v>0</v>
      </c>
      <c r="H490" s="3" t="n">
        <v>0</v>
      </c>
      <c r="I490" s="3" t="n">
        <v>0</v>
      </c>
      <c r="J490" s="3" t="n">
        <v>0</v>
      </c>
      <c r="K490" s="3" t="n">
        <v>0</v>
      </c>
      <c r="L490" s="3">
        <f>IF(K490&lt;-5,"CRÍTICO",IF(K490&lt;0,"ATENÇÃO",IF(K490&lt;=5,"OPORTUNO","MUITO BOM")))</f>
        <v/>
      </c>
      <c r="M490" s="3" t="n">
        <v>0</v>
      </c>
      <c r="N490" s="3" t="n">
        <v>100</v>
      </c>
      <c r="O490" s="12" t="n">
        <v>17.24137931034483</v>
      </c>
    </row>
    <row r="491">
      <c r="A491" s="5" t="n">
        <v>46154</v>
      </c>
      <c r="B491" s="6" t="inlineStr">
        <is>
          <t>Isabella Borges de Oliveira</t>
        </is>
      </c>
      <c r="C491" s="1" t="inlineStr">
        <is>
          <t>Técnico II</t>
        </is>
      </c>
      <c r="D491" s="3" t="n">
        <v>26</v>
      </c>
      <c r="E491" s="3" t="n">
        <v>24</v>
      </c>
      <c r="F491" s="3" t="n">
        <v>25.14</v>
      </c>
      <c r="G491" s="3" t="n">
        <v>0</v>
      </c>
      <c r="H491" s="3" t="n">
        <v>0</v>
      </c>
      <c r="I491" s="3">
        <f>E491+G491+H491</f>
        <v/>
      </c>
      <c r="J491" s="3">
        <f>ROUND(MIN(IF(C491="Técnico III",35,IF(C491="Técnico II",28,IF(C491="Técnico I",23,IF(C491="JR",20,IF(C491="Estágio",10,0))))),IF(C491="Técnico III",SUMIFS($D:$D,$A:$A,$A491,$B:$B,"&lt;&gt;Patrícia Karla de Sousa Araújo",$B:$B,"&lt;&gt;Lorena Dias de Araujo",$B:$B,"&lt;&gt;Lucas Luiz Romero")*(35/1083),IF(C491="Técnico II",SUMIFS($D:$D,$A:$A,$A491,$B:$B,"&lt;&gt;Patrícia Karla de Sousa Araújo",$B:$B,"&lt;&gt;Lorena Dias de Araujo",$B:$B,"&lt;&gt;Lucas Luiz Romero")*(28/1083),IF(C491="Técnico I",SUMIFS($D:$D,$A:$A,$A491,$B:$B,"&lt;&gt;Patrícia Karla de Sousa Araújo",$B:$B,"&lt;&gt;Lorena Dias de Araujo",$B:$B,"&lt;&gt;Lucas Luiz Romero")*(23/1083),IF(C491="JR",SUMIFS($D:$D,$A:$A,$A491,$B:$B,"&lt;&gt;Patrícia Karla de Sousa Araújo",$B:$B,"&lt;&gt;Lorena Dias de Araujo",$B:$B,"&lt;&gt;Lucas Luiz Romero")*(20/1083),IF(C491="Estágio",SUMIFS($D:$D,$A:$A,$A491,$B:$B,"&lt;&gt;Patrícia Karla de Sousa Araújo",$B:$B,"&lt;&gt;Lorena Dias de Araujo",$B:$B,"&lt;&gt;Lucas Luiz Romero")*(10/1083),0)))))),0)</f>
        <v/>
      </c>
      <c r="K491" s="3">
        <f>I491-J491</f>
        <v/>
      </c>
      <c r="L491" s="3">
        <f>IF(K491&lt;-5,"CRÍTICO",IF(K491&lt;0,"ATENÇÃO",IF(K491&lt;=5,"OPORTUNO","MUITO BOM")))</f>
        <v/>
      </c>
      <c r="M491" s="3" t="n">
        <v>18</v>
      </c>
      <c r="N491" s="3" t="n">
        <v>98.98</v>
      </c>
      <c r="O491" s="12" t="n">
        <v>19.35483870967742</v>
      </c>
    </row>
    <row r="492">
      <c r="A492" s="5" t="n">
        <v>46154</v>
      </c>
      <c r="B492" s="6" t="inlineStr">
        <is>
          <t>Jessica Faria da Silveira</t>
        </is>
      </c>
      <c r="C492" s="1" t="inlineStr">
        <is>
          <t>Técnico II</t>
        </is>
      </c>
      <c r="D492" s="3" t="n">
        <v>29</v>
      </c>
      <c r="E492" s="3" t="n">
        <v>26</v>
      </c>
      <c r="F492" s="3" t="n">
        <v>15.07</v>
      </c>
      <c r="G492" s="3" t="n">
        <v>5</v>
      </c>
      <c r="H492" s="3" t="n">
        <v>0</v>
      </c>
      <c r="I492" s="3">
        <f>E492+G492+H492</f>
        <v/>
      </c>
      <c r="J492" s="3">
        <f>ROUND(MIN(IF(C492="Técnico III",35,IF(C492="Técnico II",28,IF(C492="Técnico I",23,IF(C492="JR",20,IF(C492="Estágio",10,0))))),IF(C492="Técnico III",SUMIFS($D:$D,$A:$A,$A492,$B:$B,"&lt;&gt;Patrícia Karla de Sousa Araújo",$B:$B,"&lt;&gt;Lorena Dias de Araujo",$B:$B,"&lt;&gt;Lucas Luiz Romero")*(35/1083),IF(C492="Técnico II",SUMIFS($D:$D,$A:$A,$A492,$B:$B,"&lt;&gt;Patrícia Karla de Sousa Araújo",$B:$B,"&lt;&gt;Lorena Dias de Araujo",$B:$B,"&lt;&gt;Lucas Luiz Romero")*(28/1083),IF(C492="Técnico I",SUMIFS($D:$D,$A:$A,$A492,$B:$B,"&lt;&gt;Patrícia Karla de Sousa Araújo",$B:$B,"&lt;&gt;Lorena Dias de Araujo",$B:$B,"&lt;&gt;Lucas Luiz Romero")*(23/1083),IF(C492="JR",SUMIFS($D:$D,$A:$A,$A492,$B:$B,"&lt;&gt;Patrícia Karla de Sousa Araújo",$B:$B,"&lt;&gt;Lorena Dias de Araujo",$B:$B,"&lt;&gt;Lucas Luiz Romero")*(20/1083),IF(C492="Estágio",SUMIFS($D:$D,$A:$A,$A492,$B:$B,"&lt;&gt;Patrícia Karla de Sousa Araújo",$B:$B,"&lt;&gt;Lorena Dias de Araujo",$B:$B,"&lt;&gt;Lucas Luiz Romero")*(10/1083),0)))))),0)</f>
        <v/>
      </c>
      <c r="K492" s="3">
        <f>I492-J492</f>
        <v/>
      </c>
      <c r="L492" s="3">
        <f>IF(K492&lt;-5,"CRÍTICO",IF(K492&lt;0,"ATENÇÃO",IF(K492&lt;=5,"OPORTUNO","MUITO BOM")))</f>
        <v/>
      </c>
      <c r="M492" s="3" t="n">
        <v>26</v>
      </c>
      <c r="N492" s="3" t="n">
        <v>98.94</v>
      </c>
      <c r="O492" s="12" t="n">
        <v>21.2707182320442</v>
      </c>
    </row>
    <row r="493">
      <c r="A493" s="5" t="n">
        <v>46154</v>
      </c>
      <c r="B493" s="6" t="inlineStr">
        <is>
          <t>Lizandra Gomes Duarte</t>
        </is>
      </c>
      <c r="C493" s="1" t="inlineStr">
        <is>
          <t>Técnico II</t>
        </is>
      </c>
      <c r="D493" s="3" t="n">
        <v>28</v>
      </c>
      <c r="E493" s="3" t="n">
        <v>26</v>
      </c>
      <c r="F493" s="3" t="n">
        <v>23.59</v>
      </c>
      <c r="G493" s="3" t="n">
        <v>2</v>
      </c>
      <c r="H493" s="3" t="n">
        <v>0</v>
      </c>
      <c r="I493" s="3">
        <f>E493+G493+H493</f>
        <v/>
      </c>
      <c r="J493" s="3">
        <f>ROUND(MIN(IF(C493="Técnico III",35,IF(C493="Técnico II",28,IF(C493="Técnico I",23,IF(C493="JR",20,IF(C493="Estágio",10,0))))),IF(C493="Técnico III",SUMIFS($D:$D,$A:$A,$A493,$B:$B,"&lt;&gt;Patrícia Karla de Sousa Araújo",$B:$B,"&lt;&gt;Lorena Dias de Araujo",$B:$B,"&lt;&gt;Lucas Luiz Romero")*(35/1083),IF(C493="Técnico II",SUMIFS($D:$D,$A:$A,$A493,$B:$B,"&lt;&gt;Patrícia Karla de Sousa Araújo",$B:$B,"&lt;&gt;Lorena Dias de Araujo",$B:$B,"&lt;&gt;Lucas Luiz Romero")*(28/1083),IF(C493="Técnico I",SUMIFS($D:$D,$A:$A,$A493,$B:$B,"&lt;&gt;Patrícia Karla de Sousa Araújo",$B:$B,"&lt;&gt;Lorena Dias de Araujo",$B:$B,"&lt;&gt;Lucas Luiz Romero")*(23/1083),IF(C493="JR",SUMIFS($D:$D,$A:$A,$A493,$B:$B,"&lt;&gt;Patrícia Karla de Sousa Araújo",$B:$B,"&lt;&gt;Lorena Dias de Araujo",$B:$B,"&lt;&gt;Lucas Luiz Romero")*(20/1083),IF(C493="Estágio",SUMIFS($D:$D,$A:$A,$A493,$B:$B,"&lt;&gt;Patrícia Karla de Sousa Araújo",$B:$B,"&lt;&gt;Lorena Dias de Araujo",$B:$B,"&lt;&gt;Lucas Luiz Romero")*(10/1083),0)))))),0)</f>
        <v/>
      </c>
      <c r="K493" s="3">
        <f>I493-J493</f>
        <v/>
      </c>
      <c r="L493" s="3">
        <f>IF(K493&lt;-5,"CRÍTICO",IF(K493&lt;0,"ATENÇÃO",IF(K493&lt;=5,"OPORTUNO","MUITO BOM")))</f>
        <v/>
      </c>
      <c r="M493" s="3" t="n">
        <v>22</v>
      </c>
      <c r="N493" s="3" t="n">
        <v>99</v>
      </c>
      <c r="O493" s="12" t="n">
        <v>22.01086956521739</v>
      </c>
    </row>
    <row r="494">
      <c r="A494" s="5" t="n">
        <v>46154</v>
      </c>
      <c r="B494" s="6" t="inlineStr">
        <is>
          <t>Lorena Dias de Araujo</t>
        </is>
      </c>
      <c r="C494" s="1" t="inlineStr">
        <is>
          <t>Técnico II</t>
        </is>
      </c>
      <c r="D494" s="3" t="n">
        <v>25</v>
      </c>
      <c r="E494" s="3" t="n">
        <v>24</v>
      </c>
      <c r="F494" s="3" t="n">
        <v>25.44</v>
      </c>
      <c r="G494" s="3" t="n">
        <v>0</v>
      </c>
      <c r="H494" s="3" t="n">
        <v>0</v>
      </c>
      <c r="I494" s="3">
        <f>E494+G494+H494</f>
        <v/>
      </c>
      <c r="J494" s="3">
        <f>ROUND(MIN(IF(C494="Técnico III",35,IF(C494="Técnico II",28,IF(C494="Técnico I",23,IF(C494="JR",20,IF(C494="Estágio",10,0))))),IF(C494="Técnico III",SUMIFS($D:$D,$A:$A,$A494,$B:$B,"&lt;&gt;Patrícia Karla de Sousa Araújo",$B:$B,"&lt;&gt;Lorena Dias de Araujo",$B:$B,"&lt;&gt;Lucas Luiz Romero")*(35/1083),IF(C494="Técnico II",SUMIFS($D:$D,$A:$A,$A494,$B:$B,"&lt;&gt;Patrícia Karla de Sousa Araújo",$B:$B,"&lt;&gt;Lorena Dias de Araujo",$B:$B,"&lt;&gt;Lucas Luiz Romero")*(28/1083),IF(C494="Técnico I",SUMIFS($D:$D,$A:$A,$A494,$B:$B,"&lt;&gt;Patrícia Karla de Sousa Araújo",$B:$B,"&lt;&gt;Lorena Dias de Araujo",$B:$B,"&lt;&gt;Lucas Luiz Romero")*(23/1083),IF(C494="JR",SUMIFS($D:$D,$A:$A,$A494,$B:$B,"&lt;&gt;Patrícia Karla de Sousa Araújo",$B:$B,"&lt;&gt;Lorena Dias de Araujo",$B:$B,"&lt;&gt;Lucas Luiz Romero")*(20/1083),IF(C494="Estágio",SUMIFS($D:$D,$A:$A,$A494,$B:$B,"&lt;&gt;Patrícia Karla de Sousa Araújo",$B:$B,"&lt;&gt;Lorena Dias de Araujo",$B:$B,"&lt;&gt;Lucas Luiz Romero")*(10/1083),0)))))),0)</f>
        <v/>
      </c>
      <c r="K494" s="3">
        <f>I494-J494</f>
        <v/>
      </c>
      <c r="L494" s="3">
        <f>IF(K494&lt;-5,"CRÍTICO",IF(K494&lt;0,"ATENÇÃO",IF(K494&lt;=5,"OPORTUNO","MUITO BOM")))</f>
        <v/>
      </c>
      <c r="M494" s="3" t="n">
        <v>19</v>
      </c>
      <c r="N494" s="3" t="n">
        <v>100</v>
      </c>
      <c r="O494" s="12" t="n">
        <v>25</v>
      </c>
    </row>
    <row r="495">
      <c r="A495" s="5" t="n">
        <v>46154</v>
      </c>
      <c r="B495" s="6" t="inlineStr">
        <is>
          <t>Patrícia Karla de Sousa Araújo</t>
        </is>
      </c>
      <c r="C495" s="1" t="inlineStr">
        <is>
          <t>Técnico II</t>
        </is>
      </c>
      <c r="D495" s="3" t="n">
        <v>30</v>
      </c>
      <c r="E495" s="3" t="n">
        <v>26</v>
      </c>
      <c r="F495" s="3" t="n">
        <v>17.19</v>
      </c>
      <c r="G495" s="3" t="n">
        <v>0</v>
      </c>
      <c r="H495" s="3" t="n">
        <v>0</v>
      </c>
      <c r="I495" s="3">
        <f>E495+G495+H495</f>
        <v/>
      </c>
      <c r="J495" s="3">
        <f>ROUND(MIN(IF(C495="Técnico III",35,IF(C495="Técnico II",28,IF(C495="Técnico I",23,IF(C495="JR",20,IF(C495="Estágio",10,0))))),IF(C495="Técnico III",SUMIFS($D:$D,$A:$A,$A495,$B:$B,"&lt;&gt;Patrícia Karla de Sousa Araújo",$B:$B,"&lt;&gt;Lorena Dias de Araujo",$B:$B,"&lt;&gt;Lucas Luiz Romero")*(35/1083),IF(C495="Técnico II",SUMIFS($D:$D,$A:$A,$A495,$B:$B,"&lt;&gt;Patrícia Karla de Sousa Araújo",$B:$B,"&lt;&gt;Lorena Dias de Araujo",$B:$B,"&lt;&gt;Lucas Luiz Romero")*(28/1083),IF(C495="Técnico I",SUMIFS($D:$D,$A:$A,$A495,$B:$B,"&lt;&gt;Patrícia Karla de Sousa Araújo",$B:$B,"&lt;&gt;Lorena Dias de Araujo",$B:$B,"&lt;&gt;Lucas Luiz Romero")*(23/1083),IF(C495="JR",SUMIFS($D:$D,$A:$A,$A495,$B:$B,"&lt;&gt;Patrícia Karla de Sousa Araújo",$B:$B,"&lt;&gt;Lorena Dias de Araujo",$B:$B,"&lt;&gt;Lucas Luiz Romero")*(20/1083),IF(C495="Estágio",SUMIFS($D:$D,$A:$A,$A495,$B:$B,"&lt;&gt;Patrícia Karla de Sousa Araújo",$B:$B,"&lt;&gt;Lorena Dias de Araujo",$B:$B,"&lt;&gt;Lucas Luiz Romero")*(10/1083),0)))))),0)</f>
        <v/>
      </c>
      <c r="K495" s="3">
        <f>I495-J495</f>
        <v/>
      </c>
      <c r="L495" s="3">
        <f>IF(K495&lt;-5,"CRÍTICO",IF(K495&lt;0,"ATENÇÃO",IF(K495&lt;=5,"OPORTUNO","MUITO BOM")))</f>
        <v/>
      </c>
      <c r="M495" s="3" t="n">
        <v>22</v>
      </c>
      <c r="N495" s="3" t="n">
        <v>100</v>
      </c>
      <c r="O495" s="12" t="n">
        <v>20.18348623853211</v>
      </c>
    </row>
    <row r="496">
      <c r="A496" s="5" t="n">
        <v>46154</v>
      </c>
      <c r="B496" s="6" t="inlineStr">
        <is>
          <t>Ana Karollyne Souza Faria</t>
        </is>
      </c>
      <c r="C496" s="1" t="inlineStr">
        <is>
          <t>Técnico I</t>
        </is>
      </c>
      <c r="D496" s="3" t="n">
        <v>31</v>
      </c>
      <c r="E496" s="3" t="n">
        <v>29</v>
      </c>
      <c r="F496" s="3" t="n">
        <v>17.38</v>
      </c>
      <c r="G496" s="3" t="n">
        <v>2</v>
      </c>
      <c r="H496" s="3" t="n">
        <v>0</v>
      </c>
      <c r="I496" s="3">
        <f>E496+G496+H496</f>
        <v/>
      </c>
      <c r="J496" s="3">
        <f>ROUND(MIN(IF(C496="Técnico III",35,IF(C496="Técnico II",28,IF(C496="Técnico I",23,IF(C496="JR",20,IF(C496="Estágio",10,0))))),IF(C496="Técnico III",SUMIFS($D:$D,$A:$A,$A496,$B:$B,"&lt;&gt;Patrícia Karla de Sousa Araújo",$B:$B,"&lt;&gt;Lorena Dias de Araujo",$B:$B,"&lt;&gt;Lucas Luiz Romero")*(35/1083),IF(C496="Técnico II",SUMIFS($D:$D,$A:$A,$A496,$B:$B,"&lt;&gt;Patrícia Karla de Sousa Araújo",$B:$B,"&lt;&gt;Lorena Dias de Araujo",$B:$B,"&lt;&gt;Lucas Luiz Romero")*(28/1083),IF(C496="Técnico I",SUMIFS($D:$D,$A:$A,$A496,$B:$B,"&lt;&gt;Patrícia Karla de Sousa Araújo",$B:$B,"&lt;&gt;Lorena Dias de Araujo",$B:$B,"&lt;&gt;Lucas Luiz Romero")*(23/1083),IF(C496="JR",SUMIFS($D:$D,$A:$A,$A496,$B:$B,"&lt;&gt;Patrícia Karla de Sousa Araújo",$B:$B,"&lt;&gt;Lorena Dias de Araujo",$B:$B,"&lt;&gt;Lucas Luiz Romero")*(20/1083),IF(C496="Estágio",SUMIFS($D:$D,$A:$A,$A496,$B:$B,"&lt;&gt;Patrícia Karla de Sousa Araújo",$B:$B,"&lt;&gt;Lorena Dias de Araujo",$B:$B,"&lt;&gt;Lucas Luiz Romero")*(10/1083),0)))))),0)</f>
        <v/>
      </c>
      <c r="K496" s="3">
        <f>I496-J496</f>
        <v/>
      </c>
      <c r="L496" s="3">
        <f>IF(K496&lt;-5,"CRÍTICO",IF(K496&lt;0,"ATENÇÃO",IF(K496&lt;=5,"OPORTUNO","MUITO BOM")))</f>
        <v/>
      </c>
      <c r="M496" s="3" t="n">
        <v>27</v>
      </c>
      <c r="N496" s="3" t="n">
        <v>96.25</v>
      </c>
      <c r="O496" s="12" t="n">
        <v>25.5863539445629</v>
      </c>
    </row>
    <row r="497">
      <c r="A497" s="5" t="n">
        <v>46154</v>
      </c>
      <c r="B497" s="6" t="inlineStr">
        <is>
          <t>Clessiane Pereira dos Santos</t>
        </is>
      </c>
      <c r="C497" s="1" t="inlineStr">
        <is>
          <t>Técnico I</t>
        </is>
      </c>
      <c r="D497" s="3" t="n">
        <v>24</v>
      </c>
      <c r="E497" s="3" t="n">
        <v>23</v>
      </c>
      <c r="F497" s="3" t="n">
        <v>13.58</v>
      </c>
      <c r="G497" s="3" t="n">
        <v>5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IF(K497&lt;-5,"CRÍTICO",IF(K497&lt;0,"ATENÇÃO",IF(K497&lt;=5,"OPORTUNO","MUITO BOM")))</f>
        <v/>
      </c>
      <c r="M497" s="3" t="n">
        <v>25</v>
      </c>
      <c r="N497" s="3" t="n">
        <v>97.48</v>
      </c>
      <c r="O497" s="12" t="n">
        <v>22.99465240641711</v>
      </c>
    </row>
    <row r="498">
      <c r="A498" s="5" t="n">
        <v>46154</v>
      </c>
      <c r="B498" s="6" t="inlineStr">
        <is>
          <t>Daniel Gomes da Silva</t>
        </is>
      </c>
      <c r="C498" s="1" t="inlineStr">
        <is>
          <t>Técnico I</t>
        </is>
      </c>
      <c r="D498" s="3" t="n">
        <v>28</v>
      </c>
      <c r="E498" s="3" t="n">
        <v>26</v>
      </c>
      <c r="F498" s="3" t="n">
        <v>11.47</v>
      </c>
      <c r="G498" s="3" t="n">
        <v>0</v>
      </c>
      <c r="H498" s="3" t="n">
        <v>0</v>
      </c>
      <c r="I498" s="3">
        <f>E498+G498+H498</f>
        <v/>
      </c>
      <c r="J498" s="3">
        <f>ROUND(MIN(IF(C498="Técnico III",35,IF(C498="Técnico II",28,IF(C498="Técnico I",23,IF(C498="JR",20,IF(C498="Estágio",10,0))))),IF(C498="Técnico III",SUMIFS($D:$D,$A:$A,$A498,$B:$B,"&lt;&gt;Patrícia Karla de Sousa Araújo",$B:$B,"&lt;&gt;Lorena Dias de Araujo",$B:$B,"&lt;&gt;Lucas Luiz Romero")*(35/1083),IF(C498="Técnico II",SUMIFS($D:$D,$A:$A,$A498,$B:$B,"&lt;&gt;Patrícia Karla de Sousa Araújo",$B:$B,"&lt;&gt;Lorena Dias de Araujo",$B:$B,"&lt;&gt;Lucas Luiz Romero")*(28/1083),IF(C498="Técnico I",SUMIFS($D:$D,$A:$A,$A498,$B:$B,"&lt;&gt;Patrícia Karla de Sousa Araújo",$B:$B,"&lt;&gt;Lorena Dias de Araujo",$B:$B,"&lt;&gt;Lucas Luiz Romero")*(23/1083),IF(C498="JR",SUMIFS($D:$D,$A:$A,$A498,$B:$B,"&lt;&gt;Patrícia Karla de Sousa Araújo",$B:$B,"&lt;&gt;Lorena Dias de Araujo",$B:$B,"&lt;&gt;Lucas Luiz Romero")*(20/1083),IF(C498="Estágio",SUMIFS($D:$D,$A:$A,$A498,$B:$B,"&lt;&gt;Patrícia Karla de Sousa Araújo",$B:$B,"&lt;&gt;Lorena Dias de Araujo",$B:$B,"&lt;&gt;Lucas Luiz Romero")*(10/1083),0)))))),0)</f>
        <v/>
      </c>
      <c r="K498" s="3">
        <f>I498-J498</f>
        <v/>
      </c>
      <c r="L498" s="3">
        <f>IF(K498&lt;-5,"CRÍTICO",IF(K498&lt;0,"ATENÇÃO",IF(K498&lt;=5,"OPORTUNO","MUITO BOM")))</f>
        <v/>
      </c>
      <c r="M498" s="3" t="n">
        <v>17</v>
      </c>
      <c r="N498" s="3" t="n">
        <v>100</v>
      </c>
      <c r="O498" s="12" t="n">
        <v>20.78853046594982</v>
      </c>
    </row>
    <row r="499">
      <c r="A499" s="5" t="n">
        <v>46154</v>
      </c>
      <c r="B499" s="6" t="inlineStr">
        <is>
          <t>Luiz Fernando de Carvalho Junior</t>
        </is>
      </c>
      <c r="C499" s="1" t="inlineStr">
        <is>
          <t>Técnico I</t>
        </is>
      </c>
      <c r="D499" s="3" t="n">
        <v>24</v>
      </c>
      <c r="E499" s="3" t="n">
        <v>20</v>
      </c>
      <c r="F499" s="3" t="n">
        <v>19.15</v>
      </c>
      <c r="G499" s="3" t="n">
        <v>4</v>
      </c>
      <c r="H499" s="3" t="n">
        <v>0</v>
      </c>
      <c r="I499" s="3">
        <f>E499+G499+H499</f>
        <v/>
      </c>
      <c r="J499" s="3">
        <f>ROUND(MIN(IF(C499="Técnico III",35,IF(C499="Técnico II",28,IF(C499="Técnico I",23,IF(C499="JR",20,IF(C499="Estágio",10,0))))),IF(C499="Técnico III",SUMIFS($D:$D,$A:$A,$A499,$B:$B,"&lt;&gt;Patrícia Karla de Sousa Araújo",$B:$B,"&lt;&gt;Lorena Dias de Araujo",$B:$B,"&lt;&gt;Lucas Luiz Romero")*(35/1083),IF(C499="Técnico II",SUMIFS($D:$D,$A:$A,$A499,$B:$B,"&lt;&gt;Patrícia Karla de Sousa Araújo",$B:$B,"&lt;&gt;Lorena Dias de Araujo",$B:$B,"&lt;&gt;Lucas Luiz Romero")*(28/1083),IF(C499="Técnico I",SUMIFS($D:$D,$A:$A,$A499,$B:$B,"&lt;&gt;Patrícia Karla de Sousa Araújo",$B:$B,"&lt;&gt;Lorena Dias de Araujo",$B:$B,"&lt;&gt;Lucas Luiz Romero")*(23/1083),IF(C499="JR",SUMIFS($D:$D,$A:$A,$A499,$B:$B,"&lt;&gt;Patrícia Karla de Sousa Araújo",$B:$B,"&lt;&gt;Lorena Dias de Araujo",$B:$B,"&lt;&gt;Lucas Luiz Romero")*(20/1083),IF(C499="Estágio",SUMIFS($D:$D,$A:$A,$A499,$B:$B,"&lt;&gt;Patrícia Karla de Sousa Araújo",$B:$B,"&lt;&gt;Lorena Dias de Araujo",$B:$B,"&lt;&gt;Lucas Luiz Romero")*(10/1083),0)))))),0)</f>
        <v/>
      </c>
      <c r="K499" s="3">
        <f>I499-J499</f>
        <v/>
      </c>
      <c r="L499" s="3">
        <f>IF(K499&lt;-5,"CRÍTICO",IF(K499&lt;0,"ATENÇÃO",IF(K499&lt;=5,"OPORTUNO","MUITO BOM")))</f>
        <v/>
      </c>
      <c r="M499" s="3" t="n">
        <v>22</v>
      </c>
      <c r="N499" s="3" t="n">
        <v>94.55</v>
      </c>
      <c r="O499" s="12" t="n">
        <v>23.45013477088949</v>
      </c>
    </row>
    <row r="500">
      <c r="A500" s="5" t="n">
        <v>46154</v>
      </c>
      <c r="B500" s="6" t="inlineStr">
        <is>
          <t>Raane Batista Matos</t>
        </is>
      </c>
      <c r="C500" s="1" t="inlineStr">
        <is>
          <t>Técnico I</t>
        </is>
      </c>
      <c r="D500" s="3" t="n">
        <v>27</v>
      </c>
      <c r="E500" s="3" t="n">
        <v>26</v>
      </c>
      <c r="F500" s="3" t="n">
        <v>17.2</v>
      </c>
      <c r="G500" s="3" t="n">
        <v>1</v>
      </c>
      <c r="H500" s="3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IF(K500&lt;-5,"CRÍTICO",IF(K500&lt;0,"ATENÇÃO",IF(K500&lt;=5,"OPORTUNO","MUITO BOM")))</f>
        <v/>
      </c>
      <c r="M500" s="3" t="n">
        <v>20</v>
      </c>
      <c r="N500" s="3" t="n">
        <v>98</v>
      </c>
      <c r="O500" s="12" t="n">
        <v>20.73490813648294</v>
      </c>
    </row>
    <row r="501">
      <c r="A501" s="5" t="n">
        <v>46154</v>
      </c>
      <c r="B501" s="6" t="inlineStr">
        <is>
          <t>Sara Maria Monteiro Lopes</t>
        </is>
      </c>
      <c r="C501" s="1" t="inlineStr">
        <is>
          <t>Técnico I</t>
        </is>
      </c>
      <c r="D501" s="3" t="n">
        <v>19</v>
      </c>
      <c r="E501" s="3" t="n">
        <v>19</v>
      </c>
      <c r="F501" s="3" t="n">
        <v>30.07</v>
      </c>
      <c r="G501" s="3" t="n">
        <v>0</v>
      </c>
      <c r="H501" s="3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IF(K501&lt;-5,"CRÍTICO",IF(K501&lt;0,"ATENÇÃO",IF(K501&lt;=5,"OPORTUNO","MUITO BOM")))</f>
        <v/>
      </c>
      <c r="M501" s="3" t="n">
        <v>19</v>
      </c>
      <c r="N501" s="3" t="n">
        <v>100</v>
      </c>
      <c r="O501" s="12" t="n">
        <v>18</v>
      </c>
    </row>
    <row r="502">
      <c r="A502" s="10" t="n">
        <v>46044</v>
      </c>
      <c r="B502" t="inlineStr">
        <is>
          <t>Gabriel Gomes de Andrade</t>
        </is>
      </c>
      <c r="C502" s="1" t="inlineStr">
        <is>
          <t>Técnico I</t>
        </is>
      </c>
      <c r="D502" s="3" t="n">
        <v>23</v>
      </c>
      <c r="E502" s="3" t="n">
        <v>22</v>
      </c>
      <c r="F502" s="3" t="n">
        <v>23.38</v>
      </c>
      <c r="G502" s="3" t="n">
        <v>0</v>
      </c>
      <c r="H502" s="3" t="n">
        <v>0</v>
      </c>
      <c r="I502" s="3">
        <f>E502+G502+H502</f>
        <v/>
      </c>
      <c r="J502" s="3">
        <f>ROUND(MIN(IF(C502="Técnico III",35,IF(C502="Técnico II",28,IF(C502="Técnico I",23,IF(C502="JR",20,IF(C502="Estágio",10,0))))),IF(C502="Técnico III",SUMIFS($D:$D,$A:$A,$A502,$B:$B,"&lt;&gt;Patrícia Karla de Sousa Araújo",$B:$B,"&lt;&gt;Lorena Dias de Araujo",$B:$B,"&lt;&gt;Lucas Luiz Romero")*(35/1083),IF(C502="Técnico II",SUMIFS($D:$D,$A:$A,$A502,$B:$B,"&lt;&gt;Patrícia Karla de Sousa Araújo",$B:$B,"&lt;&gt;Lorena Dias de Araujo",$B:$B,"&lt;&gt;Lucas Luiz Romero")*(28/1083),IF(C502="Técnico I",SUMIFS($D:$D,$A:$A,$A502,$B:$B,"&lt;&gt;Patrícia Karla de Sousa Araújo",$B:$B,"&lt;&gt;Lorena Dias de Araujo",$B:$B,"&lt;&gt;Lucas Luiz Romero")*(23/1083),IF(C502="JR",SUMIFS($D:$D,$A:$A,$A502,$B:$B,"&lt;&gt;Patrícia Karla de Sousa Araújo",$B:$B,"&lt;&gt;Lorena Dias de Araujo",$B:$B,"&lt;&gt;Lucas Luiz Romero")*(20/1083),IF(C502="Estágio",SUMIFS($D:$D,$A:$A,$A502,$B:$B,"&lt;&gt;Patrícia Karla de Sousa Araújo",$B:$B,"&lt;&gt;Lorena Dias de Araujo",$B:$B,"&lt;&gt;Lucas Luiz Romero")*(10/1083),0)))))),0)</f>
        <v/>
      </c>
      <c r="K502" s="3">
        <f>I502-J502</f>
        <v/>
      </c>
      <c r="L502" s="3">
        <f>IF(K502&lt;-5,"CRÍTICO",IF(K502&lt;0,"ATENÇÃO",IF(K502&lt;=5,"BOM","EXCELENTE")))</f>
        <v/>
      </c>
      <c r="M502" s="3" t="n">
        <v>21</v>
      </c>
      <c r="N502" s="3" t="n">
        <v>98.91</v>
      </c>
      <c r="O502" s="12" t="n">
        <v>31.36729222520107</v>
      </c>
    </row>
    <row r="503">
      <c r="A503" s="10" t="n">
        <v>46045</v>
      </c>
      <c r="B503" t="inlineStr">
        <is>
          <t>Gabriel Gomes de Andrade</t>
        </is>
      </c>
      <c r="C503" s="1" t="inlineStr">
        <is>
          <t>Técnico I</t>
        </is>
      </c>
      <c r="D503" s="3" t="n">
        <v>17</v>
      </c>
      <c r="E503" s="3" t="n">
        <v>17</v>
      </c>
      <c r="F503" s="3" t="n">
        <v>17</v>
      </c>
      <c r="G503" s="3" t="n">
        <v>0</v>
      </c>
      <c r="H503" s="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M503" s="3" t="n">
        <v>16</v>
      </c>
      <c r="N503" s="3" t="n">
        <v>98.91</v>
      </c>
      <c r="O503" s="12" t="n">
        <v>31.36729222520107</v>
      </c>
    </row>
    <row r="504">
      <c r="A504" s="5" t="n">
        <v>46154</v>
      </c>
      <c r="B504" s="6" t="inlineStr">
        <is>
          <t>Gabriel Gomes de Andrade</t>
        </is>
      </c>
      <c r="C504" s="1" t="inlineStr">
        <is>
          <t>Técnico I</t>
        </is>
      </c>
      <c r="D504" s="3" t="n">
        <v>17</v>
      </c>
      <c r="E504" s="3" t="n">
        <v>17</v>
      </c>
      <c r="F504" s="3" t="n">
        <v>17.17</v>
      </c>
      <c r="H504" s="3" t="n">
        <v>7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IF(K504&lt;-5,"CRÍTICO",IF(K504&lt;0,"ATENÇÃO",IF(K504&lt;=5,"OPORTUNO","MUITO BOM")))</f>
        <v/>
      </c>
      <c r="M504" s="3" t="n">
        <v>24</v>
      </c>
      <c r="N504" s="3" t="n">
        <v>99.06</v>
      </c>
      <c r="O504" s="12" t="n">
        <v>19.41747572815534</v>
      </c>
    </row>
    <row r="505">
      <c r="A505" s="7" t="n">
        <v>46161</v>
      </c>
      <c r="B505" s="8" t="inlineStr">
        <is>
          <t>Karina Gonçalves Martins</t>
        </is>
      </c>
      <c r="C505" s="1" t="inlineStr">
        <is>
          <t>JR</t>
        </is>
      </c>
      <c r="D505" s="3" t="n">
        <v>20</v>
      </c>
      <c r="E505" s="3" t="n">
        <v>19</v>
      </c>
      <c r="F505" s="3" t="n">
        <v>28.41</v>
      </c>
      <c r="G505" s="3" t="n">
        <v>2</v>
      </c>
      <c r="H505" s="3" t="n">
        <v>0</v>
      </c>
      <c r="I505" s="3" t="n">
        <v>21</v>
      </c>
      <c r="J505" s="3" t="n">
        <v>17</v>
      </c>
      <c r="K505" s="3" t="n">
        <v>4</v>
      </c>
      <c r="L505" s="3" t="inlineStr">
        <is>
          <t>BOM</t>
        </is>
      </c>
      <c r="M505" s="3" t="n">
        <v>20</v>
      </c>
      <c r="N505" s="3" t="n">
        <v>97.62</v>
      </c>
      <c r="O505" s="12" t="n">
        <v>17.82477341389728</v>
      </c>
    </row>
    <row r="506">
      <c r="A506" s="7" t="n">
        <v>46162</v>
      </c>
      <c r="B506" s="8" t="inlineStr">
        <is>
          <t>Karina Gonçalves Martins</t>
        </is>
      </c>
      <c r="C506" s="1" t="inlineStr">
        <is>
          <t>JR</t>
        </is>
      </c>
      <c r="D506" s="3" t="n">
        <v>21</v>
      </c>
      <c r="E506" s="3" t="n">
        <v>20</v>
      </c>
      <c r="F506" s="3" t="n">
        <v>23.27</v>
      </c>
      <c r="G506" s="3" t="n">
        <v>0</v>
      </c>
      <c r="H506" s="3" t="n">
        <v>0</v>
      </c>
      <c r="I506" s="3" t="n">
        <v>20</v>
      </c>
      <c r="J506" s="3" t="n">
        <v>15</v>
      </c>
      <c r="K506" s="3" t="n">
        <v>5</v>
      </c>
      <c r="L506" s="3" t="inlineStr">
        <is>
          <t>BOM</t>
        </is>
      </c>
      <c r="M506" s="3" t="n">
        <v>20</v>
      </c>
      <c r="N506" s="3" t="n">
        <v>97.62</v>
      </c>
      <c r="O506" s="12" t="n">
        <v>17.82477341389728</v>
      </c>
    </row>
    <row r="507">
      <c r="A507" s="5" t="n">
        <v>46154</v>
      </c>
      <c r="B507" s="6" t="inlineStr">
        <is>
          <t>Matheus Farias De Souza</t>
        </is>
      </c>
      <c r="C507" s="1" t="inlineStr">
        <is>
          <t>Técnico III</t>
        </is>
      </c>
      <c r="D507" s="3" t="n">
        <v>0</v>
      </c>
      <c r="E507" s="3" t="n">
        <v>0</v>
      </c>
      <c r="F507" s="3" t="n">
        <v>0</v>
      </c>
      <c r="H507" s="3" t="n">
        <v>51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IF(K507&lt;-5,"CRÍTICO",IF(K507&lt;0,"ATENÇÃO",IF(K507&lt;=5,"OPORTUNO","MUITO BOM")))</f>
        <v/>
      </c>
      <c r="M507" s="3" t="n">
        <v>25</v>
      </c>
      <c r="N507" s="3" t="n">
        <v>98.39</v>
      </c>
      <c r="O507" s="12" t="n">
        <v>8.799999999999999</v>
      </c>
    </row>
    <row r="508">
      <c r="A508" s="5" t="n">
        <v>46163</v>
      </c>
      <c r="B508" s="6" t="inlineStr">
        <is>
          <t>Karina Gonçalves Martins</t>
        </is>
      </c>
      <c r="C508" s="1" t="inlineStr">
        <is>
          <t>JR</t>
        </is>
      </c>
      <c r="D508" s="3" t="n">
        <v>15</v>
      </c>
      <c r="E508" s="3" t="n">
        <v>13</v>
      </c>
      <c r="F508" s="3" t="n">
        <v>20.57</v>
      </c>
      <c r="G508" s="3" t="n">
        <v>1</v>
      </c>
      <c r="H508" s="3" t="n">
        <v>0</v>
      </c>
      <c r="I508" s="3" t="n">
        <v>14</v>
      </c>
      <c r="J508" s="3" t="n">
        <v>13</v>
      </c>
      <c r="K508" s="3" t="n">
        <v>1</v>
      </c>
      <c r="L508" s="3" t="inlineStr">
        <is>
          <t>BOM</t>
        </is>
      </c>
      <c r="M508" s="3" t="n">
        <v>15</v>
      </c>
      <c r="N508" s="3" t="n">
        <v>97.62</v>
      </c>
      <c r="O508" s="12" t="n">
        <v>17.82477341389728</v>
      </c>
    </row>
    <row r="509">
      <c r="A509" s="9" t="n">
        <v>46164</v>
      </c>
      <c r="B509" s="6" t="inlineStr">
        <is>
          <t>Karina Gonçalves Martins</t>
        </is>
      </c>
      <c r="C509" s="1" t="inlineStr">
        <is>
          <t>JR</t>
        </is>
      </c>
      <c r="D509" s="3" t="n">
        <v>19</v>
      </c>
      <c r="E509" s="3" t="n">
        <v>19</v>
      </c>
      <c r="F509" s="3" t="n">
        <v>21.43</v>
      </c>
      <c r="G509" s="3" t="n">
        <v>0</v>
      </c>
      <c r="H509" s="3" t="n">
        <v>0</v>
      </c>
      <c r="I509" s="3" t="n">
        <v>19</v>
      </c>
      <c r="J509" s="3" t="n">
        <v>11</v>
      </c>
      <c r="K509" s="3" t="n">
        <v>8</v>
      </c>
      <c r="L509" s="3" t="inlineStr">
        <is>
          <t>EXCELENTE</t>
        </is>
      </c>
      <c r="M509" s="3" t="n">
        <v>20</v>
      </c>
      <c r="N509" s="3" t="n">
        <v>97.62</v>
      </c>
      <c r="O509" s="12" t="n">
        <v>17.82477341389728</v>
      </c>
    </row>
    <row r="510">
      <c r="A510" s="10" t="n">
        <v>46167</v>
      </c>
      <c r="B510" t="inlineStr">
        <is>
          <t>Karina Gonçalves Martins</t>
        </is>
      </c>
      <c r="C510" s="1" t="inlineStr">
        <is>
          <t>JR</t>
        </is>
      </c>
      <c r="D510" s="3" t="n">
        <v>14</v>
      </c>
      <c r="E510" s="3" t="n">
        <v>13</v>
      </c>
      <c r="F510" s="3" t="n">
        <v>14.05</v>
      </c>
      <c r="G510" s="3" t="n">
        <v>0</v>
      </c>
      <c r="H510" s="3" t="n">
        <v>0</v>
      </c>
      <c r="I510" s="3" t="n">
        <v>13</v>
      </c>
      <c r="J510" s="3" t="n">
        <v>13</v>
      </c>
      <c r="K510" s="3" t="n">
        <v>0</v>
      </c>
      <c r="L510" s="3" t="inlineStr">
        <is>
          <t>BOM</t>
        </is>
      </c>
      <c r="M510" s="3" t="n">
        <v>13</v>
      </c>
      <c r="N510" s="3" t="n">
        <v>97.62</v>
      </c>
      <c r="O510" s="12" t="n">
        <v>17.82477341389728</v>
      </c>
    </row>
    <row r="511">
      <c r="A511" s="10" t="n">
        <v>46168</v>
      </c>
      <c r="B511" t="inlineStr">
        <is>
          <t>Karina Gonçalves Martins</t>
        </is>
      </c>
      <c r="C511" s="1" t="inlineStr">
        <is>
          <t>JR</t>
        </is>
      </c>
      <c r="D511" s="3" t="n">
        <v>13</v>
      </c>
      <c r="E511" s="3" t="n">
        <v>12</v>
      </c>
      <c r="F511" s="3" t="n">
        <v>14.16</v>
      </c>
      <c r="G511" s="3" t="n">
        <v>2</v>
      </c>
      <c r="H511" s="3" t="n">
        <v>0</v>
      </c>
      <c r="I511" s="3" t="n">
        <v>14</v>
      </c>
      <c r="J511" s="3" t="n">
        <v>16</v>
      </c>
      <c r="K511" s="3" t="n">
        <v>-2</v>
      </c>
      <c r="L511" s="3" t="inlineStr">
        <is>
          <t>ATENÇÃO</t>
        </is>
      </c>
      <c r="M511" s="3" t="n">
        <v>10</v>
      </c>
      <c r="N511" s="3" t="n">
        <v>97.62</v>
      </c>
      <c r="O511" s="12" t="n">
        <v>19.63746223564955</v>
      </c>
    </row>
    <row r="512">
      <c r="A512" s="10" t="n">
        <v>46169</v>
      </c>
      <c r="B512" t="inlineStr">
        <is>
          <t>Karina Gonçalves Martins</t>
        </is>
      </c>
      <c r="C512" s="1" t="inlineStr">
        <is>
          <t>JR</t>
        </is>
      </c>
      <c r="D512" s="3" t="n">
        <v>17</v>
      </c>
      <c r="E512" s="3" t="n">
        <v>17</v>
      </c>
      <c r="F512" s="3" t="n">
        <v>22.23</v>
      </c>
      <c r="G512" s="3" t="n">
        <v>0</v>
      </c>
      <c r="H512" s="3" t="n">
        <v>0</v>
      </c>
      <c r="I512" s="3" t="n">
        <v>17</v>
      </c>
      <c r="J512" s="3" t="n">
        <v>16</v>
      </c>
      <c r="K512" s="3" t="n">
        <v>1</v>
      </c>
      <c r="L512" s="3" t="inlineStr">
        <is>
          <t>BOM</t>
        </is>
      </c>
      <c r="M512" s="3" t="n">
        <v>17</v>
      </c>
      <c r="N512" s="3" t="n">
        <v>97.83</v>
      </c>
      <c r="O512" s="12" t="n">
        <v>19.25287356321839</v>
      </c>
    </row>
    <row r="513">
      <c r="A513" s="10" t="n">
        <v>46170</v>
      </c>
      <c r="B513" t="inlineStr">
        <is>
          <t>Karina Gonçalves Martins</t>
        </is>
      </c>
      <c r="C513" s="1" t="inlineStr">
        <is>
          <t>JR</t>
        </is>
      </c>
      <c r="D513" s="3" t="n">
        <v>16</v>
      </c>
      <c r="E513" s="3" t="n">
        <v>16</v>
      </c>
      <c r="F513" s="3" t="n">
        <v>27.39</v>
      </c>
      <c r="G513" s="3" t="n">
        <v>0</v>
      </c>
      <c r="H513" s="3" t="n">
        <v>0</v>
      </c>
      <c r="I513" s="3" t="n">
        <v>16</v>
      </c>
      <c r="J513" s="3" t="n">
        <v>15</v>
      </c>
      <c r="K513" s="3" t="n">
        <v>1</v>
      </c>
      <c r="L513" s="3" t="inlineStr">
        <is>
          <t>BOM</t>
        </is>
      </c>
      <c r="M513" s="3" t="n">
        <v>16</v>
      </c>
      <c r="N513" s="3" t="n">
        <v>97.87</v>
      </c>
      <c r="O513" s="12" t="n">
        <v>19.00826446280992</v>
      </c>
    </row>
    <row r="514">
      <c r="A514" s="10" t="n">
        <v>46171</v>
      </c>
      <c r="B514" t="inlineStr">
        <is>
          <t>Karina Gonçalves Martins</t>
        </is>
      </c>
      <c r="C514" s="1" t="inlineStr">
        <is>
          <t>JR</t>
        </is>
      </c>
      <c r="D514" s="3" t="n">
        <v>1</v>
      </c>
      <c r="E514" s="3" t="n">
        <v>1</v>
      </c>
      <c r="F514" s="3" t="n">
        <v>62.07</v>
      </c>
      <c r="G514" s="3" t="n">
        <v>0</v>
      </c>
      <c r="H514" s="3" t="n">
        <v>0</v>
      </c>
      <c r="I514" s="3" t="n">
        <v>1</v>
      </c>
      <c r="J514" s="3" t="n">
        <v>16</v>
      </c>
      <c r="K514" s="3" t="n">
        <v>-15</v>
      </c>
      <c r="L514" s="3" t="inlineStr">
        <is>
          <t>CRÍTICO</t>
        </is>
      </c>
      <c r="M514" s="3" t="n">
        <v>0</v>
      </c>
      <c r="N514" s="3" t="n">
        <v>97.87</v>
      </c>
      <c r="O514" s="12" t="n">
        <v>19.00826446280992</v>
      </c>
    </row>
    <row r="515">
      <c r="A515" s="5" t="n">
        <v>46146</v>
      </c>
      <c r="B515" s="6" t="inlineStr">
        <is>
          <t>Leandro de Souza Silva</t>
        </is>
      </c>
      <c r="C515" s="1" t="inlineStr">
        <is>
          <t>JR</t>
        </is>
      </c>
      <c r="D515" s="3" t="n">
        <v>12</v>
      </c>
      <c r="E515" s="3" t="n">
        <v>11</v>
      </c>
      <c r="F515" s="3" t="n">
        <v>25.03</v>
      </c>
      <c r="G515" s="3" t="n">
        <v>4</v>
      </c>
      <c r="H515" s="3" t="n">
        <v>0</v>
      </c>
      <c r="I515" s="3">
        <f>E515+G515+H515</f>
        <v/>
      </c>
      <c r="J515" s="3">
        <f>ROUND(MIN(IF(C515="Técnico III",35,IF(C515="Técnico II",28,IF(C515="Técnico I",23,IF(C515="JR",20,IF(C515="Estágio",10,0))))),IF(C515="Técnico III",SUMIFS($D:$D,$A:$A,$A515,$B:$B,"&lt;&gt;Patrícia Karla de Sousa Araújo",$B:$B,"&lt;&gt;Lorena Dias de Araujo",$B:$B,"&lt;&gt;Lucas Luiz Romero")*(35/1083),IF(C515="Técnico II",SUMIFS($D:$D,$A:$A,$A515,$B:$B,"&lt;&gt;Patrícia Karla de Sousa Araújo",$B:$B,"&lt;&gt;Lorena Dias de Araujo",$B:$B,"&lt;&gt;Lucas Luiz Romero")*(28/1083),IF(C515="Técnico I",SUMIFS($D:$D,$A:$A,$A515,$B:$B,"&lt;&gt;Patrícia Karla de Sousa Araújo",$B:$B,"&lt;&gt;Lorena Dias de Araujo",$B:$B,"&lt;&gt;Lucas Luiz Romero")*(23/1083),IF(C515="JR",SUMIFS($D:$D,$A:$A,$A515,$B:$B,"&lt;&gt;Patrícia Karla de Sousa Araújo",$B:$B,"&lt;&gt;Lorena Dias de Araujo",$B:$B,"&lt;&gt;Lucas Luiz Romero")*(20/1083),IF(C515="Estágio",SUMIFS($D:$D,$A:$A,$A515,$B:$B,"&lt;&gt;Patrícia Karla de Sousa Araújo",$B:$B,"&lt;&gt;Lorena Dias de Araujo",$B:$B,"&lt;&gt;Lucas Luiz Romero")*(10/1083),0)))))),0)</f>
        <v/>
      </c>
      <c r="K515" s="3">
        <f>I515-J515</f>
        <v/>
      </c>
      <c r="L515" s="3">
        <f>IF(K515&lt;-5,"CRÍTICO",IF(K515&lt;0,"ATENÇÃO",IF(K515&lt;=5,"OPORTUNO","MUITO BOM")))</f>
        <v/>
      </c>
      <c r="M515" s="3" t="n">
        <v>15</v>
      </c>
      <c r="N515" s="3" t="n">
        <v>100</v>
      </c>
      <c r="O515" s="12" t="n">
        <v>19.07216494845361</v>
      </c>
    </row>
    <row r="516">
      <c r="A516" s="5" t="n">
        <v>46155</v>
      </c>
      <c r="B516" s="6" t="inlineStr">
        <is>
          <t>Amanda Moura Ferreira</t>
        </is>
      </c>
      <c r="C516" s="1" t="inlineStr">
        <is>
          <t>Técnico III</t>
        </is>
      </c>
      <c r="D516" s="3" t="n">
        <v>0</v>
      </c>
      <c r="E516" s="3" t="n">
        <v>0</v>
      </c>
      <c r="F516" s="3" t="n">
        <v>0</v>
      </c>
      <c r="G516" s="3" t="n">
        <v>0</v>
      </c>
      <c r="H516" s="3" t="n">
        <v>0</v>
      </c>
      <c r="I516" s="3" t="n">
        <v>0</v>
      </c>
      <c r="J516" s="3" t="n">
        <v>0</v>
      </c>
      <c r="K516" s="3" t="n">
        <v>0</v>
      </c>
      <c r="L516" s="3">
        <f>IF(K516&lt;-5,"CRÍTICO",IF(K516&lt;0,"ATENÇÃO",IF(K516&lt;=5,"OPORTUNO","MUITO BOM")))</f>
        <v/>
      </c>
      <c r="M516" s="3" t="n">
        <v>0</v>
      </c>
      <c r="N516" s="3" t="n">
        <v>100</v>
      </c>
      <c r="O516" s="12" t="n">
        <v>0</v>
      </c>
    </row>
    <row r="517">
      <c r="A517" s="5" t="n">
        <v>46155</v>
      </c>
      <c r="B517" s="6" t="inlineStr">
        <is>
          <t>Ana Paula Da Luz Silva Aleixo</t>
        </is>
      </c>
      <c r="C517" s="1" t="inlineStr">
        <is>
          <t>Técnico III</t>
        </is>
      </c>
      <c r="D517" s="3" t="n">
        <v>26</v>
      </c>
      <c r="E517" s="3" t="n">
        <v>23</v>
      </c>
      <c r="F517" s="3" t="n">
        <v>18.24</v>
      </c>
      <c r="G517" s="3" t="n">
        <v>0</v>
      </c>
      <c r="H517" s="3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IF(K517&lt;-5,"CRÍTICO",IF(K517&lt;0,"ATENÇÃO",IF(K517&lt;=5,"OPORTUNO","MUITO BOM")))</f>
        <v/>
      </c>
      <c r="M517" s="3" t="n">
        <v>21</v>
      </c>
      <c r="N517" s="3" t="n">
        <v>96.94</v>
      </c>
      <c r="O517" s="12" t="n">
        <v>19.61325966850829</v>
      </c>
    </row>
    <row r="518">
      <c r="A518" s="5" t="n">
        <v>46155</v>
      </c>
      <c r="B518" s="6" t="inlineStr">
        <is>
          <t>Cristiane Ramos da Silva Rocha</t>
        </is>
      </c>
      <c r="C518" s="1" t="inlineStr">
        <is>
          <t>Técnico III</t>
        </is>
      </c>
      <c r="D518" s="3" t="n">
        <v>34</v>
      </c>
      <c r="E518" s="3" t="n">
        <v>30</v>
      </c>
      <c r="F518" s="3" t="n">
        <v>12.09</v>
      </c>
      <c r="G518" s="3" t="n">
        <v>0</v>
      </c>
      <c r="H518" s="3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IF(K518&lt;-5,"CRÍTICO",IF(K518&lt;0,"ATENÇÃO",IF(K518&lt;=5,"OPORTUNO","MUITO BOM")))</f>
        <v/>
      </c>
      <c r="M518" s="3" t="n">
        <v>31</v>
      </c>
      <c r="N518" s="3" t="n">
        <v>92.81</v>
      </c>
      <c r="O518" s="12" t="n">
        <v>25.47770700636943</v>
      </c>
    </row>
    <row r="519">
      <c r="A519" s="5" t="n">
        <v>46155</v>
      </c>
      <c r="B519" s="6" t="inlineStr">
        <is>
          <t>Davylla Rodrigues Freitas Silva</t>
        </is>
      </c>
      <c r="C519" s="1" t="inlineStr">
        <is>
          <t>Técnico III</t>
        </is>
      </c>
      <c r="D519" s="3" t="n">
        <v>23</v>
      </c>
      <c r="E519" s="3" t="n">
        <v>23</v>
      </c>
      <c r="F519" s="3" t="n">
        <v>25.33</v>
      </c>
      <c r="G519" s="3" t="n">
        <v>0</v>
      </c>
      <c r="H519" s="3" t="n">
        <v>0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IF(K519&lt;-5,"CRÍTICO",IF(K519&lt;0,"ATENÇÃO",IF(K519&lt;=5,"OPORTUNO","MUITO BOM")))</f>
        <v/>
      </c>
      <c r="M519" s="3" t="n">
        <v>21</v>
      </c>
      <c r="N519" s="3" t="n">
        <v>99.19</v>
      </c>
      <c r="O519" s="12" t="n">
        <v>28.40466926070039</v>
      </c>
    </row>
    <row r="520">
      <c r="A520" s="10" t="n">
        <v>46093</v>
      </c>
      <c r="B520" t="inlineStr">
        <is>
          <t>Matheus Farias De Souza</t>
        </is>
      </c>
      <c r="C520" s="1" t="inlineStr">
        <is>
          <t>Técnico III</t>
        </is>
      </c>
      <c r="D520" s="3" t="n">
        <v>25</v>
      </c>
      <c r="E520" s="3" t="n">
        <v>25</v>
      </c>
      <c r="F520" s="3" t="n">
        <v>20.52</v>
      </c>
      <c r="G520" s="3" t="n">
        <v>0</v>
      </c>
      <c r="H520" s="3" t="n">
        <v>0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IF(K520&lt;-5,"CRÍTICO",IF(K520&lt;0,"ATENÇÃO",IF(K520&lt;=5,"OPORTUNO","MUITO BOM")))</f>
        <v/>
      </c>
      <c r="M520" s="3" t="n">
        <v>22</v>
      </c>
      <c r="N520" s="3" t="n">
        <v>98.86</v>
      </c>
      <c r="O520" s="12" t="n">
        <v>28.95927601809955</v>
      </c>
    </row>
    <row r="521">
      <c r="A521" s="5" t="n">
        <v>46155</v>
      </c>
      <c r="B521" s="6" t="inlineStr">
        <is>
          <t>Francielson de Oliveira</t>
        </is>
      </c>
      <c r="C521" s="1" t="inlineStr">
        <is>
          <t>Técnico III</t>
        </is>
      </c>
      <c r="D521" s="3" t="n">
        <v>0</v>
      </c>
      <c r="E521" s="3" t="n">
        <v>0</v>
      </c>
      <c r="F521" s="3" t="n">
        <v>0</v>
      </c>
      <c r="G521" s="3" t="n">
        <v>0</v>
      </c>
      <c r="H521" s="3" t="n">
        <v>0</v>
      </c>
      <c r="I521" s="3" t="n">
        <v>0</v>
      </c>
      <c r="J521" s="3" t="n">
        <v>0</v>
      </c>
      <c r="K521" s="3" t="n">
        <v>0</v>
      </c>
      <c r="L521" s="3">
        <f>IF(K521&lt;-5,"CRÍTICO",IF(K521&lt;0,"ATENÇÃO",IF(K521&lt;=5,"OPORTUNO","MUITO BOM")))</f>
        <v/>
      </c>
      <c r="M521" s="3" t="n">
        <v>0</v>
      </c>
      <c r="N521" s="3" t="n">
        <v>100</v>
      </c>
      <c r="O521" s="12" t="n">
        <v>13.51351351351351</v>
      </c>
    </row>
    <row r="522">
      <c r="A522" s="5" t="n">
        <v>46155</v>
      </c>
      <c r="B522" s="6" t="inlineStr">
        <is>
          <t>Janaina Lima dos Reis Urany</t>
        </is>
      </c>
      <c r="C522" s="1" t="inlineStr">
        <is>
          <t>Técnico III</t>
        </is>
      </c>
      <c r="D522" s="3" t="n">
        <v>46</v>
      </c>
      <c r="E522" s="3" t="n">
        <v>40</v>
      </c>
      <c r="F522" s="3" t="n">
        <v>16.42</v>
      </c>
      <c r="G522" s="3" t="n">
        <v>3</v>
      </c>
      <c r="H522" s="3" t="n">
        <v>0</v>
      </c>
      <c r="I522" s="3">
        <f>E522+G522+H522</f>
        <v/>
      </c>
      <c r="J522" s="3">
        <f>ROUND(MIN(IF(C522="Técnico III",35,IF(C522="Técnico II",28,IF(C522="Técnico I",23,IF(C522="JR",20,IF(C522="Estágio",10,0))))),IF(C522="Técnico III",SUMIFS($D:$D,$A:$A,$A522,$B:$B,"&lt;&gt;Patrícia Karla de Sousa Araújo",$B:$B,"&lt;&gt;Lorena Dias de Araujo",$B:$B,"&lt;&gt;Lucas Luiz Romero")*(35/1083),IF(C522="Técnico II",SUMIFS($D:$D,$A:$A,$A522,$B:$B,"&lt;&gt;Patrícia Karla de Sousa Araújo",$B:$B,"&lt;&gt;Lorena Dias de Araujo",$B:$B,"&lt;&gt;Lucas Luiz Romero")*(28/1083),IF(C522="Técnico I",SUMIFS($D:$D,$A:$A,$A522,$B:$B,"&lt;&gt;Patrícia Karla de Sousa Araújo",$B:$B,"&lt;&gt;Lorena Dias de Araujo",$B:$B,"&lt;&gt;Lucas Luiz Romero")*(23/1083),IF(C522="JR",SUMIFS($D:$D,$A:$A,$A522,$B:$B,"&lt;&gt;Patrícia Karla de Sousa Araújo",$B:$B,"&lt;&gt;Lorena Dias de Araujo",$B:$B,"&lt;&gt;Lucas Luiz Romero")*(20/1083),IF(C522="Estágio",SUMIFS($D:$D,$A:$A,$A522,$B:$B,"&lt;&gt;Patrícia Karla de Sousa Araújo",$B:$B,"&lt;&gt;Lorena Dias de Araujo",$B:$B,"&lt;&gt;Lucas Luiz Romero")*(10/1083),0)))))),0)</f>
        <v/>
      </c>
      <c r="K522" s="3">
        <f>I522-J522</f>
        <v/>
      </c>
      <c r="L522" s="3">
        <f>IF(K522&lt;-5,"CRÍTICO",IF(K522&lt;0,"ATENÇÃO",IF(K522&lt;=5,"OPORTUNO","MUITO BOM")))</f>
        <v/>
      </c>
      <c r="M522" s="3" t="n">
        <v>37</v>
      </c>
      <c r="N522" s="3" t="n">
        <v>99</v>
      </c>
      <c r="O522" s="12" t="n">
        <v>22.27414330218069</v>
      </c>
    </row>
    <row r="523">
      <c r="A523" s="5" t="n">
        <v>46155</v>
      </c>
      <c r="B523" s="6" t="inlineStr">
        <is>
          <t>Jaqueline Evangelista da Silva Martins</t>
        </is>
      </c>
      <c r="C523" s="1" t="inlineStr">
        <is>
          <t>Técnico III</t>
        </is>
      </c>
      <c r="D523" s="3" t="n">
        <v>30</v>
      </c>
      <c r="E523" s="3" t="n">
        <v>29</v>
      </c>
      <c r="F523" s="3" t="n">
        <v>12.34</v>
      </c>
      <c r="G523" s="3" t="n">
        <v>5</v>
      </c>
      <c r="H523" s="3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IF(K523&lt;-5,"CRÍTICO",IF(K523&lt;0,"ATENÇÃO",IF(K523&lt;=5,"OPORTUNO","MUITO BOM")))</f>
        <v/>
      </c>
      <c r="M523" s="3" t="n">
        <v>31</v>
      </c>
      <c r="N523" s="3" t="n">
        <v>97.04000000000001</v>
      </c>
      <c r="O523" s="12" t="n">
        <v>29.82885085574572</v>
      </c>
    </row>
    <row r="524">
      <c r="A524" s="5" t="n">
        <v>46155</v>
      </c>
      <c r="B524" s="6" t="inlineStr">
        <is>
          <t>Jéssica Fé Moura</t>
        </is>
      </c>
      <c r="C524" s="1" t="inlineStr">
        <is>
          <t>Técnico III</t>
        </is>
      </c>
      <c r="D524" s="3" t="n">
        <v>0</v>
      </c>
      <c r="E524" s="3" t="n">
        <v>0</v>
      </c>
      <c r="F524" s="3" t="n">
        <v>0</v>
      </c>
      <c r="G524" s="3" t="n">
        <v>0</v>
      </c>
      <c r="H524" s="3" t="n">
        <v>0</v>
      </c>
      <c r="I524" s="3" t="n">
        <v>0</v>
      </c>
      <c r="J524" s="3" t="n">
        <v>0</v>
      </c>
      <c r="K524" s="3" t="n">
        <v>0</v>
      </c>
      <c r="L524" s="3">
        <f>IF(K524&lt;-5,"CRÍTICO",IF(K524&lt;0,"ATENÇÃO",IF(K524&lt;=5,"OPORTUNO","MUITO BOM")))</f>
        <v/>
      </c>
      <c r="M524" s="3" t="n">
        <v>0</v>
      </c>
      <c r="N524" s="3" t="n">
        <v>0</v>
      </c>
      <c r="O524" s="12" t="n">
        <v>0</v>
      </c>
    </row>
    <row r="525">
      <c r="A525" s="5" t="n">
        <v>46155</v>
      </c>
      <c r="B525" s="6" t="inlineStr">
        <is>
          <t>Kerollen Cristielly de Jesus Siqueira</t>
        </is>
      </c>
      <c r="C525" s="1" t="inlineStr">
        <is>
          <t>Técnico III</t>
        </is>
      </c>
      <c r="D525" s="3" t="n">
        <v>27</v>
      </c>
      <c r="E525" s="3" t="n">
        <v>26</v>
      </c>
      <c r="F525" s="3" t="n">
        <v>15.44</v>
      </c>
      <c r="G525" s="3" t="n">
        <v>0</v>
      </c>
      <c r="H525" s="3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IF(K525&lt;-5,"CRÍTICO",IF(K525&lt;0,"ATENÇÃO",IF(K525&lt;=5,"OPORTUNO","MUITO BOM")))</f>
        <v/>
      </c>
      <c r="M525" s="3" t="n">
        <v>20</v>
      </c>
      <c r="N525" s="3" t="n">
        <v>96.84</v>
      </c>
      <c r="O525" s="12" t="n">
        <v>16.33802816901408</v>
      </c>
    </row>
    <row r="526">
      <c r="A526" s="5" t="n">
        <v>46155</v>
      </c>
      <c r="B526" s="6" t="inlineStr">
        <is>
          <t>Leandro Oliveira de Sousa</t>
        </is>
      </c>
      <c r="C526" s="1" t="inlineStr">
        <is>
          <t>Técnico III</t>
        </is>
      </c>
      <c r="D526" s="3" t="n">
        <v>25</v>
      </c>
      <c r="E526" s="3" t="n">
        <v>24</v>
      </c>
      <c r="F526" s="3" t="n">
        <v>20</v>
      </c>
      <c r="G526" s="3" t="n">
        <v>1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IF(K526&lt;-5,"CRÍTICO",IF(K526&lt;0,"ATENÇÃO",IF(K526&lt;=5,"OPORTUNO","MUITO BOM")))</f>
        <v/>
      </c>
      <c r="M526" s="3" t="n">
        <v>26</v>
      </c>
      <c r="N526" s="3" t="n">
        <v>100</v>
      </c>
      <c r="O526" s="12" t="n">
        <v>18.24480369515012</v>
      </c>
    </row>
    <row r="527">
      <c r="A527" s="5" t="n">
        <v>46155</v>
      </c>
      <c r="B527" s="6" t="inlineStr">
        <is>
          <t>Lucas Luiz Romero</t>
        </is>
      </c>
      <c r="C527" s="1" t="inlineStr">
        <is>
          <t>Técnico III</t>
        </is>
      </c>
      <c r="D527" s="3" t="n">
        <v>0</v>
      </c>
      <c r="E527" s="3" t="n">
        <v>0</v>
      </c>
      <c r="F527" s="3" t="n">
        <v>0</v>
      </c>
      <c r="G527" s="3" t="n">
        <v>0</v>
      </c>
      <c r="H527" s="3" t="n">
        <v>0</v>
      </c>
      <c r="I527" s="3" t="n">
        <v>0</v>
      </c>
      <c r="J527" s="3" t="n">
        <v>0</v>
      </c>
      <c r="K527" s="3" t="n">
        <v>0</v>
      </c>
      <c r="L527" s="3">
        <f>IF(K527&lt;-5,"CRÍTICO",IF(K527&lt;0,"ATENÇÃO",IF(K527&lt;=5,"OPORTUNO","MUITO BOM")))</f>
        <v/>
      </c>
      <c r="M527" s="3" t="n">
        <v>0</v>
      </c>
      <c r="N527" s="3" t="n">
        <v>100</v>
      </c>
      <c r="O527" s="12" t="n">
        <v>15.78947368421053</v>
      </c>
    </row>
    <row r="528">
      <c r="A528" s="5" t="n">
        <v>46155</v>
      </c>
      <c r="B528" s="6" t="inlineStr">
        <is>
          <t>Maysa Victoria Dias Moura</t>
        </is>
      </c>
      <c r="C528" s="1" t="inlineStr">
        <is>
          <t>Técnico III</t>
        </is>
      </c>
      <c r="D528" s="3" t="n">
        <v>36</v>
      </c>
      <c r="E528" s="3" t="n">
        <v>30</v>
      </c>
      <c r="F528" s="3" t="n">
        <v>10.47</v>
      </c>
      <c r="G528" s="3" t="n">
        <v>4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IF(K528&lt;-5,"CRÍTICO",IF(K528&lt;0,"ATENÇÃO",IF(K528&lt;=5,"OPORTUNO","MUITO BOM")))</f>
        <v/>
      </c>
      <c r="M528" s="3" t="n">
        <v>29</v>
      </c>
      <c r="N528" s="3" t="n">
        <v>96.38</v>
      </c>
      <c r="O528" s="12" t="n">
        <v>23.1981981981982</v>
      </c>
    </row>
    <row r="529">
      <c r="A529" s="5" t="n">
        <v>46155</v>
      </c>
      <c r="B529" s="6" t="inlineStr">
        <is>
          <t>Rafael Gomes de Morais</t>
        </is>
      </c>
      <c r="C529" s="1" t="inlineStr">
        <is>
          <t>Técnico III</t>
        </is>
      </c>
      <c r="D529" s="3" t="n">
        <v>36</v>
      </c>
      <c r="E529" s="3" t="n">
        <v>32</v>
      </c>
      <c r="F529" s="3" t="n">
        <v>13.49</v>
      </c>
      <c r="G529" s="3" t="n">
        <v>5</v>
      </c>
      <c r="H529" s="3" t="n">
        <v>0</v>
      </c>
      <c r="I529" s="3">
        <f>E529+G529+H529</f>
        <v/>
      </c>
      <c r="J529" s="3">
        <f>ROUND(MIN(IF(C529="Técnico III",35,IF(C529="Técnico II",28,IF(C529="Técnico I",23,IF(C529="JR",20,IF(C529="Estágio",10,0))))),IF(C529="Técnico III",SUMIFS($D:$D,$A:$A,$A529,$B:$B,"&lt;&gt;Patrícia Karla de Sousa Araújo",$B:$B,"&lt;&gt;Lorena Dias de Araujo",$B:$B,"&lt;&gt;Lucas Luiz Romero")*(35/1083),IF(C529="Técnico II",SUMIFS($D:$D,$A:$A,$A529,$B:$B,"&lt;&gt;Patrícia Karla de Sousa Araújo",$B:$B,"&lt;&gt;Lorena Dias de Araujo",$B:$B,"&lt;&gt;Lucas Luiz Romero")*(28/1083),IF(C529="Técnico I",SUMIFS($D:$D,$A:$A,$A529,$B:$B,"&lt;&gt;Patrícia Karla de Sousa Araújo",$B:$B,"&lt;&gt;Lorena Dias de Araujo",$B:$B,"&lt;&gt;Lucas Luiz Romero")*(23/1083),IF(C529="JR",SUMIFS($D:$D,$A:$A,$A529,$B:$B,"&lt;&gt;Patrícia Karla de Sousa Araújo",$B:$B,"&lt;&gt;Lorena Dias de Araujo",$B:$B,"&lt;&gt;Lucas Luiz Romero")*(20/1083),IF(C529="Estágio",SUMIFS($D:$D,$A:$A,$A529,$B:$B,"&lt;&gt;Patrícia Karla de Sousa Araújo",$B:$B,"&lt;&gt;Lorena Dias de Araujo",$B:$B,"&lt;&gt;Lucas Luiz Romero")*(10/1083),0)))))),0)</f>
        <v/>
      </c>
      <c r="K529" s="3">
        <f>I529-J529</f>
        <v/>
      </c>
      <c r="L529" s="3">
        <f>IF(K529&lt;-5,"CRÍTICO",IF(K529&lt;0,"ATENÇÃO",IF(K529&lt;=5,"OPORTUNO","MUITO BOM")))</f>
        <v/>
      </c>
      <c r="M529" s="3" t="n">
        <v>32</v>
      </c>
      <c r="N529" s="3" t="n">
        <v>99.39</v>
      </c>
      <c r="O529" s="12" t="n">
        <v>25.20325203252033</v>
      </c>
    </row>
    <row r="530">
      <c r="A530" s="5" t="n">
        <v>46155</v>
      </c>
      <c r="B530" s="6" t="inlineStr">
        <is>
          <t>Sarah Steffanie de Lima Borges</t>
        </is>
      </c>
      <c r="C530" s="1" t="inlineStr">
        <is>
          <t>Técnico III</t>
        </is>
      </c>
      <c r="D530" s="3" t="n">
        <v>25</v>
      </c>
      <c r="E530" s="3" t="n">
        <v>23</v>
      </c>
      <c r="F530" s="3" t="n">
        <v>17.29</v>
      </c>
      <c r="G530" s="3" t="n">
        <v>0</v>
      </c>
      <c r="H530" s="3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IF(K530&lt;-5,"CRÍTICO",IF(K530&lt;0,"ATENÇÃO",IF(K530&lt;=5,"OPORTUNO","MUITO BOM")))</f>
        <v/>
      </c>
      <c r="M530" s="3" t="n">
        <v>21</v>
      </c>
      <c r="N530" s="3" t="n">
        <v>97</v>
      </c>
      <c r="O530" s="12" t="n">
        <v>20.32520325203252</v>
      </c>
    </row>
    <row r="531">
      <c r="A531" s="5" t="n">
        <v>46155</v>
      </c>
      <c r="B531" s="6" t="inlineStr">
        <is>
          <t>Alisson de Freitas Silva</t>
        </is>
      </c>
      <c r="C531" s="1" t="inlineStr">
        <is>
          <t>Técnico II</t>
        </is>
      </c>
      <c r="D531" s="3" t="n">
        <v>28</v>
      </c>
      <c r="E531" s="3" t="n">
        <v>21</v>
      </c>
      <c r="F531" s="3" t="n">
        <v>17.22</v>
      </c>
      <c r="G531" s="3" t="n">
        <v>2</v>
      </c>
      <c r="H531" s="3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M531" s="3" t="n">
        <v>17</v>
      </c>
      <c r="N531" s="3" t="n">
        <v>99.18000000000001</v>
      </c>
      <c r="O531" s="12" t="n">
        <v>24.5014245014245</v>
      </c>
    </row>
    <row r="532">
      <c r="A532" s="5" t="n">
        <v>46155</v>
      </c>
      <c r="B532" s="6" t="inlineStr">
        <is>
          <t>Brenda de Menezes Silva</t>
        </is>
      </c>
      <c r="C532" s="1" t="inlineStr">
        <is>
          <t>Técnico II</t>
        </is>
      </c>
      <c r="D532" s="3" t="n">
        <v>33</v>
      </c>
      <c r="E532" s="3" t="n">
        <v>29</v>
      </c>
      <c r="F532" s="3" t="n">
        <v>18.31</v>
      </c>
      <c r="G532" s="3" t="n">
        <v>1</v>
      </c>
      <c r="H532" s="3" t="n">
        <v>0</v>
      </c>
      <c r="I532" s="3">
        <f>E532+G532+H532</f>
        <v/>
      </c>
      <c r="J532" s="3">
        <f>ROUND(MIN(IF(C532="Técnico III",35,IF(C532="Técnico II",28,IF(C532="Técnico I",23,IF(C532="JR",20,IF(C532="Estágio",10,0))))),IF(C532="Técnico III",SUMIFS($D:$D,$A:$A,$A532,$B:$B,"&lt;&gt;Patrícia Karla de Sousa Araújo",$B:$B,"&lt;&gt;Lorena Dias de Araujo",$B:$B,"&lt;&gt;Lucas Luiz Romero")*(35/1083),IF(C532="Técnico II",SUMIFS($D:$D,$A:$A,$A532,$B:$B,"&lt;&gt;Patrícia Karla de Sousa Araújo",$B:$B,"&lt;&gt;Lorena Dias de Araujo",$B:$B,"&lt;&gt;Lucas Luiz Romero")*(28/1083),IF(C532="Técnico I",SUMIFS($D:$D,$A:$A,$A532,$B:$B,"&lt;&gt;Patrícia Karla de Sousa Araújo",$B:$B,"&lt;&gt;Lorena Dias de Araujo",$B:$B,"&lt;&gt;Lucas Luiz Romero")*(23/1083),IF(C532="JR",SUMIFS($D:$D,$A:$A,$A532,$B:$B,"&lt;&gt;Patrícia Karla de Sousa Araújo",$B:$B,"&lt;&gt;Lorena Dias de Araujo",$B:$B,"&lt;&gt;Lucas Luiz Romero")*(20/1083),IF(C532="Estágio",SUMIFS($D:$D,$A:$A,$A532,$B:$B,"&lt;&gt;Patrícia Karla de Sousa Araújo",$B:$B,"&lt;&gt;Lorena Dias de Araujo",$B:$B,"&lt;&gt;Lucas Luiz Romero")*(10/1083),0)))))),0)</f>
        <v/>
      </c>
      <c r="K532" s="3">
        <f>I532-J532</f>
        <v/>
      </c>
      <c r="L532" s="3">
        <f>IF(K532&lt;-5,"CRÍTICO",IF(K532&lt;0,"ATENÇÃO",IF(K532&lt;=5,"OPORTUNO","MUITO BOM")))</f>
        <v/>
      </c>
      <c r="M532" s="3" t="n">
        <v>30</v>
      </c>
      <c r="N532" s="3" t="n">
        <v>99.34999999999999</v>
      </c>
      <c r="O532" s="12" t="n">
        <v>19.85294117647059</v>
      </c>
    </row>
    <row r="533">
      <c r="A533" s="5" t="n">
        <v>46155</v>
      </c>
      <c r="B533" s="6" t="inlineStr">
        <is>
          <t>Carlos Mateus Cassimiro Nunes</t>
        </is>
      </c>
      <c r="C533" s="1" t="inlineStr">
        <is>
          <t>Técnico II</t>
        </is>
      </c>
      <c r="D533" s="3" t="n">
        <v>17</v>
      </c>
      <c r="E533" s="3" t="n">
        <v>16</v>
      </c>
      <c r="F533" s="3" t="n">
        <v>28.53</v>
      </c>
      <c r="G533" s="3" t="n">
        <v>5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IF(K533&lt;-5,"CRÍTICO",IF(K533&lt;0,"ATENÇÃO",IF(K533&lt;=5,"OPORTUNO","MUITO BOM")))</f>
        <v/>
      </c>
      <c r="M533" s="3" t="n">
        <v>19</v>
      </c>
      <c r="N533" s="3" t="n">
        <v>99.06999999999999</v>
      </c>
      <c r="O533" s="12" t="n">
        <v>20.09803921568627</v>
      </c>
    </row>
    <row r="534">
      <c r="A534" s="5" t="n">
        <v>46155</v>
      </c>
      <c r="B534" s="6" t="inlineStr">
        <is>
          <t>Damyllis Lorraine de Oliveira Gonçalves</t>
        </is>
      </c>
      <c r="C534" s="1" t="inlineStr">
        <is>
          <t>Técnico II</t>
        </is>
      </c>
      <c r="D534" s="3" t="n">
        <v>12</v>
      </c>
      <c r="E534" s="3" t="n">
        <v>9</v>
      </c>
      <c r="F534" s="3" t="n">
        <v>22.13</v>
      </c>
      <c r="G534" s="3" t="n">
        <v>0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IF(K534&lt;-5,"CRÍTICO",IF(K534&lt;0,"ATENÇÃO",IF(K534&lt;=5,"OPORTUNO","MUITO BOM")))</f>
        <v/>
      </c>
      <c r="M534" s="3" t="n">
        <v>13</v>
      </c>
      <c r="N534" s="3" t="n">
        <v>98.81</v>
      </c>
      <c r="O534" s="12" t="n">
        <v>22.76785714285714</v>
      </c>
    </row>
    <row r="535">
      <c r="A535" s="5" t="n">
        <v>46155</v>
      </c>
      <c r="B535" s="6" t="inlineStr">
        <is>
          <t>Emilly Kamilly Medeiros Miranda</t>
        </is>
      </c>
      <c r="C535" s="1" t="inlineStr">
        <is>
          <t>Técnico II</t>
        </is>
      </c>
      <c r="D535" s="3" t="n">
        <v>28</v>
      </c>
      <c r="E535" s="3" t="n">
        <v>25</v>
      </c>
      <c r="F535" s="3" t="n">
        <v>20.05</v>
      </c>
      <c r="G535" s="3" t="n">
        <v>2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IF(K535&lt;-5,"CRÍTICO",IF(K535&lt;0,"ATENÇÃO",IF(K535&lt;=5,"OPORTUNO","MUITO BOM")))</f>
        <v/>
      </c>
      <c r="M535" s="3" t="n">
        <v>19</v>
      </c>
      <c r="N535" s="3" t="n">
        <v>99.01000000000001</v>
      </c>
      <c r="O535" s="12" t="n">
        <v>17.76649746192894</v>
      </c>
    </row>
    <row r="536">
      <c r="A536" s="5" t="n">
        <v>46155</v>
      </c>
      <c r="B536" s="6" t="inlineStr">
        <is>
          <t>Francilene Ferreira de Jesus</t>
        </is>
      </c>
      <c r="C536" s="1" t="inlineStr">
        <is>
          <t>Técnico II</t>
        </is>
      </c>
      <c r="D536" s="3" t="n">
        <v>0</v>
      </c>
      <c r="E536" s="3" t="n">
        <v>0</v>
      </c>
      <c r="F536" s="3" t="n">
        <v>0</v>
      </c>
      <c r="G536" s="3" t="n">
        <v>0</v>
      </c>
      <c r="H536" s="3" t="n">
        <v>0</v>
      </c>
      <c r="I536" s="3" t="n">
        <v>0</v>
      </c>
      <c r="J536" s="3" t="n">
        <v>0</v>
      </c>
      <c r="K536" s="3" t="n">
        <v>0</v>
      </c>
      <c r="L536" s="3">
        <f>IF(K536&lt;-5,"CRÍTICO",IF(K536&lt;0,"ATENÇÃO",IF(K536&lt;=5,"OPORTUNO","MUITO BOM")))</f>
        <v/>
      </c>
      <c r="M536" s="3" t="n">
        <v>0</v>
      </c>
      <c r="N536" s="3" t="n">
        <v>100</v>
      </c>
      <c r="O536" s="12" t="n">
        <v>17.24137931034483</v>
      </c>
    </row>
    <row r="537">
      <c r="A537" s="5" t="n">
        <v>46155</v>
      </c>
      <c r="B537" s="6" t="inlineStr">
        <is>
          <t>Isabella Borges de Oliveira</t>
        </is>
      </c>
      <c r="C537" s="1" t="inlineStr">
        <is>
          <t>Técnico II</t>
        </is>
      </c>
      <c r="D537" s="3" t="n">
        <v>21</v>
      </c>
      <c r="E537" s="3" t="n">
        <v>21</v>
      </c>
      <c r="F537" s="3" t="n">
        <v>28.56</v>
      </c>
      <c r="G537" s="3" t="n">
        <v>1</v>
      </c>
      <c r="H537" s="3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M537" s="3" t="n">
        <v>22</v>
      </c>
      <c r="N537" s="3" t="n">
        <v>98.98</v>
      </c>
      <c r="O537" s="12" t="n">
        <v>19.35483870967742</v>
      </c>
    </row>
    <row r="538">
      <c r="A538" s="5" t="n">
        <v>46155</v>
      </c>
      <c r="B538" s="6" t="inlineStr">
        <is>
          <t>Jessica Faria da Silveira</t>
        </is>
      </c>
      <c r="C538" s="1" t="inlineStr">
        <is>
          <t>Técnico II</t>
        </is>
      </c>
      <c r="D538" s="3" t="n">
        <v>33</v>
      </c>
      <c r="E538" s="3" t="n">
        <v>27</v>
      </c>
      <c r="F538" s="3" t="n">
        <v>15.43</v>
      </c>
      <c r="G538" s="3" t="n">
        <v>0</v>
      </c>
      <c r="H538" s="3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M538" s="3" t="n">
        <v>23</v>
      </c>
      <c r="N538" s="3" t="n">
        <v>98.94</v>
      </c>
      <c r="O538" s="12" t="n">
        <v>21.2707182320442</v>
      </c>
    </row>
    <row r="539">
      <c r="A539" s="5" t="n">
        <v>46155</v>
      </c>
      <c r="B539" s="6" t="inlineStr">
        <is>
          <t>Lizandra Gomes Duarte</t>
        </is>
      </c>
      <c r="C539" s="1" t="inlineStr">
        <is>
          <t>Técnico II</t>
        </is>
      </c>
      <c r="D539" s="3" t="n">
        <v>21</v>
      </c>
      <c r="E539" s="3" t="n">
        <v>20</v>
      </c>
      <c r="F539" s="3" t="n">
        <v>22.3</v>
      </c>
      <c r="G539" s="3" t="n">
        <v>5</v>
      </c>
      <c r="H539" s="3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M539" s="3" t="n">
        <v>22</v>
      </c>
      <c r="N539" s="3" t="n">
        <v>99</v>
      </c>
      <c r="O539" s="12" t="n">
        <v>22.01086956521739</v>
      </c>
    </row>
    <row r="540">
      <c r="A540" s="5" t="n">
        <v>46155</v>
      </c>
      <c r="B540" s="6" t="inlineStr">
        <is>
          <t>Lorena Dias de Araujo</t>
        </is>
      </c>
      <c r="C540" s="1" t="inlineStr">
        <is>
          <t>Técnico II</t>
        </is>
      </c>
      <c r="D540" s="3" t="n">
        <v>30</v>
      </c>
      <c r="E540" s="3" t="n">
        <v>29</v>
      </c>
      <c r="F540" s="3" t="n">
        <v>15.49</v>
      </c>
      <c r="G540" s="3" t="n">
        <v>0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IF(K540&lt;-5,"CRÍTICO",IF(K540&lt;0,"ATENÇÃO",IF(K540&lt;=5,"OPORTUNO","MUITO BOM")))</f>
        <v/>
      </c>
      <c r="M540" s="3" t="n">
        <v>26</v>
      </c>
      <c r="N540" s="3" t="n">
        <v>100</v>
      </c>
      <c r="O540" s="12" t="n">
        <v>25</v>
      </c>
    </row>
    <row r="541">
      <c r="A541" s="5" t="n">
        <v>46155</v>
      </c>
      <c r="B541" s="6" t="inlineStr">
        <is>
          <t>Patrícia Karla de Sousa Araújo</t>
        </is>
      </c>
      <c r="C541" s="1" t="inlineStr">
        <is>
          <t>Técnico II</t>
        </is>
      </c>
      <c r="D541" s="3" t="n">
        <v>24</v>
      </c>
      <c r="E541" s="3" t="n">
        <v>22</v>
      </c>
      <c r="F541" s="3" t="n">
        <v>21.47</v>
      </c>
      <c r="G541" s="3" t="n">
        <v>0</v>
      </c>
      <c r="H541" s="3" t="n">
        <v>0</v>
      </c>
      <c r="I541" s="3">
        <f>E541+G541+H541</f>
        <v/>
      </c>
      <c r="J541" s="3">
        <f>ROUND(MIN(IF(C541="Técnico III",35,IF(C541="Técnico II",28,IF(C541="Técnico I",23,IF(C541="JR",20,IF(C541="Estágio",10,0))))),IF(C541="Técnico III",SUMIFS($D:$D,$A:$A,$A541,$B:$B,"&lt;&gt;Patrícia Karla de Sousa Araújo",$B:$B,"&lt;&gt;Lorena Dias de Araujo",$B:$B,"&lt;&gt;Lucas Luiz Romero")*(35/1083),IF(C541="Técnico II",SUMIFS($D:$D,$A:$A,$A541,$B:$B,"&lt;&gt;Patrícia Karla de Sousa Araújo",$B:$B,"&lt;&gt;Lorena Dias de Araujo",$B:$B,"&lt;&gt;Lucas Luiz Romero")*(28/1083),IF(C541="Técnico I",SUMIFS($D:$D,$A:$A,$A541,$B:$B,"&lt;&gt;Patrícia Karla de Sousa Araújo",$B:$B,"&lt;&gt;Lorena Dias de Araujo",$B:$B,"&lt;&gt;Lucas Luiz Romero")*(23/1083),IF(C541="JR",SUMIFS($D:$D,$A:$A,$A541,$B:$B,"&lt;&gt;Patrícia Karla de Sousa Araújo",$B:$B,"&lt;&gt;Lorena Dias de Araujo",$B:$B,"&lt;&gt;Lucas Luiz Romero")*(20/1083),IF(C541="Estágio",SUMIFS($D:$D,$A:$A,$A541,$B:$B,"&lt;&gt;Patrícia Karla de Sousa Araújo",$B:$B,"&lt;&gt;Lorena Dias de Araujo",$B:$B,"&lt;&gt;Lucas Luiz Romero")*(10/1083),0)))))),0)</f>
        <v/>
      </c>
      <c r="K541" s="3">
        <f>I541-J541</f>
        <v/>
      </c>
      <c r="L541" s="3">
        <f>IF(K541&lt;-5,"CRÍTICO",IF(K541&lt;0,"ATENÇÃO",IF(K541&lt;=5,"OPORTUNO","MUITO BOM")))</f>
        <v/>
      </c>
      <c r="M541" s="3" t="n">
        <v>18</v>
      </c>
      <c r="N541" s="3" t="n">
        <v>100</v>
      </c>
      <c r="O541" s="12" t="n">
        <v>20.18348623853211</v>
      </c>
    </row>
    <row r="542">
      <c r="A542" s="5" t="n">
        <v>46155</v>
      </c>
      <c r="B542" s="6" t="inlineStr">
        <is>
          <t>Ana Karollyne Souza Faria</t>
        </is>
      </c>
      <c r="C542" s="1" t="inlineStr">
        <is>
          <t>Técnico I</t>
        </is>
      </c>
      <c r="D542" s="3" t="n">
        <v>25</v>
      </c>
      <c r="E542" s="3" t="n">
        <v>21</v>
      </c>
      <c r="F542" s="3" t="n">
        <v>22.22</v>
      </c>
      <c r="G542" s="3" t="n">
        <v>7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IF(K542&lt;-5,"CRÍTICO",IF(K542&lt;0,"ATENÇÃO",IF(K542&lt;=5,"OPORTUNO","MUITO BOM")))</f>
        <v/>
      </c>
      <c r="M542" s="3" t="n">
        <v>26</v>
      </c>
      <c r="N542" s="3" t="n">
        <v>96.25</v>
      </c>
      <c r="O542" s="12" t="n">
        <v>25.5863539445629</v>
      </c>
    </row>
    <row r="543">
      <c r="A543" s="5" t="n">
        <v>46155</v>
      </c>
      <c r="B543" s="6" t="inlineStr">
        <is>
          <t>Clessiane Pereira dos Santos</t>
        </is>
      </c>
      <c r="C543" s="1" t="inlineStr">
        <is>
          <t>Técnico I</t>
        </is>
      </c>
      <c r="D543" s="3" t="n">
        <v>37</v>
      </c>
      <c r="E543" s="3" t="n">
        <v>32</v>
      </c>
      <c r="F543" s="3" t="n">
        <v>15.32</v>
      </c>
      <c r="G543" s="3" t="n">
        <v>3</v>
      </c>
      <c r="H543" s="3" t="n">
        <v>0</v>
      </c>
      <c r="I543" s="3">
        <f>E543+G543+H543</f>
        <v/>
      </c>
      <c r="J543" s="3">
        <f>ROUND(MIN(IF(C543="Técnico III",35,IF(C543="Técnico II",28,IF(C543="Técnico I",23,IF(C543="JR",20,IF(C543="Estágio",10,0))))),IF(C543="Técnico III",SUMIFS($D:$D,$A:$A,$A543,$B:$B,"&lt;&gt;Patrícia Karla de Sousa Araújo",$B:$B,"&lt;&gt;Lorena Dias de Araujo",$B:$B,"&lt;&gt;Lucas Luiz Romero")*(35/1083),IF(C543="Técnico II",SUMIFS($D:$D,$A:$A,$A543,$B:$B,"&lt;&gt;Patrícia Karla de Sousa Araújo",$B:$B,"&lt;&gt;Lorena Dias de Araujo",$B:$B,"&lt;&gt;Lucas Luiz Romero")*(28/1083),IF(C543="Técnico I",SUMIFS($D:$D,$A:$A,$A543,$B:$B,"&lt;&gt;Patrícia Karla de Sousa Araújo",$B:$B,"&lt;&gt;Lorena Dias de Araujo",$B:$B,"&lt;&gt;Lucas Luiz Romero")*(23/1083),IF(C543="JR",SUMIFS($D:$D,$A:$A,$A543,$B:$B,"&lt;&gt;Patrícia Karla de Sousa Araújo",$B:$B,"&lt;&gt;Lorena Dias de Araujo",$B:$B,"&lt;&gt;Lucas Luiz Romero")*(20/1083),IF(C543="Estágio",SUMIFS($D:$D,$A:$A,$A543,$B:$B,"&lt;&gt;Patrícia Karla de Sousa Araújo",$B:$B,"&lt;&gt;Lorena Dias de Araujo",$B:$B,"&lt;&gt;Lucas Luiz Romero")*(10/1083),0)))))),0)</f>
        <v/>
      </c>
      <c r="K543" s="3">
        <f>I543-J543</f>
        <v/>
      </c>
      <c r="L543" s="3">
        <f>IF(K543&lt;-5,"CRÍTICO",IF(K543&lt;0,"ATENÇÃO",IF(K543&lt;=5,"OPORTUNO","MUITO BOM")))</f>
        <v/>
      </c>
      <c r="M543" s="3" t="n">
        <v>26</v>
      </c>
      <c r="N543" s="3" t="n">
        <v>97.48</v>
      </c>
      <c r="O543" s="12" t="n">
        <v>22.99465240641711</v>
      </c>
    </row>
    <row r="544">
      <c r="A544" s="5" t="n">
        <v>46155</v>
      </c>
      <c r="B544" s="6" t="inlineStr">
        <is>
          <t>Daniel Gomes da Silva</t>
        </is>
      </c>
      <c r="C544" s="1" t="inlineStr">
        <is>
          <t>Técnico I</t>
        </is>
      </c>
      <c r="D544" s="3" t="n">
        <v>17</v>
      </c>
      <c r="E544" s="3" t="n">
        <v>16</v>
      </c>
      <c r="F544" s="3" t="n">
        <v>21.54</v>
      </c>
      <c r="G544" s="3" t="n">
        <v>5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IF(K544&lt;-5,"CRÍTICO",IF(K544&lt;0,"ATENÇÃO",IF(K544&lt;=5,"OPORTUNO","MUITO BOM")))</f>
        <v/>
      </c>
      <c r="M544" s="3" t="n">
        <v>19</v>
      </c>
      <c r="N544" s="3" t="n">
        <v>100</v>
      </c>
      <c r="O544" s="12" t="n">
        <v>20.78853046594982</v>
      </c>
    </row>
    <row r="545">
      <c r="A545" s="10" t="n">
        <v>46048</v>
      </c>
      <c r="B545" t="inlineStr">
        <is>
          <t>Gabriel Gomes de Andrade</t>
        </is>
      </c>
      <c r="C545" s="1" t="inlineStr">
        <is>
          <t>Técnico I</t>
        </is>
      </c>
      <c r="D545" s="3" t="n">
        <v>17</v>
      </c>
      <c r="E545" s="3" t="n">
        <v>17</v>
      </c>
      <c r="F545" s="3" t="n">
        <v>27.39</v>
      </c>
      <c r="G545" s="3" t="n">
        <v>0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IF(K545&lt;-5,"CRÍTICO",IF(K545&lt;0,"ATENÇÃO",IF(K545&lt;=5,"BOM","EXCELENTE")))</f>
        <v/>
      </c>
      <c r="M545" s="3" t="n">
        <v>17</v>
      </c>
      <c r="N545" s="3" t="n">
        <v>98.91</v>
      </c>
      <c r="O545" s="12" t="n">
        <v>31.36729222520107</v>
      </c>
    </row>
    <row r="546">
      <c r="A546" s="10" t="n">
        <v>46049</v>
      </c>
      <c r="B546" t="inlineStr">
        <is>
          <t>Gabriel Gomes de Andrade</t>
        </is>
      </c>
      <c r="C546" s="1" t="inlineStr">
        <is>
          <t>Técnico I</t>
        </is>
      </c>
      <c r="D546" s="3" t="n">
        <v>20</v>
      </c>
      <c r="E546" s="3" t="n">
        <v>20</v>
      </c>
      <c r="F546" s="3" t="n">
        <v>30.07</v>
      </c>
      <c r="G546" s="3" t="n">
        <v>0</v>
      </c>
      <c r="H546" s="3" t="n">
        <v>0</v>
      </c>
      <c r="I546" s="3">
        <f>E546+G546+H546</f>
        <v/>
      </c>
      <c r="J546" s="3">
        <f>ROUND(MIN(IF(C546="Técnico III",35,IF(C546="Técnico II",28,IF(C546="Técnico I",23,IF(C546="JR",20,IF(C546="Estágio",10,0))))),IF(C546="Técnico III",SUMIFS($D:$D,$A:$A,$A546,$B:$B,"&lt;&gt;Patrícia Karla de Sousa Araújo",$B:$B,"&lt;&gt;Lorena Dias de Araujo",$B:$B,"&lt;&gt;Lucas Luiz Romero")*(35/1083),IF(C546="Técnico II",SUMIFS($D:$D,$A:$A,$A546,$B:$B,"&lt;&gt;Patrícia Karla de Sousa Araújo",$B:$B,"&lt;&gt;Lorena Dias de Araujo",$B:$B,"&lt;&gt;Lucas Luiz Romero")*(28/1083),IF(C546="Técnico I",SUMIFS($D:$D,$A:$A,$A546,$B:$B,"&lt;&gt;Patrícia Karla de Sousa Araújo",$B:$B,"&lt;&gt;Lorena Dias de Araujo",$B:$B,"&lt;&gt;Lucas Luiz Romero")*(23/1083),IF(C546="JR",SUMIFS($D:$D,$A:$A,$A546,$B:$B,"&lt;&gt;Patrícia Karla de Sousa Araújo",$B:$B,"&lt;&gt;Lorena Dias de Araujo",$B:$B,"&lt;&gt;Lucas Luiz Romero")*(20/1083),IF(C546="Estágio",SUMIFS($D:$D,$A:$A,$A546,$B:$B,"&lt;&gt;Patrícia Karla de Sousa Araújo",$B:$B,"&lt;&gt;Lorena Dias de Araujo",$B:$B,"&lt;&gt;Lucas Luiz Romero")*(10/1083),0)))))),0)</f>
        <v/>
      </c>
      <c r="K546" s="3">
        <f>I546-J546</f>
        <v/>
      </c>
      <c r="L546" s="3">
        <f>IF(K546&lt;-5,"CRÍTICO",IF(K546&lt;0,"ATENÇÃO",IF(K546&lt;=5,"BOM","EXCELENTE")))</f>
        <v/>
      </c>
      <c r="M546" s="3" t="n">
        <v>20</v>
      </c>
      <c r="N546" s="3" t="n">
        <v>98.91</v>
      </c>
      <c r="O546" s="12" t="n">
        <v>31.36729222520107</v>
      </c>
    </row>
    <row r="547">
      <c r="A547" s="5" t="n">
        <v>46155</v>
      </c>
      <c r="B547" s="6" t="inlineStr">
        <is>
          <t>Luiz Fernando de Carvalho Junior</t>
        </is>
      </c>
      <c r="C547" s="1" t="inlineStr">
        <is>
          <t>Técnico I</t>
        </is>
      </c>
      <c r="D547" s="3" t="n">
        <v>24</v>
      </c>
      <c r="E547" s="3" t="n">
        <v>22</v>
      </c>
      <c r="F547" s="3" t="n">
        <v>20.17</v>
      </c>
      <c r="G547" s="3" t="n">
        <v>1</v>
      </c>
      <c r="H547" s="3" t="n">
        <v>0</v>
      </c>
      <c r="I547" s="3">
        <f>E547+G547+H547</f>
        <v/>
      </c>
      <c r="J547" s="3">
        <f>ROUND(MIN(IF(C547="Técnico III",35,IF(C547="Técnico II",28,IF(C547="Técnico I",23,IF(C547="JR",20,IF(C547="Estágio",10,0))))),IF(C547="Técnico III",SUMIFS($D:$D,$A:$A,$A547,$B:$B,"&lt;&gt;Patrícia Karla de Sousa Araújo",$B:$B,"&lt;&gt;Lorena Dias de Araujo",$B:$B,"&lt;&gt;Lucas Luiz Romero")*(35/1083),IF(C547="Técnico II",SUMIFS($D:$D,$A:$A,$A547,$B:$B,"&lt;&gt;Patrícia Karla de Sousa Araújo",$B:$B,"&lt;&gt;Lorena Dias de Araujo",$B:$B,"&lt;&gt;Lucas Luiz Romero")*(28/1083),IF(C547="Técnico I",SUMIFS($D:$D,$A:$A,$A547,$B:$B,"&lt;&gt;Patrícia Karla de Sousa Araújo",$B:$B,"&lt;&gt;Lorena Dias de Araujo",$B:$B,"&lt;&gt;Lucas Luiz Romero")*(23/1083),IF(C547="JR",SUMIFS($D:$D,$A:$A,$A547,$B:$B,"&lt;&gt;Patrícia Karla de Sousa Araújo",$B:$B,"&lt;&gt;Lorena Dias de Araujo",$B:$B,"&lt;&gt;Lucas Luiz Romero")*(20/1083),IF(C547="Estágio",SUMIFS($D:$D,$A:$A,$A547,$B:$B,"&lt;&gt;Patrícia Karla de Sousa Araújo",$B:$B,"&lt;&gt;Lorena Dias de Araujo",$B:$B,"&lt;&gt;Lucas Luiz Romero")*(10/1083),0)))))),0)</f>
        <v/>
      </c>
      <c r="K547" s="3">
        <f>I547-J547</f>
        <v/>
      </c>
      <c r="L547" s="3">
        <f>IF(K547&lt;-5,"CRÍTICO",IF(K547&lt;0,"ATENÇÃO",IF(K547&lt;=5,"OPORTUNO","MUITO BOM")))</f>
        <v/>
      </c>
      <c r="M547" s="3" t="n">
        <v>22</v>
      </c>
      <c r="N547" s="3" t="n">
        <v>94.55</v>
      </c>
      <c r="O547" s="12" t="n">
        <v>23.45013477088949</v>
      </c>
    </row>
    <row r="548">
      <c r="A548" s="5" t="n">
        <v>46155</v>
      </c>
      <c r="B548" s="6" t="inlineStr">
        <is>
          <t>Raane Batista Matos</t>
        </is>
      </c>
      <c r="C548" s="1" t="inlineStr">
        <is>
          <t>Técnico I</t>
        </is>
      </c>
      <c r="D548" s="3" t="n">
        <v>33</v>
      </c>
      <c r="E548" s="3" t="n">
        <v>31</v>
      </c>
      <c r="F548" s="3" t="n">
        <v>13.48</v>
      </c>
      <c r="G548" s="3" t="n">
        <v>7</v>
      </c>
      <c r="H548" s="3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IF(K548&lt;-5,"CRÍTICO",IF(K548&lt;0,"ATENÇÃO",IF(K548&lt;=5,"OPORTUNO","MUITO BOM")))</f>
        <v/>
      </c>
      <c r="M548" s="3" t="n">
        <v>31</v>
      </c>
      <c r="N548" s="3" t="n">
        <v>98</v>
      </c>
      <c r="O548" s="12" t="n">
        <v>20.73490813648294</v>
      </c>
    </row>
    <row r="549">
      <c r="A549" s="5" t="n">
        <v>46155</v>
      </c>
      <c r="B549" s="6" t="inlineStr">
        <is>
          <t>Sara Maria Monteiro Lopes</t>
        </is>
      </c>
      <c r="C549" s="1" t="inlineStr">
        <is>
          <t>Técnico I</t>
        </is>
      </c>
      <c r="D549" s="3" t="n">
        <v>11</v>
      </c>
      <c r="E549" s="3" t="n">
        <v>10</v>
      </c>
      <c r="F549" s="3" t="n">
        <v>33.26</v>
      </c>
      <c r="G549" s="3" t="n">
        <v>5</v>
      </c>
      <c r="H549" s="3" t="n">
        <v>0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IF(K549&lt;-5,"CRÍTICO",IF(K549&lt;0,"ATENÇÃO",IF(K549&lt;=5,"OPORTUNO","MUITO BOM")))</f>
        <v/>
      </c>
      <c r="M549" s="3" t="n">
        <v>16</v>
      </c>
      <c r="N549" s="3" t="n">
        <v>100</v>
      </c>
      <c r="O549" s="12" t="n">
        <v>18</v>
      </c>
    </row>
    <row r="550">
      <c r="A550" s="5" t="n">
        <v>46155</v>
      </c>
      <c r="B550" s="6" t="inlineStr">
        <is>
          <t>Gabriel Gomes de Andrade</t>
        </is>
      </c>
      <c r="C550" s="1" t="inlineStr">
        <is>
          <t>Técnico I</t>
        </is>
      </c>
      <c r="D550" s="3" t="n">
        <v>20</v>
      </c>
      <c r="E550" s="3" t="n">
        <v>16</v>
      </c>
      <c r="F550" s="3" t="n">
        <v>23.26</v>
      </c>
      <c r="G550" s="3" t="n">
        <v>11</v>
      </c>
      <c r="H550" s="3" t="n">
        <v>7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IF(K550&lt;-5,"CRÍTICO",IF(K550&lt;0,"ATENÇÃO",IF(K550&lt;=5,"OPORTUNO","MUITO BOM")))</f>
        <v/>
      </c>
      <c r="M550" s="3" t="n">
        <v>18</v>
      </c>
      <c r="N550" s="3" t="n">
        <v>99.06</v>
      </c>
      <c r="O550" s="12" t="n">
        <v>19.41747572815534</v>
      </c>
    </row>
    <row r="551">
      <c r="A551" s="5" t="n">
        <v>46147</v>
      </c>
      <c r="B551" s="6" t="inlineStr">
        <is>
          <t>Leandro de Souza Silva</t>
        </is>
      </c>
      <c r="C551" s="1" t="inlineStr">
        <is>
          <t>JR</t>
        </is>
      </c>
      <c r="D551" s="3" t="n">
        <v>17</v>
      </c>
      <c r="E551" s="3" t="n">
        <v>17</v>
      </c>
      <c r="F551" s="3" t="n">
        <v>22.35</v>
      </c>
      <c r="G551" s="3" t="n">
        <v>5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IF(K551&lt;-5,"CRÍTICO",IF(K551&lt;0,"ATENÇÃO",IF(K551&lt;=5,"OPORTUNO","MUITO BOM")))</f>
        <v/>
      </c>
      <c r="M551" s="3" t="n">
        <v>16</v>
      </c>
      <c r="N551" s="3" t="n">
        <v>100</v>
      </c>
      <c r="O551" s="12" t="n">
        <v>19.07216494845361</v>
      </c>
    </row>
    <row r="552">
      <c r="A552" s="5" t="n">
        <v>46148</v>
      </c>
      <c r="B552" s="6" t="inlineStr">
        <is>
          <t>Leandro de Souza Silva</t>
        </is>
      </c>
      <c r="C552" s="1" t="inlineStr">
        <is>
          <t>JR</t>
        </is>
      </c>
      <c r="D552" s="3" t="n">
        <v>13</v>
      </c>
      <c r="E552" s="3" t="n">
        <v>12</v>
      </c>
      <c r="F552" s="3" t="n">
        <v>30.43</v>
      </c>
      <c r="G552" s="3" t="n">
        <v>12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IF(K552&lt;-5,"CRÍTICO",IF(K552&lt;0,"ATENÇÃO",IF(K552&lt;=5,"OPORTUNO","MUITO BOM")))</f>
        <v/>
      </c>
      <c r="M552" s="3" t="n">
        <v>17</v>
      </c>
      <c r="N552" s="3" t="n">
        <v>100</v>
      </c>
      <c r="O552" s="12" t="n">
        <v>19.07216494845361</v>
      </c>
    </row>
    <row r="553">
      <c r="A553" s="5" t="n">
        <v>46155</v>
      </c>
      <c r="B553" s="6" t="inlineStr">
        <is>
          <t>Matheus Farias De Souza</t>
        </is>
      </c>
      <c r="C553" s="1" t="inlineStr">
        <is>
          <t>Técnico III</t>
        </is>
      </c>
      <c r="D553" s="3" t="n">
        <v>0</v>
      </c>
      <c r="E553" s="3" t="n">
        <v>0</v>
      </c>
      <c r="F553" s="3" t="n">
        <v>0</v>
      </c>
      <c r="G553" s="3" t="n">
        <v>0</v>
      </c>
      <c r="H553" s="3" t="n">
        <v>41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IF(K553&lt;-5,"CRÍTICO",IF(K553&lt;0,"ATENÇÃO",IF(K553&lt;=5,"OPORTUNO","MUITO BOM")))</f>
        <v/>
      </c>
      <c r="M553" s="3" t="n">
        <v>28</v>
      </c>
      <c r="N553" s="3" t="n">
        <v>98.39</v>
      </c>
      <c r="O553" s="12" t="n">
        <v>8.799999999999999</v>
      </c>
    </row>
    <row r="554">
      <c r="A554" s="5" t="n">
        <v>46149</v>
      </c>
      <c r="B554" s="6" t="inlineStr">
        <is>
          <t>Leandro de Souza Silva</t>
        </is>
      </c>
      <c r="C554" s="1" t="inlineStr">
        <is>
          <t>JR</t>
        </is>
      </c>
      <c r="D554" s="3" t="n">
        <v>12</v>
      </c>
      <c r="E554" s="3" t="n">
        <v>11</v>
      </c>
      <c r="F554" s="3" t="n">
        <v>36.43</v>
      </c>
      <c r="G554" s="3" t="n">
        <v>4</v>
      </c>
      <c r="H554" s="3" t="n">
        <v>0</v>
      </c>
      <c r="I554" s="3">
        <f>E554+G554+H554</f>
        <v/>
      </c>
      <c r="J554" s="3">
        <f>ROUND(MIN(IF(C554="Técnico III",35,IF(C554="Técnico II",28,IF(C554="Técnico I",23,IF(C554="JR",20,IF(C554="Estágio",10,0))))),IF(C554="Técnico III",SUMIFS($D:$D,$A:$A,$A554,$B:$B,"&lt;&gt;Patrícia Karla de Sousa Araújo",$B:$B,"&lt;&gt;Lorena Dias de Araujo",$B:$B,"&lt;&gt;Lucas Luiz Romero")*(35/1083),IF(C554="Técnico II",SUMIFS($D:$D,$A:$A,$A554,$B:$B,"&lt;&gt;Patrícia Karla de Sousa Araújo",$B:$B,"&lt;&gt;Lorena Dias de Araujo",$B:$B,"&lt;&gt;Lucas Luiz Romero")*(28/1083),IF(C554="Técnico I",SUMIFS($D:$D,$A:$A,$A554,$B:$B,"&lt;&gt;Patrícia Karla de Sousa Araújo",$B:$B,"&lt;&gt;Lorena Dias de Araujo",$B:$B,"&lt;&gt;Lucas Luiz Romero")*(23/1083),IF(C554="JR",SUMIFS($D:$D,$A:$A,$A554,$B:$B,"&lt;&gt;Patrícia Karla de Sousa Araújo",$B:$B,"&lt;&gt;Lorena Dias de Araujo",$B:$B,"&lt;&gt;Lucas Luiz Romero")*(20/1083),IF(C554="Estágio",SUMIFS($D:$D,$A:$A,$A554,$B:$B,"&lt;&gt;Patrícia Karla de Sousa Araújo",$B:$B,"&lt;&gt;Lorena Dias de Araujo",$B:$B,"&lt;&gt;Lucas Luiz Romero")*(10/1083),0)))))),0)</f>
        <v/>
      </c>
      <c r="K554" s="3">
        <f>I554-J554</f>
        <v/>
      </c>
      <c r="L554" s="3">
        <f>IF(K554&lt;-5,"CRÍTICO",IF(K554&lt;0,"ATENÇÃO",IF(K554&lt;=5,"OPORTUNO","MUITO BOM")))</f>
        <v/>
      </c>
      <c r="M554" s="3" t="n">
        <v>8</v>
      </c>
      <c r="N554" s="3" t="n">
        <v>100</v>
      </c>
      <c r="O554" s="12" t="n">
        <v>19.07216494845361</v>
      </c>
    </row>
    <row r="555">
      <c r="A555" s="10" t="n">
        <v>46094</v>
      </c>
      <c r="B555" t="inlineStr">
        <is>
          <t>Matheus Farias De Souza</t>
        </is>
      </c>
      <c r="C555" s="1" t="inlineStr">
        <is>
          <t>Técnico III</t>
        </is>
      </c>
      <c r="D555" s="3" t="n">
        <v>18</v>
      </c>
      <c r="E555" s="3" t="n">
        <v>17</v>
      </c>
      <c r="F555" s="3" t="n">
        <v>22.09</v>
      </c>
      <c r="G555" s="3" t="n">
        <v>0</v>
      </c>
      <c r="H555" s="3" t="n">
        <v>0</v>
      </c>
      <c r="I555" s="3">
        <f>E555+G555+H555</f>
        <v/>
      </c>
      <c r="J555" s="3">
        <f>ROUND(MIN(IF(C555="Técnico III",35,IF(C555="Técnico II",28,IF(C555="Técnico I",23,IF(C555="JR",20,IF(C555="Estágio",10,0))))),IF(C555="Técnico III",SUMIFS($D:$D,$A:$A,$A555,$B:$B,"&lt;&gt;Patrícia Karla de Sousa Araújo",$B:$B,"&lt;&gt;Lorena Dias de Araujo",$B:$B,"&lt;&gt;Lucas Luiz Romero")*(35/1083),IF(C555="Técnico II",SUMIFS($D:$D,$A:$A,$A555,$B:$B,"&lt;&gt;Patrícia Karla de Sousa Araújo",$B:$B,"&lt;&gt;Lorena Dias de Araujo",$B:$B,"&lt;&gt;Lucas Luiz Romero")*(28/1083),IF(C555="Técnico I",SUMIFS($D:$D,$A:$A,$A555,$B:$B,"&lt;&gt;Patrícia Karla de Sousa Araújo",$B:$B,"&lt;&gt;Lorena Dias de Araujo",$B:$B,"&lt;&gt;Lucas Luiz Romero")*(23/1083),IF(C555="JR",SUMIFS($D:$D,$A:$A,$A555,$B:$B,"&lt;&gt;Patrícia Karla de Sousa Araújo",$B:$B,"&lt;&gt;Lorena Dias de Araujo",$B:$B,"&lt;&gt;Lucas Luiz Romero")*(20/1083),IF(C555="Estágio",SUMIFS($D:$D,$A:$A,$A555,$B:$B,"&lt;&gt;Patrícia Karla de Sousa Araújo",$B:$B,"&lt;&gt;Lorena Dias de Araujo",$B:$B,"&lt;&gt;Lucas Luiz Romero")*(10/1083),0)))))),0)</f>
        <v/>
      </c>
      <c r="K555" s="3">
        <f>I555-J555</f>
        <v/>
      </c>
      <c r="L555" s="3">
        <f>IF(K555&lt;-5,"CRÍTICO",IF(K555&lt;0,"ATENÇÃO",IF(K555&lt;=5,"OPORTUNO","MUITO BOM")))</f>
        <v/>
      </c>
      <c r="M555" s="3" t="n">
        <v>22</v>
      </c>
      <c r="N555" s="3" t="n">
        <v>98.86</v>
      </c>
      <c r="O555" s="12" t="n">
        <v>28.95927601809955</v>
      </c>
    </row>
    <row r="556">
      <c r="A556" s="5" t="n">
        <v>46150</v>
      </c>
      <c r="B556" s="6" t="inlineStr">
        <is>
          <t>Leandro de Souza Silva</t>
        </is>
      </c>
      <c r="C556" s="1" t="inlineStr">
        <is>
          <t>JR</t>
        </is>
      </c>
      <c r="D556" s="3" t="n">
        <v>11</v>
      </c>
      <c r="E556" s="3" t="n">
        <v>11</v>
      </c>
      <c r="F556" s="3" t="n">
        <v>33.55</v>
      </c>
      <c r="G556" s="3" t="n">
        <v>4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IF(K556&lt;-5,"CRÍTICO",IF(K556&lt;0,"ATENÇÃO",IF(K556&lt;=5,"OPORTUNO","MUITO BOM")))</f>
        <v/>
      </c>
      <c r="M556" s="3" t="n">
        <v>14</v>
      </c>
      <c r="N556" s="3" t="n">
        <v>100</v>
      </c>
      <c r="O556" s="12" t="n">
        <v>19.07216494845361</v>
      </c>
    </row>
    <row r="557">
      <c r="A557" s="5" t="n">
        <v>46153</v>
      </c>
      <c r="B557" s="6" t="inlineStr">
        <is>
          <t>Leandro de Souza Silva</t>
        </is>
      </c>
      <c r="C557" s="1" t="inlineStr">
        <is>
          <t>JR</t>
        </is>
      </c>
      <c r="D557" s="3" t="n">
        <v>12</v>
      </c>
      <c r="E557" s="3" t="n">
        <v>11</v>
      </c>
      <c r="F557" s="3" t="n">
        <v>22.06</v>
      </c>
      <c r="G557" s="3" t="n">
        <v>1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IF(K557&lt;-5,"CRÍTICO",IF(K557&lt;0,"ATENÇÃO",IF(K557&lt;=5,"OPORTUNO","MUITO BOM")))</f>
        <v/>
      </c>
      <c r="M557" s="3" t="n">
        <v>11</v>
      </c>
      <c r="N557" s="3" t="n">
        <v>100</v>
      </c>
      <c r="O557" s="12" t="n">
        <v>19.07216494845361</v>
      </c>
    </row>
    <row r="558">
      <c r="A558" s="5" t="n">
        <v>46154</v>
      </c>
      <c r="B558" s="6" t="inlineStr">
        <is>
          <t>Leandro de Souza Silva</t>
        </is>
      </c>
      <c r="C558" s="1" t="inlineStr">
        <is>
          <t>JR</t>
        </is>
      </c>
      <c r="D558" s="3" t="n">
        <v>10</v>
      </c>
      <c r="E558" s="3" t="n">
        <v>6</v>
      </c>
      <c r="F558" s="3" t="n">
        <v>33.28</v>
      </c>
      <c r="G558" s="3" t="n">
        <v>7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IF(K558&lt;-5,"CRÍTICO",IF(K558&lt;0,"ATENÇÃO",IF(K558&lt;=5,"OPORTUNO","MUITO BOM")))</f>
        <v/>
      </c>
      <c r="M558" s="3" t="n">
        <v>12</v>
      </c>
      <c r="N558" s="3" t="n">
        <v>100</v>
      </c>
      <c r="O558" s="12" t="n">
        <v>19.07216494845361</v>
      </c>
    </row>
    <row r="559">
      <c r="A559" s="5" t="n">
        <v>46155</v>
      </c>
      <c r="B559" s="6" t="inlineStr">
        <is>
          <t>Leandro de Souza Silva</t>
        </is>
      </c>
      <c r="C559" s="1" t="inlineStr">
        <is>
          <t>JR</t>
        </is>
      </c>
      <c r="D559" s="3" t="n">
        <v>0</v>
      </c>
      <c r="E559" s="3" t="n">
        <v>0</v>
      </c>
      <c r="F559" s="3" t="n">
        <v>0</v>
      </c>
      <c r="G559" s="3" t="n">
        <v>0</v>
      </c>
      <c r="H559" s="3" t="n">
        <v>0</v>
      </c>
      <c r="I559" s="3" t="n">
        <v>0</v>
      </c>
      <c r="J559" s="3" t="n">
        <v>0</v>
      </c>
      <c r="K559" s="3" t="n">
        <v>0</v>
      </c>
      <c r="L559" s="3">
        <f>IF(K559&lt;-5,"CRÍTICO",IF(K559&lt;0,"ATENÇÃO",IF(K559&lt;=5,"OPORTUNO","MUITO BOM")))</f>
        <v/>
      </c>
      <c r="M559" s="3" t="n">
        <v>0</v>
      </c>
      <c r="N559" s="3" t="n">
        <v>100</v>
      </c>
      <c r="O559" s="12" t="n">
        <v>19.07216494845361</v>
      </c>
    </row>
    <row r="560">
      <c r="A560" s="5" t="n">
        <v>46156</v>
      </c>
      <c r="B560" s="6" t="inlineStr">
        <is>
          <t>Leandro de Souza Silva</t>
        </is>
      </c>
      <c r="C560" s="1" t="inlineStr">
        <is>
          <t>JR</t>
        </is>
      </c>
      <c r="D560" s="3" t="n">
        <v>9</v>
      </c>
      <c r="E560" s="3" t="n">
        <v>7</v>
      </c>
      <c r="F560" s="3" t="n">
        <v>27.03</v>
      </c>
      <c r="G560" s="3" t="n">
        <v>8</v>
      </c>
      <c r="H560" s="3" t="n">
        <v>0</v>
      </c>
      <c r="I560" s="3">
        <f>E560+G560+H560</f>
        <v/>
      </c>
      <c r="J560" s="3">
        <f>ROUND(MIN(IF(C560="Técnico III",35,IF(C560="Técnico II",28,IF(C560="Técnico I",23,IF(C560="JR",20,IF(C560="Estágio",10,0))))),IF(C560="Técnico III",SUMIFS($D:$D,$A:$A,$A560,$B:$B,"&lt;&gt;Patrícia Karla de Sousa Araújo",$B:$B,"&lt;&gt;Lorena Dias de Araujo",$B:$B,"&lt;&gt;Lucas Luiz Romero")*(35/1083),IF(C560="Técnico II",SUMIFS($D:$D,$A:$A,$A560,$B:$B,"&lt;&gt;Patrícia Karla de Sousa Araújo",$B:$B,"&lt;&gt;Lorena Dias de Araujo",$B:$B,"&lt;&gt;Lucas Luiz Romero")*(28/1083),IF(C560="Técnico I",SUMIFS($D:$D,$A:$A,$A560,$B:$B,"&lt;&gt;Patrícia Karla de Sousa Araújo",$B:$B,"&lt;&gt;Lorena Dias de Araujo",$B:$B,"&lt;&gt;Lucas Luiz Romero")*(23/1083),IF(C560="JR",SUMIFS($D:$D,$A:$A,$A560,$B:$B,"&lt;&gt;Patrícia Karla de Sousa Araújo",$B:$B,"&lt;&gt;Lorena Dias de Araujo",$B:$B,"&lt;&gt;Lucas Luiz Romero")*(20/1083),IF(C560="Estágio",SUMIFS($D:$D,$A:$A,$A560,$B:$B,"&lt;&gt;Patrícia Karla de Sousa Araújo",$B:$B,"&lt;&gt;Lorena Dias de Araujo",$B:$B,"&lt;&gt;Lucas Luiz Romero")*(10/1083),0)))))),0)</f>
        <v/>
      </c>
      <c r="K560" s="3">
        <f>I560-J560</f>
        <v/>
      </c>
      <c r="L560" s="3">
        <f>IF(K560&lt;-5,"CRÍTICO",IF(K560&lt;0,"ATENÇÃO",IF(K560&lt;=5,"OPORTUNO","MUITO BOM")))</f>
        <v/>
      </c>
      <c r="M560" s="3" t="n">
        <v>9</v>
      </c>
      <c r="N560" s="3" t="n">
        <v>100</v>
      </c>
      <c r="O560" s="12" t="n">
        <v>19.07216494845361</v>
      </c>
    </row>
    <row r="561">
      <c r="A561" s="5" t="n">
        <v>46157</v>
      </c>
      <c r="B561" s="6" t="inlineStr">
        <is>
          <t>Leandro de Souza Silva</t>
        </is>
      </c>
      <c r="C561" s="1" t="inlineStr">
        <is>
          <t>JR</t>
        </is>
      </c>
      <c r="D561" s="3" t="n">
        <v>15</v>
      </c>
      <c r="E561" s="3" t="n">
        <v>14</v>
      </c>
      <c r="F561" s="3" t="n">
        <v>16.53</v>
      </c>
      <c r="G561" s="3" t="n">
        <v>2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IF(K561&lt;-5,"CRÍTICO",IF(K561&lt;0,"ATENÇÃO",IF(K561&lt;=5,"OPORTUNO","MUITO BOM")))</f>
        <v/>
      </c>
      <c r="M561" s="3" t="n">
        <v>11</v>
      </c>
      <c r="N561" s="3" t="n">
        <v>100</v>
      </c>
      <c r="O561" s="12" t="n">
        <v>19.07216494845361</v>
      </c>
    </row>
    <row r="562">
      <c r="A562" s="5" t="n">
        <v>46160</v>
      </c>
      <c r="B562" s="6" t="inlineStr">
        <is>
          <t>Leandro de Souza Silva</t>
        </is>
      </c>
      <c r="C562" s="1" t="inlineStr">
        <is>
          <t>JR</t>
        </is>
      </c>
      <c r="D562" s="3" t="n">
        <v>16</v>
      </c>
      <c r="E562" s="3" t="n">
        <v>13</v>
      </c>
      <c r="F562" s="3" t="n">
        <v>21.58</v>
      </c>
      <c r="G562" s="3" t="n">
        <v>4</v>
      </c>
      <c r="H562" s="3" t="n">
        <v>0</v>
      </c>
      <c r="I562" s="3" t="n">
        <v>17</v>
      </c>
      <c r="J562" s="3" t="n">
        <v>15</v>
      </c>
      <c r="K562" s="3" t="n">
        <v>2</v>
      </c>
      <c r="L562" s="3" t="inlineStr">
        <is>
          <t>BOM</t>
        </is>
      </c>
      <c r="M562" s="3" t="n">
        <v>14</v>
      </c>
      <c r="N562" s="3" t="n">
        <v>100</v>
      </c>
      <c r="O562" s="12" t="n">
        <v>19.07216494845361</v>
      </c>
    </row>
    <row r="563">
      <c r="A563" s="7" t="n">
        <v>46161</v>
      </c>
      <c r="B563" s="8" t="inlineStr">
        <is>
          <t>Leandro de Souza Silva</t>
        </is>
      </c>
      <c r="C563" s="1" t="inlineStr">
        <is>
          <t>JR</t>
        </is>
      </c>
      <c r="D563" s="3" t="n">
        <v>19</v>
      </c>
      <c r="E563" s="3" t="n">
        <v>17</v>
      </c>
      <c r="F563" s="3" t="n">
        <v>18.56</v>
      </c>
      <c r="G563" s="3" t="n">
        <v>1</v>
      </c>
      <c r="H563" s="3" t="n">
        <v>0</v>
      </c>
      <c r="I563" s="3" t="n">
        <v>18</v>
      </c>
      <c r="J563" s="3" t="n">
        <v>17</v>
      </c>
      <c r="K563" s="3" t="n">
        <v>1</v>
      </c>
      <c r="L563" s="3" t="inlineStr">
        <is>
          <t>BOM</t>
        </is>
      </c>
      <c r="M563" s="3" t="n">
        <v>15</v>
      </c>
      <c r="N563" s="3" t="n">
        <v>100</v>
      </c>
      <c r="O563" s="12" t="n">
        <v>19.07216494845361</v>
      </c>
    </row>
    <row r="564">
      <c r="A564" s="5" t="n">
        <v>46156</v>
      </c>
      <c r="B564" s="6" t="inlineStr">
        <is>
          <t>Amanda Moura Ferreira</t>
        </is>
      </c>
      <c r="C564" s="1" t="inlineStr">
        <is>
          <t>Técnico III</t>
        </is>
      </c>
      <c r="D564" s="3" t="n">
        <v>0</v>
      </c>
      <c r="E564" s="3" t="n">
        <v>0</v>
      </c>
      <c r="F564" s="3" t="n">
        <v>0</v>
      </c>
      <c r="G564" s="3" t="n">
        <v>0</v>
      </c>
      <c r="H564" s="3" t="n">
        <v>0</v>
      </c>
      <c r="I564" s="3" t="n">
        <v>0</v>
      </c>
      <c r="J564" s="3" t="n">
        <v>0</v>
      </c>
      <c r="K564" s="3" t="n">
        <v>0</v>
      </c>
      <c r="L564" s="3">
        <f>IF(K564&lt;-5,"CRÍTICO",IF(K564&lt;0,"ATENÇÃO",IF(K564&lt;=5,"OPORTUNO","MUITO BOM")))</f>
        <v/>
      </c>
      <c r="M564" s="3" t="n">
        <v>0</v>
      </c>
      <c r="N564" s="3" t="n">
        <v>100</v>
      </c>
      <c r="O564" s="12" t="n">
        <v>0</v>
      </c>
    </row>
    <row r="565">
      <c r="A565" s="5" t="n">
        <v>46156</v>
      </c>
      <c r="B565" s="6" t="inlineStr">
        <is>
          <t>Ana Paula Da Luz Silva Aleixo</t>
        </is>
      </c>
      <c r="C565" s="1" t="inlineStr">
        <is>
          <t>Técnico III</t>
        </is>
      </c>
      <c r="D565" s="3" t="n">
        <v>25</v>
      </c>
      <c r="E565" s="3" t="n">
        <v>25</v>
      </c>
      <c r="F565" s="3" t="n">
        <v>17.34</v>
      </c>
      <c r="G565" s="3" t="n">
        <v>5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IF(K565&lt;-5,"CRÍTICO",IF(K565&lt;0,"ATENÇÃO",IF(K565&lt;=5,"OPORTUNO","MUITO BOM")))</f>
        <v/>
      </c>
      <c r="M565" s="3" t="n">
        <v>27</v>
      </c>
      <c r="N565" s="3" t="n">
        <v>96.94</v>
      </c>
      <c r="O565" s="12" t="n">
        <v>19.61325966850829</v>
      </c>
    </row>
    <row r="566">
      <c r="A566" s="5" t="n">
        <v>46156</v>
      </c>
      <c r="B566" s="6" t="inlineStr">
        <is>
          <t>Cristiane Ramos da Silva Rocha</t>
        </is>
      </c>
      <c r="C566" s="1" t="inlineStr">
        <is>
          <t>Técnico III</t>
        </is>
      </c>
      <c r="D566" s="3" t="n">
        <v>22</v>
      </c>
      <c r="E566" s="3" t="n">
        <v>18</v>
      </c>
      <c r="F566" s="3" t="n">
        <v>11.42</v>
      </c>
      <c r="G566" s="3" t="n">
        <v>0</v>
      </c>
      <c r="H566" s="3" t="n">
        <v>0</v>
      </c>
      <c r="I566" s="3">
        <f>E566+G566+H566</f>
        <v/>
      </c>
      <c r="J566" s="3">
        <f>ROUND(MIN(IF(C566="Técnico III",35,IF(C566="Técnico II",28,IF(C566="Técnico I",23,IF(C566="JR",20,IF(C566="Estágio",10,0))))),IF(C566="Técnico III",SUMIFS($D:$D,$A:$A,$A566,$B:$B,"&lt;&gt;Patrícia Karla de Sousa Araújo",$B:$B,"&lt;&gt;Lorena Dias de Araujo",$B:$B,"&lt;&gt;Lucas Luiz Romero")*(35/1083),IF(C566="Técnico II",SUMIFS($D:$D,$A:$A,$A566,$B:$B,"&lt;&gt;Patrícia Karla de Sousa Araújo",$B:$B,"&lt;&gt;Lorena Dias de Araujo",$B:$B,"&lt;&gt;Lucas Luiz Romero")*(28/1083),IF(C566="Técnico I",SUMIFS($D:$D,$A:$A,$A566,$B:$B,"&lt;&gt;Patrícia Karla de Sousa Araújo",$B:$B,"&lt;&gt;Lorena Dias de Araujo",$B:$B,"&lt;&gt;Lucas Luiz Romero")*(23/1083),IF(C566="JR",SUMIFS($D:$D,$A:$A,$A566,$B:$B,"&lt;&gt;Patrícia Karla de Sousa Araújo",$B:$B,"&lt;&gt;Lorena Dias de Araujo",$B:$B,"&lt;&gt;Lucas Luiz Romero")*(20/1083),IF(C566="Estágio",SUMIFS($D:$D,$A:$A,$A566,$B:$B,"&lt;&gt;Patrícia Karla de Sousa Araújo",$B:$B,"&lt;&gt;Lorena Dias de Araujo",$B:$B,"&lt;&gt;Lucas Luiz Romero")*(10/1083),0)))))),0)</f>
        <v/>
      </c>
      <c r="K566" s="3">
        <f>I566-J566</f>
        <v/>
      </c>
      <c r="L566" s="3">
        <f>IF(K566&lt;-5,"CRÍTICO",IF(K566&lt;0,"ATENÇÃO",IF(K566&lt;=5,"OPORTUNO","MUITO BOM")))</f>
        <v/>
      </c>
      <c r="M566" s="3" t="n">
        <v>14</v>
      </c>
      <c r="N566" s="3" t="n">
        <v>92.81</v>
      </c>
      <c r="O566" s="12" t="n">
        <v>25.47770700636943</v>
      </c>
    </row>
    <row r="567">
      <c r="A567" s="5" t="n">
        <v>46156</v>
      </c>
      <c r="B567" s="6" t="inlineStr">
        <is>
          <t>Davylla Rodrigues Freitas Silva</t>
        </is>
      </c>
      <c r="C567" s="1" t="inlineStr">
        <is>
          <t>Técnico III</t>
        </is>
      </c>
      <c r="D567" s="3" t="n">
        <v>22</v>
      </c>
      <c r="E567" s="3" t="n">
        <v>21</v>
      </c>
      <c r="F567" s="3" t="n">
        <v>22.3</v>
      </c>
      <c r="G567" s="3" t="n">
        <v>0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IF(K567&lt;-5,"CRÍTICO",IF(K567&lt;0,"ATENÇÃO",IF(K567&lt;=5,"OPORTUNO","MUITO BOM")))</f>
        <v/>
      </c>
      <c r="M567" s="3" t="n">
        <v>26</v>
      </c>
      <c r="N567" s="3" t="n">
        <v>99.19</v>
      </c>
      <c r="O567" s="12" t="n">
        <v>28.40466926070039</v>
      </c>
    </row>
    <row r="568">
      <c r="A568" s="5" t="n">
        <v>46156</v>
      </c>
      <c r="B568" s="6" t="inlineStr">
        <is>
          <t>Francielson de Oliveira</t>
        </is>
      </c>
      <c r="C568" s="1" t="inlineStr">
        <is>
          <t>Técnico III</t>
        </is>
      </c>
      <c r="D568" s="3" t="n">
        <v>0</v>
      </c>
      <c r="E568" s="3" t="n">
        <v>0</v>
      </c>
      <c r="F568" s="3" t="n">
        <v>0</v>
      </c>
      <c r="G568" s="3" t="n">
        <v>0</v>
      </c>
      <c r="H568" s="3" t="n">
        <v>0</v>
      </c>
      <c r="I568" s="3" t="n">
        <v>0</v>
      </c>
      <c r="J568" s="3" t="n">
        <v>0</v>
      </c>
      <c r="K568" s="3" t="n">
        <v>0</v>
      </c>
      <c r="L568" s="3">
        <f>IF(K568&lt;-5,"CRÍTICO",IF(K568&lt;0,"ATENÇÃO",IF(K568&lt;=5,"OPORTUNO","MUITO BOM")))</f>
        <v/>
      </c>
      <c r="M568" s="3" t="n">
        <v>0</v>
      </c>
      <c r="N568" s="3" t="n">
        <v>100</v>
      </c>
      <c r="O568" s="12" t="n">
        <v>13.51351351351351</v>
      </c>
    </row>
    <row r="569">
      <c r="A569" s="5" t="n">
        <v>46156</v>
      </c>
      <c r="B569" s="6" t="inlineStr">
        <is>
          <t>Janaina Lima dos Reis Urany</t>
        </is>
      </c>
      <c r="C569" s="1" t="inlineStr">
        <is>
          <t>Técnico III</t>
        </is>
      </c>
      <c r="D569" s="3" t="n">
        <v>35</v>
      </c>
      <c r="E569" s="3" t="n">
        <v>34</v>
      </c>
      <c r="F569" s="3" t="n">
        <v>13.41</v>
      </c>
      <c r="G569" s="3" t="n">
        <v>6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IF(K569&lt;-5,"CRÍTICO",IF(K569&lt;0,"ATENÇÃO",IF(K569&lt;=5,"OPORTUNO","MUITO BOM")))</f>
        <v/>
      </c>
      <c r="M569" s="3" t="n">
        <v>38</v>
      </c>
      <c r="N569" s="3" t="n">
        <v>99</v>
      </c>
      <c r="O569" s="12" t="n">
        <v>22.27414330218069</v>
      </c>
    </row>
    <row r="570">
      <c r="A570" s="5" t="n">
        <v>46156</v>
      </c>
      <c r="B570" s="6" t="inlineStr">
        <is>
          <t>Jaqueline Evangelista da Silva Martins</t>
        </is>
      </c>
      <c r="C570" s="1" t="inlineStr">
        <is>
          <t>Técnico III</t>
        </is>
      </c>
      <c r="D570" s="3" t="n">
        <v>42</v>
      </c>
      <c r="E570" s="3" t="n">
        <v>40</v>
      </c>
      <c r="F570" s="3" t="n">
        <v>10.52</v>
      </c>
      <c r="G570" s="3" t="n">
        <v>8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IF(K570&lt;-5,"CRÍTICO",IF(K570&lt;0,"ATENÇÃO",IF(K570&lt;=5,"OPORTUNO","MUITO BOM")))</f>
        <v/>
      </c>
      <c r="M570" s="3" t="n">
        <v>44</v>
      </c>
      <c r="N570" s="3" t="n">
        <v>97.04000000000001</v>
      </c>
      <c r="O570" s="12" t="n">
        <v>29.82885085574572</v>
      </c>
    </row>
    <row r="571">
      <c r="A571" s="5" t="n">
        <v>46156</v>
      </c>
      <c r="B571" s="6" t="inlineStr">
        <is>
          <t>Jéssica Fé Moura</t>
        </is>
      </c>
      <c r="C571" s="1" t="inlineStr">
        <is>
          <t>Técnico III</t>
        </is>
      </c>
      <c r="D571" s="3" t="n">
        <v>0</v>
      </c>
      <c r="E571" s="3" t="n">
        <v>0</v>
      </c>
      <c r="F571" s="3" t="n">
        <v>0</v>
      </c>
      <c r="G571" s="3" t="n">
        <v>0</v>
      </c>
      <c r="H571" s="3" t="n">
        <v>0</v>
      </c>
      <c r="I571" s="3" t="n">
        <v>0</v>
      </c>
      <c r="J571" s="3" t="n">
        <v>0</v>
      </c>
      <c r="K571" s="3" t="n">
        <v>0</v>
      </c>
      <c r="L571" s="3">
        <f>IF(K571&lt;-5,"CRÍTICO",IF(K571&lt;0,"ATENÇÃO",IF(K571&lt;=5,"OPORTUNO","MUITO BOM")))</f>
        <v/>
      </c>
      <c r="M571" s="3" t="n">
        <v>0</v>
      </c>
      <c r="N571" s="3" t="n">
        <v>0</v>
      </c>
      <c r="O571" s="12" t="n">
        <v>0</v>
      </c>
    </row>
    <row r="572">
      <c r="A572" s="5" t="n">
        <v>46156</v>
      </c>
      <c r="B572" s="6" t="inlineStr">
        <is>
          <t>Kerollen Cristielly de Jesus Siqueira</t>
        </is>
      </c>
      <c r="C572" s="1" t="inlineStr">
        <is>
          <t>Técnico III</t>
        </is>
      </c>
      <c r="D572" s="3" t="n">
        <v>30</v>
      </c>
      <c r="E572" s="3" t="n">
        <v>29</v>
      </c>
      <c r="F572" s="3" t="n">
        <v>17.03</v>
      </c>
      <c r="G572" s="3" t="n">
        <v>0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IF(K572&lt;-5,"CRÍTICO",IF(K572&lt;0,"ATENÇÃO",IF(K572&lt;=5,"OPORTUNO","MUITO BOM")))</f>
        <v/>
      </c>
      <c r="M572" s="3" t="n">
        <v>28</v>
      </c>
      <c r="N572" s="3" t="n">
        <v>96.84</v>
      </c>
      <c r="O572" s="12" t="n">
        <v>16.33802816901408</v>
      </c>
    </row>
    <row r="573">
      <c r="A573" s="5" t="n">
        <v>46156</v>
      </c>
      <c r="B573" s="6" t="inlineStr">
        <is>
          <t>Leandro Oliveira de Sousa</t>
        </is>
      </c>
      <c r="C573" s="1" t="inlineStr">
        <is>
          <t>Técnico III</t>
        </is>
      </c>
      <c r="D573" s="3" t="n">
        <v>30</v>
      </c>
      <c r="E573" s="3" t="n">
        <v>27</v>
      </c>
      <c r="F573" s="3" t="n">
        <v>19.05</v>
      </c>
      <c r="G573" s="3" t="n">
        <v>0</v>
      </c>
      <c r="H573" s="3" t="n">
        <v>0</v>
      </c>
      <c r="I573" s="3">
        <f>E573+G573+H573</f>
        <v/>
      </c>
      <c r="J573" s="3">
        <f>ROUND(MIN(IF(C573="Técnico III",35,IF(C573="Técnico II",28,IF(C573="Técnico I",23,IF(C573="JR",20,IF(C573="Estágio",10,0))))),IF(C573="Técnico III",SUMIFS($D:$D,$A:$A,$A573,$B:$B,"&lt;&gt;Patrícia Karla de Sousa Araújo",$B:$B,"&lt;&gt;Lorena Dias de Araujo",$B:$B,"&lt;&gt;Lucas Luiz Romero")*(35/1083),IF(C573="Técnico II",SUMIFS($D:$D,$A:$A,$A573,$B:$B,"&lt;&gt;Patrícia Karla de Sousa Araújo",$B:$B,"&lt;&gt;Lorena Dias de Araujo",$B:$B,"&lt;&gt;Lucas Luiz Romero")*(28/1083),IF(C573="Técnico I",SUMIFS($D:$D,$A:$A,$A573,$B:$B,"&lt;&gt;Patrícia Karla de Sousa Araújo",$B:$B,"&lt;&gt;Lorena Dias de Araujo",$B:$B,"&lt;&gt;Lucas Luiz Romero")*(23/1083),IF(C573="JR",SUMIFS($D:$D,$A:$A,$A573,$B:$B,"&lt;&gt;Patrícia Karla de Sousa Araújo",$B:$B,"&lt;&gt;Lorena Dias de Araujo",$B:$B,"&lt;&gt;Lucas Luiz Romero")*(20/1083),IF(C573="Estágio",SUMIFS($D:$D,$A:$A,$A573,$B:$B,"&lt;&gt;Patrícia Karla de Sousa Araújo",$B:$B,"&lt;&gt;Lorena Dias de Araujo",$B:$B,"&lt;&gt;Lucas Luiz Romero")*(10/1083),0)))))),0)</f>
        <v/>
      </c>
      <c r="K573" s="3">
        <f>I573-J573</f>
        <v/>
      </c>
      <c r="L573" s="3">
        <f>IF(K573&lt;-5,"CRÍTICO",IF(K573&lt;0,"ATENÇÃO",IF(K573&lt;=5,"OPORTUNO","MUITO BOM")))</f>
        <v/>
      </c>
      <c r="M573" s="3" t="n">
        <v>23</v>
      </c>
      <c r="N573" s="3" t="n">
        <v>100</v>
      </c>
      <c r="O573" s="12" t="n">
        <v>18.24480369515012</v>
      </c>
    </row>
    <row r="574">
      <c r="A574" s="5" t="n">
        <v>46156</v>
      </c>
      <c r="B574" s="6" t="inlineStr">
        <is>
          <t>Lucas Luiz Romero</t>
        </is>
      </c>
      <c r="C574" s="1" t="inlineStr">
        <is>
          <t>Técnico III</t>
        </is>
      </c>
      <c r="D574" s="3" t="n">
        <v>0</v>
      </c>
      <c r="E574" s="3" t="n">
        <v>0</v>
      </c>
      <c r="F574" s="3" t="n">
        <v>0</v>
      </c>
      <c r="G574" s="3" t="n">
        <v>0</v>
      </c>
      <c r="H574" s="3" t="n">
        <v>0</v>
      </c>
      <c r="I574" s="3" t="n">
        <v>0</v>
      </c>
      <c r="J574" s="3" t="n">
        <v>0</v>
      </c>
      <c r="K574" s="3" t="n">
        <v>0</v>
      </c>
      <c r="L574" s="3">
        <f>IF(K574&lt;-5,"CRÍTICO",IF(K574&lt;0,"ATENÇÃO",IF(K574&lt;=5,"OPORTUNO","MUITO BOM")))</f>
        <v/>
      </c>
      <c r="M574" s="3" t="n">
        <v>0</v>
      </c>
      <c r="N574" s="3" t="n">
        <v>100</v>
      </c>
      <c r="O574" s="12" t="n">
        <v>15.78947368421053</v>
      </c>
    </row>
    <row r="575">
      <c r="A575" s="5" t="n">
        <v>46156</v>
      </c>
      <c r="B575" s="6" t="inlineStr">
        <is>
          <t>Maysa Victoria Dias Moura</t>
        </is>
      </c>
      <c r="C575" s="1" t="inlineStr">
        <is>
          <t>Técnico III</t>
        </is>
      </c>
      <c r="D575" s="3" t="n">
        <v>39</v>
      </c>
      <c r="E575" s="3" t="n">
        <v>32</v>
      </c>
      <c r="F575" s="3" t="n">
        <v>9</v>
      </c>
      <c r="G575" s="3" t="n">
        <v>3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IF(K575&lt;-5,"CRÍTICO",IF(K575&lt;0,"ATENÇÃO",IF(K575&lt;=5,"OPORTUNO","MUITO BOM")))</f>
        <v/>
      </c>
      <c r="M575" s="3" t="n">
        <v>29</v>
      </c>
      <c r="N575" s="3" t="n">
        <v>96.38</v>
      </c>
      <c r="O575" s="12" t="n">
        <v>23.1981981981982</v>
      </c>
    </row>
    <row r="576">
      <c r="A576" s="5" t="n">
        <v>46156</v>
      </c>
      <c r="B576" s="6" t="inlineStr">
        <is>
          <t>Rafael Gomes de Morais</t>
        </is>
      </c>
      <c r="C576" s="1" t="inlineStr">
        <is>
          <t>Técnico III</t>
        </is>
      </c>
      <c r="D576" s="3" t="n">
        <v>38</v>
      </c>
      <c r="E576" s="3" t="n">
        <v>37</v>
      </c>
      <c r="F576" s="3" t="n">
        <v>13.51</v>
      </c>
      <c r="G576" s="3" t="n">
        <v>0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IF(K576&lt;-5,"CRÍTICO",IF(K576&lt;0,"ATENÇÃO",IF(K576&lt;=5,"OPORTUNO","MUITO BOM")))</f>
        <v/>
      </c>
      <c r="M576" s="3" t="n">
        <v>40</v>
      </c>
      <c r="N576" s="3" t="n">
        <v>99.39</v>
      </c>
      <c r="O576" s="12" t="n">
        <v>25.20325203252033</v>
      </c>
    </row>
    <row r="577">
      <c r="A577" s="5" t="n">
        <v>46156</v>
      </c>
      <c r="B577" s="6" t="inlineStr">
        <is>
          <t>Sarah Steffanie de Lima Borges</t>
        </is>
      </c>
      <c r="C577" s="1" t="inlineStr">
        <is>
          <t>Técnico III</t>
        </is>
      </c>
      <c r="D577" s="3" t="n">
        <v>22</v>
      </c>
      <c r="E577" s="3" t="n">
        <v>22</v>
      </c>
      <c r="F577" s="3" t="n">
        <v>13.43</v>
      </c>
      <c r="G577" s="3" t="n">
        <v>5</v>
      </c>
      <c r="H577" s="3" t="n">
        <v>0</v>
      </c>
      <c r="I577" s="3">
        <f>E577+G577+H577</f>
        <v/>
      </c>
      <c r="J577" s="3">
        <f>ROUND(MIN(IF(C577="Técnico III",35,IF(C577="Técnico II",28,IF(C577="Técnico I",23,IF(C577="JR",20,IF(C577="Estágio",10,0))))),IF(C577="Técnico III",SUMIFS($D:$D,$A:$A,$A577,$B:$B,"&lt;&gt;Patrícia Karla de Sousa Araújo",$B:$B,"&lt;&gt;Lorena Dias de Araujo",$B:$B,"&lt;&gt;Lucas Luiz Romero")*(35/1083),IF(C577="Técnico II",SUMIFS($D:$D,$A:$A,$A577,$B:$B,"&lt;&gt;Patrícia Karla de Sousa Araújo",$B:$B,"&lt;&gt;Lorena Dias de Araujo",$B:$B,"&lt;&gt;Lucas Luiz Romero")*(28/1083),IF(C577="Técnico I",SUMIFS($D:$D,$A:$A,$A577,$B:$B,"&lt;&gt;Patrícia Karla de Sousa Araújo",$B:$B,"&lt;&gt;Lorena Dias de Araujo",$B:$B,"&lt;&gt;Lucas Luiz Romero")*(23/1083),IF(C577="JR",SUMIFS($D:$D,$A:$A,$A577,$B:$B,"&lt;&gt;Patrícia Karla de Sousa Araújo",$B:$B,"&lt;&gt;Lorena Dias de Araujo",$B:$B,"&lt;&gt;Lucas Luiz Romero")*(20/1083),IF(C577="Estágio",SUMIFS($D:$D,$A:$A,$A577,$B:$B,"&lt;&gt;Patrícia Karla de Sousa Araújo",$B:$B,"&lt;&gt;Lorena Dias de Araujo",$B:$B,"&lt;&gt;Lucas Luiz Romero")*(10/1083),0)))))),0)</f>
        <v/>
      </c>
      <c r="K577" s="3">
        <f>I577-J577</f>
        <v/>
      </c>
      <c r="L577" s="3">
        <f>IF(K577&lt;-5,"CRÍTICO",IF(K577&lt;0,"ATENÇÃO",IF(K577&lt;=5,"OPORTUNO","MUITO BOM")))</f>
        <v/>
      </c>
      <c r="M577" s="3" t="n">
        <v>21</v>
      </c>
      <c r="N577" s="3" t="n">
        <v>97</v>
      </c>
      <c r="O577" s="12" t="n">
        <v>20.32520325203252</v>
      </c>
    </row>
    <row r="578">
      <c r="A578" s="5" t="n">
        <v>46156</v>
      </c>
      <c r="B578" s="6" t="inlineStr">
        <is>
          <t>Alisson de Freitas Silva</t>
        </is>
      </c>
      <c r="C578" s="1" t="inlineStr">
        <is>
          <t>Técnico II</t>
        </is>
      </c>
      <c r="D578" s="3" t="n">
        <v>33</v>
      </c>
      <c r="E578" s="3" t="n">
        <v>28</v>
      </c>
      <c r="F578" s="3" t="n">
        <v>10.58</v>
      </c>
      <c r="G578" s="3" t="n">
        <v>6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IF(K578&lt;-5,"CRÍTICO",IF(K578&lt;0,"ATENÇÃO",IF(K578&lt;=5,"OPORTUNO","MUITO BOM")))</f>
        <v/>
      </c>
      <c r="M578" s="3" t="n">
        <v>23</v>
      </c>
      <c r="N578" s="3" t="n">
        <v>99.18000000000001</v>
      </c>
      <c r="O578" s="12" t="n">
        <v>24.5014245014245</v>
      </c>
    </row>
    <row r="579">
      <c r="A579" s="5" t="n">
        <v>46156</v>
      </c>
      <c r="B579" s="6" t="inlineStr">
        <is>
          <t>Brenda de Menezes Silva</t>
        </is>
      </c>
      <c r="C579" s="1" t="inlineStr">
        <is>
          <t>Técnico II</t>
        </is>
      </c>
      <c r="D579" s="3" t="n">
        <v>29</v>
      </c>
      <c r="E579" s="3" t="n">
        <v>29</v>
      </c>
      <c r="F579" s="3" t="n">
        <v>12.28</v>
      </c>
      <c r="G579" s="3" t="n">
        <v>4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IF(K579&lt;-5,"CRÍTICO",IF(K579&lt;0,"ATENÇÃO",IF(K579&lt;=5,"OPORTUNO","MUITO BOM")))</f>
        <v/>
      </c>
      <c r="M579" s="3" t="n">
        <v>33</v>
      </c>
      <c r="N579" s="3" t="n">
        <v>99.34999999999999</v>
      </c>
      <c r="O579" s="12" t="n">
        <v>19.85294117647059</v>
      </c>
    </row>
    <row r="580">
      <c r="A580" s="5" t="n">
        <v>46156</v>
      </c>
      <c r="B580" s="6" t="inlineStr">
        <is>
          <t>Carlos Mateus Cassimiro Nunes</t>
        </is>
      </c>
      <c r="C580" s="1" t="inlineStr">
        <is>
          <t>Técnico II</t>
        </is>
      </c>
      <c r="D580" s="3" t="n">
        <v>25</v>
      </c>
      <c r="E580" s="3" t="n">
        <v>23</v>
      </c>
      <c r="F580" s="3" t="n">
        <v>20.56</v>
      </c>
      <c r="G580" s="3" t="n">
        <v>4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IF(K580&lt;-5,"CRÍTICO",IF(K580&lt;0,"ATENÇÃO",IF(K580&lt;=5,"OPORTUNO","MUITO BOM")))</f>
        <v/>
      </c>
      <c r="M580" s="3" t="n">
        <v>25</v>
      </c>
      <c r="N580" s="3" t="n">
        <v>99.06999999999999</v>
      </c>
      <c r="O580" s="12" t="n">
        <v>20.09803921568627</v>
      </c>
    </row>
    <row r="581">
      <c r="A581" s="5" t="n">
        <v>46156</v>
      </c>
      <c r="B581" s="6" t="inlineStr">
        <is>
          <t>Damyllis Lorraine de Oliveira Gonçalves</t>
        </is>
      </c>
      <c r="C581" s="1" t="inlineStr">
        <is>
          <t>Técnico II</t>
        </is>
      </c>
      <c r="D581" s="3" t="n">
        <v>22</v>
      </c>
      <c r="E581" s="3" t="n">
        <v>18</v>
      </c>
      <c r="F581" s="3" t="n">
        <v>25.02</v>
      </c>
      <c r="G581" s="3" t="n">
        <v>0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IF(K581&lt;-5,"CRÍTICO",IF(K581&lt;0,"ATENÇÃO",IF(K581&lt;=5,"OPORTUNO","MUITO BOM")))</f>
        <v/>
      </c>
      <c r="M581" s="3" t="n">
        <v>17</v>
      </c>
      <c r="N581" s="3" t="n">
        <v>98.81</v>
      </c>
      <c r="O581" s="12" t="n">
        <v>22.76785714285714</v>
      </c>
    </row>
    <row r="582">
      <c r="A582" s="5" t="n">
        <v>46156</v>
      </c>
      <c r="B582" s="6" t="inlineStr">
        <is>
          <t>Emilly Kamilly Medeiros Miranda</t>
        </is>
      </c>
      <c r="C582" s="1" t="inlineStr">
        <is>
          <t>Técnico II</t>
        </is>
      </c>
      <c r="D582" s="3" t="n">
        <v>14</v>
      </c>
      <c r="E582" s="3" t="n">
        <v>13</v>
      </c>
      <c r="F582" s="3" t="n">
        <v>19.05</v>
      </c>
      <c r="G582" s="3" t="n">
        <v>0</v>
      </c>
      <c r="H582" s="3" t="n">
        <v>0</v>
      </c>
      <c r="I582" s="3">
        <f>E582+G582+H582</f>
        <v/>
      </c>
      <c r="J582" s="3">
        <f>ROUND(MIN(IF(C582="Técnico III",35,IF(C582="Técnico II",28,IF(C582="Técnico I",23,IF(C582="JR",20,IF(C582="Estágio",10,0))))),IF(C582="Técnico III",SUMIFS($D:$D,$A:$A,$A582,$B:$B,"&lt;&gt;Patrícia Karla de Sousa Araújo",$B:$B,"&lt;&gt;Lorena Dias de Araujo",$B:$B,"&lt;&gt;Lucas Luiz Romero")*(35/1083),IF(C582="Técnico II",SUMIFS($D:$D,$A:$A,$A582,$B:$B,"&lt;&gt;Patrícia Karla de Sousa Araújo",$B:$B,"&lt;&gt;Lorena Dias de Araujo",$B:$B,"&lt;&gt;Lucas Luiz Romero")*(28/1083),IF(C582="Técnico I",SUMIFS($D:$D,$A:$A,$A582,$B:$B,"&lt;&gt;Patrícia Karla de Sousa Araújo",$B:$B,"&lt;&gt;Lorena Dias de Araujo",$B:$B,"&lt;&gt;Lucas Luiz Romero")*(23/1083),IF(C582="JR",SUMIFS($D:$D,$A:$A,$A582,$B:$B,"&lt;&gt;Patrícia Karla de Sousa Araújo",$B:$B,"&lt;&gt;Lorena Dias de Araujo",$B:$B,"&lt;&gt;Lucas Luiz Romero")*(20/1083),IF(C582="Estágio",SUMIFS($D:$D,$A:$A,$A582,$B:$B,"&lt;&gt;Patrícia Karla de Sousa Araújo",$B:$B,"&lt;&gt;Lorena Dias de Araujo",$B:$B,"&lt;&gt;Lucas Luiz Romero")*(10/1083),0)))))),0)</f>
        <v/>
      </c>
      <c r="K582" s="3">
        <f>I582-J582</f>
        <v/>
      </c>
      <c r="L582" s="3">
        <f>IF(K582&lt;-5,"CRÍTICO",IF(K582&lt;0,"ATENÇÃO",IF(K582&lt;=5,"OPORTUNO","MUITO BOM")))</f>
        <v/>
      </c>
      <c r="M582" s="3" t="n">
        <v>18</v>
      </c>
      <c r="N582" s="3" t="n">
        <v>99.01000000000001</v>
      </c>
      <c r="O582" s="12" t="n">
        <v>17.76649746192894</v>
      </c>
    </row>
    <row r="583">
      <c r="A583" s="5" t="n">
        <v>46156</v>
      </c>
      <c r="B583" s="6" t="inlineStr">
        <is>
          <t>Francilene Ferreira de Jesus</t>
        </is>
      </c>
      <c r="C583" s="1" t="inlineStr">
        <is>
          <t>Técnico II</t>
        </is>
      </c>
      <c r="D583" s="3" t="n">
        <v>0</v>
      </c>
      <c r="E583" s="3" t="n">
        <v>0</v>
      </c>
      <c r="F583" s="3" t="n">
        <v>0</v>
      </c>
      <c r="G583" s="3" t="n">
        <v>0</v>
      </c>
      <c r="H583" s="3" t="n">
        <v>0</v>
      </c>
      <c r="I583" s="3" t="n">
        <v>0</v>
      </c>
      <c r="J583" s="3" t="n">
        <v>0</v>
      </c>
      <c r="K583" s="3" t="n">
        <v>0</v>
      </c>
      <c r="L583" s="3">
        <f>IF(K583&lt;-5,"CRÍTICO",IF(K583&lt;0,"ATENÇÃO",IF(K583&lt;=5,"OPORTUNO","MUITO BOM")))</f>
        <v/>
      </c>
      <c r="M583" s="3" t="n">
        <v>0</v>
      </c>
      <c r="N583" s="3" t="n">
        <v>100</v>
      </c>
      <c r="O583" s="12" t="n">
        <v>17.24137931034483</v>
      </c>
    </row>
    <row r="584">
      <c r="A584" s="5" t="n">
        <v>46156</v>
      </c>
      <c r="B584" s="6" t="inlineStr">
        <is>
          <t>Isabella Borges de Oliveira</t>
        </is>
      </c>
      <c r="C584" s="1" t="inlineStr">
        <is>
          <t>Técnico II</t>
        </is>
      </c>
      <c r="D584" s="3" t="n">
        <v>17</v>
      </c>
      <c r="E584" s="3" t="n">
        <v>17</v>
      </c>
      <c r="F584" s="3" t="n">
        <v>28.35</v>
      </c>
      <c r="G584" s="3" t="n">
        <v>0</v>
      </c>
      <c r="H584" s="3" t="n">
        <v>0</v>
      </c>
      <c r="I584" s="3">
        <f>E584+G584+H584</f>
        <v/>
      </c>
      <c r="J584" s="3">
        <f>ROUND(MIN(IF(C584="Técnico III",35,IF(C584="Técnico II",28,IF(C584="Técnico I",23,IF(C584="JR",20,IF(C584="Estágio",10,0))))),IF(C584="Técnico III",SUMIFS($D:$D,$A:$A,$A584,$B:$B,"&lt;&gt;Patrícia Karla de Sousa Araújo",$B:$B,"&lt;&gt;Lorena Dias de Araujo",$B:$B,"&lt;&gt;Lucas Luiz Romero")*(35/1083),IF(C584="Técnico II",SUMIFS($D:$D,$A:$A,$A584,$B:$B,"&lt;&gt;Patrícia Karla de Sousa Araújo",$B:$B,"&lt;&gt;Lorena Dias de Araujo",$B:$B,"&lt;&gt;Lucas Luiz Romero")*(28/1083),IF(C584="Técnico I",SUMIFS($D:$D,$A:$A,$A584,$B:$B,"&lt;&gt;Patrícia Karla de Sousa Araújo",$B:$B,"&lt;&gt;Lorena Dias de Araujo",$B:$B,"&lt;&gt;Lucas Luiz Romero")*(23/1083),IF(C584="JR",SUMIFS($D:$D,$A:$A,$A584,$B:$B,"&lt;&gt;Patrícia Karla de Sousa Araújo",$B:$B,"&lt;&gt;Lorena Dias de Araujo",$B:$B,"&lt;&gt;Lucas Luiz Romero")*(20/1083),IF(C584="Estágio",SUMIFS($D:$D,$A:$A,$A584,$B:$B,"&lt;&gt;Patrícia Karla de Sousa Araújo",$B:$B,"&lt;&gt;Lorena Dias de Araujo",$B:$B,"&lt;&gt;Lucas Luiz Romero")*(10/1083),0)))))),0)</f>
        <v/>
      </c>
      <c r="K584" s="3">
        <f>I584-J584</f>
        <v/>
      </c>
      <c r="L584" s="3">
        <f>IF(K584&lt;-5,"CRÍTICO",IF(K584&lt;0,"ATENÇÃO",IF(K584&lt;=5,"OPORTUNO","MUITO BOM")))</f>
        <v/>
      </c>
      <c r="M584" s="3" t="n">
        <v>13</v>
      </c>
      <c r="N584" s="3" t="n">
        <v>98.98</v>
      </c>
      <c r="O584" s="12" t="n">
        <v>19.35483870967742</v>
      </c>
    </row>
    <row r="585">
      <c r="A585" s="5" t="n">
        <v>46156</v>
      </c>
      <c r="B585" s="6" t="inlineStr">
        <is>
          <t>Jessica Faria da Silveira</t>
        </is>
      </c>
      <c r="C585" s="1" t="inlineStr">
        <is>
          <t>Técnico II</t>
        </is>
      </c>
      <c r="D585" s="3" t="n">
        <v>9</v>
      </c>
      <c r="E585" s="3" t="n">
        <v>9</v>
      </c>
      <c r="F585" s="3" t="n">
        <v>25.25</v>
      </c>
      <c r="G585" s="3" t="n">
        <v>1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IF(K585&lt;-5,"CRÍTICO",IF(K585&lt;0,"ATENÇÃO",IF(K585&lt;=5,"OPORTUNO","MUITO BOM")))</f>
        <v/>
      </c>
      <c r="M585" s="3" t="n">
        <v>9</v>
      </c>
      <c r="N585" s="3" t="n">
        <v>98.94</v>
      </c>
      <c r="O585" s="12" t="n">
        <v>21.2707182320442</v>
      </c>
    </row>
    <row r="586">
      <c r="A586" s="5" t="n">
        <v>46156</v>
      </c>
      <c r="B586" s="6" t="inlineStr">
        <is>
          <t>Lizandra Gomes Duarte</t>
        </is>
      </c>
      <c r="C586" s="1" t="inlineStr">
        <is>
          <t>Técnico II</t>
        </is>
      </c>
      <c r="D586" s="3" t="n">
        <v>26</v>
      </c>
      <c r="E586" s="3" t="n">
        <v>24</v>
      </c>
      <c r="F586" s="3" t="n">
        <v>18.58</v>
      </c>
      <c r="G586" s="3" t="n">
        <v>0</v>
      </c>
      <c r="H586" s="3" t="n">
        <v>0</v>
      </c>
      <c r="I586" s="3">
        <f>E586+G586+H586</f>
        <v/>
      </c>
      <c r="J586" s="3">
        <f>ROUND(MIN(IF(C586="Técnico III",35,IF(C586="Técnico II",28,IF(C586="Técnico I",23,IF(C586="JR",20,IF(C586="Estágio",10,0))))),IF(C586="Técnico III",SUMIFS($D:$D,$A:$A,$A586,$B:$B,"&lt;&gt;Patrícia Karla de Sousa Araújo",$B:$B,"&lt;&gt;Lorena Dias de Araujo",$B:$B,"&lt;&gt;Lucas Luiz Romero")*(35/1083),IF(C586="Técnico II",SUMIFS($D:$D,$A:$A,$A586,$B:$B,"&lt;&gt;Patrícia Karla de Sousa Araújo",$B:$B,"&lt;&gt;Lorena Dias de Araujo",$B:$B,"&lt;&gt;Lucas Luiz Romero")*(28/1083),IF(C586="Técnico I",SUMIFS($D:$D,$A:$A,$A586,$B:$B,"&lt;&gt;Patrícia Karla de Sousa Araújo",$B:$B,"&lt;&gt;Lorena Dias de Araujo",$B:$B,"&lt;&gt;Lucas Luiz Romero")*(23/1083),IF(C586="JR",SUMIFS($D:$D,$A:$A,$A586,$B:$B,"&lt;&gt;Patrícia Karla de Sousa Araújo",$B:$B,"&lt;&gt;Lorena Dias de Araujo",$B:$B,"&lt;&gt;Lucas Luiz Romero")*(20/1083),IF(C586="Estágio",SUMIFS($D:$D,$A:$A,$A586,$B:$B,"&lt;&gt;Patrícia Karla de Sousa Araújo",$B:$B,"&lt;&gt;Lorena Dias de Araujo",$B:$B,"&lt;&gt;Lucas Luiz Romero")*(10/1083),0)))))),0)</f>
        <v/>
      </c>
      <c r="K586" s="3">
        <f>I586-J586</f>
        <v/>
      </c>
      <c r="L586" s="3">
        <f>IF(K586&lt;-5,"CRÍTICO",IF(K586&lt;0,"ATENÇÃO",IF(K586&lt;=5,"OPORTUNO","MUITO BOM")))</f>
        <v/>
      </c>
      <c r="M586" s="3" t="n">
        <v>12</v>
      </c>
      <c r="N586" s="3" t="n">
        <v>99</v>
      </c>
      <c r="O586" s="12" t="n">
        <v>22.01086956521739</v>
      </c>
    </row>
    <row r="587">
      <c r="A587" s="5" t="n">
        <v>46156</v>
      </c>
      <c r="B587" s="6" t="inlineStr">
        <is>
          <t>Lorena Dias de Araujo</t>
        </is>
      </c>
      <c r="C587" s="1" t="inlineStr">
        <is>
          <t>Técnico II</t>
        </is>
      </c>
      <c r="D587" s="3" t="n">
        <v>22</v>
      </c>
      <c r="E587" s="3" t="n">
        <v>18</v>
      </c>
      <c r="F587" s="3" t="n">
        <v>23.52</v>
      </c>
      <c r="G587" s="3" t="n">
        <v>0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IF(K587&lt;-5,"CRÍTICO",IF(K587&lt;0,"ATENÇÃO",IF(K587&lt;=5,"OPORTUNO","MUITO BOM")))</f>
        <v/>
      </c>
      <c r="M587" s="3" t="n">
        <v>17</v>
      </c>
      <c r="N587" s="3" t="n">
        <v>100</v>
      </c>
      <c r="O587" s="12" t="n">
        <v>25</v>
      </c>
    </row>
    <row r="588">
      <c r="A588" s="10" t="n">
        <v>46097</v>
      </c>
      <c r="B588" t="inlineStr">
        <is>
          <t>Matheus Farias De Souza</t>
        </is>
      </c>
      <c r="C588" s="1" t="inlineStr">
        <is>
          <t>Técnico III</t>
        </is>
      </c>
      <c r="D588" s="3" t="n">
        <v>31</v>
      </c>
      <c r="E588" s="3" t="n">
        <v>29</v>
      </c>
      <c r="F588" s="3" t="n">
        <v>17.25</v>
      </c>
      <c r="G588" s="3" t="n">
        <v>0</v>
      </c>
      <c r="H588" s="3" t="n">
        <v>0</v>
      </c>
      <c r="I588" s="3">
        <f>E588+G588+H588</f>
        <v/>
      </c>
      <c r="J588" s="3">
        <f>ROUND(MIN(IF(C588="Técnico III",35,IF(C588="Técnico II",28,IF(C588="Técnico I",23,IF(C588="JR",20,IF(C588="Estágio",10,0))))),IF(C588="Técnico III",SUMIFS($D:$D,$A:$A,$A588,$B:$B,"&lt;&gt;Patrícia Karla de Sousa Araújo",$B:$B,"&lt;&gt;Lorena Dias de Araujo",$B:$B,"&lt;&gt;Lucas Luiz Romero")*(35/1083),IF(C588="Técnico II",SUMIFS($D:$D,$A:$A,$A588,$B:$B,"&lt;&gt;Patrícia Karla de Sousa Araújo",$B:$B,"&lt;&gt;Lorena Dias de Araujo",$B:$B,"&lt;&gt;Lucas Luiz Romero")*(28/1083),IF(C588="Técnico I",SUMIFS($D:$D,$A:$A,$A588,$B:$B,"&lt;&gt;Patrícia Karla de Sousa Araújo",$B:$B,"&lt;&gt;Lorena Dias de Araujo",$B:$B,"&lt;&gt;Lucas Luiz Romero")*(23/1083),IF(C588="JR",SUMIFS($D:$D,$A:$A,$A588,$B:$B,"&lt;&gt;Patrícia Karla de Sousa Araújo",$B:$B,"&lt;&gt;Lorena Dias de Araujo",$B:$B,"&lt;&gt;Lucas Luiz Romero")*(20/1083),IF(C588="Estágio",SUMIFS($D:$D,$A:$A,$A588,$B:$B,"&lt;&gt;Patrícia Karla de Sousa Araújo",$B:$B,"&lt;&gt;Lorena Dias de Araujo",$B:$B,"&lt;&gt;Lucas Luiz Romero")*(10/1083),0)))))),0)</f>
        <v/>
      </c>
      <c r="K588" s="3">
        <f>I588-J588</f>
        <v/>
      </c>
      <c r="L588" s="3">
        <f>IF(K588&lt;-5,"CRÍTICO",IF(K588&lt;0,"ATENÇÃO",IF(K588&lt;=5,"OPORTUNO","MUITO BOM")))</f>
        <v/>
      </c>
      <c r="M588" s="3" t="n">
        <v>31</v>
      </c>
      <c r="N588" s="3" t="n">
        <v>98.86</v>
      </c>
      <c r="O588" s="12" t="n">
        <v>28.95927601809955</v>
      </c>
    </row>
    <row r="589">
      <c r="A589" s="5" t="n">
        <v>46156</v>
      </c>
      <c r="B589" s="6" t="inlineStr">
        <is>
          <t>Patrícia Karla de Sousa Araújo</t>
        </is>
      </c>
      <c r="C589" s="1" t="inlineStr">
        <is>
          <t>Técnico II</t>
        </is>
      </c>
      <c r="D589" s="3" t="n">
        <v>29</v>
      </c>
      <c r="E589" s="3" t="n">
        <v>26</v>
      </c>
      <c r="F589" s="3" t="n">
        <v>20.36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IF(K589&lt;-5,"CRÍTICO",IF(K589&lt;0,"ATENÇÃO",IF(K589&lt;=5,"OPORTUNO","MUITO BOM")))</f>
        <v/>
      </c>
      <c r="M589" s="3" t="n">
        <v>23</v>
      </c>
      <c r="N589" s="3" t="n">
        <v>100</v>
      </c>
      <c r="O589" s="12" t="n">
        <v>20.18348623853211</v>
      </c>
    </row>
    <row r="590">
      <c r="A590" s="10" t="n">
        <v>46050</v>
      </c>
      <c r="B590" t="inlineStr">
        <is>
          <t>Gabriel Gomes de Andrade</t>
        </is>
      </c>
      <c r="C590" s="1" t="inlineStr">
        <is>
          <t>Técnico I</t>
        </is>
      </c>
      <c r="D590" s="3" t="n">
        <v>26</v>
      </c>
      <c r="E590" s="3" t="n">
        <v>25</v>
      </c>
      <c r="F590" s="3" t="n">
        <v>23.42</v>
      </c>
      <c r="G590" s="3" t="n">
        <v>0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IF(K590&lt;-5,"CRÍTICO",IF(K590&lt;0,"ATENÇÃO",IF(K590&lt;=5,"BOM","EXCELENTE")))</f>
        <v/>
      </c>
      <c r="M590" s="3" t="n">
        <v>21</v>
      </c>
      <c r="N590" s="3" t="n">
        <v>98.91</v>
      </c>
      <c r="O590" s="12" t="n">
        <v>31.36729222520107</v>
      </c>
    </row>
    <row r="591">
      <c r="A591" s="10" t="n">
        <v>46051</v>
      </c>
      <c r="B591" t="inlineStr">
        <is>
          <t>Gabriel Gomes de Andrade</t>
        </is>
      </c>
      <c r="C591" s="1" t="inlineStr">
        <is>
          <t>Técnico I</t>
        </is>
      </c>
      <c r="D591" s="3" t="n">
        <v>0</v>
      </c>
      <c r="E591" s="3" t="n">
        <v>0</v>
      </c>
      <c r="F591" s="3" t="n">
        <v>0</v>
      </c>
      <c r="G591" s="3" t="n">
        <v>0</v>
      </c>
      <c r="H591" s="3" t="n">
        <v>0</v>
      </c>
      <c r="I591" s="3" t="n">
        <v>0</v>
      </c>
      <c r="J591" s="3" t="n">
        <v>0</v>
      </c>
      <c r="K591" s="3" t="n">
        <v>0</v>
      </c>
      <c r="L591" s="3">
        <f>IF(K591&lt;-5,"CRÍTICO",IF(K591&lt;0,"ATENÇÃO",IF(K591&lt;=5,"BOM","EXCELENTE")))</f>
        <v/>
      </c>
      <c r="M591" s="3" t="n">
        <v>0</v>
      </c>
      <c r="N591" s="3" t="n">
        <v>98.91</v>
      </c>
      <c r="O591" s="12" t="n">
        <v>31.36729222520107</v>
      </c>
    </row>
    <row r="592">
      <c r="A592" s="5" t="n">
        <v>46156</v>
      </c>
      <c r="B592" s="6" t="inlineStr">
        <is>
          <t>Ana Karollyne Souza Faria</t>
        </is>
      </c>
      <c r="C592" s="1" t="inlineStr">
        <is>
          <t>Técnico I</t>
        </is>
      </c>
      <c r="D592" s="3" t="n">
        <v>27</v>
      </c>
      <c r="E592" s="3" t="n">
        <v>25</v>
      </c>
      <c r="F592" s="3" t="n">
        <v>18.51</v>
      </c>
      <c r="G592" s="3" t="n">
        <v>1</v>
      </c>
      <c r="H592" s="3" t="n">
        <v>0</v>
      </c>
      <c r="I592" s="3">
        <f>E592+G592+H592</f>
        <v/>
      </c>
      <c r="J592" s="3">
        <f>ROUND(MIN(IF(C592="Técnico III",35,IF(C592="Técnico II",28,IF(C592="Técnico I",23,IF(C592="JR",20,IF(C592="Estágio",10,0))))),IF(C592="Técnico III",SUMIFS($D:$D,$A:$A,$A592,$B:$B,"&lt;&gt;Patrícia Karla de Sousa Araújo",$B:$B,"&lt;&gt;Lorena Dias de Araujo",$B:$B,"&lt;&gt;Lucas Luiz Romero")*(35/1083),IF(C592="Técnico II",SUMIFS($D:$D,$A:$A,$A592,$B:$B,"&lt;&gt;Patrícia Karla de Sousa Araújo",$B:$B,"&lt;&gt;Lorena Dias de Araujo",$B:$B,"&lt;&gt;Lucas Luiz Romero")*(28/1083),IF(C592="Técnico I",SUMIFS($D:$D,$A:$A,$A592,$B:$B,"&lt;&gt;Patrícia Karla de Sousa Araújo",$B:$B,"&lt;&gt;Lorena Dias de Araujo",$B:$B,"&lt;&gt;Lucas Luiz Romero")*(23/1083),IF(C592="JR",SUMIFS($D:$D,$A:$A,$A592,$B:$B,"&lt;&gt;Patrícia Karla de Sousa Araújo",$B:$B,"&lt;&gt;Lorena Dias de Araujo",$B:$B,"&lt;&gt;Lucas Luiz Romero")*(20/1083),IF(C592="Estágio",SUMIFS($D:$D,$A:$A,$A592,$B:$B,"&lt;&gt;Patrícia Karla de Sousa Araújo",$B:$B,"&lt;&gt;Lorena Dias de Araujo",$B:$B,"&lt;&gt;Lucas Luiz Romero")*(10/1083),0)))))),0)</f>
        <v/>
      </c>
      <c r="K592" s="3">
        <f>I592-J592</f>
        <v/>
      </c>
      <c r="L592" s="3">
        <f>IF(K592&lt;-5,"CRÍTICO",IF(K592&lt;0,"ATENÇÃO",IF(K592&lt;=5,"OPORTUNO","MUITO BOM")))</f>
        <v/>
      </c>
      <c r="M592" s="3" t="n">
        <v>23</v>
      </c>
      <c r="N592" s="3" t="n">
        <v>96.25</v>
      </c>
      <c r="O592" s="12" t="n">
        <v>25.5863539445629</v>
      </c>
    </row>
    <row r="593">
      <c r="A593" s="5" t="n">
        <v>46156</v>
      </c>
      <c r="B593" s="6" t="inlineStr">
        <is>
          <t>Clessiane Pereira dos Santos</t>
        </is>
      </c>
      <c r="C593" s="1" t="inlineStr">
        <is>
          <t>Técnico I</t>
        </is>
      </c>
      <c r="D593" s="3" t="n">
        <v>33</v>
      </c>
      <c r="E593" s="3" t="n">
        <v>29</v>
      </c>
      <c r="F593" s="3" t="n">
        <v>11.54</v>
      </c>
      <c r="G593" s="3" t="n">
        <v>7</v>
      </c>
      <c r="H593" s="3" t="n">
        <v>0</v>
      </c>
      <c r="I593" s="3">
        <f>E593+G593+H593</f>
        <v/>
      </c>
      <c r="J593" s="3">
        <f>ROUND(MIN(IF(C593="Técnico III",35,IF(C593="Técnico II",28,IF(C593="Técnico I",23,IF(C593="JR",20,IF(C593="Estágio",10,0))))),IF(C593="Técnico III",SUMIFS($D:$D,$A:$A,$A593,$B:$B,"&lt;&gt;Patrícia Karla de Sousa Araújo",$B:$B,"&lt;&gt;Lorena Dias de Araujo",$B:$B,"&lt;&gt;Lucas Luiz Romero")*(35/1083),IF(C593="Técnico II",SUMIFS($D:$D,$A:$A,$A593,$B:$B,"&lt;&gt;Patrícia Karla de Sousa Araújo",$B:$B,"&lt;&gt;Lorena Dias de Araujo",$B:$B,"&lt;&gt;Lucas Luiz Romero")*(28/1083),IF(C593="Técnico I",SUMIFS($D:$D,$A:$A,$A593,$B:$B,"&lt;&gt;Patrícia Karla de Sousa Araújo",$B:$B,"&lt;&gt;Lorena Dias de Araujo",$B:$B,"&lt;&gt;Lucas Luiz Romero")*(23/1083),IF(C593="JR",SUMIFS($D:$D,$A:$A,$A593,$B:$B,"&lt;&gt;Patrícia Karla de Sousa Araújo",$B:$B,"&lt;&gt;Lorena Dias de Araujo",$B:$B,"&lt;&gt;Lucas Luiz Romero")*(20/1083),IF(C593="Estágio",SUMIFS($D:$D,$A:$A,$A593,$B:$B,"&lt;&gt;Patrícia Karla de Sousa Araújo",$B:$B,"&lt;&gt;Lorena Dias de Araujo",$B:$B,"&lt;&gt;Lucas Luiz Romero")*(10/1083),0)))))),0)</f>
        <v/>
      </c>
      <c r="K593" s="3">
        <f>I593-J593</f>
        <v/>
      </c>
      <c r="L593" s="3">
        <f>IF(K593&lt;-5,"CRÍTICO",IF(K593&lt;0,"ATENÇÃO",IF(K593&lt;=5,"OPORTUNO","MUITO BOM")))</f>
        <v/>
      </c>
      <c r="M593" s="3" t="n">
        <v>30</v>
      </c>
      <c r="N593" s="3" t="n">
        <v>97.48</v>
      </c>
      <c r="O593" s="12" t="n">
        <v>22.99465240641711</v>
      </c>
    </row>
    <row r="594">
      <c r="A594" s="5" t="n">
        <v>46156</v>
      </c>
      <c r="B594" s="6" t="inlineStr">
        <is>
          <t>Daniel Gomes da Silva</t>
        </is>
      </c>
      <c r="C594" s="1" t="inlineStr">
        <is>
          <t>Técnico I</t>
        </is>
      </c>
      <c r="D594" s="3" t="n">
        <v>30</v>
      </c>
      <c r="E594" s="3" t="n">
        <v>28</v>
      </c>
      <c r="F594" s="3" t="n">
        <v>18.25</v>
      </c>
      <c r="G594" s="3" t="n">
        <v>1</v>
      </c>
      <c r="H594" s="3" t="n">
        <v>0</v>
      </c>
      <c r="I594" s="3">
        <f>E594+G594+H594</f>
        <v/>
      </c>
      <c r="J594" s="3">
        <f>ROUND(MIN(IF(C594="Técnico III",35,IF(C594="Técnico II",28,IF(C594="Técnico I",23,IF(C594="JR",20,IF(C594="Estágio",10,0))))),IF(C594="Técnico III",SUMIFS($D:$D,$A:$A,$A594,$B:$B,"&lt;&gt;Patrícia Karla de Sousa Araújo",$B:$B,"&lt;&gt;Lorena Dias de Araujo",$B:$B,"&lt;&gt;Lucas Luiz Romero")*(35/1083),IF(C594="Técnico II",SUMIFS($D:$D,$A:$A,$A594,$B:$B,"&lt;&gt;Patrícia Karla de Sousa Araújo",$B:$B,"&lt;&gt;Lorena Dias de Araujo",$B:$B,"&lt;&gt;Lucas Luiz Romero")*(28/1083),IF(C594="Técnico I",SUMIFS($D:$D,$A:$A,$A594,$B:$B,"&lt;&gt;Patrícia Karla de Sousa Araújo",$B:$B,"&lt;&gt;Lorena Dias de Araujo",$B:$B,"&lt;&gt;Lucas Luiz Romero")*(23/1083),IF(C594="JR",SUMIFS($D:$D,$A:$A,$A594,$B:$B,"&lt;&gt;Patrícia Karla de Sousa Araújo",$B:$B,"&lt;&gt;Lorena Dias de Araujo",$B:$B,"&lt;&gt;Lucas Luiz Romero")*(20/1083),IF(C594="Estágio",SUMIFS($D:$D,$A:$A,$A594,$B:$B,"&lt;&gt;Patrícia Karla de Sousa Araújo",$B:$B,"&lt;&gt;Lorena Dias de Araujo",$B:$B,"&lt;&gt;Lucas Luiz Romero")*(10/1083),0)))))),0)</f>
        <v/>
      </c>
      <c r="K594" s="3">
        <f>I594-J594</f>
        <v/>
      </c>
      <c r="L594" s="3">
        <f>IF(K594&lt;-5,"CRÍTICO",IF(K594&lt;0,"ATENÇÃO",IF(K594&lt;=5,"OPORTUNO","MUITO BOM")))</f>
        <v/>
      </c>
      <c r="M594" s="3" t="n">
        <v>20</v>
      </c>
      <c r="N594" s="3" t="n">
        <v>100</v>
      </c>
      <c r="O594" s="12" t="n">
        <v>20.78853046594982</v>
      </c>
    </row>
    <row r="595">
      <c r="A595" s="5" t="n">
        <v>46156</v>
      </c>
      <c r="B595" s="6" t="inlineStr">
        <is>
          <t>Luiz Fernando de Carvalho Junior</t>
        </is>
      </c>
      <c r="C595" s="1" t="inlineStr">
        <is>
          <t>Técnico I</t>
        </is>
      </c>
      <c r="D595" s="3" t="n">
        <v>11</v>
      </c>
      <c r="E595" s="3" t="n">
        <v>11</v>
      </c>
      <c r="F595" s="3" t="n">
        <v>33.21</v>
      </c>
      <c r="G595" s="3" t="n">
        <v>4</v>
      </c>
      <c r="H595" s="3" t="n">
        <v>0</v>
      </c>
      <c r="I595" s="3">
        <f>E595+G595+H595</f>
        <v/>
      </c>
      <c r="J595" s="3">
        <f>ROUND(MIN(IF(C595="Técnico III",35,IF(C595="Técnico II",28,IF(C595="Técnico I",23,IF(C595="JR",20,IF(C595="Estágio",10,0))))),IF(C595="Técnico III",SUMIFS($D:$D,$A:$A,$A595,$B:$B,"&lt;&gt;Patrícia Karla de Sousa Araújo",$B:$B,"&lt;&gt;Lorena Dias de Araujo",$B:$B,"&lt;&gt;Lucas Luiz Romero")*(35/1083),IF(C595="Técnico II",SUMIFS($D:$D,$A:$A,$A595,$B:$B,"&lt;&gt;Patrícia Karla de Sousa Araújo",$B:$B,"&lt;&gt;Lorena Dias de Araujo",$B:$B,"&lt;&gt;Lucas Luiz Romero")*(28/1083),IF(C595="Técnico I",SUMIFS($D:$D,$A:$A,$A595,$B:$B,"&lt;&gt;Patrícia Karla de Sousa Araújo",$B:$B,"&lt;&gt;Lorena Dias de Araujo",$B:$B,"&lt;&gt;Lucas Luiz Romero")*(23/1083),IF(C595="JR",SUMIFS($D:$D,$A:$A,$A595,$B:$B,"&lt;&gt;Patrícia Karla de Sousa Araújo",$B:$B,"&lt;&gt;Lorena Dias de Araujo",$B:$B,"&lt;&gt;Lucas Luiz Romero")*(20/1083),IF(C595="Estágio",SUMIFS($D:$D,$A:$A,$A595,$B:$B,"&lt;&gt;Patrícia Karla de Sousa Araújo",$B:$B,"&lt;&gt;Lorena Dias de Araujo",$B:$B,"&lt;&gt;Lucas Luiz Romero")*(10/1083),0)))))),0)</f>
        <v/>
      </c>
      <c r="K595" s="3">
        <f>I595-J595</f>
        <v/>
      </c>
      <c r="L595" s="3">
        <f>IF(K595&lt;-5,"CRÍTICO",IF(K595&lt;0,"ATENÇÃO",IF(K595&lt;=5,"OPORTUNO","MUITO BOM")))</f>
        <v/>
      </c>
      <c r="M595" s="3" t="n">
        <v>16</v>
      </c>
      <c r="N595" s="3" t="n">
        <v>94.55</v>
      </c>
      <c r="O595" s="12" t="n">
        <v>23.45013477088949</v>
      </c>
    </row>
    <row r="596">
      <c r="A596" s="5" t="n">
        <v>46156</v>
      </c>
      <c r="B596" s="6" t="inlineStr">
        <is>
          <t>Raane Batista Matos</t>
        </is>
      </c>
      <c r="C596" s="1" t="inlineStr">
        <is>
          <t>Técnico I</t>
        </is>
      </c>
      <c r="D596" s="3" t="n">
        <v>26</v>
      </c>
      <c r="E596" s="3" t="n">
        <v>25</v>
      </c>
      <c r="F596" s="3" t="n">
        <v>15.24</v>
      </c>
      <c r="G596" s="3" t="n">
        <v>1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IF(K596&lt;-5,"CRÍTICO",IF(K596&lt;0,"ATENÇÃO",IF(K596&lt;=5,"OPORTUNO","MUITO BOM")))</f>
        <v/>
      </c>
      <c r="M596" s="3" t="n">
        <v>24</v>
      </c>
      <c r="N596" s="3" t="n">
        <v>98</v>
      </c>
      <c r="O596" s="12" t="n">
        <v>20.73490813648294</v>
      </c>
    </row>
    <row r="597">
      <c r="A597" s="5" t="n">
        <v>46156</v>
      </c>
      <c r="B597" s="6" t="inlineStr">
        <is>
          <t>Sara Maria Monteiro Lopes</t>
        </is>
      </c>
      <c r="C597" s="1" t="inlineStr">
        <is>
          <t>Técnico I</t>
        </is>
      </c>
      <c r="D597" s="3" t="n">
        <v>20</v>
      </c>
      <c r="E597" s="3" t="n">
        <v>19</v>
      </c>
      <c r="F597" s="3" t="n">
        <v>20.29</v>
      </c>
      <c r="G597" s="3" t="n">
        <v>0</v>
      </c>
      <c r="H597" s="3" t="n">
        <v>0</v>
      </c>
      <c r="I597" s="3">
        <f>E597+G597+H597</f>
        <v/>
      </c>
      <c r="J597" s="3">
        <f>ROUND(MIN(IF(C597="Técnico III",35,IF(C597="Técnico II",28,IF(C597="Técnico I",23,IF(C597="JR",20,IF(C597="Estágio",10,0))))),IF(C597="Técnico III",SUMIFS($D:$D,$A:$A,$A597,$B:$B,"&lt;&gt;Patrícia Karla de Sousa Araújo",$B:$B,"&lt;&gt;Lorena Dias de Araujo",$B:$B,"&lt;&gt;Lucas Luiz Romero")*(35/1083),IF(C597="Técnico II",SUMIFS($D:$D,$A:$A,$A597,$B:$B,"&lt;&gt;Patrícia Karla de Sousa Araújo",$B:$B,"&lt;&gt;Lorena Dias de Araujo",$B:$B,"&lt;&gt;Lucas Luiz Romero")*(28/1083),IF(C597="Técnico I",SUMIFS($D:$D,$A:$A,$A597,$B:$B,"&lt;&gt;Patrícia Karla de Sousa Araújo",$B:$B,"&lt;&gt;Lorena Dias de Araujo",$B:$B,"&lt;&gt;Lucas Luiz Romero")*(23/1083),IF(C597="JR",SUMIFS($D:$D,$A:$A,$A597,$B:$B,"&lt;&gt;Patrícia Karla de Sousa Araújo",$B:$B,"&lt;&gt;Lorena Dias de Araujo",$B:$B,"&lt;&gt;Lucas Luiz Romero")*(20/1083),IF(C597="Estágio",SUMIFS($D:$D,$A:$A,$A597,$B:$B,"&lt;&gt;Patrícia Karla de Sousa Araújo",$B:$B,"&lt;&gt;Lorena Dias de Araujo",$B:$B,"&lt;&gt;Lucas Luiz Romero")*(10/1083),0)))))),0)</f>
        <v/>
      </c>
      <c r="K597" s="3">
        <f>I597-J597</f>
        <v/>
      </c>
      <c r="L597" s="3">
        <f>IF(K597&lt;-5,"CRÍTICO",IF(K597&lt;0,"ATENÇÃO",IF(K597&lt;=5,"OPORTUNO","MUITO BOM")))</f>
        <v/>
      </c>
      <c r="M597" s="3" t="n">
        <v>17</v>
      </c>
      <c r="N597" s="3" t="n">
        <v>100</v>
      </c>
      <c r="O597" s="12" t="n">
        <v>18</v>
      </c>
    </row>
    <row r="598">
      <c r="A598" s="5" t="n">
        <v>46156</v>
      </c>
      <c r="B598" s="6" t="inlineStr">
        <is>
          <t>Gabriel Gomes de Andrade</t>
        </is>
      </c>
      <c r="C598" s="1" t="inlineStr">
        <is>
          <t>Técnico I</t>
        </is>
      </c>
      <c r="D598" s="3" t="n">
        <v>19</v>
      </c>
      <c r="E598" s="3" t="n">
        <v>18</v>
      </c>
      <c r="F598" s="3" t="n">
        <v>22.29</v>
      </c>
      <c r="G598" s="3" t="n">
        <v>0</v>
      </c>
      <c r="H598" s="3" t="n">
        <v>5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IF(K598&lt;-5,"CRÍTICO",IF(K598&lt;0,"ATENÇÃO",IF(K598&lt;=5,"OPORTUNO","MUITO BOM")))</f>
        <v/>
      </c>
      <c r="M598" s="3" t="n">
        <v>23</v>
      </c>
      <c r="N598" s="3" t="n">
        <v>99.06</v>
      </c>
      <c r="O598" s="12" t="n">
        <v>19.41747572815534</v>
      </c>
    </row>
    <row r="599">
      <c r="A599" s="7" t="n">
        <v>46162</v>
      </c>
      <c r="B599" s="8" t="inlineStr">
        <is>
          <t>Leandro de Souza Silva</t>
        </is>
      </c>
      <c r="C599" s="1" t="inlineStr">
        <is>
          <t>JR</t>
        </is>
      </c>
      <c r="D599" s="3" t="n">
        <v>11</v>
      </c>
      <c r="E599" s="3" t="n">
        <v>10</v>
      </c>
      <c r="F599" s="3" t="n">
        <v>28.22</v>
      </c>
      <c r="G599" s="3" t="n">
        <v>2</v>
      </c>
      <c r="H599" s="3" t="n">
        <v>0</v>
      </c>
      <c r="I599" s="3" t="n">
        <v>12</v>
      </c>
      <c r="J599" s="3" t="n">
        <v>15</v>
      </c>
      <c r="K599" s="3" t="n">
        <v>-3</v>
      </c>
      <c r="L599" s="3" t="inlineStr">
        <is>
          <t>ATENÇÃO</t>
        </is>
      </c>
      <c r="M599" s="3" t="n">
        <v>12</v>
      </c>
      <c r="N599" s="3" t="n">
        <v>100</v>
      </c>
      <c r="O599" s="12" t="n">
        <v>19.07216494845361</v>
      </c>
    </row>
    <row r="600">
      <c r="A600" s="5" t="n">
        <v>46163</v>
      </c>
      <c r="B600" s="6" t="inlineStr">
        <is>
          <t>Leandro de Souza Silva</t>
        </is>
      </c>
      <c r="C600" s="1" t="inlineStr">
        <is>
          <t>JR</t>
        </is>
      </c>
      <c r="D600" s="3" t="n">
        <v>13</v>
      </c>
      <c r="E600" s="3" t="n">
        <v>11</v>
      </c>
      <c r="F600" s="3" t="n">
        <v>20.49</v>
      </c>
      <c r="G600" s="3" t="n">
        <v>1</v>
      </c>
      <c r="H600" s="3" t="n">
        <v>0</v>
      </c>
      <c r="I600" s="3" t="n">
        <v>12</v>
      </c>
      <c r="J600" s="3" t="n">
        <v>13</v>
      </c>
      <c r="K600" s="3" t="n">
        <v>-1</v>
      </c>
      <c r="L600" s="3" t="inlineStr">
        <is>
          <t>ATENÇÃO</t>
        </is>
      </c>
      <c r="M600" s="3" t="n">
        <v>10</v>
      </c>
      <c r="N600" s="3" t="n">
        <v>100</v>
      </c>
      <c r="O600" s="12" t="n">
        <v>19.07216494845361</v>
      </c>
    </row>
    <row r="601">
      <c r="A601" s="5" t="n">
        <v>46156</v>
      </c>
      <c r="B601" s="6" t="inlineStr">
        <is>
          <t>Matheus Farias De Souza</t>
        </is>
      </c>
      <c r="C601" s="1" t="inlineStr">
        <is>
          <t>Técnico III</t>
        </is>
      </c>
      <c r="D601" s="3" t="n">
        <v>0</v>
      </c>
      <c r="E601" s="3" t="n">
        <v>0</v>
      </c>
      <c r="F601" s="3" t="n">
        <v>0</v>
      </c>
      <c r="G601" s="3" t="n">
        <v>0</v>
      </c>
      <c r="H601" s="3" t="n">
        <v>52</v>
      </c>
      <c r="I601" s="3">
        <f>E601+G601+H601</f>
        <v/>
      </c>
      <c r="J601" s="3">
        <f>ROUND(MIN(IF(C601="Técnico III",35,IF(C601="Técnico II",28,IF(C601="Técnico I",23,IF(C601="JR",20,IF(C601="Estágio",10,0))))),IF(C601="Técnico III",SUMIFS($D:$D,$A:$A,$A601,$B:$B,"&lt;&gt;Patrícia Karla de Sousa Araújo",$B:$B,"&lt;&gt;Lorena Dias de Araujo",$B:$B,"&lt;&gt;Lucas Luiz Romero")*(35/1083),IF(C601="Técnico II",SUMIFS($D:$D,$A:$A,$A601,$B:$B,"&lt;&gt;Patrícia Karla de Sousa Araújo",$B:$B,"&lt;&gt;Lorena Dias de Araujo",$B:$B,"&lt;&gt;Lucas Luiz Romero")*(28/1083),IF(C601="Técnico I",SUMIFS($D:$D,$A:$A,$A601,$B:$B,"&lt;&gt;Patrícia Karla de Sousa Araújo",$B:$B,"&lt;&gt;Lorena Dias de Araujo",$B:$B,"&lt;&gt;Lucas Luiz Romero")*(23/1083),IF(C601="JR",SUMIFS($D:$D,$A:$A,$A601,$B:$B,"&lt;&gt;Patrícia Karla de Sousa Araújo",$B:$B,"&lt;&gt;Lorena Dias de Araujo",$B:$B,"&lt;&gt;Lucas Luiz Romero")*(20/1083),IF(C601="Estágio",SUMIFS($D:$D,$A:$A,$A601,$B:$B,"&lt;&gt;Patrícia Karla de Sousa Araújo",$B:$B,"&lt;&gt;Lorena Dias de Araujo",$B:$B,"&lt;&gt;Lucas Luiz Romero")*(10/1083),0)))))),0)</f>
        <v/>
      </c>
      <c r="K601" s="3">
        <f>I601-J601</f>
        <v/>
      </c>
      <c r="L601" s="3">
        <f>IF(K601&lt;-5,"CRÍTICO",IF(K601&lt;0,"ATENÇÃO",IF(K601&lt;=5,"OPORTUNO","MUITO BOM")))</f>
        <v/>
      </c>
      <c r="M601" s="3" t="n">
        <v>30</v>
      </c>
      <c r="N601" s="3" t="n">
        <v>98.39</v>
      </c>
      <c r="O601" s="12" t="n">
        <v>8.799999999999999</v>
      </c>
    </row>
    <row r="602">
      <c r="A602" s="9" t="n">
        <v>46164</v>
      </c>
      <c r="B602" s="6" t="inlineStr">
        <is>
          <t>Leandro de Souza Silva</t>
        </is>
      </c>
      <c r="C602" s="1" t="inlineStr">
        <is>
          <t>JR</t>
        </is>
      </c>
      <c r="D602" s="3" t="n">
        <v>10</v>
      </c>
      <c r="E602" s="3" t="n">
        <v>10</v>
      </c>
      <c r="F602" s="3" t="n">
        <v>27.18</v>
      </c>
      <c r="G602" s="3" t="n">
        <v>2</v>
      </c>
      <c r="H602" s="3" t="n">
        <v>0</v>
      </c>
      <c r="I602" s="3" t="n">
        <v>12</v>
      </c>
      <c r="J602" s="3" t="n">
        <v>11</v>
      </c>
      <c r="K602" s="3" t="n">
        <v>1</v>
      </c>
      <c r="L602" s="3" t="inlineStr">
        <is>
          <t>BOM</t>
        </is>
      </c>
      <c r="M602" s="3" t="n">
        <v>8</v>
      </c>
      <c r="N602" s="3" t="n">
        <v>100</v>
      </c>
      <c r="O602" s="12" t="n">
        <v>19.07216494845361</v>
      </c>
    </row>
    <row r="603">
      <c r="A603" s="10" t="n">
        <v>46167</v>
      </c>
      <c r="B603" t="inlineStr">
        <is>
          <t>Leandro de Souza Silva</t>
        </is>
      </c>
      <c r="C603" s="1" t="inlineStr">
        <is>
          <t>JR</t>
        </is>
      </c>
      <c r="D603" s="3" t="n">
        <v>16</v>
      </c>
      <c r="E603" s="3" t="n">
        <v>16</v>
      </c>
      <c r="F603" s="3" t="n">
        <v>25.06</v>
      </c>
      <c r="G603" s="3" t="n">
        <v>0</v>
      </c>
      <c r="H603" s="3" t="n">
        <v>0</v>
      </c>
      <c r="I603" s="3" t="n">
        <v>16</v>
      </c>
      <c r="J603" s="3" t="n">
        <v>13</v>
      </c>
      <c r="K603" s="3" t="n">
        <v>3</v>
      </c>
      <c r="L603" s="3" t="inlineStr">
        <is>
          <t>BOM</t>
        </is>
      </c>
      <c r="M603" s="3" t="n">
        <v>13</v>
      </c>
      <c r="N603" s="3" t="n">
        <v>100</v>
      </c>
      <c r="O603" s="12" t="n">
        <v>19.07216494845361</v>
      </c>
    </row>
    <row r="604">
      <c r="A604" s="10" t="n">
        <v>46168</v>
      </c>
      <c r="B604" t="inlineStr">
        <is>
          <t>Leandro de Souza Silva</t>
        </is>
      </c>
      <c r="C604" s="1" t="inlineStr">
        <is>
          <t>JR</t>
        </is>
      </c>
      <c r="D604" s="3" t="n">
        <v>14</v>
      </c>
      <c r="E604" s="3" t="n">
        <v>13</v>
      </c>
      <c r="F604" s="3" t="n">
        <v>26.51</v>
      </c>
      <c r="G604" s="3" t="n">
        <v>3</v>
      </c>
      <c r="H604" s="3" t="n">
        <v>0</v>
      </c>
      <c r="I604" s="3" t="n">
        <v>16</v>
      </c>
      <c r="J604" s="3" t="n">
        <v>16</v>
      </c>
      <c r="K604" s="3" t="n">
        <v>0</v>
      </c>
      <c r="L604" s="3" t="inlineStr">
        <is>
          <t>BOM</t>
        </is>
      </c>
      <c r="M604" s="3" t="n">
        <v>10</v>
      </c>
      <c r="N604" s="3" t="n">
        <v>100</v>
      </c>
      <c r="O604" s="12" t="n">
        <v>21.1340206185567</v>
      </c>
    </row>
    <row r="605">
      <c r="A605" s="10" t="n">
        <v>46169</v>
      </c>
      <c r="B605" t="inlineStr">
        <is>
          <t>Leandro de Souza Silva</t>
        </is>
      </c>
      <c r="C605" s="1" t="inlineStr">
        <is>
          <t>JR</t>
        </is>
      </c>
      <c r="D605" s="3" t="n">
        <v>10</v>
      </c>
      <c r="E605" s="3" t="n">
        <v>7</v>
      </c>
      <c r="F605" s="3" t="n">
        <v>35.46</v>
      </c>
      <c r="G605" s="3" t="n">
        <v>2</v>
      </c>
      <c r="H605" s="3" t="n">
        <v>0</v>
      </c>
      <c r="I605" s="3" t="n">
        <v>9</v>
      </c>
      <c r="J605" s="3" t="n">
        <v>16</v>
      </c>
      <c r="K605" s="3" t="n">
        <v>-7</v>
      </c>
      <c r="L605" s="3" t="inlineStr">
        <is>
          <t>CRÍTICO</t>
        </is>
      </c>
      <c r="M605" s="3" t="n">
        <v>6</v>
      </c>
      <c r="N605" s="3" t="n">
        <v>100</v>
      </c>
      <c r="O605" s="12" t="n">
        <v>20.5</v>
      </c>
    </row>
    <row r="606">
      <c r="A606" s="10" t="n">
        <v>46170</v>
      </c>
      <c r="B606" t="inlineStr">
        <is>
          <t>Leandro de Souza Silva</t>
        </is>
      </c>
      <c r="C606" s="1" t="inlineStr">
        <is>
          <t>JR</t>
        </is>
      </c>
      <c r="D606" s="3" t="n">
        <v>0</v>
      </c>
      <c r="E606" s="3" t="n">
        <v>0</v>
      </c>
      <c r="F606" s="3" t="n">
        <v>0</v>
      </c>
      <c r="G606" s="3" t="n">
        <v>0</v>
      </c>
      <c r="H606" s="3" t="n">
        <v>0</v>
      </c>
      <c r="I606" s="3" t="n">
        <v>0</v>
      </c>
      <c r="J606" s="3" t="n">
        <v>0</v>
      </c>
      <c r="K606" s="3" t="n">
        <v>0</v>
      </c>
      <c r="L606" s="3" t="inlineStr">
        <is>
          <t>BOM</t>
        </is>
      </c>
      <c r="M606" s="3" t="n">
        <v>0</v>
      </c>
      <c r="N606" s="3" t="n">
        <v>100</v>
      </c>
      <c r="O606" s="12" t="n">
        <v>22.5</v>
      </c>
    </row>
    <row r="607">
      <c r="A607" s="10" t="n">
        <v>46171</v>
      </c>
      <c r="B607" t="inlineStr">
        <is>
          <t>Leandro de Souza Silva</t>
        </is>
      </c>
      <c r="C607" s="1" t="inlineStr">
        <is>
          <t>JR</t>
        </is>
      </c>
      <c r="D607" s="3" t="n">
        <v>0</v>
      </c>
      <c r="E607" s="3" t="n">
        <v>0</v>
      </c>
      <c r="F607" s="3" t="n">
        <v>0</v>
      </c>
      <c r="G607" s="3" t="n">
        <v>0</v>
      </c>
      <c r="H607" s="3" t="n">
        <v>0</v>
      </c>
      <c r="I607" s="3" t="n">
        <v>0</v>
      </c>
      <c r="J607" s="3" t="n">
        <v>0</v>
      </c>
      <c r="K607" s="3" t="n">
        <v>0</v>
      </c>
      <c r="L607" s="3" t="inlineStr">
        <is>
          <t>BOM</t>
        </is>
      </c>
      <c r="M607" s="3" t="n">
        <v>0</v>
      </c>
      <c r="N607" s="3" t="n">
        <v>100</v>
      </c>
      <c r="O607" s="12" t="n">
        <v>22.5</v>
      </c>
    </row>
    <row r="608">
      <c r="A608" s="10" t="n">
        <v>46143</v>
      </c>
      <c r="B608" t="inlineStr">
        <is>
          <t>Maria Eduarda Sousa Costa</t>
        </is>
      </c>
      <c r="C608" s="1" t="inlineStr">
        <is>
          <t>Estágio</t>
        </is>
      </c>
      <c r="D608" s="3" t="n">
        <v>0</v>
      </c>
      <c r="E608" s="3" t="n">
        <v>0</v>
      </c>
      <c r="F608" s="3" t="n">
        <v>0</v>
      </c>
      <c r="G608" s="3" t="n">
        <v>0</v>
      </c>
      <c r="H608" s="3" t="n">
        <v>0</v>
      </c>
      <c r="I608" s="3" t="n">
        <v>0</v>
      </c>
      <c r="J608" s="3" t="n">
        <v>0</v>
      </c>
      <c r="K608" s="3" t="n">
        <v>0</v>
      </c>
      <c r="L608" s="3">
        <f>IF(K608&lt;-5,"CRÍTICO",IF(K608&lt;0,"ATENÇÃO",IF(K608&lt;=5,"OPORTUNO","MUITO BOM")))</f>
        <v/>
      </c>
      <c r="M608" s="3" t="n">
        <v>0</v>
      </c>
      <c r="N608" s="3" t="n">
        <v>100</v>
      </c>
      <c r="O608" s="12" t="n">
        <v>12.94117647058824</v>
      </c>
    </row>
    <row r="609">
      <c r="A609" s="5" t="n">
        <v>46146</v>
      </c>
      <c r="B609" s="6" t="inlineStr">
        <is>
          <t>Maria Eduarda Sousa Costa</t>
        </is>
      </c>
      <c r="C609" s="1" t="inlineStr">
        <is>
          <t>Estágio</t>
        </is>
      </c>
      <c r="D609" s="3" t="n">
        <v>47</v>
      </c>
      <c r="E609" s="3" t="n">
        <v>25</v>
      </c>
      <c r="F609" s="3" t="n">
        <v>3.57</v>
      </c>
      <c r="G609" s="3" t="n">
        <v>0</v>
      </c>
      <c r="H609" s="3" t="n">
        <v>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IF(K609&lt;-5,"CRÍTICO",IF(K609&lt;0,"ATENÇÃO",IF(K609&lt;=5,"BOM","EXCELENTE")))</f>
        <v/>
      </c>
      <c r="M609" s="3" t="n">
        <v>0</v>
      </c>
      <c r="N609" s="3" t="n">
        <v>100</v>
      </c>
      <c r="O609" s="12" t="n">
        <v>12.94117647058824</v>
      </c>
    </row>
    <row r="610">
      <c r="A610" s="5" t="n">
        <v>46147</v>
      </c>
      <c r="B610" s="6" t="inlineStr">
        <is>
          <t>Maria Eduarda Sousa Costa</t>
        </is>
      </c>
      <c r="C610" s="1" t="inlineStr">
        <is>
          <t>Estágio</t>
        </is>
      </c>
      <c r="D610" s="3" t="n">
        <v>0</v>
      </c>
      <c r="E610" s="3" t="n">
        <v>0</v>
      </c>
      <c r="F610" s="3" t="n">
        <v>0</v>
      </c>
      <c r="G610" s="3" t="n">
        <v>0</v>
      </c>
      <c r="H610" s="3" t="n">
        <v>0</v>
      </c>
      <c r="I610" s="3" t="n">
        <v>0</v>
      </c>
      <c r="J610" s="3" t="n">
        <v>0</v>
      </c>
      <c r="K610" s="3" t="n">
        <v>0</v>
      </c>
      <c r="L610" s="3">
        <f>IF(K610&lt;-5,"CRÍTICO",IF(K610&lt;0,"ATENÇÃO",IF(K610&lt;=5,"BOM","EXCELENTE")))</f>
        <v/>
      </c>
      <c r="M610" s="3" t="n">
        <v>0</v>
      </c>
      <c r="N610" s="3" t="n">
        <v>100</v>
      </c>
      <c r="O610" s="12" t="n">
        <v>12.94117647058824</v>
      </c>
    </row>
    <row r="611">
      <c r="A611" s="5" t="n">
        <v>46148</v>
      </c>
      <c r="B611" s="6" t="inlineStr">
        <is>
          <t>Maria Eduarda Sousa Costa</t>
        </is>
      </c>
      <c r="C611" s="1" t="inlineStr">
        <is>
          <t>Estágio</t>
        </is>
      </c>
      <c r="D611" s="3" t="n">
        <v>66</v>
      </c>
      <c r="E611" s="3" t="n">
        <v>38</v>
      </c>
      <c r="F611" s="3" t="n">
        <v>7.02</v>
      </c>
      <c r="G611" s="3" t="n">
        <v>0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IF(K611&lt;-5,"CRÍTICO",IF(K611&lt;0,"ATENÇÃO",IF(K611&lt;=5,"BOM","EXCELENTE")))</f>
        <v/>
      </c>
      <c r="M611" s="3" t="n">
        <v>3</v>
      </c>
      <c r="N611" s="3" t="n">
        <v>100</v>
      </c>
      <c r="O611" s="12" t="n">
        <v>12.94117647058824</v>
      </c>
    </row>
    <row r="612">
      <c r="A612" s="5" t="n">
        <v>46157</v>
      </c>
      <c r="B612" s="6" t="inlineStr">
        <is>
          <t>Amanda Moura Ferreira</t>
        </is>
      </c>
      <c r="C612" s="1" t="inlineStr">
        <is>
          <t>Técnico III</t>
        </is>
      </c>
      <c r="D612" s="3" t="n">
        <v>0</v>
      </c>
      <c r="E612" s="3" t="n">
        <v>0</v>
      </c>
      <c r="F612" s="3" t="n">
        <v>0</v>
      </c>
      <c r="G612" s="3" t="n">
        <v>0</v>
      </c>
      <c r="H612" s="3" t="n">
        <v>0</v>
      </c>
      <c r="I612" s="3" t="n">
        <v>0</v>
      </c>
      <c r="J612" s="3" t="n">
        <v>0</v>
      </c>
      <c r="K612" s="3" t="n">
        <v>0</v>
      </c>
      <c r="L612" s="3">
        <f>IF(K612&lt;-5,"CRÍTICO",IF(K612&lt;0,"ATENÇÃO",IF(K612&lt;=5,"OPORTUNO","MUITO BOM")))</f>
        <v/>
      </c>
      <c r="M612" s="3" t="n">
        <v>0</v>
      </c>
      <c r="N612" s="3" t="n">
        <v>100</v>
      </c>
      <c r="O612" s="12" t="n">
        <v>0</v>
      </c>
    </row>
    <row r="613">
      <c r="A613" s="5" t="n">
        <v>46157</v>
      </c>
      <c r="B613" s="6" t="inlineStr">
        <is>
          <t>Ana Paula Da Luz Silva Aleixo</t>
        </is>
      </c>
      <c r="C613" s="1" t="inlineStr">
        <is>
          <t>Técnico III</t>
        </is>
      </c>
      <c r="D613" s="3" t="n">
        <v>29</v>
      </c>
      <c r="E613" s="3" t="n">
        <v>28</v>
      </c>
      <c r="F613" s="3" t="n">
        <v>13.59</v>
      </c>
      <c r="G613" s="3" t="n">
        <v>3</v>
      </c>
      <c r="H613" s="3" t="n">
        <v>0</v>
      </c>
      <c r="I613" s="3">
        <f>E613+G613+H613</f>
        <v/>
      </c>
      <c r="J613" s="3">
        <f>ROUND(MIN(IF(C613="Técnico III",35,IF(C613="Técnico II",28,IF(C613="Técnico I",23,IF(C613="JR",20,IF(C613="Estágio",10,0))))),IF(C613="Técnico III",SUMIFS($D:$D,$A:$A,$A613,$B:$B,"&lt;&gt;Patrícia Karla de Sousa Araújo",$B:$B,"&lt;&gt;Lorena Dias de Araujo",$B:$B,"&lt;&gt;Lucas Luiz Romero")*(35/1083),IF(C613="Técnico II",SUMIFS($D:$D,$A:$A,$A613,$B:$B,"&lt;&gt;Patrícia Karla de Sousa Araújo",$B:$B,"&lt;&gt;Lorena Dias de Araujo",$B:$B,"&lt;&gt;Lucas Luiz Romero")*(28/1083),IF(C613="Técnico I",SUMIFS($D:$D,$A:$A,$A613,$B:$B,"&lt;&gt;Patrícia Karla de Sousa Araújo",$B:$B,"&lt;&gt;Lorena Dias de Araujo",$B:$B,"&lt;&gt;Lucas Luiz Romero")*(23/1083),IF(C613="JR",SUMIFS($D:$D,$A:$A,$A613,$B:$B,"&lt;&gt;Patrícia Karla de Sousa Araújo",$B:$B,"&lt;&gt;Lorena Dias de Araujo",$B:$B,"&lt;&gt;Lucas Luiz Romero")*(20/1083),IF(C613="Estágio",SUMIFS($D:$D,$A:$A,$A613,$B:$B,"&lt;&gt;Patrícia Karla de Sousa Araújo",$B:$B,"&lt;&gt;Lorena Dias de Araujo",$B:$B,"&lt;&gt;Lucas Luiz Romero")*(10/1083),0)))))),0)</f>
        <v/>
      </c>
      <c r="K613" s="3">
        <f>I613-J613</f>
        <v/>
      </c>
      <c r="L613" s="3">
        <f>IF(K613&lt;-5,"CRÍTICO",IF(K613&lt;0,"ATENÇÃO",IF(K613&lt;=5,"OPORTUNO","MUITO BOM")))</f>
        <v/>
      </c>
      <c r="M613" s="3" t="n">
        <v>25</v>
      </c>
      <c r="N613" s="3" t="n">
        <v>96.94</v>
      </c>
      <c r="O613" s="12" t="n">
        <v>19.61325966850829</v>
      </c>
    </row>
    <row r="614">
      <c r="A614" s="5" t="n">
        <v>46157</v>
      </c>
      <c r="B614" s="6" t="inlineStr">
        <is>
          <t>Cristiane Ramos da Silva Rocha</t>
        </is>
      </c>
      <c r="C614" s="1" t="inlineStr">
        <is>
          <t>Técnico III</t>
        </is>
      </c>
      <c r="D614" s="3" t="n">
        <v>37</v>
      </c>
      <c r="E614" s="3" t="n">
        <v>31</v>
      </c>
      <c r="F614" s="3" t="n">
        <v>11.51</v>
      </c>
      <c r="G614" s="3" t="n">
        <v>0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IF(K614&lt;-5,"CRÍTICO",IF(K614&lt;0,"ATENÇÃO",IF(K614&lt;=5,"OPORTUNO","MUITO BOM")))</f>
        <v/>
      </c>
      <c r="M614" s="3" t="n">
        <v>29</v>
      </c>
      <c r="N614" s="3" t="n">
        <v>92.81</v>
      </c>
      <c r="O614" s="12" t="n">
        <v>25.47770700636943</v>
      </c>
    </row>
    <row r="615">
      <c r="A615" s="5" t="n">
        <v>46157</v>
      </c>
      <c r="B615" s="6" t="inlineStr">
        <is>
          <t>Davylla Rodrigues Freitas Silva</t>
        </is>
      </c>
      <c r="C615" s="1" t="inlineStr">
        <is>
          <t>Técnico III</t>
        </is>
      </c>
      <c r="D615" s="3" t="n">
        <v>20</v>
      </c>
      <c r="E615" s="3" t="n">
        <v>20</v>
      </c>
      <c r="F615" s="3" t="n">
        <v>20.33</v>
      </c>
      <c r="G615" s="3" t="n">
        <v>0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IF(K615&lt;-5,"CRÍTICO",IF(K615&lt;0,"ATENÇÃO",IF(K615&lt;=5,"OPORTUNO","MUITO BOM")))</f>
        <v/>
      </c>
      <c r="M615" s="3" t="n">
        <v>23</v>
      </c>
      <c r="N615" s="3" t="n">
        <v>99.19</v>
      </c>
      <c r="O615" s="12" t="n">
        <v>28.40466926070039</v>
      </c>
    </row>
    <row r="616">
      <c r="A616" s="5" t="n">
        <v>46157</v>
      </c>
      <c r="B616" s="6" t="inlineStr">
        <is>
          <t>Janaina Lima dos Reis Urany</t>
        </is>
      </c>
      <c r="C616" s="1" t="inlineStr">
        <is>
          <t>Técnico III</t>
        </is>
      </c>
      <c r="D616" s="3" t="n">
        <v>44</v>
      </c>
      <c r="E616" s="3" t="n">
        <v>38</v>
      </c>
      <c r="F616" s="3" t="n">
        <v>12.34</v>
      </c>
      <c r="G616" s="3" t="n">
        <v>6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IF(K616&lt;-5,"CRÍTICO",IF(K616&lt;0,"ATENÇÃO",IF(K616&lt;=5,"OPORTUNO","MUITO BOM")))</f>
        <v/>
      </c>
      <c r="M616" s="3" t="n">
        <v>39</v>
      </c>
      <c r="N616" s="3" t="n">
        <v>99</v>
      </c>
      <c r="O616" s="12" t="n">
        <v>22.27414330218069</v>
      </c>
    </row>
    <row r="617">
      <c r="A617" s="5" t="n">
        <v>46157</v>
      </c>
      <c r="B617" s="6" t="inlineStr">
        <is>
          <t>Jaqueline Evangelista da Silva Martins</t>
        </is>
      </c>
      <c r="C617" s="1" t="inlineStr">
        <is>
          <t>Técnico III</t>
        </is>
      </c>
      <c r="D617" s="3" t="n">
        <v>30</v>
      </c>
      <c r="E617" s="3" t="n">
        <v>29</v>
      </c>
      <c r="F617" s="3" t="n">
        <v>13.38</v>
      </c>
      <c r="G617" s="3" t="n">
        <v>5</v>
      </c>
      <c r="H617" s="3" t="n">
        <v>0</v>
      </c>
      <c r="I617" s="3">
        <f>E617+G617+H617</f>
        <v/>
      </c>
      <c r="J617" s="3">
        <f>ROUND(MIN(IF(C617="Técnico III",35,IF(C617="Técnico II",28,IF(C617="Técnico I",23,IF(C617="JR",20,IF(C617="Estágio",10,0))))),IF(C617="Técnico III",SUMIFS($D:$D,$A:$A,$A617,$B:$B,"&lt;&gt;Patrícia Karla de Sousa Araújo",$B:$B,"&lt;&gt;Lorena Dias de Araujo",$B:$B,"&lt;&gt;Lucas Luiz Romero")*(35/1083),IF(C617="Técnico II",SUMIFS($D:$D,$A:$A,$A617,$B:$B,"&lt;&gt;Patrícia Karla de Sousa Araújo",$B:$B,"&lt;&gt;Lorena Dias de Araujo",$B:$B,"&lt;&gt;Lucas Luiz Romero")*(28/1083),IF(C617="Técnico I",SUMIFS($D:$D,$A:$A,$A617,$B:$B,"&lt;&gt;Patrícia Karla de Sousa Araújo",$B:$B,"&lt;&gt;Lorena Dias de Araujo",$B:$B,"&lt;&gt;Lucas Luiz Romero")*(23/1083),IF(C617="JR",SUMIFS($D:$D,$A:$A,$A617,$B:$B,"&lt;&gt;Patrícia Karla de Sousa Araújo",$B:$B,"&lt;&gt;Lorena Dias de Araujo",$B:$B,"&lt;&gt;Lucas Luiz Romero")*(20/1083),IF(C617="Estágio",SUMIFS($D:$D,$A:$A,$A617,$B:$B,"&lt;&gt;Patrícia Karla de Sousa Araújo",$B:$B,"&lt;&gt;Lorena Dias de Araujo",$B:$B,"&lt;&gt;Lucas Luiz Romero")*(10/1083),0)))))),0)</f>
        <v/>
      </c>
      <c r="K617" s="3">
        <f>I617-J617</f>
        <v/>
      </c>
      <c r="L617" s="3">
        <f>IF(K617&lt;-5,"CRÍTICO",IF(K617&lt;0,"ATENÇÃO",IF(K617&lt;=5,"OPORTUNO","MUITO BOM")))</f>
        <v/>
      </c>
      <c r="M617" s="3" t="n">
        <v>23</v>
      </c>
      <c r="N617" s="3" t="n">
        <v>97.04000000000001</v>
      </c>
      <c r="O617" s="12" t="n">
        <v>29.82885085574572</v>
      </c>
    </row>
    <row r="618">
      <c r="A618" s="5" t="n">
        <v>46157</v>
      </c>
      <c r="B618" s="6" t="inlineStr">
        <is>
          <t>Jéssica Fé Moura</t>
        </is>
      </c>
      <c r="C618" s="1" t="inlineStr">
        <is>
          <t>Técnico III</t>
        </is>
      </c>
      <c r="D618" s="3" t="n">
        <v>0</v>
      </c>
      <c r="E618" s="3" t="n">
        <v>0</v>
      </c>
      <c r="F618" s="3" t="n">
        <v>0</v>
      </c>
      <c r="G618" s="3" t="n">
        <v>0</v>
      </c>
      <c r="H618" s="3" t="n">
        <v>0</v>
      </c>
      <c r="I618" s="3" t="n">
        <v>0</v>
      </c>
      <c r="J618" s="3" t="n">
        <v>0</v>
      </c>
      <c r="K618" s="3" t="n">
        <v>0</v>
      </c>
      <c r="L618" s="3">
        <f>IF(K618&lt;-5,"CRÍTICO",IF(K618&lt;0,"ATENÇÃO",IF(K618&lt;=5,"OPORTUNO","MUITO BOM")))</f>
        <v/>
      </c>
      <c r="M618" s="3" t="n">
        <v>0</v>
      </c>
      <c r="N618" s="3" t="n">
        <v>0</v>
      </c>
      <c r="O618" s="12" t="n">
        <v>0</v>
      </c>
    </row>
    <row r="619">
      <c r="A619" s="5" t="n">
        <v>46157</v>
      </c>
      <c r="B619" s="6" t="inlineStr">
        <is>
          <t>Leandro Oliveira de Sousa</t>
        </is>
      </c>
      <c r="C619" s="1" t="inlineStr">
        <is>
          <t>Técnico III</t>
        </is>
      </c>
      <c r="D619" s="3" t="n">
        <v>23</v>
      </c>
      <c r="E619" s="3" t="n">
        <v>22</v>
      </c>
      <c r="F619" s="3" t="n">
        <v>27.02</v>
      </c>
      <c r="G619" s="3" t="n">
        <v>1</v>
      </c>
      <c r="H619" s="3" t="n">
        <v>0</v>
      </c>
      <c r="I619" s="3">
        <f>E619+G619+H619</f>
        <v/>
      </c>
      <c r="J619" s="3">
        <f>ROUND(MIN(IF(C619="Técnico III",35,IF(C619="Técnico II",28,IF(C619="Técnico I",23,IF(C619="JR",20,IF(C619="Estágio",10,0))))),IF(C619="Técnico III",SUMIFS($D:$D,$A:$A,$A619,$B:$B,"&lt;&gt;Patrícia Karla de Sousa Araújo",$B:$B,"&lt;&gt;Lorena Dias de Araujo",$B:$B,"&lt;&gt;Lucas Luiz Romero")*(35/1083),IF(C619="Técnico II",SUMIFS($D:$D,$A:$A,$A619,$B:$B,"&lt;&gt;Patrícia Karla de Sousa Araújo",$B:$B,"&lt;&gt;Lorena Dias de Araujo",$B:$B,"&lt;&gt;Lucas Luiz Romero")*(28/1083),IF(C619="Técnico I",SUMIFS($D:$D,$A:$A,$A619,$B:$B,"&lt;&gt;Patrícia Karla de Sousa Araújo",$B:$B,"&lt;&gt;Lorena Dias de Araujo",$B:$B,"&lt;&gt;Lucas Luiz Romero")*(23/1083),IF(C619="JR",SUMIFS($D:$D,$A:$A,$A619,$B:$B,"&lt;&gt;Patrícia Karla de Sousa Araújo",$B:$B,"&lt;&gt;Lorena Dias de Araujo",$B:$B,"&lt;&gt;Lucas Luiz Romero")*(20/1083),IF(C619="Estágio",SUMIFS($D:$D,$A:$A,$A619,$B:$B,"&lt;&gt;Patrícia Karla de Sousa Araújo",$B:$B,"&lt;&gt;Lorena Dias de Araujo",$B:$B,"&lt;&gt;Lucas Luiz Romero")*(10/1083),0)))))),0)</f>
        <v/>
      </c>
      <c r="K619" s="3">
        <f>I619-J619</f>
        <v/>
      </c>
      <c r="L619" s="3">
        <f>IF(K619&lt;-5,"CRÍTICO",IF(K619&lt;0,"ATENÇÃO",IF(K619&lt;=5,"OPORTUNO","MUITO BOM")))</f>
        <v/>
      </c>
      <c r="M619" s="3" t="n">
        <v>19</v>
      </c>
      <c r="N619" s="3" t="n">
        <v>100</v>
      </c>
      <c r="O619" s="12" t="n">
        <v>18.24480369515012</v>
      </c>
    </row>
    <row r="620">
      <c r="A620" s="5" t="n">
        <v>46157</v>
      </c>
      <c r="B620" s="6" t="inlineStr">
        <is>
          <t>Lucas Luiz Romero</t>
        </is>
      </c>
      <c r="C620" s="1" t="inlineStr">
        <is>
          <t>Técnico III</t>
        </is>
      </c>
      <c r="D620" s="3" t="n">
        <v>0</v>
      </c>
      <c r="E620" s="3" t="n">
        <v>0</v>
      </c>
      <c r="F620" s="3" t="n">
        <v>0</v>
      </c>
      <c r="G620" s="3" t="n">
        <v>0</v>
      </c>
      <c r="H620" s="3" t="n">
        <v>0</v>
      </c>
      <c r="I620" s="3" t="n">
        <v>0</v>
      </c>
      <c r="J620" s="3" t="n">
        <v>0</v>
      </c>
      <c r="K620" s="3" t="n">
        <v>0</v>
      </c>
      <c r="L620" s="3">
        <f>IF(K620&lt;-5,"CRÍTICO",IF(K620&lt;0,"ATENÇÃO",IF(K620&lt;=5,"OPORTUNO","MUITO BOM")))</f>
        <v/>
      </c>
      <c r="M620" s="3" t="n">
        <v>0</v>
      </c>
      <c r="N620" s="3" t="n">
        <v>100</v>
      </c>
      <c r="O620" s="12" t="n">
        <v>15.78947368421053</v>
      </c>
    </row>
    <row r="621">
      <c r="A621" s="5" t="n">
        <v>46157</v>
      </c>
      <c r="B621" s="6" t="inlineStr">
        <is>
          <t>Maysa Victoria Dias Moura</t>
        </is>
      </c>
      <c r="C621" s="1" t="inlineStr">
        <is>
          <t>Técnico III</t>
        </is>
      </c>
      <c r="D621" s="3" t="n">
        <v>26</v>
      </c>
      <c r="E621" s="3" t="n">
        <v>24</v>
      </c>
      <c r="F621" s="3" t="n">
        <v>12.18</v>
      </c>
      <c r="G621" s="3" t="n">
        <v>2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IF(K621&lt;-5,"CRÍTICO",IF(K621&lt;0,"ATENÇÃO",IF(K621&lt;=5,"OPORTUNO","MUITO BOM")))</f>
        <v/>
      </c>
      <c r="M621" s="3" t="n">
        <v>22</v>
      </c>
      <c r="N621" s="3" t="n">
        <v>96.38</v>
      </c>
      <c r="O621" s="12" t="n">
        <v>23.1981981981982</v>
      </c>
    </row>
    <row r="622">
      <c r="A622" s="5" t="n">
        <v>46157</v>
      </c>
      <c r="B622" s="6" t="inlineStr">
        <is>
          <t>Rafael Gomes de Morais</t>
        </is>
      </c>
      <c r="C622" s="1" t="inlineStr">
        <is>
          <t>Técnico III</t>
        </is>
      </c>
      <c r="D622" s="3" t="n">
        <v>31</v>
      </c>
      <c r="E622" s="3" t="n">
        <v>29</v>
      </c>
      <c r="F622" s="3" t="n">
        <v>13.49</v>
      </c>
      <c r="G622" s="3" t="n">
        <v>2</v>
      </c>
      <c r="H622" s="3" t="n">
        <v>0</v>
      </c>
      <c r="I622" s="3">
        <f>E622+G622+H622</f>
        <v/>
      </c>
      <c r="J622" s="3">
        <f>ROUND(MIN(IF(C622="Técnico III",35,IF(C622="Técnico II",28,IF(C622="Técnico I",23,IF(C622="JR",20,IF(C622="Estágio",10,0))))),IF(C622="Técnico III",SUMIFS($D:$D,$A:$A,$A622,$B:$B,"&lt;&gt;Patrícia Karla de Sousa Araújo",$B:$B,"&lt;&gt;Lorena Dias de Araujo",$B:$B,"&lt;&gt;Lucas Luiz Romero")*(35/1083),IF(C622="Técnico II",SUMIFS($D:$D,$A:$A,$A622,$B:$B,"&lt;&gt;Patrícia Karla de Sousa Araújo",$B:$B,"&lt;&gt;Lorena Dias de Araujo",$B:$B,"&lt;&gt;Lucas Luiz Romero")*(28/1083),IF(C622="Técnico I",SUMIFS($D:$D,$A:$A,$A622,$B:$B,"&lt;&gt;Patrícia Karla de Sousa Araújo",$B:$B,"&lt;&gt;Lorena Dias de Araujo",$B:$B,"&lt;&gt;Lucas Luiz Romero")*(23/1083),IF(C622="JR",SUMIFS($D:$D,$A:$A,$A622,$B:$B,"&lt;&gt;Patrícia Karla de Sousa Araújo",$B:$B,"&lt;&gt;Lorena Dias de Araujo",$B:$B,"&lt;&gt;Lucas Luiz Romero")*(20/1083),IF(C622="Estágio",SUMIFS($D:$D,$A:$A,$A622,$B:$B,"&lt;&gt;Patrícia Karla de Sousa Araújo",$B:$B,"&lt;&gt;Lorena Dias de Araujo",$B:$B,"&lt;&gt;Lucas Luiz Romero")*(10/1083),0)))))),0)</f>
        <v/>
      </c>
      <c r="K622" s="3">
        <f>I622-J622</f>
        <v/>
      </c>
      <c r="L622" s="3">
        <f>IF(K622&lt;-5,"CRÍTICO",IF(K622&lt;0,"ATENÇÃO",IF(K622&lt;=5,"OPORTUNO","MUITO BOM")))</f>
        <v/>
      </c>
      <c r="M622" s="3" t="n">
        <v>29</v>
      </c>
      <c r="N622" s="3" t="n">
        <v>99.39</v>
      </c>
      <c r="O622" s="12" t="n">
        <v>25.20325203252033</v>
      </c>
    </row>
    <row r="623">
      <c r="A623" s="10" t="n">
        <v>46098</v>
      </c>
      <c r="B623" t="inlineStr">
        <is>
          <t>Matheus Farias De Souza</t>
        </is>
      </c>
      <c r="C623" s="1" t="inlineStr">
        <is>
          <t>Técnico III</t>
        </is>
      </c>
      <c r="D623" s="3" t="n">
        <v>34</v>
      </c>
      <c r="E623" s="3" t="n">
        <v>32</v>
      </c>
      <c r="F623" s="3" t="n">
        <v>17</v>
      </c>
      <c r="G623" s="3" t="n">
        <v>0</v>
      </c>
      <c r="H623" s="3" t="n">
        <v>0</v>
      </c>
      <c r="I623" s="3">
        <f>E623+G623+H623</f>
        <v/>
      </c>
      <c r="J623" s="3">
        <f>ROUND(MIN(IF(C623="Técnico III",35,IF(C623="Técnico II",28,IF(C623="Técnico I",23,IF(C623="JR",20,IF(C623="Estágio",10,0))))),IF(C623="Técnico III",SUMIFS($D:$D,$A:$A,$A623,$B:$B,"&lt;&gt;Patrícia Karla de Sousa Araújo",$B:$B,"&lt;&gt;Lorena Dias de Araujo",$B:$B,"&lt;&gt;Lucas Luiz Romero")*(35/1083),IF(C623="Técnico II",SUMIFS($D:$D,$A:$A,$A623,$B:$B,"&lt;&gt;Patrícia Karla de Sousa Araújo",$B:$B,"&lt;&gt;Lorena Dias de Araujo",$B:$B,"&lt;&gt;Lucas Luiz Romero")*(28/1083),IF(C623="Técnico I",SUMIFS($D:$D,$A:$A,$A623,$B:$B,"&lt;&gt;Patrícia Karla de Sousa Araújo",$B:$B,"&lt;&gt;Lorena Dias de Araujo",$B:$B,"&lt;&gt;Lucas Luiz Romero")*(23/1083),IF(C623="JR",SUMIFS($D:$D,$A:$A,$A623,$B:$B,"&lt;&gt;Patrícia Karla de Sousa Araújo",$B:$B,"&lt;&gt;Lorena Dias de Araujo",$B:$B,"&lt;&gt;Lucas Luiz Romero")*(20/1083),IF(C623="Estágio",SUMIFS($D:$D,$A:$A,$A623,$B:$B,"&lt;&gt;Patrícia Karla de Sousa Araújo",$B:$B,"&lt;&gt;Lorena Dias de Araujo",$B:$B,"&lt;&gt;Lucas Luiz Romero")*(10/1083),0)))))),0)</f>
        <v/>
      </c>
      <c r="K623" s="3">
        <f>I623-J623</f>
        <v/>
      </c>
      <c r="L623" s="3">
        <f>IF(K623&lt;-5,"CRÍTICO",IF(K623&lt;0,"ATENÇÃO",IF(K623&lt;=5,"OPORTUNO","MUITO BOM")))</f>
        <v/>
      </c>
      <c r="M623" s="3" t="n">
        <v>30</v>
      </c>
      <c r="N623" s="3" t="n">
        <v>98.86</v>
      </c>
      <c r="O623" s="12" t="n">
        <v>28.95927601809955</v>
      </c>
    </row>
    <row r="624">
      <c r="A624" s="5" t="n">
        <v>46157</v>
      </c>
      <c r="B624" s="6" t="inlineStr">
        <is>
          <t>Sarah Steffanie de Lima Borges</t>
        </is>
      </c>
      <c r="C624" s="1" t="inlineStr">
        <is>
          <t>Técnico III</t>
        </is>
      </c>
      <c r="D624" s="3" t="n">
        <v>20</v>
      </c>
      <c r="E624" s="3" t="n">
        <v>20</v>
      </c>
      <c r="F624" s="3" t="n">
        <v>17.35</v>
      </c>
      <c r="G624" s="3" t="n">
        <v>1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IF(K624&lt;-5,"CRÍTICO",IF(K624&lt;0,"ATENÇÃO",IF(K624&lt;=5,"OPORTUNO","MUITO BOM")))</f>
        <v/>
      </c>
      <c r="M624" s="3" t="n">
        <v>17</v>
      </c>
      <c r="N624" s="3" t="n">
        <v>97</v>
      </c>
      <c r="O624" s="12" t="n">
        <v>20.32520325203252</v>
      </c>
    </row>
    <row r="625">
      <c r="A625" s="5" t="n">
        <v>46157</v>
      </c>
      <c r="B625" s="6" t="inlineStr">
        <is>
          <t>Alisson de Freitas Silva</t>
        </is>
      </c>
      <c r="C625" s="1" t="inlineStr">
        <is>
          <t>Técnico II</t>
        </is>
      </c>
      <c r="D625" s="3" t="n">
        <v>20</v>
      </c>
      <c r="E625" s="3" t="n">
        <v>19</v>
      </c>
      <c r="F625" s="3" t="n">
        <v>13.2</v>
      </c>
      <c r="G625" s="3" t="n">
        <v>1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IF(K625&lt;-5,"CRÍTICO",IF(K625&lt;0,"ATENÇÃO",IF(K625&lt;=5,"OPORTUNO","MUITO BOM")))</f>
        <v/>
      </c>
      <c r="M625" s="3" t="n">
        <v>12</v>
      </c>
      <c r="N625" s="3" t="n">
        <v>99.18000000000001</v>
      </c>
      <c r="O625" s="12" t="n">
        <v>24.5014245014245</v>
      </c>
    </row>
    <row r="626">
      <c r="A626" s="5" t="n">
        <v>46157</v>
      </c>
      <c r="B626" s="6" t="inlineStr">
        <is>
          <t>Brenda de Menezes Silva</t>
        </is>
      </c>
      <c r="C626" s="1" t="inlineStr">
        <is>
          <t>Técnico II</t>
        </is>
      </c>
      <c r="D626" s="3" t="n">
        <v>20</v>
      </c>
      <c r="E626" s="3" t="n">
        <v>19</v>
      </c>
      <c r="F626" s="3" t="n">
        <v>23.34</v>
      </c>
      <c r="G626" s="3" t="n">
        <v>2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IF(K626&lt;-5,"CRÍTICO",IF(K626&lt;0,"ATENÇÃO",IF(K626&lt;=5,"OPORTUNO","MUITO BOM")))</f>
        <v/>
      </c>
      <c r="M626" s="3" t="n">
        <v>21</v>
      </c>
      <c r="N626" s="3" t="n">
        <v>99.34999999999999</v>
      </c>
      <c r="O626" s="12" t="n">
        <v>19.85294117647059</v>
      </c>
    </row>
    <row r="627">
      <c r="A627" s="5" t="n">
        <v>46157</v>
      </c>
      <c r="B627" s="6" t="inlineStr">
        <is>
          <t>Carlos Mateus Cassimiro Nunes</t>
        </is>
      </c>
      <c r="C627" s="1" t="inlineStr">
        <is>
          <t>Técnico II</t>
        </is>
      </c>
      <c r="D627" s="3" t="n">
        <v>26</v>
      </c>
      <c r="E627" s="3" t="n">
        <v>26</v>
      </c>
      <c r="F627" s="3" t="n">
        <v>25.22</v>
      </c>
      <c r="G627" s="3" t="n">
        <v>3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IF(K627&lt;-5,"CRÍTICO",IF(K627&lt;0,"ATENÇÃO",IF(K627&lt;=5,"OPORTUNO","MUITO BOM")))</f>
        <v/>
      </c>
      <c r="M627" s="3" t="n">
        <v>29</v>
      </c>
      <c r="N627" s="3" t="n">
        <v>99.06999999999999</v>
      </c>
      <c r="O627" s="12" t="n">
        <v>20.09803921568627</v>
      </c>
    </row>
    <row r="628">
      <c r="A628" s="5" t="n">
        <v>46157</v>
      </c>
      <c r="B628" s="6" t="inlineStr">
        <is>
          <t>Damyllis Lorraine de Oliveira Gonçalves</t>
        </is>
      </c>
      <c r="C628" s="1" t="inlineStr">
        <is>
          <t>Técnico II</t>
        </is>
      </c>
      <c r="D628" s="3" t="n">
        <v>35</v>
      </c>
      <c r="E628" s="3" t="n">
        <v>31</v>
      </c>
      <c r="F628" s="3" t="n">
        <v>18.53</v>
      </c>
      <c r="G628" s="3" t="n">
        <v>0</v>
      </c>
      <c r="H628" s="3" t="n">
        <v>0</v>
      </c>
      <c r="I628" s="3">
        <f>E628+G628+H628</f>
        <v/>
      </c>
      <c r="J628" s="3">
        <f>ROUND(MIN(IF(C628="Técnico III",35,IF(C628="Técnico II",28,IF(C628="Técnico I",23,IF(C628="JR",20,IF(C628="Estágio",10,0))))),IF(C628="Técnico III",SUMIFS($D:$D,$A:$A,$A628,$B:$B,"&lt;&gt;Patrícia Karla de Sousa Araújo",$B:$B,"&lt;&gt;Lorena Dias de Araujo",$B:$B,"&lt;&gt;Lucas Luiz Romero")*(35/1083),IF(C628="Técnico II",SUMIFS($D:$D,$A:$A,$A628,$B:$B,"&lt;&gt;Patrícia Karla de Sousa Araújo",$B:$B,"&lt;&gt;Lorena Dias de Araujo",$B:$B,"&lt;&gt;Lucas Luiz Romero")*(28/1083),IF(C628="Técnico I",SUMIFS($D:$D,$A:$A,$A628,$B:$B,"&lt;&gt;Patrícia Karla de Sousa Araújo",$B:$B,"&lt;&gt;Lorena Dias de Araujo",$B:$B,"&lt;&gt;Lucas Luiz Romero")*(23/1083),IF(C628="JR",SUMIFS($D:$D,$A:$A,$A628,$B:$B,"&lt;&gt;Patrícia Karla de Sousa Araújo",$B:$B,"&lt;&gt;Lorena Dias de Araujo",$B:$B,"&lt;&gt;Lucas Luiz Romero")*(20/1083),IF(C628="Estágio",SUMIFS($D:$D,$A:$A,$A628,$B:$B,"&lt;&gt;Patrícia Karla de Sousa Araújo",$B:$B,"&lt;&gt;Lorena Dias de Araujo",$B:$B,"&lt;&gt;Lucas Luiz Romero")*(10/1083),0)))))),0)</f>
        <v/>
      </c>
      <c r="K628" s="3">
        <f>I628-J628</f>
        <v/>
      </c>
      <c r="L628" s="3">
        <f>IF(K628&lt;-5,"CRÍTICO",IF(K628&lt;0,"ATENÇÃO",IF(K628&lt;=5,"OPORTUNO","MUITO BOM")))</f>
        <v/>
      </c>
      <c r="M628" s="3" t="n">
        <v>30</v>
      </c>
      <c r="N628" s="3" t="n">
        <v>98.81</v>
      </c>
      <c r="O628" s="12" t="n">
        <v>22.76785714285714</v>
      </c>
    </row>
    <row r="629">
      <c r="A629" s="5" t="n">
        <v>46157</v>
      </c>
      <c r="B629" s="6" t="inlineStr">
        <is>
          <t>Emilly Kamilly Medeiros Miranda</t>
        </is>
      </c>
      <c r="C629" s="1" t="inlineStr">
        <is>
          <t>Técnico II</t>
        </is>
      </c>
      <c r="D629" s="3" t="n">
        <v>27</v>
      </c>
      <c r="E629" s="3" t="n">
        <v>25</v>
      </c>
      <c r="F629" s="3" t="n">
        <v>18.42</v>
      </c>
      <c r="G629" s="3" t="n">
        <v>2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IF(K629&lt;-5,"CRÍTICO",IF(K629&lt;0,"ATENÇÃO",IF(K629&lt;=5,"OPORTUNO","MUITO BOM")))</f>
        <v/>
      </c>
      <c r="M629" s="3" t="n">
        <v>23</v>
      </c>
      <c r="N629" s="3" t="n">
        <v>99.01000000000001</v>
      </c>
      <c r="O629" s="12" t="n">
        <v>17.76649746192894</v>
      </c>
    </row>
    <row r="630">
      <c r="A630" s="5" t="n">
        <v>46157</v>
      </c>
      <c r="B630" s="6" t="inlineStr">
        <is>
          <t>Francilene Ferreira de Jesus</t>
        </is>
      </c>
      <c r="C630" s="1" t="inlineStr">
        <is>
          <t>Técnico II</t>
        </is>
      </c>
      <c r="D630" s="3" t="n">
        <v>0</v>
      </c>
      <c r="E630" s="3" t="n">
        <v>0</v>
      </c>
      <c r="F630" s="3" t="n">
        <v>0</v>
      </c>
      <c r="G630" s="3" t="n">
        <v>0</v>
      </c>
      <c r="H630" s="3" t="n">
        <v>0</v>
      </c>
      <c r="I630" s="3" t="n">
        <v>0</v>
      </c>
      <c r="J630" s="3" t="n">
        <v>0</v>
      </c>
      <c r="K630" s="3" t="n">
        <v>0</v>
      </c>
      <c r="L630" s="3">
        <f>IF(K630&lt;-5,"CRÍTICO",IF(K630&lt;0,"ATENÇÃO",IF(K630&lt;=5,"OPORTUNO","MUITO BOM")))</f>
        <v/>
      </c>
      <c r="M630" s="3" t="n">
        <v>0</v>
      </c>
      <c r="N630" s="3" t="n">
        <v>100</v>
      </c>
      <c r="O630" s="12" t="n">
        <v>17.24137931034483</v>
      </c>
    </row>
    <row r="631">
      <c r="A631" s="5" t="n">
        <v>46157</v>
      </c>
      <c r="B631" s="6" t="inlineStr">
        <is>
          <t>Isabella Borges de Oliveira</t>
        </is>
      </c>
      <c r="C631" s="1" t="inlineStr">
        <is>
          <t>Técnico II</t>
        </is>
      </c>
      <c r="D631" s="3" t="n">
        <v>28</v>
      </c>
      <c r="E631" s="3" t="n">
        <v>25</v>
      </c>
      <c r="F631" s="3" t="n">
        <v>22.04</v>
      </c>
      <c r="G631" s="3" t="n">
        <v>0</v>
      </c>
      <c r="H631" s="3" t="n">
        <v>0</v>
      </c>
      <c r="I631" s="3">
        <f>E631+G631+H631</f>
        <v/>
      </c>
      <c r="J631" s="3">
        <f>ROUND(MIN(IF(C631="Técnico III",35,IF(C631="Técnico II",28,IF(C631="Técnico I",23,IF(C631="JR",20,IF(C631="Estágio",10,0))))),IF(C631="Técnico III",SUMIFS($D:$D,$A:$A,$A631,$B:$B,"&lt;&gt;Patrícia Karla de Sousa Araújo",$B:$B,"&lt;&gt;Lorena Dias de Araujo",$B:$B,"&lt;&gt;Lucas Luiz Romero")*(35/1083),IF(C631="Técnico II",SUMIFS($D:$D,$A:$A,$A631,$B:$B,"&lt;&gt;Patrícia Karla de Sousa Araújo",$B:$B,"&lt;&gt;Lorena Dias de Araujo",$B:$B,"&lt;&gt;Lucas Luiz Romero")*(28/1083),IF(C631="Técnico I",SUMIFS($D:$D,$A:$A,$A631,$B:$B,"&lt;&gt;Patrícia Karla de Sousa Araújo",$B:$B,"&lt;&gt;Lorena Dias de Araujo",$B:$B,"&lt;&gt;Lucas Luiz Romero")*(23/1083),IF(C631="JR",SUMIFS($D:$D,$A:$A,$A631,$B:$B,"&lt;&gt;Patrícia Karla de Sousa Araújo",$B:$B,"&lt;&gt;Lorena Dias de Araujo",$B:$B,"&lt;&gt;Lucas Luiz Romero")*(20/1083),IF(C631="Estágio",SUMIFS($D:$D,$A:$A,$A631,$B:$B,"&lt;&gt;Patrícia Karla de Sousa Araújo",$B:$B,"&lt;&gt;Lorena Dias de Araujo",$B:$B,"&lt;&gt;Lucas Luiz Romero")*(10/1083),0)))))),0)</f>
        <v/>
      </c>
      <c r="K631" s="3">
        <f>I631-J631</f>
        <v/>
      </c>
      <c r="L631" s="3">
        <f>IF(K631&lt;-5,"CRÍTICO",IF(K631&lt;0,"ATENÇÃO",IF(K631&lt;=5,"OPORTUNO","MUITO BOM")))</f>
        <v/>
      </c>
      <c r="M631" s="3" t="n">
        <v>23</v>
      </c>
      <c r="N631" s="3" t="n">
        <v>98.98</v>
      </c>
      <c r="O631" s="12" t="n">
        <v>19.35483870967742</v>
      </c>
    </row>
    <row r="632">
      <c r="A632" s="5" t="n">
        <v>46157</v>
      </c>
      <c r="B632" s="6" t="inlineStr">
        <is>
          <t>Jessica Faria da Silveira</t>
        </is>
      </c>
      <c r="C632" s="1" t="inlineStr">
        <is>
          <t>Técnico II</t>
        </is>
      </c>
      <c r="D632" s="3" t="n">
        <v>17</v>
      </c>
      <c r="E632" s="3" t="n">
        <v>14</v>
      </c>
      <c r="F632" s="3" t="n">
        <v>15.05</v>
      </c>
      <c r="G632" s="3" t="n">
        <v>1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IF(K632&lt;-5,"CRÍTICO",IF(K632&lt;0,"ATENÇÃO",IF(K632&lt;=5,"OPORTUNO","MUITO BOM")))</f>
        <v/>
      </c>
      <c r="M632" s="3" t="n">
        <v>14</v>
      </c>
      <c r="N632" s="3" t="n">
        <v>98.94</v>
      </c>
      <c r="O632" s="12" t="n">
        <v>21.2707182320442</v>
      </c>
    </row>
    <row r="633">
      <c r="A633" s="5" t="n">
        <v>46157</v>
      </c>
      <c r="B633" s="6" t="inlineStr">
        <is>
          <t>Lizandra Gomes Duarte</t>
        </is>
      </c>
      <c r="C633" s="1" t="inlineStr">
        <is>
          <t>Técnico II</t>
        </is>
      </c>
      <c r="D633" s="3" t="n">
        <v>34</v>
      </c>
      <c r="E633" s="3" t="n">
        <v>32</v>
      </c>
      <c r="F633" s="3" t="n">
        <v>15.4</v>
      </c>
      <c r="G633" s="3" t="n">
        <v>0</v>
      </c>
      <c r="H633" s="3" t="n">
        <v>0</v>
      </c>
      <c r="I633" s="3">
        <f>E633+G633+H633</f>
        <v/>
      </c>
      <c r="J633" s="3">
        <f>ROUND(MIN(IF(C633="Técnico III",35,IF(C633="Técnico II",28,IF(C633="Técnico I",23,IF(C633="JR",20,IF(C633="Estágio",10,0))))),IF(C633="Técnico III",SUMIFS($D:$D,$A:$A,$A633,$B:$B,"&lt;&gt;Patrícia Karla de Sousa Araújo",$B:$B,"&lt;&gt;Lorena Dias de Araujo",$B:$B,"&lt;&gt;Lucas Luiz Romero")*(35/1083),IF(C633="Técnico II",SUMIFS($D:$D,$A:$A,$A633,$B:$B,"&lt;&gt;Patrícia Karla de Sousa Araújo",$B:$B,"&lt;&gt;Lorena Dias de Araujo",$B:$B,"&lt;&gt;Lucas Luiz Romero")*(28/1083),IF(C633="Técnico I",SUMIFS($D:$D,$A:$A,$A633,$B:$B,"&lt;&gt;Patrícia Karla de Sousa Araújo",$B:$B,"&lt;&gt;Lorena Dias de Araujo",$B:$B,"&lt;&gt;Lucas Luiz Romero")*(23/1083),IF(C633="JR",SUMIFS($D:$D,$A:$A,$A633,$B:$B,"&lt;&gt;Patrícia Karla de Sousa Araújo",$B:$B,"&lt;&gt;Lorena Dias de Araujo",$B:$B,"&lt;&gt;Lucas Luiz Romero")*(20/1083),IF(C633="Estágio",SUMIFS($D:$D,$A:$A,$A633,$B:$B,"&lt;&gt;Patrícia Karla de Sousa Araújo",$B:$B,"&lt;&gt;Lorena Dias de Araujo",$B:$B,"&lt;&gt;Lucas Luiz Romero")*(10/1083),0)))))),0)</f>
        <v/>
      </c>
      <c r="K633" s="3">
        <f>I633-J633</f>
        <v/>
      </c>
      <c r="L633" s="3">
        <f>IF(K633&lt;-5,"CRÍTICO",IF(K633&lt;0,"ATENÇÃO",IF(K633&lt;=5,"OPORTUNO","MUITO BOM")))</f>
        <v/>
      </c>
      <c r="M633" s="3" t="n">
        <v>13</v>
      </c>
      <c r="N633" s="3" t="n">
        <v>99</v>
      </c>
      <c r="O633" s="12" t="n">
        <v>22.01086956521739</v>
      </c>
    </row>
    <row r="634">
      <c r="A634" s="5" t="n">
        <v>46157</v>
      </c>
      <c r="B634" s="6" t="inlineStr">
        <is>
          <t>Lorena Dias de Araujo</t>
        </is>
      </c>
      <c r="C634" s="1" t="inlineStr">
        <is>
          <t>Técnico II</t>
        </is>
      </c>
      <c r="D634" s="3" t="n">
        <v>28</v>
      </c>
      <c r="E634" s="3" t="n">
        <v>25</v>
      </c>
      <c r="F634" s="3" t="n">
        <v>25.42</v>
      </c>
      <c r="G634" s="3" t="n">
        <v>0</v>
      </c>
      <c r="H634" s="3" t="n">
        <v>0</v>
      </c>
      <c r="I634" s="3">
        <f>E634+G634+H634</f>
        <v/>
      </c>
      <c r="J634" s="3">
        <f>ROUND(MIN(IF(C634="Técnico III",35,IF(C634="Técnico II",28,IF(C634="Técnico I",23,IF(C634="JR",20,IF(C634="Estágio",10,0))))),IF(C634="Técnico III",SUMIFS($D:$D,$A:$A,$A634,$B:$B,"&lt;&gt;Patrícia Karla de Sousa Araújo",$B:$B,"&lt;&gt;Lorena Dias de Araujo",$B:$B,"&lt;&gt;Lucas Luiz Romero")*(35/1083),IF(C634="Técnico II",SUMIFS($D:$D,$A:$A,$A634,$B:$B,"&lt;&gt;Patrícia Karla de Sousa Araújo",$B:$B,"&lt;&gt;Lorena Dias de Araujo",$B:$B,"&lt;&gt;Lucas Luiz Romero")*(28/1083),IF(C634="Técnico I",SUMIFS($D:$D,$A:$A,$A634,$B:$B,"&lt;&gt;Patrícia Karla de Sousa Araújo",$B:$B,"&lt;&gt;Lorena Dias de Araujo",$B:$B,"&lt;&gt;Lucas Luiz Romero")*(23/1083),IF(C634="JR",SUMIFS($D:$D,$A:$A,$A634,$B:$B,"&lt;&gt;Patrícia Karla de Sousa Araújo",$B:$B,"&lt;&gt;Lorena Dias de Araujo",$B:$B,"&lt;&gt;Lucas Luiz Romero")*(20/1083),IF(C634="Estágio",SUMIFS($D:$D,$A:$A,$A634,$B:$B,"&lt;&gt;Patrícia Karla de Sousa Araújo",$B:$B,"&lt;&gt;Lorena Dias de Araujo",$B:$B,"&lt;&gt;Lucas Luiz Romero")*(10/1083),0)))))),0)</f>
        <v/>
      </c>
      <c r="K634" s="3">
        <f>I634-J634</f>
        <v/>
      </c>
      <c r="L634" s="3">
        <f>IF(K634&lt;-5,"CRÍTICO",IF(K634&lt;0,"ATENÇÃO",IF(K634&lt;=5,"OPORTUNO","MUITO BOM")))</f>
        <v/>
      </c>
      <c r="M634" s="3" t="n">
        <v>24</v>
      </c>
      <c r="N634" s="3" t="n">
        <v>100</v>
      </c>
      <c r="O634" s="12" t="n">
        <v>25</v>
      </c>
    </row>
    <row r="635">
      <c r="A635" s="10" t="n">
        <v>46052</v>
      </c>
      <c r="B635" t="inlineStr">
        <is>
          <t>Gabriel Gomes de Andrade</t>
        </is>
      </c>
      <c r="C635" s="1" t="inlineStr">
        <is>
          <t>Técnico I</t>
        </is>
      </c>
      <c r="D635" s="3" t="n">
        <v>32</v>
      </c>
      <c r="E635" s="3" t="n">
        <v>31</v>
      </c>
      <c r="F635" s="3" t="n">
        <v>20.39</v>
      </c>
      <c r="G635" s="3" t="n">
        <v>0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IF(K635&lt;-5,"CRÍTICO",IF(K635&lt;0,"ATENÇÃO",IF(K635&lt;=5,"BOM","EXCELENTE")))</f>
        <v/>
      </c>
      <c r="M635" s="3" t="n">
        <v>31</v>
      </c>
      <c r="N635" s="3" t="n">
        <v>98.91</v>
      </c>
      <c r="O635" s="12" t="n">
        <v>31.36729222520107</v>
      </c>
    </row>
    <row r="636">
      <c r="A636" s="10" t="n">
        <v>46055</v>
      </c>
      <c r="B636" t="inlineStr">
        <is>
          <t>Gabriel Gomes de Andrade</t>
        </is>
      </c>
      <c r="C636" s="1" t="inlineStr">
        <is>
          <t>Técnico I</t>
        </is>
      </c>
      <c r="D636" s="3" t="n">
        <v>17</v>
      </c>
      <c r="E636" s="3" t="n">
        <v>15</v>
      </c>
      <c r="F636" s="3" t="n">
        <v>25.08</v>
      </c>
      <c r="G636" s="3" t="n">
        <v>0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IF(K636&lt;-5,"CRÍTICO",IF(K636&lt;0,"ATENÇÃO",IF(K636&lt;=5,"BOM","EXCELENTE")))</f>
        <v/>
      </c>
      <c r="M636" s="3" t="n">
        <v>14</v>
      </c>
      <c r="N636" s="3" t="n">
        <v>96.67</v>
      </c>
      <c r="O636" s="12" t="n">
        <v>31.45161290322581</v>
      </c>
    </row>
    <row r="637">
      <c r="A637" s="5" t="n">
        <v>46157</v>
      </c>
      <c r="B637" s="6" t="inlineStr">
        <is>
          <t>Patrícia Karla de Sousa Araújo</t>
        </is>
      </c>
      <c r="C637" s="1" t="inlineStr">
        <is>
          <t>Técnico II</t>
        </is>
      </c>
      <c r="D637" s="3" t="n">
        <v>13</v>
      </c>
      <c r="E637" s="3" t="n">
        <v>13</v>
      </c>
      <c r="F637" s="3" t="n">
        <v>33.59</v>
      </c>
      <c r="G637" s="3" t="n">
        <v>0</v>
      </c>
      <c r="H637" s="3" t="n">
        <v>0</v>
      </c>
      <c r="I637" s="3">
        <f>E637+G637+H637</f>
        <v/>
      </c>
      <c r="J637" s="3">
        <f>ROUND(MIN(IF(C637="Técnico III",35,IF(C637="Técnico II",28,IF(C637="Técnico I",23,IF(C637="JR",20,IF(C637="Estágio",10,0))))),IF(C637="Técnico III",SUMIFS($D:$D,$A:$A,$A637,$B:$B,"&lt;&gt;Patrícia Karla de Sousa Araújo",$B:$B,"&lt;&gt;Lorena Dias de Araujo",$B:$B,"&lt;&gt;Lucas Luiz Romero")*(35/1083),IF(C637="Técnico II",SUMIFS($D:$D,$A:$A,$A637,$B:$B,"&lt;&gt;Patrícia Karla de Sousa Araújo",$B:$B,"&lt;&gt;Lorena Dias de Araujo",$B:$B,"&lt;&gt;Lucas Luiz Romero")*(28/1083),IF(C637="Técnico I",SUMIFS($D:$D,$A:$A,$A637,$B:$B,"&lt;&gt;Patrícia Karla de Sousa Araújo",$B:$B,"&lt;&gt;Lorena Dias de Araujo",$B:$B,"&lt;&gt;Lucas Luiz Romero")*(23/1083),IF(C637="JR",SUMIFS($D:$D,$A:$A,$A637,$B:$B,"&lt;&gt;Patrícia Karla de Sousa Araújo",$B:$B,"&lt;&gt;Lorena Dias de Araujo",$B:$B,"&lt;&gt;Lucas Luiz Romero")*(20/1083),IF(C637="Estágio",SUMIFS($D:$D,$A:$A,$A637,$B:$B,"&lt;&gt;Patrícia Karla de Sousa Araújo",$B:$B,"&lt;&gt;Lorena Dias de Araujo",$B:$B,"&lt;&gt;Lucas Luiz Romero")*(10/1083),0)))))),0)</f>
        <v/>
      </c>
      <c r="K637" s="3">
        <f>I637-J637</f>
        <v/>
      </c>
      <c r="L637" s="3">
        <f>IF(K637&lt;-5,"CRÍTICO",IF(K637&lt;0,"ATENÇÃO",IF(K637&lt;=5,"OPORTUNO","MUITO BOM")))</f>
        <v/>
      </c>
      <c r="M637" s="3" t="n">
        <v>11</v>
      </c>
      <c r="N637" s="3" t="n">
        <v>100</v>
      </c>
      <c r="O637" s="12" t="n">
        <v>20.18348623853211</v>
      </c>
    </row>
    <row r="638">
      <c r="A638" s="5" t="n">
        <v>46157</v>
      </c>
      <c r="B638" s="6" t="inlineStr">
        <is>
          <t>Ana Karollyne Souza Faria</t>
        </is>
      </c>
      <c r="C638" s="1" t="inlineStr">
        <is>
          <t>Técnico I</t>
        </is>
      </c>
      <c r="D638" s="3" t="n">
        <v>40</v>
      </c>
      <c r="E638" s="3" t="n">
        <v>38</v>
      </c>
      <c r="F638" s="3" t="n">
        <v>15.24</v>
      </c>
      <c r="G638" s="3" t="n">
        <v>5</v>
      </c>
      <c r="H638" s="3" t="n">
        <v>0</v>
      </c>
      <c r="I638" s="3">
        <f>E638+G638+H638</f>
        <v/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/>
      </c>
      <c r="K638" s="3">
        <f>I638-J638</f>
        <v/>
      </c>
      <c r="L638" s="3">
        <f>IF(K638&lt;-5,"CRÍTICO",IF(K638&lt;0,"ATENÇÃO",IF(K638&lt;=5,"OPORTUNO","MUITO BOM")))</f>
        <v/>
      </c>
      <c r="M638" s="3" t="n">
        <v>36</v>
      </c>
      <c r="N638" s="3" t="n">
        <v>96.25</v>
      </c>
      <c r="O638" s="12" t="n">
        <v>25.5863539445629</v>
      </c>
    </row>
    <row r="639">
      <c r="A639" s="5" t="n">
        <v>46157</v>
      </c>
      <c r="B639" s="6" t="inlineStr">
        <is>
          <t>Clessiane Pereira dos Santos</t>
        </is>
      </c>
      <c r="C639" s="1" t="inlineStr">
        <is>
          <t>Técnico I</t>
        </is>
      </c>
      <c r="D639" s="3" t="n">
        <v>24</v>
      </c>
      <c r="E639" s="3" t="n">
        <v>20</v>
      </c>
      <c r="F639" s="3" t="n">
        <v>19.19</v>
      </c>
      <c r="G639" s="3" t="n">
        <v>3</v>
      </c>
      <c r="H639" s="3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IF(K639&lt;-5,"CRÍTICO",IF(K639&lt;0,"ATENÇÃO",IF(K639&lt;=5,"OPORTUNO","MUITO BOM")))</f>
        <v/>
      </c>
      <c r="M639" s="3" t="n">
        <v>20</v>
      </c>
      <c r="N639" s="3" t="n">
        <v>97.48</v>
      </c>
      <c r="O639" s="12" t="n">
        <v>22.99465240641711</v>
      </c>
    </row>
    <row r="640">
      <c r="A640" s="5" t="n">
        <v>46157</v>
      </c>
      <c r="B640" s="6" t="inlineStr">
        <is>
          <t>Daniel Gomes da Silva</t>
        </is>
      </c>
      <c r="C640" s="1" t="inlineStr">
        <is>
          <t>Técnico I</t>
        </is>
      </c>
      <c r="D640" s="3" t="n">
        <v>18</v>
      </c>
      <c r="E640" s="3" t="n">
        <v>18</v>
      </c>
      <c r="F640" s="3" t="n">
        <v>25.25</v>
      </c>
      <c r="G640" s="3" t="n">
        <v>3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IF(K640&lt;-5,"CRÍTICO",IF(K640&lt;0,"ATENÇÃO",IF(K640&lt;=5,"OPORTUNO","MUITO BOM")))</f>
        <v/>
      </c>
      <c r="M640" s="3" t="n">
        <v>19</v>
      </c>
      <c r="N640" s="3" t="n">
        <v>100</v>
      </c>
      <c r="O640" s="12" t="n">
        <v>20.78853046594982</v>
      </c>
    </row>
    <row r="641">
      <c r="A641" s="5" t="n">
        <v>46157</v>
      </c>
      <c r="B641" s="6" t="inlineStr">
        <is>
          <t>Luiz Fernando de Carvalho Junior</t>
        </is>
      </c>
      <c r="C641" s="1" t="inlineStr">
        <is>
          <t>Técnico I</t>
        </is>
      </c>
      <c r="D641" s="3" t="n">
        <v>24</v>
      </c>
      <c r="E641" s="3" t="n">
        <v>21</v>
      </c>
      <c r="F641" s="3" t="n">
        <v>20.35</v>
      </c>
      <c r="G641" s="3" t="n">
        <v>2</v>
      </c>
      <c r="H641" s="3" t="n">
        <v>0</v>
      </c>
      <c r="I641" s="3">
        <f>E641+G641+H641</f>
        <v/>
      </c>
      <c r="J641" s="3">
        <f>ROUND(MIN(IF(C641="Técnico III",35,IF(C641="Técnico II",28,IF(C641="Técnico I",23,IF(C641="JR",20,IF(C641="Estágio",10,0))))),IF(C641="Técnico III",SUMIFS($D:$D,$A:$A,$A641,$B:$B,"&lt;&gt;Patrícia Karla de Sousa Araújo",$B:$B,"&lt;&gt;Lorena Dias de Araujo",$B:$B,"&lt;&gt;Lucas Luiz Romero")*(35/1083),IF(C641="Técnico II",SUMIFS($D:$D,$A:$A,$A641,$B:$B,"&lt;&gt;Patrícia Karla de Sousa Araújo",$B:$B,"&lt;&gt;Lorena Dias de Araujo",$B:$B,"&lt;&gt;Lucas Luiz Romero")*(28/1083),IF(C641="Técnico I",SUMIFS($D:$D,$A:$A,$A641,$B:$B,"&lt;&gt;Patrícia Karla de Sousa Araújo",$B:$B,"&lt;&gt;Lorena Dias de Araujo",$B:$B,"&lt;&gt;Lucas Luiz Romero")*(23/1083),IF(C641="JR",SUMIFS($D:$D,$A:$A,$A641,$B:$B,"&lt;&gt;Patrícia Karla de Sousa Araújo",$B:$B,"&lt;&gt;Lorena Dias de Araujo",$B:$B,"&lt;&gt;Lucas Luiz Romero")*(20/1083),IF(C641="Estágio",SUMIFS($D:$D,$A:$A,$A641,$B:$B,"&lt;&gt;Patrícia Karla de Sousa Araújo",$B:$B,"&lt;&gt;Lorena Dias de Araujo",$B:$B,"&lt;&gt;Lucas Luiz Romero")*(10/1083),0)))))),0)</f>
        <v/>
      </c>
      <c r="K641" s="3">
        <f>I641-J641</f>
        <v/>
      </c>
      <c r="L641" s="3">
        <f>IF(K641&lt;-5,"CRÍTICO",IF(K641&lt;0,"ATENÇÃO",IF(K641&lt;=5,"OPORTUNO","MUITO BOM")))</f>
        <v/>
      </c>
      <c r="M641" s="3" t="n">
        <v>24</v>
      </c>
      <c r="N641" s="3" t="n">
        <v>94.55</v>
      </c>
      <c r="O641" s="12" t="n">
        <v>23.45013477088949</v>
      </c>
    </row>
    <row r="642">
      <c r="A642" s="5" t="n">
        <v>46157</v>
      </c>
      <c r="B642" s="6" t="inlineStr">
        <is>
          <t>Raane Batista Matos</t>
        </is>
      </c>
      <c r="C642" s="1" t="inlineStr">
        <is>
          <t>Técnico I</t>
        </is>
      </c>
      <c r="D642" s="3" t="n">
        <v>28</v>
      </c>
      <c r="E642" s="3" t="n">
        <v>25</v>
      </c>
      <c r="F642" s="3" t="n">
        <v>13.57</v>
      </c>
      <c r="G642" s="3" t="n">
        <v>5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IF(K642&lt;-5,"CRÍTICO",IF(K642&lt;0,"ATENÇÃO",IF(K642&lt;=5,"OPORTUNO","MUITO BOM")))</f>
        <v/>
      </c>
      <c r="M642" s="3" t="n">
        <v>23</v>
      </c>
      <c r="N642" s="3" t="n">
        <v>98</v>
      </c>
      <c r="O642" s="12" t="n">
        <v>20.73490813648294</v>
      </c>
    </row>
    <row r="643">
      <c r="A643" s="5" t="n">
        <v>46157</v>
      </c>
      <c r="B643" s="6" t="inlineStr">
        <is>
          <t>Sara Maria Monteiro Lopes</t>
        </is>
      </c>
      <c r="C643" s="1" t="inlineStr">
        <is>
          <t>Técnico I</t>
        </is>
      </c>
      <c r="D643" s="3" t="n">
        <v>18</v>
      </c>
      <c r="E643" s="3" t="n">
        <v>17</v>
      </c>
      <c r="F643" s="3" t="n">
        <v>35.31</v>
      </c>
      <c r="G643" s="3" t="n">
        <v>3</v>
      </c>
      <c r="H643" s="3" t="n">
        <v>0</v>
      </c>
      <c r="I643" s="3">
        <f>E643+G643+H643</f>
        <v/>
      </c>
      <c r="J643" s="3">
        <f>ROUND(MIN(IF(C643="Técnico III",35,IF(C643="Técnico II",28,IF(C643="Técnico I",23,IF(C643="JR",20,IF(C643="Estágio",10,0))))),IF(C643="Técnico III",SUMIFS($D:$D,$A:$A,$A643,$B:$B,"&lt;&gt;Patrícia Karla de Sousa Araújo",$B:$B,"&lt;&gt;Lorena Dias de Araujo",$B:$B,"&lt;&gt;Lucas Luiz Romero")*(35/1083),IF(C643="Técnico II",SUMIFS($D:$D,$A:$A,$A643,$B:$B,"&lt;&gt;Patrícia Karla de Sousa Araújo",$B:$B,"&lt;&gt;Lorena Dias de Araujo",$B:$B,"&lt;&gt;Lucas Luiz Romero")*(28/1083),IF(C643="Técnico I",SUMIFS($D:$D,$A:$A,$A643,$B:$B,"&lt;&gt;Patrícia Karla de Sousa Araújo",$B:$B,"&lt;&gt;Lorena Dias de Araujo",$B:$B,"&lt;&gt;Lucas Luiz Romero")*(23/1083),IF(C643="JR",SUMIFS($D:$D,$A:$A,$A643,$B:$B,"&lt;&gt;Patrícia Karla de Sousa Araújo",$B:$B,"&lt;&gt;Lorena Dias de Araujo",$B:$B,"&lt;&gt;Lucas Luiz Romero")*(20/1083),IF(C643="Estágio",SUMIFS($D:$D,$A:$A,$A643,$B:$B,"&lt;&gt;Patrícia Karla de Sousa Araújo",$B:$B,"&lt;&gt;Lorena Dias de Araujo",$B:$B,"&lt;&gt;Lucas Luiz Romero")*(10/1083),0)))))),0)</f>
        <v/>
      </c>
      <c r="K643" s="3">
        <f>I643-J643</f>
        <v/>
      </c>
      <c r="L643" s="3">
        <f>IF(K643&lt;-5,"CRÍTICO",IF(K643&lt;0,"ATENÇÃO",IF(K643&lt;=5,"OPORTUNO","MUITO BOM")))</f>
        <v/>
      </c>
      <c r="M643" s="3" t="n">
        <v>14</v>
      </c>
      <c r="N643" s="3" t="n">
        <v>100</v>
      </c>
      <c r="O643" s="12" t="n">
        <v>18</v>
      </c>
    </row>
    <row r="644">
      <c r="A644" s="5" t="n">
        <v>46157</v>
      </c>
      <c r="B644" s="6" t="inlineStr">
        <is>
          <t>Gabriel Gomes de Andrade</t>
        </is>
      </c>
      <c r="C644" s="1" t="inlineStr">
        <is>
          <t>Técnico I</t>
        </is>
      </c>
      <c r="D644" s="3" t="n">
        <v>19</v>
      </c>
      <c r="E644" s="3" t="n">
        <v>16</v>
      </c>
      <c r="F644" s="3" t="n">
        <v>16.56</v>
      </c>
      <c r="G644" s="3" t="n">
        <v>6</v>
      </c>
      <c r="H644" s="3" t="n">
        <v>1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IF(K644&lt;-5,"CRÍTICO",IF(K644&lt;0,"ATENÇÃO",IF(K644&lt;=5,"OPORTUNO","MUITO BOM")))</f>
        <v/>
      </c>
      <c r="M644" s="3" t="n">
        <v>15</v>
      </c>
      <c r="N644" s="3" t="n">
        <v>99.06</v>
      </c>
      <c r="O644" s="12" t="n">
        <v>19.41747572815534</v>
      </c>
    </row>
    <row r="645">
      <c r="A645" s="5" t="n">
        <v>46149</v>
      </c>
      <c r="B645" s="6" t="inlineStr">
        <is>
          <t>Maria Eduarda Sousa Costa</t>
        </is>
      </c>
      <c r="C645" s="1" t="inlineStr">
        <is>
          <t>Estágio</t>
        </is>
      </c>
      <c r="D645" s="3" t="n">
        <v>52</v>
      </c>
      <c r="E645" s="3" t="n">
        <v>37</v>
      </c>
      <c r="F645" s="3" t="n">
        <v>5.49</v>
      </c>
      <c r="G645" s="3" t="n">
        <v>0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IF(K645&lt;-5,"CRÍTICO",IF(K645&lt;0,"ATENÇÃO",IF(K645&lt;=5,"BOM","EXCELENTE")))</f>
        <v/>
      </c>
      <c r="M645" s="3" t="n">
        <v>4</v>
      </c>
      <c r="N645" s="3" t="n">
        <v>100</v>
      </c>
      <c r="O645" s="12" t="n">
        <v>12.94117647058824</v>
      </c>
    </row>
    <row r="646">
      <c r="A646" s="5" t="n">
        <v>46150</v>
      </c>
      <c r="B646" s="6" t="inlineStr">
        <is>
          <t>Maria Eduarda Sousa Costa</t>
        </is>
      </c>
      <c r="C646" s="1" t="inlineStr">
        <is>
          <t>Estágio</t>
        </is>
      </c>
      <c r="D646" s="3" t="n">
        <v>55</v>
      </c>
      <c r="E646" s="3" t="n">
        <v>34</v>
      </c>
      <c r="F646" s="3" t="n">
        <v>5.58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IF(K646&lt;-5,"CRÍTICO",IF(K646&lt;0,"ATENÇÃO",IF(K646&lt;=5,"BOM","EXCELENTE")))</f>
        <v/>
      </c>
      <c r="M646" s="3" t="n">
        <v>1</v>
      </c>
      <c r="N646" s="3" t="n">
        <v>100</v>
      </c>
      <c r="O646" s="12" t="n">
        <v>12.94117647058824</v>
      </c>
    </row>
    <row r="647">
      <c r="A647" s="5" t="n">
        <v>46157</v>
      </c>
      <c r="B647" s="6" t="inlineStr">
        <is>
          <t>Matheus Farias De Souza</t>
        </is>
      </c>
      <c r="C647" s="1" t="inlineStr">
        <is>
          <t>Técnico III</t>
        </is>
      </c>
      <c r="D647" s="3" t="n">
        <v>0</v>
      </c>
      <c r="E647" s="3" t="n">
        <v>0</v>
      </c>
      <c r="F647" s="3" t="n">
        <v>0</v>
      </c>
      <c r="G647" s="3" t="n">
        <v>0</v>
      </c>
      <c r="H647" s="3" t="n">
        <v>31</v>
      </c>
      <c r="I647" s="3">
        <f>E647+G647+H647</f>
        <v/>
      </c>
      <c r="J647" s="3">
        <f>ROUND(MIN(IF(C647="Técnico III",35,IF(C647="Técnico II",28,IF(C647="Técnico I",23,IF(C647="JR",20,IF(C647="Estágio",10,0))))),IF(C647="Técnico III",SUMIFS($D:$D,$A:$A,$A647,$B:$B,"&lt;&gt;Patrícia Karla de Sousa Araújo",$B:$B,"&lt;&gt;Lorena Dias de Araujo",$B:$B,"&lt;&gt;Lucas Luiz Romero")*(35/1083),IF(C647="Técnico II",SUMIFS($D:$D,$A:$A,$A647,$B:$B,"&lt;&gt;Patrícia Karla de Sousa Araújo",$B:$B,"&lt;&gt;Lorena Dias de Araujo",$B:$B,"&lt;&gt;Lucas Luiz Romero")*(28/1083),IF(C647="Técnico I",SUMIFS($D:$D,$A:$A,$A647,$B:$B,"&lt;&gt;Patrícia Karla de Sousa Araújo",$B:$B,"&lt;&gt;Lorena Dias de Araujo",$B:$B,"&lt;&gt;Lucas Luiz Romero")*(23/1083),IF(C647="JR",SUMIFS($D:$D,$A:$A,$A647,$B:$B,"&lt;&gt;Patrícia Karla de Sousa Araújo",$B:$B,"&lt;&gt;Lorena Dias de Araujo",$B:$B,"&lt;&gt;Lucas Luiz Romero")*(20/1083),IF(C647="Estágio",SUMIFS($D:$D,$A:$A,$A647,$B:$B,"&lt;&gt;Patrícia Karla de Sousa Araújo",$B:$B,"&lt;&gt;Lorena Dias de Araujo",$B:$B,"&lt;&gt;Lucas Luiz Romero")*(10/1083),0)))))),0)</f>
        <v/>
      </c>
      <c r="K647" s="3">
        <f>I647-J647</f>
        <v/>
      </c>
      <c r="L647" s="3">
        <f>IF(K647&lt;-5,"CRÍTICO",IF(K647&lt;0,"ATENÇÃO",IF(K647&lt;=5,"OPORTUNO","MUITO BOM")))</f>
        <v/>
      </c>
      <c r="M647" s="3" t="n">
        <v>19</v>
      </c>
      <c r="N647" s="3" t="n">
        <v>98.39</v>
      </c>
      <c r="O647" s="12" t="n">
        <v>8.799999999999999</v>
      </c>
    </row>
    <row r="648">
      <c r="A648" s="5" t="n">
        <v>46153</v>
      </c>
      <c r="B648" s="6" t="inlineStr">
        <is>
          <t>Maria Eduarda Sousa Costa</t>
        </is>
      </c>
      <c r="C648" s="1" t="inlineStr">
        <is>
          <t>Estágio</t>
        </is>
      </c>
      <c r="D648" s="3" t="n">
        <v>52</v>
      </c>
      <c r="E648" s="3" t="n">
        <v>32</v>
      </c>
      <c r="F648" s="3" t="n">
        <v>5.18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IF(K648&lt;-5,"CRÍTICO",IF(K648&lt;0,"ATENÇÃO",IF(K648&lt;=5,"BOM","EXCELENTE")))</f>
        <v/>
      </c>
      <c r="M648" s="3" t="n">
        <v>4</v>
      </c>
      <c r="N648" s="3" t="n">
        <v>100</v>
      </c>
      <c r="O648" s="12" t="n">
        <v>12.94117647058824</v>
      </c>
    </row>
    <row r="649">
      <c r="A649" s="5" t="n">
        <v>46154</v>
      </c>
      <c r="B649" s="6" t="inlineStr">
        <is>
          <t>Maria Eduarda Sousa Costa</t>
        </is>
      </c>
      <c r="C649" s="1" t="inlineStr">
        <is>
          <t>Estágio</t>
        </is>
      </c>
      <c r="D649" s="3" t="n">
        <v>45</v>
      </c>
      <c r="E649" s="3" t="n">
        <v>27</v>
      </c>
      <c r="F649" s="3" t="n">
        <v>7.15</v>
      </c>
      <c r="G649" s="3" t="n">
        <v>0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IF(K649&lt;-5,"CRÍTICO",IF(K649&lt;0,"ATENÇÃO",IF(K649&lt;=5,"BOM","EXCELENTE")))</f>
        <v/>
      </c>
      <c r="M649" s="3" t="n">
        <v>1</v>
      </c>
      <c r="N649" s="3" t="n">
        <v>100</v>
      </c>
      <c r="O649" s="12" t="n">
        <v>12.94117647058824</v>
      </c>
    </row>
    <row r="650">
      <c r="A650" s="5" t="n">
        <v>46155</v>
      </c>
      <c r="B650" s="6" t="inlineStr">
        <is>
          <t>Maria Eduarda Sousa Costa</t>
        </is>
      </c>
      <c r="C650" s="1" t="inlineStr">
        <is>
          <t>Estágio</t>
        </is>
      </c>
      <c r="D650" s="3" t="n">
        <v>37</v>
      </c>
      <c r="E650" s="3" t="n">
        <v>23</v>
      </c>
      <c r="F650" s="3" t="n">
        <v>6.59</v>
      </c>
      <c r="G650" s="3" t="n">
        <v>0</v>
      </c>
      <c r="H650" s="3" t="n">
        <v>0</v>
      </c>
      <c r="I650" s="3">
        <f>E650+G650+H650</f>
        <v/>
      </c>
      <c r="J650" s="3">
        <f>ROUND(MIN(IF(C650="Técnico III",35,IF(C650="Técnico II",28,IF(C650="Técnico I",23,IF(C650="JR",20,IF(C650="Estágio",10,0))))),IF(C650="Técnico III",SUMIFS($D:$D,$A:$A,$A650,$B:$B,"&lt;&gt;Patrícia Karla de Sousa Araújo",$B:$B,"&lt;&gt;Lorena Dias de Araujo",$B:$B,"&lt;&gt;Lucas Luiz Romero")*(35/1083),IF(C650="Técnico II",SUMIFS($D:$D,$A:$A,$A650,$B:$B,"&lt;&gt;Patrícia Karla de Sousa Araújo",$B:$B,"&lt;&gt;Lorena Dias de Araujo",$B:$B,"&lt;&gt;Lucas Luiz Romero")*(28/1083),IF(C650="Técnico I",SUMIFS($D:$D,$A:$A,$A650,$B:$B,"&lt;&gt;Patrícia Karla de Sousa Araújo",$B:$B,"&lt;&gt;Lorena Dias de Araujo",$B:$B,"&lt;&gt;Lucas Luiz Romero")*(23/1083),IF(C650="JR",SUMIFS($D:$D,$A:$A,$A650,$B:$B,"&lt;&gt;Patrícia Karla de Sousa Araújo",$B:$B,"&lt;&gt;Lorena Dias de Araujo",$B:$B,"&lt;&gt;Lucas Luiz Romero")*(20/1083),IF(C650="Estágio",SUMIFS($D:$D,$A:$A,$A650,$B:$B,"&lt;&gt;Patrícia Karla de Sousa Araújo",$B:$B,"&lt;&gt;Lorena Dias de Araujo",$B:$B,"&lt;&gt;Lucas Luiz Romero")*(10/1083),0)))))),0)</f>
        <v/>
      </c>
      <c r="K650" s="3">
        <f>I650-J650</f>
        <v/>
      </c>
      <c r="L650" s="3">
        <f>IF(K650&lt;-5,"CRÍTICO",IF(K650&lt;0,"ATENÇÃO",IF(K650&lt;=5,"BOM","EXCELENTE")))</f>
        <v/>
      </c>
      <c r="M650" s="3" t="n">
        <v>1</v>
      </c>
      <c r="N650" s="3" t="n">
        <v>100</v>
      </c>
      <c r="O650" s="12" t="n">
        <v>12.94117647058824</v>
      </c>
    </row>
    <row r="651">
      <c r="A651" s="5" t="n">
        <v>46156</v>
      </c>
      <c r="B651" s="6" t="inlineStr">
        <is>
          <t>Maria Eduarda Sousa Costa</t>
        </is>
      </c>
      <c r="C651" s="1" t="inlineStr">
        <is>
          <t>Estágio</t>
        </is>
      </c>
      <c r="D651" s="3" t="n">
        <v>63</v>
      </c>
      <c r="E651" s="3" t="n">
        <v>43</v>
      </c>
      <c r="F651" s="3" t="n">
        <v>6.57</v>
      </c>
      <c r="G651" s="3" t="n">
        <v>0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IF(K651&lt;-5,"CRÍTICO",IF(K651&lt;0,"ATENÇÃO",IF(K651&lt;=5,"BOM","EXCELENTE")))</f>
        <v/>
      </c>
      <c r="M651" s="3" t="n">
        <v>2</v>
      </c>
      <c r="N651" s="3" t="n">
        <v>100</v>
      </c>
      <c r="O651" s="12" t="n">
        <v>12.94117647058824</v>
      </c>
    </row>
    <row r="652">
      <c r="A652" s="5" t="n">
        <v>46157</v>
      </c>
      <c r="B652" s="6" t="inlineStr">
        <is>
          <t>Maria Eduarda Sousa Costa</t>
        </is>
      </c>
      <c r="C652" s="1" t="inlineStr">
        <is>
          <t>Estágio</t>
        </is>
      </c>
      <c r="D652" s="3" t="n">
        <v>54</v>
      </c>
      <c r="E652" s="3" t="n">
        <v>32</v>
      </c>
      <c r="F652" s="3" t="n">
        <v>6.47</v>
      </c>
      <c r="G652" s="3" t="n">
        <v>0</v>
      </c>
      <c r="H652" s="3" t="n">
        <v>0</v>
      </c>
      <c r="I652" s="3">
        <f>E652+G652+H652</f>
        <v/>
      </c>
      <c r="J652" s="3">
        <f>ROUND(MIN(IF(C652="Técnico III",35,IF(C652="Técnico II",28,IF(C652="Técnico I",23,IF(C652="JR",20,IF(C652="Estágio",10,0))))),IF(C652="Técnico III",SUMIFS($D:$D,$A:$A,$A652,$B:$B,"&lt;&gt;Patrícia Karla de Sousa Araújo",$B:$B,"&lt;&gt;Lorena Dias de Araujo",$B:$B,"&lt;&gt;Lucas Luiz Romero")*(35/1083),IF(C652="Técnico II",SUMIFS($D:$D,$A:$A,$A652,$B:$B,"&lt;&gt;Patrícia Karla de Sousa Araújo",$B:$B,"&lt;&gt;Lorena Dias de Araujo",$B:$B,"&lt;&gt;Lucas Luiz Romero")*(28/1083),IF(C652="Técnico I",SUMIFS($D:$D,$A:$A,$A652,$B:$B,"&lt;&gt;Patrícia Karla de Sousa Araújo",$B:$B,"&lt;&gt;Lorena Dias de Araujo",$B:$B,"&lt;&gt;Lucas Luiz Romero")*(23/1083),IF(C652="JR",SUMIFS($D:$D,$A:$A,$A652,$B:$B,"&lt;&gt;Patrícia Karla de Sousa Araújo",$B:$B,"&lt;&gt;Lorena Dias de Araujo",$B:$B,"&lt;&gt;Lucas Luiz Romero")*(20/1083),IF(C652="Estágio",SUMIFS($D:$D,$A:$A,$A652,$B:$B,"&lt;&gt;Patrícia Karla de Sousa Araújo",$B:$B,"&lt;&gt;Lorena Dias de Araujo",$B:$B,"&lt;&gt;Lucas Luiz Romero")*(10/1083),0)))))),0)</f>
        <v/>
      </c>
      <c r="K652" s="3">
        <f>I652-J652</f>
        <v/>
      </c>
      <c r="L652" s="3">
        <f>IF(K652&lt;-5,"CRÍTICO",IF(K652&lt;0,"ATENÇÃO",IF(K652&lt;=5,"BOM","EXCELENTE")))</f>
        <v/>
      </c>
      <c r="M652" s="3" t="n">
        <v>1</v>
      </c>
      <c r="N652" s="3" t="n">
        <v>100</v>
      </c>
      <c r="O652" s="12" t="n">
        <v>12.94117647058824</v>
      </c>
    </row>
    <row r="653">
      <c r="A653" s="5" t="n">
        <v>46160</v>
      </c>
      <c r="B653" s="6" t="inlineStr">
        <is>
          <t>Maria Eduarda Sousa Costa</t>
        </is>
      </c>
      <c r="C653" s="1" t="inlineStr">
        <is>
          <t>Estágio</t>
        </is>
      </c>
      <c r="D653" s="3" t="n">
        <v>72</v>
      </c>
      <c r="E653" s="3" t="n">
        <v>45</v>
      </c>
      <c r="F653" s="3" t="n">
        <v>8.210000000000001</v>
      </c>
      <c r="G653" s="3" t="n">
        <v>0</v>
      </c>
      <c r="H653" s="3" t="n">
        <v>0</v>
      </c>
      <c r="I653" s="3" t="n">
        <v>45</v>
      </c>
      <c r="J653" s="3" t="n">
        <v>8</v>
      </c>
      <c r="K653" s="3" t="n">
        <v>37</v>
      </c>
      <c r="L653" s="3" t="inlineStr">
        <is>
          <t>EXCELENTE</t>
        </is>
      </c>
      <c r="M653" s="3" t="n">
        <v>11</v>
      </c>
      <c r="N653" s="3" t="n">
        <v>100</v>
      </c>
      <c r="O653" s="12" t="n">
        <v>12.94117647058824</v>
      </c>
    </row>
    <row r="654">
      <c r="A654" s="7" t="n">
        <v>46161</v>
      </c>
      <c r="B654" s="8" t="inlineStr">
        <is>
          <t>Maria Eduarda Sousa Costa</t>
        </is>
      </c>
      <c r="C654" s="1" t="inlineStr">
        <is>
          <t>Estágio</t>
        </is>
      </c>
      <c r="D654" s="3" t="n">
        <v>36</v>
      </c>
      <c r="E654" s="3" t="n">
        <v>24</v>
      </c>
      <c r="F654" s="3" t="n">
        <v>13.26</v>
      </c>
      <c r="G654" s="3" t="n">
        <v>0</v>
      </c>
      <c r="H654" s="3" t="n">
        <v>0</v>
      </c>
      <c r="I654" s="3" t="n">
        <v>24</v>
      </c>
      <c r="J654" s="3" t="n">
        <v>8</v>
      </c>
      <c r="K654" s="3" t="n">
        <v>16</v>
      </c>
      <c r="L654" s="3" t="inlineStr">
        <is>
          <t>EXCELENTE</t>
        </is>
      </c>
      <c r="M654" s="3" t="n">
        <v>12</v>
      </c>
      <c r="N654" s="3" t="n">
        <v>100</v>
      </c>
      <c r="O654" s="12" t="n">
        <v>12.94117647058824</v>
      </c>
    </row>
    <row r="655">
      <c r="A655" s="7" t="n">
        <v>46162</v>
      </c>
      <c r="B655" s="8" t="inlineStr">
        <is>
          <t>Maria Eduarda Sousa Costa</t>
        </is>
      </c>
      <c r="C655" s="1" t="inlineStr">
        <is>
          <t>Estágio</t>
        </is>
      </c>
      <c r="D655" s="3" t="n">
        <v>15</v>
      </c>
      <c r="E655" s="3" t="n">
        <v>10</v>
      </c>
      <c r="F655" s="3" t="n">
        <v>10.49</v>
      </c>
      <c r="G655" s="3" t="n">
        <v>0</v>
      </c>
      <c r="H655" s="3" t="n">
        <v>0</v>
      </c>
      <c r="I655" s="3" t="n">
        <v>10</v>
      </c>
      <c r="J655" s="3" t="n">
        <v>7</v>
      </c>
      <c r="K655" s="3" t="n">
        <v>3</v>
      </c>
      <c r="L655" s="3" t="inlineStr">
        <is>
          <t>BOM</t>
        </is>
      </c>
      <c r="M655" s="3" t="n">
        <v>5</v>
      </c>
      <c r="N655" s="3" t="n">
        <v>100</v>
      </c>
      <c r="O655" s="12" t="n">
        <v>12.94117647058824</v>
      </c>
    </row>
    <row r="656">
      <c r="A656" s="10" t="n">
        <v>46099</v>
      </c>
      <c r="B656" t="inlineStr">
        <is>
          <t>Matheus Farias De Souza</t>
        </is>
      </c>
      <c r="C656" s="1" t="inlineStr">
        <is>
          <t>Técnico III</t>
        </is>
      </c>
      <c r="D656" s="3" t="n">
        <v>32</v>
      </c>
      <c r="E656" s="3" t="n">
        <v>31</v>
      </c>
      <c r="F656" s="3" t="n">
        <v>17.18</v>
      </c>
      <c r="G656" s="3" t="n">
        <v>0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IF(K656&lt;-5,"CRÍTICO",IF(K656&lt;0,"ATENÇÃO",IF(K656&lt;=5,"OPORTUNO","MUITO BOM")))</f>
        <v/>
      </c>
      <c r="M656" s="3" t="n">
        <v>33</v>
      </c>
      <c r="N656" s="3" t="n">
        <v>98.86</v>
      </c>
      <c r="O656" s="12" t="n">
        <v>28.95927601809955</v>
      </c>
    </row>
    <row r="657">
      <c r="A657" s="5" t="n">
        <v>46163</v>
      </c>
      <c r="B657" s="6" t="inlineStr">
        <is>
          <t>Maria Eduarda Sousa Costa</t>
        </is>
      </c>
      <c r="C657" s="1" t="inlineStr">
        <is>
          <t>Estágio</t>
        </is>
      </c>
      <c r="D657" s="3" t="n">
        <v>12</v>
      </c>
      <c r="E657" s="3" t="n">
        <v>12</v>
      </c>
      <c r="F657" s="3" t="n">
        <v>21.43</v>
      </c>
      <c r="G657" s="3" t="n">
        <v>0</v>
      </c>
      <c r="H657" s="3" t="n">
        <v>0</v>
      </c>
      <c r="I657" s="3" t="n">
        <v>12</v>
      </c>
      <c r="J657" s="3" t="n">
        <v>6</v>
      </c>
      <c r="K657" s="3" t="n">
        <v>6</v>
      </c>
      <c r="L657" s="3" t="inlineStr">
        <is>
          <t>EXCELENTE</t>
        </is>
      </c>
      <c r="M657" s="3" t="n">
        <v>8</v>
      </c>
      <c r="N657" s="3" t="n">
        <v>100</v>
      </c>
      <c r="O657" s="12" t="n">
        <v>12.94117647058824</v>
      </c>
    </row>
    <row r="658">
      <c r="A658" s="9" t="n">
        <v>46164</v>
      </c>
      <c r="B658" s="6" t="inlineStr">
        <is>
          <t>Maria Eduarda Sousa Costa</t>
        </is>
      </c>
      <c r="C658" s="1" t="inlineStr">
        <is>
          <t>Estágio</t>
        </is>
      </c>
      <c r="D658" s="3" t="n">
        <v>8</v>
      </c>
      <c r="E658" s="3" t="n">
        <v>8</v>
      </c>
      <c r="F658" s="3" t="n">
        <v>20.01</v>
      </c>
      <c r="G658" s="3" t="n">
        <v>0</v>
      </c>
      <c r="H658" s="3" t="n">
        <v>0</v>
      </c>
      <c r="I658" s="3" t="n">
        <v>8</v>
      </c>
      <c r="J658" s="3" t="n">
        <v>6</v>
      </c>
      <c r="K658" s="3" t="n">
        <v>2</v>
      </c>
      <c r="L658" s="3" t="inlineStr">
        <is>
          <t>BOM</t>
        </is>
      </c>
      <c r="M658" s="3" t="n">
        <v>6</v>
      </c>
      <c r="N658" s="3" t="n">
        <v>100</v>
      </c>
      <c r="O658" s="12" t="n">
        <v>12.94117647058824</v>
      </c>
    </row>
    <row r="659">
      <c r="A659" s="5" t="n">
        <v>46160</v>
      </c>
      <c r="B659" s="6" t="inlineStr">
        <is>
          <t>Amanda Moura Ferreira</t>
        </is>
      </c>
      <c r="C659" s="1" t="inlineStr">
        <is>
          <t>Técnico III</t>
        </is>
      </c>
      <c r="D659" s="3" t="n">
        <v>0</v>
      </c>
      <c r="E659" s="3" t="n">
        <v>0</v>
      </c>
      <c r="F659" s="3" t="n">
        <v>0</v>
      </c>
      <c r="G659" s="3" t="n">
        <v>0</v>
      </c>
      <c r="H659" s="3" t="n">
        <v>0</v>
      </c>
      <c r="I659" s="3" t="n">
        <v>0</v>
      </c>
      <c r="J659" s="3" t="n">
        <v>0</v>
      </c>
      <c r="K659" s="3" t="n">
        <v>0</v>
      </c>
      <c r="L659" s="3" t="inlineStr">
        <is>
          <t>BOM</t>
        </is>
      </c>
      <c r="M659" s="3" t="n">
        <v>0</v>
      </c>
      <c r="N659" s="3" t="n">
        <v>100</v>
      </c>
      <c r="O659" s="12" t="n">
        <v>0</v>
      </c>
    </row>
    <row r="660">
      <c r="A660" s="5" t="n">
        <v>46160</v>
      </c>
      <c r="B660" s="6" t="inlineStr">
        <is>
          <t>Ana Paula Da Luz Silva Aleixo</t>
        </is>
      </c>
      <c r="C660" s="1" t="inlineStr">
        <is>
          <t>Técnico III</t>
        </is>
      </c>
      <c r="D660" s="3" t="n">
        <v>0</v>
      </c>
      <c r="E660" s="3" t="n">
        <v>0</v>
      </c>
      <c r="F660" s="3" t="n">
        <v>0</v>
      </c>
      <c r="G660" s="3" t="n">
        <v>0</v>
      </c>
      <c r="H660" s="3" t="n">
        <v>0</v>
      </c>
      <c r="I660" s="3" t="n">
        <v>0</v>
      </c>
      <c r="J660" s="3" t="n">
        <v>0</v>
      </c>
      <c r="K660" s="3" t="n">
        <v>0</v>
      </c>
      <c r="L660" s="3" t="inlineStr">
        <is>
          <t>BOM</t>
        </is>
      </c>
      <c r="M660" s="3" t="n">
        <v>0</v>
      </c>
      <c r="N660" s="3" t="n">
        <v>96.94</v>
      </c>
      <c r="O660" s="12" t="n">
        <v>19.61325966850829</v>
      </c>
    </row>
    <row r="661">
      <c r="A661" s="5" t="n">
        <v>46160</v>
      </c>
      <c r="B661" s="6" t="inlineStr">
        <is>
          <t>Cristiane Ramos da Silva Rocha</t>
        </is>
      </c>
      <c r="C661" s="1" t="inlineStr">
        <is>
          <t>Técnico III</t>
        </is>
      </c>
      <c r="D661" s="3" t="n">
        <v>30</v>
      </c>
      <c r="E661" s="3" t="n">
        <v>27</v>
      </c>
      <c r="F661" s="3" t="n">
        <v>13.29</v>
      </c>
      <c r="G661" s="3" t="n">
        <v>0</v>
      </c>
      <c r="H661" s="3" t="n">
        <v>0</v>
      </c>
      <c r="I661" s="3" t="n">
        <v>27</v>
      </c>
      <c r="J661" s="3" t="n">
        <v>27</v>
      </c>
      <c r="K661" s="3" t="n">
        <v>0</v>
      </c>
      <c r="L661" s="3" t="inlineStr">
        <is>
          <t>BOM</t>
        </is>
      </c>
      <c r="M661" s="3" t="n">
        <v>25</v>
      </c>
      <c r="N661" s="3" t="n">
        <v>92.81</v>
      </c>
      <c r="O661" s="12" t="n">
        <v>25.47770700636943</v>
      </c>
    </row>
    <row r="662">
      <c r="A662" s="5" t="n">
        <v>46160</v>
      </c>
      <c r="B662" s="6" t="inlineStr">
        <is>
          <t>Davylla Rodrigues Freitas Silva</t>
        </is>
      </c>
      <c r="C662" s="1" t="inlineStr">
        <is>
          <t>Técnico III</t>
        </is>
      </c>
      <c r="D662" s="3" t="n">
        <v>0</v>
      </c>
      <c r="E662" s="3" t="n">
        <v>0</v>
      </c>
      <c r="F662" s="3" t="n">
        <v>0</v>
      </c>
      <c r="G662" s="3" t="n">
        <v>0</v>
      </c>
      <c r="H662" s="3" t="n">
        <v>0</v>
      </c>
      <c r="I662" s="3" t="n">
        <v>0</v>
      </c>
      <c r="J662" s="3" t="n">
        <v>0</v>
      </c>
      <c r="K662" s="3" t="n">
        <v>0</v>
      </c>
      <c r="L662" s="3" t="inlineStr">
        <is>
          <t>BOM</t>
        </is>
      </c>
      <c r="M662" s="3" t="n">
        <v>0</v>
      </c>
      <c r="N662" s="3" t="n">
        <v>99.19</v>
      </c>
      <c r="O662" s="12" t="n">
        <v>28.40466926070039</v>
      </c>
    </row>
    <row r="663">
      <c r="D663" s="3" t="n">
        <v>0</v>
      </c>
      <c r="E663" s="3" t="n">
        <v>0</v>
      </c>
      <c r="F663" s="3" t="n">
        <v>0</v>
      </c>
      <c r="G663" s="3" t="n">
        <v>0</v>
      </c>
      <c r="H663" s="3" t="n">
        <v>0</v>
      </c>
      <c r="I663" s="3" t="n">
        <v>0</v>
      </c>
      <c r="J663" s="3" t="n">
        <v>0</v>
      </c>
      <c r="K663" s="3" t="n">
        <v>0</v>
      </c>
    </row>
    <row r="664">
      <c r="D664" s="3" t="n">
        <v>0</v>
      </c>
      <c r="E664" s="3" t="n">
        <v>0</v>
      </c>
      <c r="F664" s="3" t="n">
        <v>0</v>
      </c>
      <c r="G664" s="3" t="n">
        <v>0</v>
      </c>
      <c r="H664" s="3" t="n">
        <v>0</v>
      </c>
      <c r="I664" s="3" t="n">
        <v>0</v>
      </c>
      <c r="J664" s="3" t="n">
        <v>0</v>
      </c>
      <c r="K664" s="3" t="n">
        <v>0</v>
      </c>
    </row>
    <row r="665">
      <c r="D665" s="3" t="n">
        <v>0</v>
      </c>
      <c r="E665" s="3" t="n">
        <v>0</v>
      </c>
      <c r="F665" s="3" t="n">
        <v>0</v>
      </c>
      <c r="G665" s="3" t="n">
        <v>0</v>
      </c>
      <c r="H665" s="3" t="n">
        <v>0</v>
      </c>
      <c r="I665" s="3" t="n">
        <v>0</v>
      </c>
      <c r="J665" s="3" t="n">
        <v>0</v>
      </c>
      <c r="K665" s="3" t="n">
        <v>0</v>
      </c>
    </row>
    <row r="666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>
      <c r="A727" s="5" t="n">
        <v>46160</v>
      </c>
      <c r="B727" s="6" t="inlineStr">
        <is>
          <t>Janaina Lima dos Reis Urany</t>
        </is>
      </c>
      <c r="C727" s="1" t="inlineStr">
        <is>
          <t>Técnico III</t>
        </is>
      </c>
      <c r="D727" s="3" t="n">
        <v>37</v>
      </c>
      <c r="E727" s="3" t="n">
        <v>32</v>
      </c>
      <c r="F727" s="3" t="n">
        <v>15.11</v>
      </c>
      <c r="G727" s="3" t="n">
        <v>5</v>
      </c>
      <c r="H727" s="3" t="n">
        <v>0</v>
      </c>
      <c r="I727" s="3" t="n">
        <v>37</v>
      </c>
      <c r="J727" s="3" t="n">
        <v>27</v>
      </c>
      <c r="K727" s="3" t="n">
        <v>10</v>
      </c>
      <c r="L727" s="3" t="inlineStr">
        <is>
          <t>EXCELENTE</t>
        </is>
      </c>
      <c r="M727" s="3" t="n">
        <v>34</v>
      </c>
      <c r="N727" s="3" t="n">
        <v>99</v>
      </c>
      <c r="O727" s="12" t="n">
        <v>22.27414330218069</v>
      </c>
    </row>
    <row r="728">
      <c r="A728" s="5" t="n">
        <v>46160</v>
      </c>
      <c r="B728" s="6" t="inlineStr">
        <is>
          <t>Jaqueline Evangelista da Silva Martins</t>
        </is>
      </c>
      <c r="C728" s="1" t="inlineStr">
        <is>
          <t>Técnico III</t>
        </is>
      </c>
      <c r="D728" s="3" t="n">
        <v>26</v>
      </c>
      <c r="E728" s="3" t="n">
        <v>25</v>
      </c>
      <c r="F728" s="3" t="n">
        <v>13.21</v>
      </c>
      <c r="G728" s="3" t="n">
        <v>6</v>
      </c>
      <c r="H728" s="3" t="n">
        <v>0</v>
      </c>
      <c r="I728" s="3" t="n">
        <v>31</v>
      </c>
      <c r="J728" s="3" t="n">
        <v>27</v>
      </c>
      <c r="K728" s="3" t="n">
        <v>4</v>
      </c>
      <c r="L728" s="3" t="inlineStr">
        <is>
          <t>BOM</t>
        </is>
      </c>
      <c r="M728" s="3" t="n">
        <v>23</v>
      </c>
      <c r="N728" s="3" t="n">
        <v>97.04000000000001</v>
      </c>
      <c r="O728" s="12" t="n">
        <v>29.82885085574572</v>
      </c>
    </row>
    <row r="729">
      <c r="A729" s="5" t="n">
        <v>46160</v>
      </c>
      <c r="B729" s="6" t="inlineStr">
        <is>
          <t>Jéssica Fé Moura</t>
        </is>
      </c>
      <c r="C729" s="1" t="inlineStr">
        <is>
          <t>Técnico III</t>
        </is>
      </c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  <c r="L729" s="3" t="inlineStr">
        <is>
          <t>BOM</t>
        </is>
      </c>
      <c r="M729" s="3" t="n">
        <v>0</v>
      </c>
      <c r="N729" s="3" t="n">
        <v>0</v>
      </c>
      <c r="O729" s="12" t="n">
        <v>0</v>
      </c>
    </row>
    <row r="730">
      <c r="A730" s="5" t="n">
        <v>46160</v>
      </c>
      <c r="B730" s="6" t="inlineStr">
        <is>
          <t>Kerollen Cristielly de Jesus Siqueira</t>
        </is>
      </c>
      <c r="C730" s="1" t="inlineStr">
        <is>
          <t>Técnico III</t>
        </is>
      </c>
      <c r="D730" s="3" t="n">
        <v>25</v>
      </c>
      <c r="E730" s="3" t="n">
        <v>24</v>
      </c>
      <c r="F730" s="3" t="n">
        <v>23.54</v>
      </c>
      <c r="G730" s="3" t="n">
        <v>0</v>
      </c>
      <c r="H730" s="3" t="n">
        <v>0</v>
      </c>
      <c r="I730" s="3" t="n">
        <v>24</v>
      </c>
      <c r="J730" s="3" t="n">
        <v>27</v>
      </c>
      <c r="K730" s="3" t="n">
        <v>-3</v>
      </c>
      <c r="L730" s="3" t="inlineStr">
        <is>
          <t>ATENÇÃO</t>
        </is>
      </c>
      <c r="M730" s="3" t="n">
        <v>21</v>
      </c>
      <c r="N730" s="3" t="n">
        <v>96.84</v>
      </c>
      <c r="O730" s="12" t="n">
        <v>16.33802816901408</v>
      </c>
    </row>
    <row r="731">
      <c r="A731" s="5" t="n">
        <v>46160</v>
      </c>
      <c r="B731" s="6" t="inlineStr">
        <is>
          <t>Leandro Oliveira de Sousa</t>
        </is>
      </c>
      <c r="C731" s="1" t="inlineStr">
        <is>
          <t>Técnico III</t>
        </is>
      </c>
      <c r="D731" s="3" t="n">
        <v>28</v>
      </c>
      <c r="E731" s="3" t="n">
        <v>25</v>
      </c>
      <c r="F731" s="3" t="n">
        <v>15.47</v>
      </c>
      <c r="G731" s="3" t="n">
        <v>0</v>
      </c>
      <c r="H731" s="3" t="n">
        <v>0</v>
      </c>
      <c r="I731" s="3" t="n">
        <v>25</v>
      </c>
      <c r="J731" s="3" t="n">
        <v>27</v>
      </c>
      <c r="K731" s="3" t="n">
        <v>-2</v>
      </c>
      <c r="L731" s="3" t="inlineStr">
        <is>
          <t>ATENÇÃO</t>
        </is>
      </c>
      <c r="M731" s="3" t="n">
        <v>25</v>
      </c>
      <c r="N731" s="3" t="n">
        <v>100</v>
      </c>
      <c r="O731" s="12" t="n">
        <v>18.24480369515012</v>
      </c>
    </row>
    <row r="732">
      <c r="A732" s="5" t="n">
        <v>46160</v>
      </c>
      <c r="B732" s="6" t="inlineStr">
        <is>
          <t>Lucas Luiz Romero</t>
        </is>
      </c>
      <c r="C732" s="1" t="inlineStr">
        <is>
          <t>Técnico III</t>
        </is>
      </c>
      <c r="D732" s="3" t="n">
        <v>0</v>
      </c>
      <c r="E732" s="3" t="n">
        <v>0</v>
      </c>
      <c r="F732" s="3" t="n">
        <v>0</v>
      </c>
      <c r="G732" s="3" t="n">
        <v>0</v>
      </c>
      <c r="H732" s="3" t="n">
        <v>0</v>
      </c>
      <c r="I732" s="3" t="n">
        <v>0</v>
      </c>
      <c r="J732" s="3" t="n">
        <v>0</v>
      </c>
      <c r="K732" s="3" t="n">
        <v>0</v>
      </c>
      <c r="L732" s="3" t="inlineStr">
        <is>
          <t>BOM</t>
        </is>
      </c>
      <c r="M732" s="3" t="n">
        <v>0</v>
      </c>
      <c r="N732" s="3" t="n">
        <v>100</v>
      </c>
      <c r="O732" s="12" t="n">
        <v>15.78947368421053</v>
      </c>
    </row>
    <row r="733">
      <c r="A733" s="5" t="n">
        <v>46160</v>
      </c>
      <c r="B733" s="6" t="inlineStr">
        <is>
          <t>Maysa Victoria Dias Moura</t>
        </is>
      </c>
      <c r="C733" s="1" t="inlineStr">
        <is>
          <t>Técnico III</t>
        </is>
      </c>
      <c r="D733" s="3" t="n">
        <v>30</v>
      </c>
      <c r="E733" s="3" t="n">
        <v>27</v>
      </c>
      <c r="F733" s="3" t="n">
        <v>10.14</v>
      </c>
      <c r="G733" s="3" t="n">
        <v>2</v>
      </c>
      <c r="H733" s="3" t="n">
        <v>0</v>
      </c>
      <c r="I733" s="3" t="n">
        <v>29</v>
      </c>
      <c r="J733" s="3" t="n">
        <v>27</v>
      </c>
      <c r="K733" s="3" t="n">
        <v>2</v>
      </c>
      <c r="L733" s="3" t="inlineStr">
        <is>
          <t>BOM</t>
        </is>
      </c>
      <c r="M733" s="3" t="n">
        <v>27</v>
      </c>
      <c r="N733" s="3" t="n">
        <v>96.38</v>
      </c>
      <c r="O733" s="12" t="n">
        <v>23.1981981981982</v>
      </c>
    </row>
    <row r="734">
      <c r="A734" s="5" t="n">
        <v>46160</v>
      </c>
      <c r="B734" s="6" t="inlineStr">
        <is>
          <t>Rafael Gomes de Morais</t>
        </is>
      </c>
      <c r="C734" s="1" t="inlineStr">
        <is>
          <t>Técnico III</t>
        </is>
      </c>
      <c r="D734" s="3" t="n">
        <v>34</v>
      </c>
      <c r="E734" s="3" t="n">
        <v>28</v>
      </c>
      <c r="F734" s="3" t="n">
        <v>13.56</v>
      </c>
      <c r="G734" s="3" t="n">
        <v>3</v>
      </c>
      <c r="H734" s="3" t="n">
        <v>0</v>
      </c>
      <c r="I734" s="3" t="n">
        <v>31</v>
      </c>
      <c r="J734" s="3" t="n">
        <v>27</v>
      </c>
      <c r="K734" s="3" t="n">
        <v>4</v>
      </c>
      <c r="L734" s="3" t="inlineStr">
        <is>
          <t>BOM</t>
        </is>
      </c>
      <c r="M734" s="3" t="n">
        <v>26</v>
      </c>
      <c r="N734" s="3" t="n">
        <v>99.39</v>
      </c>
      <c r="O734" s="12" t="n">
        <v>25.20325203252033</v>
      </c>
    </row>
    <row r="735">
      <c r="A735" s="5" t="n">
        <v>46160</v>
      </c>
      <c r="B735" s="6" t="inlineStr">
        <is>
          <t>Sarah Steffanie de Lima Borges</t>
        </is>
      </c>
      <c r="C735" s="1" t="inlineStr">
        <is>
          <t>Técnico III</t>
        </is>
      </c>
      <c r="D735" s="3" t="n">
        <v>25</v>
      </c>
      <c r="E735" s="3" t="n">
        <v>22</v>
      </c>
      <c r="F735" s="3" t="n">
        <v>17.29</v>
      </c>
      <c r="G735" s="3" t="n">
        <v>4</v>
      </c>
      <c r="H735" s="3" t="n">
        <v>0</v>
      </c>
      <c r="I735" s="3" t="n">
        <v>26</v>
      </c>
      <c r="J735" s="3" t="n">
        <v>27</v>
      </c>
      <c r="K735" s="3" t="n">
        <v>-1</v>
      </c>
      <c r="L735" s="3" t="inlineStr">
        <is>
          <t>ATENÇÃO</t>
        </is>
      </c>
      <c r="M735" s="3" t="n">
        <v>21</v>
      </c>
      <c r="N735" s="3" t="n">
        <v>97</v>
      </c>
      <c r="O735" s="12" t="n">
        <v>20.32520325203252</v>
      </c>
    </row>
    <row r="736">
      <c r="A736" s="5" t="n">
        <v>46160</v>
      </c>
      <c r="B736" s="6" t="inlineStr">
        <is>
          <t>Alisson de Freitas Silva</t>
        </is>
      </c>
      <c r="C736" s="1" t="inlineStr">
        <is>
          <t>Técnico II</t>
        </is>
      </c>
      <c r="D736" s="3" t="n">
        <v>42</v>
      </c>
      <c r="E736" s="3" t="n">
        <v>27</v>
      </c>
      <c r="F736" s="3" t="n">
        <v>7.38</v>
      </c>
      <c r="G736" s="3" t="n">
        <v>4</v>
      </c>
      <c r="H736" s="3" t="n">
        <v>0</v>
      </c>
      <c r="I736" s="3" t="n">
        <v>31</v>
      </c>
      <c r="J736" s="3" t="n">
        <v>21</v>
      </c>
      <c r="K736" s="3" t="n">
        <v>10</v>
      </c>
      <c r="L736" s="3" t="inlineStr">
        <is>
          <t>EXCELENTE</t>
        </is>
      </c>
      <c r="M736" s="3" t="n">
        <v>19</v>
      </c>
      <c r="N736" s="3" t="n">
        <v>99.18000000000001</v>
      </c>
      <c r="O736" s="12" t="n">
        <v>24.5014245014245</v>
      </c>
    </row>
    <row r="737">
      <c r="A737" s="5" t="n">
        <v>46160</v>
      </c>
      <c r="B737" s="6" t="inlineStr">
        <is>
          <t>Brenda de Menezes Silva</t>
        </is>
      </c>
      <c r="C737" s="1" t="inlineStr">
        <is>
          <t>Técnico II</t>
        </is>
      </c>
      <c r="D737" s="3" t="n">
        <v>46</v>
      </c>
      <c r="E737" s="3" t="n">
        <v>39</v>
      </c>
      <c r="F737" s="3" t="n">
        <v>11.41</v>
      </c>
      <c r="G737" s="3" t="n">
        <v>7</v>
      </c>
      <c r="H737" s="3" t="n">
        <v>0</v>
      </c>
      <c r="I737" s="3" t="n">
        <v>46</v>
      </c>
      <c r="J737" s="3" t="n">
        <v>21</v>
      </c>
      <c r="K737" s="3" t="n">
        <v>25</v>
      </c>
      <c r="L737" s="3" t="inlineStr">
        <is>
          <t>EXCELENTE</t>
        </is>
      </c>
      <c r="M737" s="3" t="n">
        <v>42</v>
      </c>
      <c r="N737" s="3" t="n">
        <v>99.34999999999999</v>
      </c>
      <c r="O737" s="12" t="n">
        <v>19.85294117647059</v>
      </c>
    </row>
    <row r="738">
      <c r="A738" s="5" t="n">
        <v>46160</v>
      </c>
      <c r="B738" s="6" t="inlineStr">
        <is>
          <t>Carlos Mateus Cassimiro Nunes</t>
        </is>
      </c>
      <c r="C738" s="1" t="inlineStr">
        <is>
          <t>Técnico II</t>
        </is>
      </c>
      <c r="D738" s="3" t="n">
        <v>23</v>
      </c>
      <c r="E738" s="3" t="n">
        <v>23</v>
      </c>
      <c r="F738" s="3" t="n">
        <v>21.44</v>
      </c>
      <c r="G738" s="3" t="n">
        <v>3</v>
      </c>
      <c r="H738" s="3" t="n">
        <v>0</v>
      </c>
      <c r="I738" s="3" t="n">
        <v>26</v>
      </c>
      <c r="J738" s="3" t="n">
        <v>21</v>
      </c>
      <c r="K738" s="3" t="n">
        <v>5</v>
      </c>
      <c r="L738" s="3" t="inlineStr">
        <is>
          <t>BOM</t>
        </is>
      </c>
      <c r="M738" s="3" t="n">
        <v>26</v>
      </c>
      <c r="N738" s="3" t="n">
        <v>99.06999999999999</v>
      </c>
      <c r="O738" s="12" t="n">
        <v>20.09803921568627</v>
      </c>
    </row>
    <row r="739">
      <c r="A739" s="5" t="n">
        <v>46160</v>
      </c>
      <c r="B739" s="6" t="inlineStr">
        <is>
          <t>Damyllis Lorraine de Oliveira Gonçalves</t>
        </is>
      </c>
      <c r="C739" s="1" t="inlineStr">
        <is>
          <t>Técnico II</t>
        </is>
      </c>
      <c r="D739" s="3" t="n">
        <v>0</v>
      </c>
      <c r="E739" s="3" t="n">
        <v>0</v>
      </c>
      <c r="F739" s="3" t="n">
        <v>0</v>
      </c>
      <c r="G739" s="3" t="n">
        <v>0</v>
      </c>
      <c r="H739" s="3" t="n">
        <v>0</v>
      </c>
      <c r="I739" s="3" t="n">
        <v>0</v>
      </c>
      <c r="J739" s="3" t="n">
        <v>0</v>
      </c>
      <c r="K739" s="3" t="n">
        <v>0</v>
      </c>
      <c r="L739" s="3" t="inlineStr">
        <is>
          <t>BOM</t>
        </is>
      </c>
      <c r="M739" s="3" t="n">
        <v>0</v>
      </c>
      <c r="N739" s="3" t="n">
        <v>98.81</v>
      </c>
      <c r="O739" s="12" t="n">
        <v>22.76785714285714</v>
      </c>
    </row>
    <row r="740">
      <c r="A740" s="5" t="n">
        <v>46160</v>
      </c>
      <c r="B740" s="6" t="inlineStr">
        <is>
          <t>Emilly Kamilly Medeiros Miranda</t>
        </is>
      </c>
      <c r="C740" s="1" t="inlineStr">
        <is>
          <t>Técnico II</t>
        </is>
      </c>
      <c r="D740" s="3" t="n">
        <v>29</v>
      </c>
      <c r="E740" s="3" t="n">
        <v>27</v>
      </c>
      <c r="F740" s="3" t="n">
        <v>12.34</v>
      </c>
      <c r="G740" s="3" t="n">
        <v>3</v>
      </c>
      <c r="H740" s="3" t="n">
        <v>0</v>
      </c>
      <c r="I740" s="3" t="n">
        <v>30</v>
      </c>
      <c r="J740" s="3" t="n">
        <v>21</v>
      </c>
      <c r="K740" s="3" t="n">
        <v>9</v>
      </c>
      <c r="L740" s="3" t="inlineStr">
        <is>
          <t>EXCELENTE</t>
        </is>
      </c>
      <c r="M740" s="3" t="n">
        <v>25</v>
      </c>
      <c r="N740" s="3" t="n">
        <v>99.01000000000001</v>
      </c>
      <c r="O740" s="12" t="n">
        <v>17.76649746192894</v>
      </c>
    </row>
    <row r="741">
      <c r="A741" s="5" t="n">
        <v>46160</v>
      </c>
      <c r="B741" s="6" t="inlineStr">
        <is>
          <t>Francilene Ferreira de Jesus</t>
        </is>
      </c>
      <c r="C741" s="1" t="inlineStr">
        <is>
          <t>Técnico II</t>
        </is>
      </c>
      <c r="D741" s="3" t="n">
        <v>0</v>
      </c>
      <c r="E741" s="3" t="n">
        <v>0</v>
      </c>
      <c r="F741" s="3" t="n">
        <v>0</v>
      </c>
      <c r="G741" s="3" t="n">
        <v>0</v>
      </c>
      <c r="H741" s="3" t="n">
        <v>0</v>
      </c>
      <c r="I741" s="3" t="n">
        <v>0</v>
      </c>
      <c r="J741" s="3" t="n">
        <v>0</v>
      </c>
      <c r="K741" s="3" t="n">
        <v>0</v>
      </c>
      <c r="L741" s="3" t="inlineStr">
        <is>
          <t>BOM</t>
        </is>
      </c>
      <c r="M741" s="3" t="n">
        <v>0</v>
      </c>
      <c r="N741" s="3" t="n">
        <v>100</v>
      </c>
      <c r="O741" s="12" t="n">
        <v>17.24137931034483</v>
      </c>
    </row>
    <row r="742">
      <c r="A742" s="5" t="n">
        <v>46160</v>
      </c>
      <c r="B742" s="6" t="inlineStr">
        <is>
          <t>Isabella Borges de Oliveira</t>
        </is>
      </c>
      <c r="C742" s="1" t="inlineStr">
        <is>
          <t>Técnico II</t>
        </is>
      </c>
      <c r="D742" s="3" t="n">
        <v>20</v>
      </c>
      <c r="E742" s="3" t="n">
        <v>20</v>
      </c>
      <c r="F742" s="3" t="n">
        <v>24.07</v>
      </c>
      <c r="G742" s="3" t="n">
        <v>3</v>
      </c>
      <c r="H742" s="3" t="n">
        <v>0</v>
      </c>
      <c r="I742" s="3" t="n">
        <v>23</v>
      </c>
      <c r="J742" s="3" t="n">
        <v>21</v>
      </c>
      <c r="K742" s="3" t="n">
        <v>2</v>
      </c>
      <c r="L742" s="3" t="inlineStr">
        <is>
          <t>BOM</t>
        </is>
      </c>
      <c r="M742" s="3" t="n">
        <v>21</v>
      </c>
      <c r="N742" s="3" t="n">
        <v>98.98</v>
      </c>
      <c r="O742" s="12" t="n">
        <v>19.35483870967742</v>
      </c>
    </row>
    <row r="743">
      <c r="A743" s="5" t="n">
        <v>46160</v>
      </c>
      <c r="B743" s="6" t="inlineStr">
        <is>
          <t>Jessica Faria da Silveira</t>
        </is>
      </c>
      <c r="C743" s="1" t="inlineStr">
        <is>
          <t>Técnico II</t>
        </is>
      </c>
      <c r="D743" s="3" t="n">
        <v>28</v>
      </c>
      <c r="E743" s="3" t="n">
        <v>22</v>
      </c>
      <c r="F743" s="3" t="n">
        <v>17.15</v>
      </c>
      <c r="G743" s="3" t="n">
        <v>0</v>
      </c>
      <c r="H743" s="3" t="n">
        <v>0</v>
      </c>
      <c r="I743" s="3" t="n">
        <v>22</v>
      </c>
      <c r="J743" s="3" t="n">
        <v>21</v>
      </c>
      <c r="K743" s="3" t="n">
        <v>1</v>
      </c>
      <c r="L743" s="3" t="inlineStr">
        <is>
          <t>BOM</t>
        </is>
      </c>
      <c r="M743" s="3" t="n">
        <v>19</v>
      </c>
      <c r="N743" s="3" t="n">
        <v>98.94</v>
      </c>
      <c r="O743" s="12" t="n">
        <v>21.2707182320442</v>
      </c>
    </row>
    <row r="744">
      <c r="A744" s="10" t="n">
        <v>46056</v>
      </c>
      <c r="B744" t="inlineStr">
        <is>
          <t>Gabriel Gomes de Andrade</t>
        </is>
      </c>
      <c r="C744" s="1" t="inlineStr">
        <is>
          <t>Técnico I</t>
        </is>
      </c>
      <c r="D744" s="3" t="n">
        <v>32</v>
      </c>
      <c r="E744" s="3" t="n">
        <v>31</v>
      </c>
      <c r="F744" s="3" t="n">
        <v>18.29</v>
      </c>
      <c r="G744" s="3" t="n">
        <v>0</v>
      </c>
      <c r="H744" s="3" t="n">
        <v>0</v>
      </c>
      <c r="I744" s="3">
        <f>E744+G744+H744</f>
        <v/>
      </c>
      <c r="J744" s="3">
        <f>ROUND(MIN(IF(C744="Técnico III",35,IF(C744="Técnico II",28,IF(C744="Técnico I",23,IF(C744="JR",20,IF(C744="Estágio",10,0))))),IF(C744="Técnico III",SUMIFS($D:$D,$A:$A,$A744,$B:$B,"&lt;&gt;Patrícia Karla de Sousa Araújo",$B:$B,"&lt;&gt;Lorena Dias de Araujo",$B:$B,"&lt;&gt;Lucas Luiz Romero")*(35/1083),IF(C744="Técnico II",SUMIFS($D:$D,$A:$A,$A744,$B:$B,"&lt;&gt;Patrícia Karla de Sousa Araújo",$B:$B,"&lt;&gt;Lorena Dias de Araujo",$B:$B,"&lt;&gt;Lucas Luiz Romero")*(28/1083),IF(C744="Técnico I",SUMIFS($D:$D,$A:$A,$A744,$B:$B,"&lt;&gt;Patrícia Karla de Sousa Araújo",$B:$B,"&lt;&gt;Lorena Dias de Araujo",$B:$B,"&lt;&gt;Lucas Luiz Romero")*(23/1083),IF(C744="JR",SUMIFS($D:$D,$A:$A,$A744,$B:$B,"&lt;&gt;Patrícia Karla de Sousa Araújo",$B:$B,"&lt;&gt;Lorena Dias de Araujo",$B:$B,"&lt;&gt;Lucas Luiz Romero")*(20/1083),IF(C744="Estágio",SUMIFS($D:$D,$A:$A,$A744,$B:$B,"&lt;&gt;Patrícia Karla de Sousa Araújo",$B:$B,"&lt;&gt;Lorena Dias de Araujo",$B:$B,"&lt;&gt;Lucas Luiz Romero")*(10/1083),0)))))),0)</f>
        <v/>
      </c>
      <c r="K744" s="3">
        <f>I744-J744</f>
        <v/>
      </c>
      <c r="L744" s="3">
        <f>IF(K744&lt;-5,"CRÍTICO",IF(K744&lt;0,"ATENÇÃO",IF(K744&lt;=5,"BOM","EXCELENTE")))</f>
        <v/>
      </c>
      <c r="M744" s="3" t="n">
        <v>31</v>
      </c>
      <c r="N744" s="3" t="n">
        <v>96.67</v>
      </c>
      <c r="O744" s="12" t="n">
        <v>31.45161290322581</v>
      </c>
    </row>
    <row r="745">
      <c r="A745" s="10" t="n">
        <v>46057</v>
      </c>
      <c r="B745" t="inlineStr">
        <is>
          <t>Gabriel Gomes de Andrade</t>
        </is>
      </c>
      <c r="C745" s="1" t="inlineStr">
        <is>
          <t>Técnico I</t>
        </is>
      </c>
      <c r="D745" s="3" t="n">
        <v>20</v>
      </c>
      <c r="E745" s="3" t="n">
        <v>19</v>
      </c>
      <c r="F745" s="3" t="n">
        <v>24.04</v>
      </c>
      <c r="G745" s="3" t="n">
        <v>0</v>
      </c>
      <c r="H745" s="3" t="n">
        <v>0</v>
      </c>
      <c r="I745" s="3">
        <f>E745+G745+H745</f>
        <v/>
      </c>
      <c r="J745" s="3">
        <f>ROUND(MIN(IF(C745="Técnico III",35,IF(C745="Técnico II",28,IF(C745="Técnico I",23,IF(C745="JR",20,IF(C745="Estágio",10,0))))),IF(C745="Técnico III",SUMIFS($D:$D,$A:$A,$A745,$B:$B,"&lt;&gt;Patrícia Karla de Sousa Araújo",$B:$B,"&lt;&gt;Lorena Dias de Araujo",$B:$B,"&lt;&gt;Lucas Luiz Romero")*(35/1083),IF(C745="Técnico II",SUMIFS($D:$D,$A:$A,$A745,$B:$B,"&lt;&gt;Patrícia Karla de Sousa Araújo",$B:$B,"&lt;&gt;Lorena Dias de Araujo",$B:$B,"&lt;&gt;Lucas Luiz Romero")*(28/1083),IF(C745="Técnico I",SUMIFS($D:$D,$A:$A,$A745,$B:$B,"&lt;&gt;Patrícia Karla de Sousa Araújo",$B:$B,"&lt;&gt;Lorena Dias de Araujo",$B:$B,"&lt;&gt;Lucas Luiz Romero")*(23/1083),IF(C745="JR",SUMIFS($D:$D,$A:$A,$A745,$B:$B,"&lt;&gt;Patrícia Karla de Sousa Araújo",$B:$B,"&lt;&gt;Lorena Dias de Araujo",$B:$B,"&lt;&gt;Lucas Luiz Romero")*(20/1083),IF(C745="Estágio",SUMIFS($D:$D,$A:$A,$A745,$B:$B,"&lt;&gt;Patrícia Karla de Sousa Araújo",$B:$B,"&lt;&gt;Lorena Dias de Araujo",$B:$B,"&lt;&gt;Lucas Luiz Romero")*(10/1083),0)))))),0)</f>
        <v/>
      </c>
      <c r="K745" s="3">
        <f>I745-J745</f>
        <v/>
      </c>
      <c r="L745" s="3">
        <f>IF(K745&lt;-5,"CRÍTICO",IF(K745&lt;0,"ATENÇÃO",IF(K745&lt;=5,"BOM","EXCELENTE")))</f>
        <v/>
      </c>
      <c r="M745" s="3" t="n">
        <v>18</v>
      </c>
      <c r="N745" s="3" t="n">
        <v>96.67</v>
      </c>
      <c r="O745" s="12" t="n">
        <v>31.45161290322581</v>
      </c>
    </row>
    <row r="746">
      <c r="A746" s="5" t="n">
        <v>46160</v>
      </c>
      <c r="B746" s="6" t="inlineStr">
        <is>
          <t>Lizandra Gomes Duarte</t>
        </is>
      </c>
      <c r="C746" s="1" t="inlineStr">
        <is>
          <t>Técnico II</t>
        </is>
      </c>
      <c r="D746" s="3" t="n">
        <v>25</v>
      </c>
      <c r="E746" s="3" t="n">
        <v>23</v>
      </c>
      <c r="F746" s="3" t="n">
        <v>16.55</v>
      </c>
      <c r="G746" s="3" t="n">
        <v>2</v>
      </c>
      <c r="H746" s="3" t="n">
        <v>0</v>
      </c>
      <c r="I746" s="3" t="n">
        <v>25</v>
      </c>
      <c r="J746" s="3" t="n">
        <v>21</v>
      </c>
      <c r="K746" s="3" t="n">
        <v>4</v>
      </c>
      <c r="L746" s="3" t="inlineStr">
        <is>
          <t>BOM</t>
        </is>
      </c>
      <c r="M746" s="3" t="n">
        <v>20</v>
      </c>
      <c r="N746" s="3" t="n">
        <v>99</v>
      </c>
      <c r="O746" s="12" t="n">
        <v>22.01086956521739</v>
      </c>
    </row>
    <row r="747">
      <c r="A747" s="5" t="n">
        <v>46160</v>
      </c>
      <c r="B747" s="6" t="inlineStr">
        <is>
          <t>Lorena Dias de Araujo</t>
        </is>
      </c>
      <c r="C747" s="1" t="inlineStr">
        <is>
          <t>Técnico II</t>
        </is>
      </c>
      <c r="D747" s="3" t="n">
        <v>28</v>
      </c>
      <c r="E747" s="3" t="n">
        <v>26</v>
      </c>
      <c r="F747" s="3" t="n">
        <v>13.58</v>
      </c>
      <c r="G747" s="3" t="n">
        <v>0</v>
      </c>
      <c r="H747" s="3" t="n">
        <v>0</v>
      </c>
      <c r="I747" s="3" t="n">
        <v>26</v>
      </c>
      <c r="J747" s="3" t="n">
        <v>21</v>
      </c>
      <c r="K747" s="3" t="n">
        <v>5</v>
      </c>
      <c r="L747" s="3" t="inlineStr">
        <is>
          <t>BOM</t>
        </is>
      </c>
      <c r="M747" s="3" t="n">
        <v>23</v>
      </c>
      <c r="N747" s="3" t="n">
        <v>100</v>
      </c>
      <c r="O747" s="12" t="n">
        <v>25</v>
      </c>
    </row>
    <row r="748">
      <c r="A748" s="5" t="n">
        <v>46160</v>
      </c>
      <c r="B748" s="6" t="inlineStr">
        <is>
          <t>Patrícia Karla de Sousa Araújo</t>
        </is>
      </c>
      <c r="C748" s="1" t="inlineStr">
        <is>
          <t>Técnico II</t>
        </is>
      </c>
      <c r="D748" s="3" t="n">
        <v>16</v>
      </c>
      <c r="E748" s="3" t="n">
        <v>15</v>
      </c>
      <c r="F748" s="3" t="n">
        <v>19.19</v>
      </c>
      <c r="G748" s="3" t="n">
        <v>0</v>
      </c>
      <c r="H748" s="3" t="n">
        <v>0</v>
      </c>
      <c r="I748" s="3" t="n">
        <v>15</v>
      </c>
      <c r="J748" s="3" t="n">
        <v>21</v>
      </c>
      <c r="K748" s="3" t="n">
        <v>-6</v>
      </c>
      <c r="L748" s="3" t="inlineStr">
        <is>
          <t>CRÍTICO</t>
        </is>
      </c>
      <c r="M748" s="3" t="n">
        <v>13</v>
      </c>
      <c r="N748" s="3" t="n">
        <v>100</v>
      </c>
      <c r="O748" s="12" t="n">
        <v>20.18348623853211</v>
      </c>
    </row>
    <row r="749">
      <c r="A749" s="5" t="n">
        <v>46160</v>
      </c>
      <c r="B749" s="6" t="inlineStr">
        <is>
          <t>Ana Karollyne Souza Faria</t>
        </is>
      </c>
      <c r="C749" s="1" t="inlineStr">
        <is>
          <t>Técnico I</t>
        </is>
      </c>
      <c r="D749" s="3" t="n">
        <v>18</v>
      </c>
      <c r="E749" s="3" t="n">
        <v>17</v>
      </c>
      <c r="F749" s="3" t="n">
        <v>20.19</v>
      </c>
      <c r="G749" s="3" t="n">
        <v>2</v>
      </c>
      <c r="H749" s="3" t="n">
        <v>0</v>
      </c>
      <c r="I749" s="3" t="n">
        <v>19</v>
      </c>
      <c r="J749" s="3" t="n">
        <v>18</v>
      </c>
      <c r="K749" s="3" t="n">
        <v>1</v>
      </c>
      <c r="L749" s="3" t="inlineStr">
        <is>
          <t>BOM</t>
        </is>
      </c>
      <c r="M749" s="3" t="n">
        <v>18</v>
      </c>
      <c r="N749" s="3" t="n">
        <v>96.25</v>
      </c>
      <c r="O749" s="12" t="n">
        <v>25.5863539445629</v>
      </c>
    </row>
    <row r="750">
      <c r="A750" s="5" t="n">
        <v>46160</v>
      </c>
      <c r="B750" s="6" t="inlineStr">
        <is>
          <t>Clessiane Pereira dos Santos</t>
        </is>
      </c>
      <c r="C750" s="1" t="inlineStr">
        <is>
          <t>Técnico I</t>
        </is>
      </c>
      <c r="D750" s="3" t="n">
        <v>22</v>
      </c>
      <c r="E750" s="3" t="n">
        <v>21</v>
      </c>
      <c r="F750" s="3" t="n">
        <v>20.04</v>
      </c>
      <c r="G750" s="3" t="n">
        <v>3</v>
      </c>
      <c r="H750" s="3" t="n">
        <v>0</v>
      </c>
      <c r="I750" s="3" t="n">
        <v>24</v>
      </c>
      <c r="J750" s="3" t="n">
        <v>18</v>
      </c>
      <c r="K750" s="3" t="n">
        <v>6</v>
      </c>
      <c r="L750" s="3" t="inlineStr">
        <is>
          <t>EXCELENTE</t>
        </is>
      </c>
      <c r="M750" s="3" t="n">
        <v>22</v>
      </c>
      <c r="N750" s="3" t="n">
        <v>97.48</v>
      </c>
      <c r="O750" s="12" t="n">
        <v>22.99465240641711</v>
      </c>
    </row>
    <row r="751">
      <c r="A751" s="5" t="n">
        <v>46160</v>
      </c>
      <c r="B751" s="6" t="inlineStr">
        <is>
          <t>Daniel Gomes da Silva</t>
        </is>
      </c>
      <c r="C751" s="1" t="inlineStr">
        <is>
          <t>Técnico I</t>
        </is>
      </c>
      <c r="D751" s="3" t="n">
        <v>20</v>
      </c>
      <c r="E751" s="3" t="n">
        <v>19</v>
      </c>
      <c r="F751" s="3" t="n">
        <v>18.52</v>
      </c>
      <c r="G751" s="3" t="n">
        <v>3</v>
      </c>
      <c r="H751" s="3" t="n">
        <v>0</v>
      </c>
      <c r="I751" s="3" t="n">
        <v>22</v>
      </c>
      <c r="J751" s="3" t="n">
        <v>18</v>
      </c>
      <c r="K751" s="3" t="n">
        <v>4</v>
      </c>
      <c r="L751" s="3" t="inlineStr">
        <is>
          <t>BOM</t>
        </is>
      </c>
      <c r="M751" s="3" t="n">
        <v>18</v>
      </c>
      <c r="N751" s="3" t="n">
        <v>100</v>
      </c>
      <c r="O751" s="12" t="n">
        <v>20.78853046594982</v>
      </c>
    </row>
    <row r="752">
      <c r="A752" s="5" t="n">
        <v>46160</v>
      </c>
      <c r="B752" s="6" t="inlineStr">
        <is>
          <t>Luiz Fernando de Carvalho Junior</t>
        </is>
      </c>
      <c r="C752" s="1" t="inlineStr">
        <is>
          <t>Técnico I</t>
        </is>
      </c>
      <c r="D752" s="3" t="n">
        <v>21</v>
      </c>
      <c r="E752" s="3" t="n">
        <v>20</v>
      </c>
      <c r="F752" s="3" t="n">
        <v>17.02</v>
      </c>
      <c r="G752" s="3" t="n">
        <v>2</v>
      </c>
      <c r="H752" s="3" t="n">
        <v>0</v>
      </c>
      <c r="I752" s="3" t="n">
        <v>22</v>
      </c>
      <c r="J752" s="3" t="n">
        <v>18</v>
      </c>
      <c r="K752" s="3" t="n">
        <v>4</v>
      </c>
      <c r="L752" s="3" t="inlineStr">
        <is>
          <t>BOM</t>
        </is>
      </c>
      <c r="M752" s="3" t="n">
        <v>20</v>
      </c>
      <c r="N752" s="3" t="n">
        <v>94.55</v>
      </c>
      <c r="O752" s="12" t="n">
        <v>23.45013477088949</v>
      </c>
    </row>
    <row r="753">
      <c r="A753" s="5" t="n">
        <v>46160</v>
      </c>
      <c r="B753" s="6" t="inlineStr">
        <is>
          <t>Raane Batista Matos</t>
        </is>
      </c>
      <c r="C753" s="1" t="inlineStr">
        <is>
          <t>Técnico I</t>
        </is>
      </c>
      <c r="D753" s="3" t="n">
        <v>28</v>
      </c>
      <c r="E753" s="3" t="n">
        <v>25</v>
      </c>
      <c r="F753" s="3" t="n">
        <v>14.02</v>
      </c>
      <c r="G753" s="3" t="n">
        <v>1</v>
      </c>
      <c r="H753" s="3" t="n">
        <v>0</v>
      </c>
      <c r="I753" s="3" t="n">
        <v>26</v>
      </c>
      <c r="J753" s="3" t="n">
        <v>18</v>
      </c>
      <c r="K753" s="3" t="n">
        <v>8</v>
      </c>
      <c r="L753" s="3" t="inlineStr">
        <is>
          <t>EXCELENTE</t>
        </is>
      </c>
      <c r="M753" s="3" t="n">
        <v>20</v>
      </c>
      <c r="N753" s="3" t="n">
        <v>98</v>
      </c>
      <c r="O753" s="12" t="n">
        <v>20.73490813648294</v>
      </c>
    </row>
    <row r="754">
      <c r="A754" s="10" t="n">
        <v>46100</v>
      </c>
      <c r="B754" t="inlineStr">
        <is>
          <t>Matheus Farias De Souza</t>
        </is>
      </c>
      <c r="C754" s="1" t="inlineStr">
        <is>
          <t>Técnico III</t>
        </is>
      </c>
      <c r="D754" s="3" t="n">
        <v>34</v>
      </c>
      <c r="E754" s="3" t="n">
        <v>30</v>
      </c>
      <c r="F754" s="3" t="n">
        <v>20.07</v>
      </c>
      <c r="G754" s="3" t="n">
        <v>0</v>
      </c>
      <c r="H754" s="3" t="n">
        <v>0</v>
      </c>
      <c r="I754" s="3">
        <f>E754+G754+H754</f>
        <v/>
      </c>
      <c r="J754" s="3">
        <f>ROUND(MIN(IF(C754="Técnico III",35,IF(C754="Técnico II",28,IF(C754="Técnico I",23,IF(C754="JR",20,IF(C754="Estágio",10,0))))),IF(C754="Técnico III",SUMIFS($D:$D,$A:$A,$A754,$B:$B,"&lt;&gt;Patrícia Karla de Sousa Araújo",$B:$B,"&lt;&gt;Lorena Dias de Araujo",$B:$B,"&lt;&gt;Lucas Luiz Romero")*(35/1083),IF(C754="Técnico II",SUMIFS($D:$D,$A:$A,$A754,$B:$B,"&lt;&gt;Patrícia Karla de Sousa Araújo",$B:$B,"&lt;&gt;Lorena Dias de Araujo",$B:$B,"&lt;&gt;Lucas Luiz Romero")*(28/1083),IF(C754="Técnico I",SUMIFS($D:$D,$A:$A,$A754,$B:$B,"&lt;&gt;Patrícia Karla de Sousa Araújo",$B:$B,"&lt;&gt;Lorena Dias de Araujo",$B:$B,"&lt;&gt;Lucas Luiz Romero")*(23/1083),IF(C754="JR",SUMIFS($D:$D,$A:$A,$A754,$B:$B,"&lt;&gt;Patrícia Karla de Sousa Araújo",$B:$B,"&lt;&gt;Lorena Dias de Araujo",$B:$B,"&lt;&gt;Lucas Luiz Romero")*(20/1083),IF(C754="Estágio",SUMIFS($D:$D,$A:$A,$A754,$B:$B,"&lt;&gt;Patrícia Karla de Sousa Araújo",$B:$B,"&lt;&gt;Lorena Dias de Araujo",$B:$B,"&lt;&gt;Lucas Luiz Romero")*(10/1083),0)))))),0)</f>
        <v/>
      </c>
      <c r="K754" s="3">
        <f>I754-J754</f>
        <v/>
      </c>
      <c r="L754" s="3">
        <f>IF(K754&lt;-5,"CRÍTICO",IF(K754&lt;0,"ATENÇÃO",IF(K754&lt;=5,"OPORTUNO","MUITO BOM")))</f>
        <v/>
      </c>
      <c r="M754" s="3" t="n">
        <v>28</v>
      </c>
      <c r="N754" s="3" t="n">
        <v>98.86</v>
      </c>
      <c r="O754" s="12" t="n">
        <v>28.95927601809955</v>
      </c>
    </row>
    <row r="755">
      <c r="A755" s="5" t="n">
        <v>46160</v>
      </c>
      <c r="B755" s="6" t="inlineStr">
        <is>
          <t>Sara Maria Monteiro Lopes</t>
        </is>
      </c>
      <c r="C755" s="1" t="inlineStr">
        <is>
          <t>Técnico I</t>
        </is>
      </c>
      <c r="D755" s="3" t="n">
        <v>23</v>
      </c>
      <c r="E755" s="3" t="n">
        <v>19</v>
      </c>
      <c r="F755" s="3" t="n">
        <v>23.58</v>
      </c>
      <c r="G755" s="3" t="n">
        <v>3</v>
      </c>
      <c r="H755" s="3" t="n">
        <v>0</v>
      </c>
      <c r="I755" s="3" t="n">
        <v>22</v>
      </c>
      <c r="J755" s="3" t="n">
        <v>18</v>
      </c>
      <c r="K755" s="3" t="n">
        <v>4</v>
      </c>
      <c r="L755" s="3" t="inlineStr">
        <is>
          <t>BOM</t>
        </is>
      </c>
      <c r="M755" s="3" t="n">
        <v>18</v>
      </c>
      <c r="N755" s="3" t="n">
        <v>100</v>
      </c>
      <c r="O755" s="12" t="n">
        <v>18</v>
      </c>
    </row>
    <row r="756">
      <c r="A756" s="5" t="n">
        <v>46160</v>
      </c>
      <c r="B756" s="6" t="inlineStr">
        <is>
          <t>Gabriel Gomes de Andrade</t>
        </is>
      </c>
      <c r="C756" s="1" t="inlineStr">
        <is>
          <t>Técnico I</t>
        </is>
      </c>
      <c r="D756" s="3" t="n">
        <v>21</v>
      </c>
      <c r="E756" s="3" t="n">
        <v>18</v>
      </c>
      <c r="F756" s="3" t="n">
        <v>20.22</v>
      </c>
      <c r="G756" s="3" t="n">
        <v>6</v>
      </c>
      <c r="H756" s="3" t="n">
        <v>1</v>
      </c>
      <c r="I756" s="3" t="n">
        <v>25</v>
      </c>
      <c r="J756" s="3" t="n">
        <v>18</v>
      </c>
      <c r="K756" s="3" t="n">
        <v>7</v>
      </c>
      <c r="L756" s="3" t="inlineStr">
        <is>
          <t>EXCELENTE</t>
        </is>
      </c>
      <c r="M756" s="3" t="n">
        <v>18</v>
      </c>
      <c r="N756" s="3" t="n">
        <v>99.06</v>
      </c>
      <c r="O756" s="12" t="n">
        <v>19.41747572815534</v>
      </c>
    </row>
    <row r="757">
      <c r="A757" s="10" t="n">
        <v>46167</v>
      </c>
      <c r="B757" t="inlineStr">
        <is>
          <t>Maria Eduarda Sousa Costa</t>
        </is>
      </c>
      <c r="C757" s="1" t="inlineStr">
        <is>
          <t>Estágio</t>
        </is>
      </c>
      <c r="D757" s="3" t="n">
        <v>9</v>
      </c>
      <c r="E757" s="3" t="n">
        <v>9</v>
      </c>
      <c r="F757" s="3" t="n">
        <v>20.48</v>
      </c>
      <c r="G757" s="3" t="n">
        <v>0</v>
      </c>
      <c r="H757" s="3" t="n">
        <v>0</v>
      </c>
      <c r="I757" s="3" t="n">
        <v>9</v>
      </c>
      <c r="J757" s="3" t="n">
        <v>6</v>
      </c>
      <c r="K757" s="3" t="n">
        <v>3</v>
      </c>
      <c r="L757" s="3" t="inlineStr">
        <is>
          <t>BOM</t>
        </is>
      </c>
      <c r="M757" s="3" t="n">
        <v>6</v>
      </c>
      <c r="N757" s="3" t="n">
        <v>100</v>
      </c>
      <c r="O757" s="12" t="n">
        <v>12.94117647058824</v>
      </c>
    </row>
    <row r="758">
      <c r="A758" s="10" t="n">
        <v>46168</v>
      </c>
      <c r="B758" t="inlineStr">
        <is>
          <t>Maria Eduarda Sousa Costa</t>
        </is>
      </c>
      <c r="C758" s="1" t="inlineStr">
        <is>
          <t>Estágio</t>
        </is>
      </c>
      <c r="D758" s="3" t="n">
        <v>24</v>
      </c>
      <c r="E758" s="3" t="n">
        <v>22</v>
      </c>
      <c r="F758" s="3" t="n">
        <v>20.59</v>
      </c>
      <c r="G758" s="3" t="n">
        <v>0</v>
      </c>
      <c r="H758" s="3" t="n">
        <v>0</v>
      </c>
      <c r="I758" s="3" t="n">
        <v>22</v>
      </c>
      <c r="J758" s="3" t="n">
        <v>8</v>
      </c>
      <c r="K758" s="3" t="n">
        <v>14</v>
      </c>
      <c r="L758" s="3" t="inlineStr">
        <is>
          <t>EXCELENTE</t>
        </is>
      </c>
      <c r="M758" s="3" t="n">
        <v>19</v>
      </c>
      <c r="N758" s="3" t="n">
        <v>100</v>
      </c>
      <c r="O758" s="12" t="n">
        <v>15.29411764705882</v>
      </c>
    </row>
    <row r="759">
      <c r="A759" s="5" t="n">
        <v>46160</v>
      </c>
      <c r="B759" s="6" t="inlineStr">
        <is>
          <t>Matheus Farias De Souza</t>
        </is>
      </c>
      <c r="C759" s="1" t="inlineStr">
        <is>
          <t>Técnico III</t>
        </is>
      </c>
      <c r="D759" s="3" t="n">
        <v>0</v>
      </c>
      <c r="E759" s="3" t="n">
        <v>0</v>
      </c>
      <c r="F759" s="3" t="n">
        <v>0</v>
      </c>
      <c r="G759" s="3" t="n">
        <v>0</v>
      </c>
      <c r="H759" s="3" t="n">
        <v>32</v>
      </c>
      <c r="I759" s="3" t="n">
        <v>32</v>
      </c>
      <c r="J759" s="3" t="n">
        <v>27</v>
      </c>
      <c r="K759" s="3" t="n">
        <v>5</v>
      </c>
      <c r="L759" s="3" t="inlineStr">
        <is>
          <t>BOM</t>
        </is>
      </c>
      <c r="M759" s="3" t="n">
        <v>16</v>
      </c>
      <c r="N759" s="3" t="n">
        <v>98.39</v>
      </c>
      <c r="O759" s="12" t="n">
        <v>8.799999999999999</v>
      </c>
    </row>
    <row r="760">
      <c r="A760" s="10" t="n">
        <v>46169</v>
      </c>
      <c r="B760" t="inlineStr">
        <is>
          <t>Maria Eduarda Sousa Costa</t>
        </is>
      </c>
      <c r="C760" s="1" t="inlineStr">
        <is>
          <t>Estágio</t>
        </is>
      </c>
      <c r="D760" s="3" t="n">
        <v>23</v>
      </c>
      <c r="E760" s="3" t="n">
        <v>22</v>
      </c>
      <c r="F760" s="3" t="n">
        <v>18.3</v>
      </c>
      <c r="G760" s="3" t="n">
        <v>0</v>
      </c>
      <c r="H760" s="3" t="n">
        <v>0</v>
      </c>
      <c r="I760" s="3" t="n">
        <v>22</v>
      </c>
      <c r="J760" s="3" t="n">
        <v>8</v>
      </c>
      <c r="K760" s="3" t="n">
        <v>14</v>
      </c>
      <c r="L760" s="3" t="inlineStr">
        <is>
          <t>EXCELENTE</t>
        </is>
      </c>
      <c r="M760" s="3" t="n">
        <v>20</v>
      </c>
      <c r="N760" s="3" t="n">
        <v>94.44</v>
      </c>
      <c r="O760" s="12" t="n">
        <v>13.46153846153846</v>
      </c>
    </row>
    <row r="761">
      <c r="A761" s="10" t="n">
        <v>46170</v>
      </c>
      <c r="B761" t="inlineStr">
        <is>
          <t>Maria Eduarda Sousa Costa</t>
        </is>
      </c>
      <c r="C761" s="1" t="inlineStr">
        <is>
          <t>Estágio</t>
        </is>
      </c>
      <c r="D761" s="3" t="n">
        <v>23</v>
      </c>
      <c r="E761" s="3" t="n">
        <v>23</v>
      </c>
      <c r="F761" s="3" t="n">
        <v>18.3</v>
      </c>
      <c r="G761" s="3" t="n">
        <v>0</v>
      </c>
      <c r="H761" s="3" t="n">
        <v>0</v>
      </c>
      <c r="I761" s="3" t="n">
        <v>23</v>
      </c>
      <c r="J761" s="3" t="n">
        <v>8</v>
      </c>
      <c r="K761" s="3" t="n">
        <v>15</v>
      </c>
      <c r="L761" s="3" t="inlineStr">
        <is>
          <t>EXCELENTE</t>
        </is>
      </c>
      <c r="M761" s="3" t="n">
        <v>22</v>
      </c>
      <c r="N761" s="3" t="n">
        <v>95.45</v>
      </c>
      <c r="O761" s="12" t="n">
        <v>18.4</v>
      </c>
    </row>
    <row r="762">
      <c r="A762" s="10" t="n">
        <v>46171</v>
      </c>
      <c r="B762" t="inlineStr">
        <is>
          <t>Maria Eduarda Sousa Costa</t>
        </is>
      </c>
      <c r="C762" s="1" t="inlineStr">
        <is>
          <t>Estágio</t>
        </is>
      </c>
      <c r="D762" s="3" t="n">
        <v>24</v>
      </c>
      <c r="E762" s="3" t="n">
        <v>23</v>
      </c>
      <c r="F762" s="3" t="n">
        <v>24.08</v>
      </c>
      <c r="G762" s="3" t="n">
        <v>0</v>
      </c>
      <c r="H762" s="3" t="n">
        <v>0</v>
      </c>
      <c r="I762" s="3" t="n">
        <v>23</v>
      </c>
      <c r="J762" s="3" t="n">
        <v>8</v>
      </c>
      <c r="K762" s="3" t="n">
        <v>15</v>
      </c>
      <c r="L762" s="3" t="inlineStr">
        <is>
          <t>EXCELENTE</t>
        </is>
      </c>
      <c r="M762" s="3" t="n">
        <v>1</v>
      </c>
      <c r="N762" s="3" t="n">
        <v>96.3</v>
      </c>
      <c r="O762" s="12" t="n">
        <v>18.25396825396825</v>
      </c>
    </row>
    <row r="763">
      <c r="A763" s="10" t="n">
        <v>46143</v>
      </c>
      <c r="B763" t="inlineStr">
        <is>
          <t>Michelle G Santos</t>
        </is>
      </c>
      <c r="C763" s="1" t="inlineStr">
        <is>
          <t>Estágio</t>
        </is>
      </c>
      <c r="D763" s="3" t="n">
        <v>0</v>
      </c>
      <c r="E763" s="3" t="n">
        <v>0</v>
      </c>
      <c r="F763" s="3" t="n">
        <v>0</v>
      </c>
      <c r="G763" s="3" t="n">
        <v>0</v>
      </c>
      <c r="H763" s="3" t="n">
        <v>0</v>
      </c>
      <c r="I763" s="3" t="n">
        <v>0</v>
      </c>
      <c r="J763" s="3" t="n">
        <v>0</v>
      </c>
      <c r="K763" s="3" t="n">
        <v>0</v>
      </c>
      <c r="L763" s="3">
        <f>IF(K763&lt;-5,"CRÍTICO",IF(K763&lt;0,"ATENÇÃO",IF(K763&lt;=5,"OPORTUNO","MUITO BOM")))</f>
        <v/>
      </c>
      <c r="M763" s="3" t="n">
        <v>0</v>
      </c>
      <c r="N763" s="3" t="n">
        <v>100</v>
      </c>
      <c r="O763" s="12" t="n">
        <v>17.1875</v>
      </c>
    </row>
    <row r="764">
      <c r="A764" s="5" t="n">
        <v>46146</v>
      </c>
      <c r="B764" s="6" t="inlineStr">
        <is>
          <t>Michelle G Santos</t>
        </is>
      </c>
      <c r="C764" s="1" t="inlineStr">
        <is>
          <t>Estágio</t>
        </is>
      </c>
      <c r="D764" s="3" t="n">
        <v>8</v>
      </c>
      <c r="E764" s="3" t="n">
        <v>7</v>
      </c>
      <c r="F764" s="3" t="n">
        <v>23.3</v>
      </c>
      <c r="G764" s="3" t="n">
        <v>0</v>
      </c>
      <c r="H764" s="3" t="n">
        <v>0</v>
      </c>
      <c r="I764" s="3">
        <f>E764+G764+H764</f>
        <v/>
      </c>
      <c r="J764" s="3">
        <f>ROUND(MIN(IF(C764="Técnico III",35,IF(C764="Técnico II",28,IF(C764="Técnico I",23,IF(C764="JR",20,IF(C764="Estágio",10,0))))),IF(C764="Técnico III",SUMIFS($D:$D,$A:$A,$A764,$B:$B,"&lt;&gt;Patrícia Karla de Sousa Araújo",$B:$B,"&lt;&gt;Lorena Dias de Araujo",$B:$B,"&lt;&gt;Lucas Luiz Romero")*(35/1083),IF(C764="Técnico II",SUMIFS($D:$D,$A:$A,$A764,$B:$B,"&lt;&gt;Patrícia Karla de Sousa Araújo",$B:$B,"&lt;&gt;Lorena Dias de Araujo",$B:$B,"&lt;&gt;Lucas Luiz Romero")*(28/1083),IF(C764="Técnico I",SUMIFS($D:$D,$A:$A,$A764,$B:$B,"&lt;&gt;Patrícia Karla de Sousa Araújo",$B:$B,"&lt;&gt;Lorena Dias de Araujo",$B:$B,"&lt;&gt;Lucas Luiz Romero")*(23/1083),IF(C764="JR",SUMIFS($D:$D,$A:$A,$A764,$B:$B,"&lt;&gt;Patrícia Karla de Sousa Araújo",$B:$B,"&lt;&gt;Lorena Dias de Araujo",$B:$B,"&lt;&gt;Lucas Luiz Romero")*(20/1083),IF(C764="Estágio",SUMIFS($D:$D,$A:$A,$A764,$B:$B,"&lt;&gt;Patrícia Karla de Sousa Araújo",$B:$B,"&lt;&gt;Lorena Dias de Araujo",$B:$B,"&lt;&gt;Lucas Luiz Romero")*(10/1083),0)))))),0)</f>
        <v/>
      </c>
      <c r="K764" s="3">
        <f>I764-J764</f>
        <v/>
      </c>
      <c r="L764" s="3">
        <f>IF(K764&lt;-5,"CRÍTICO",IF(K764&lt;0,"ATENÇÃO",IF(K764&lt;=5,"OPORTUNO","MUITO BOM")))</f>
        <v/>
      </c>
      <c r="M764" s="3" t="n">
        <v>4</v>
      </c>
      <c r="N764" s="3" t="n">
        <v>100</v>
      </c>
      <c r="O764" s="12" t="n">
        <v>17.1875</v>
      </c>
    </row>
    <row r="765">
      <c r="A765" s="5" t="n">
        <v>46147</v>
      </c>
      <c r="B765" s="6" t="inlineStr">
        <is>
          <t>Michelle G Santos</t>
        </is>
      </c>
      <c r="C765" s="1" t="inlineStr">
        <is>
          <t>Estágio</t>
        </is>
      </c>
      <c r="D765" s="3" t="n">
        <v>11</v>
      </c>
      <c r="E765" s="3" t="n">
        <v>11</v>
      </c>
      <c r="F765" s="3" t="n">
        <v>42.06</v>
      </c>
      <c r="G765" s="3" t="n">
        <v>0</v>
      </c>
      <c r="H765" s="3" t="n">
        <v>0</v>
      </c>
      <c r="I765" s="3">
        <f>E765+G765+H765</f>
        <v/>
      </c>
      <c r="J765" s="3">
        <f>ROUND(MIN(IF(C765="Técnico III",35,IF(C765="Técnico II",28,IF(C765="Técnico I",23,IF(C765="JR",20,IF(C765="Estágio",10,0))))),IF(C765="Técnico III",SUMIFS($D:$D,$A:$A,$A765,$B:$B,"&lt;&gt;Patrícia Karla de Sousa Araújo",$B:$B,"&lt;&gt;Lorena Dias de Araujo",$B:$B,"&lt;&gt;Lucas Luiz Romero")*(35/1083),IF(C765="Técnico II",SUMIFS($D:$D,$A:$A,$A765,$B:$B,"&lt;&gt;Patrícia Karla de Sousa Araújo",$B:$B,"&lt;&gt;Lorena Dias de Araujo",$B:$B,"&lt;&gt;Lucas Luiz Romero")*(28/1083),IF(C765="Técnico I",SUMIFS($D:$D,$A:$A,$A765,$B:$B,"&lt;&gt;Patrícia Karla de Sousa Araújo",$B:$B,"&lt;&gt;Lorena Dias de Araujo",$B:$B,"&lt;&gt;Lucas Luiz Romero")*(23/1083),IF(C765="JR",SUMIFS($D:$D,$A:$A,$A765,$B:$B,"&lt;&gt;Patrícia Karla de Sousa Araújo",$B:$B,"&lt;&gt;Lorena Dias de Araujo",$B:$B,"&lt;&gt;Lucas Luiz Romero")*(20/1083),IF(C765="Estágio",SUMIFS($D:$D,$A:$A,$A765,$B:$B,"&lt;&gt;Patrícia Karla de Sousa Araújo",$B:$B,"&lt;&gt;Lorena Dias de Araujo",$B:$B,"&lt;&gt;Lucas Luiz Romero")*(10/1083),0)))))),0)</f>
        <v/>
      </c>
      <c r="K765" s="3">
        <f>I765-J765</f>
        <v/>
      </c>
      <c r="L765" s="3">
        <f>IF(K765&lt;-5,"CRÍTICO",IF(K765&lt;0,"ATENÇÃO",IF(K765&lt;=5,"OPORTUNO","MUITO BOM")))</f>
        <v/>
      </c>
      <c r="M765" s="3" t="n">
        <v>10</v>
      </c>
      <c r="N765" s="3" t="n">
        <v>100</v>
      </c>
      <c r="O765" s="12" t="n">
        <v>17.1875</v>
      </c>
    </row>
    <row r="766">
      <c r="A766" s="5" t="n">
        <v>46148</v>
      </c>
      <c r="B766" s="6" t="inlineStr">
        <is>
          <t>Michelle G Santos</t>
        </is>
      </c>
      <c r="C766" s="1" t="inlineStr">
        <is>
          <t>Estágio</t>
        </is>
      </c>
      <c r="D766" s="3" t="n">
        <v>9</v>
      </c>
      <c r="E766" s="3" t="n">
        <v>8</v>
      </c>
      <c r="F766" s="3" t="n">
        <v>30.08</v>
      </c>
      <c r="G766" s="3" t="n">
        <v>0</v>
      </c>
      <c r="H766" s="3" t="n">
        <v>0</v>
      </c>
      <c r="I766" s="3">
        <f>E766+G766+H766</f>
        <v/>
      </c>
      <c r="J766" s="3">
        <f>ROUND(MIN(IF(C766="Técnico III",35,IF(C766="Técnico II",28,IF(C766="Técnico I",23,IF(C766="JR",20,IF(C766="Estágio",10,0))))),IF(C766="Técnico III",SUMIFS($D:$D,$A:$A,$A766,$B:$B,"&lt;&gt;Patrícia Karla de Sousa Araújo",$B:$B,"&lt;&gt;Lorena Dias de Araujo",$B:$B,"&lt;&gt;Lucas Luiz Romero")*(35/1083),IF(C766="Técnico II",SUMIFS($D:$D,$A:$A,$A766,$B:$B,"&lt;&gt;Patrícia Karla de Sousa Araújo",$B:$B,"&lt;&gt;Lorena Dias de Araujo",$B:$B,"&lt;&gt;Lucas Luiz Romero")*(28/1083),IF(C766="Técnico I",SUMIFS($D:$D,$A:$A,$A766,$B:$B,"&lt;&gt;Patrícia Karla de Sousa Araújo",$B:$B,"&lt;&gt;Lorena Dias de Araujo",$B:$B,"&lt;&gt;Lucas Luiz Romero")*(23/1083),IF(C766="JR",SUMIFS($D:$D,$A:$A,$A766,$B:$B,"&lt;&gt;Patrícia Karla de Sousa Araújo",$B:$B,"&lt;&gt;Lorena Dias de Araujo",$B:$B,"&lt;&gt;Lucas Luiz Romero")*(20/1083),IF(C766="Estágio",SUMIFS($D:$D,$A:$A,$A766,$B:$B,"&lt;&gt;Patrícia Karla de Sousa Araújo",$B:$B,"&lt;&gt;Lorena Dias de Araujo",$B:$B,"&lt;&gt;Lucas Luiz Romero")*(10/1083),0)))))),0)</f>
        <v/>
      </c>
      <c r="K766" s="3">
        <f>I766-J766</f>
        <v/>
      </c>
      <c r="L766" s="3">
        <f>IF(K766&lt;-5,"CRÍTICO",IF(K766&lt;0,"ATENÇÃO",IF(K766&lt;=5,"OPORTUNO","MUITO BOM")))</f>
        <v/>
      </c>
      <c r="M766" s="3" t="n">
        <v>7</v>
      </c>
      <c r="N766" s="3" t="n">
        <v>100</v>
      </c>
      <c r="O766" s="12" t="n">
        <v>17.1875</v>
      </c>
    </row>
    <row r="767">
      <c r="A767" s="5" t="n">
        <v>46149</v>
      </c>
      <c r="B767" s="6" t="inlineStr">
        <is>
          <t>Michelle G Santos</t>
        </is>
      </c>
      <c r="C767" s="1" t="inlineStr">
        <is>
          <t>Estágio</t>
        </is>
      </c>
      <c r="D767" s="3" t="n">
        <v>16</v>
      </c>
      <c r="E767" s="3" t="n">
        <v>15</v>
      </c>
      <c r="F767" s="3" t="n">
        <v>27.04</v>
      </c>
      <c r="G767" s="3" t="n">
        <v>0</v>
      </c>
      <c r="H767" s="3" t="n">
        <v>0</v>
      </c>
      <c r="I767" s="3">
        <f>E767+G767+H767</f>
        <v/>
      </c>
      <c r="J767" s="3">
        <f>ROUND(MIN(IF(C767="Técnico III",35,IF(C767="Técnico II",28,IF(C767="Técnico I",23,IF(C767="JR",20,IF(C767="Estágio",10,0))))),IF(C767="Técnico III",SUMIFS($D:$D,$A:$A,$A767,$B:$B,"&lt;&gt;Patrícia Karla de Sousa Araújo",$B:$B,"&lt;&gt;Lorena Dias de Araujo",$B:$B,"&lt;&gt;Lucas Luiz Romero")*(35/1083),IF(C767="Técnico II",SUMIFS($D:$D,$A:$A,$A767,$B:$B,"&lt;&gt;Patrícia Karla de Sousa Araújo",$B:$B,"&lt;&gt;Lorena Dias de Araujo",$B:$B,"&lt;&gt;Lucas Luiz Romero")*(28/1083),IF(C767="Técnico I",SUMIFS($D:$D,$A:$A,$A767,$B:$B,"&lt;&gt;Patrícia Karla de Sousa Araújo",$B:$B,"&lt;&gt;Lorena Dias de Araujo",$B:$B,"&lt;&gt;Lucas Luiz Romero")*(23/1083),IF(C767="JR",SUMIFS($D:$D,$A:$A,$A767,$B:$B,"&lt;&gt;Patrícia Karla de Sousa Araújo",$B:$B,"&lt;&gt;Lorena Dias de Araujo",$B:$B,"&lt;&gt;Lucas Luiz Romero")*(20/1083),IF(C767="Estágio",SUMIFS($D:$D,$A:$A,$A767,$B:$B,"&lt;&gt;Patrícia Karla de Sousa Araújo",$B:$B,"&lt;&gt;Lorena Dias de Araujo",$B:$B,"&lt;&gt;Lucas Luiz Romero")*(10/1083),0)))))),0)</f>
        <v/>
      </c>
      <c r="K767" s="3">
        <f>I767-J767</f>
        <v/>
      </c>
      <c r="L767" s="3">
        <f>IF(K767&lt;-5,"CRÍTICO",IF(K767&lt;0,"ATENÇÃO",IF(K767&lt;=5,"OPORTUNO","MUITO BOM")))</f>
        <v/>
      </c>
      <c r="M767" s="3" t="n">
        <v>13</v>
      </c>
      <c r="N767" s="3" t="n">
        <v>100</v>
      </c>
      <c r="O767" s="12" t="n">
        <v>17.1875</v>
      </c>
    </row>
    <row r="768">
      <c r="A768" s="5" t="n">
        <v>46150</v>
      </c>
      <c r="B768" s="6" t="inlineStr">
        <is>
          <t>Michelle G Santos</t>
        </is>
      </c>
      <c r="C768" s="1" t="inlineStr">
        <is>
          <t>Estágio</t>
        </is>
      </c>
      <c r="D768" s="3" t="n">
        <v>14</v>
      </c>
      <c r="E768" s="3" t="n">
        <v>13</v>
      </c>
      <c r="F768" s="3" t="n">
        <v>41.45</v>
      </c>
      <c r="G768" s="3" t="n">
        <v>0</v>
      </c>
      <c r="H768" s="3" t="n">
        <v>0</v>
      </c>
      <c r="I768" s="3">
        <f>E768+G768+H768</f>
        <v/>
      </c>
      <c r="J768" s="3">
        <f>ROUND(MIN(IF(C768="Técnico III",35,IF(C768="Técnico II",28,IF(C768="Técnico I",23,IF(C768="JR",20,IF(C768="Estágio",10,0))))),IF(C768="Técnico III",SUMIFS($D:$D,$A:$A,$A768,$B:$B,"&lt;&gt;Patrícia Karla de Sousa Araújo",$B:$B,"&lt;&gt;Lorena Dias de Araujo",$B:$B,"&lt;&gt;Lucas Luiz Romero")*(35/1083),IF(C768="Técnico II",SUMIFS($D:$D,$A:$A,$A768,$B:$B,"&lt;&gt;Patrícia Karla de Sousa Araújo",$B:$B,"&lt;&gt;Lorena Dias de Araujo",$B:$B,"&lt;&gt;Lucas Luiz Romero")*(28/1083),IF(C768="Técnico I",SUMIFS($D:$D,$A:$A,$A768,$B:$B,"&lt;&gt;Patrícia Karla de Sousa Araújo",$B:$B,"&lt;&gt;Lorena Dias de Araujo",$B:$B,"&lt;&gt;Lucas Luiz Romero")*(23/1083),IF(C768="JR",SUMIFS($D:$D,$A:$A,$A768,$B:$B,"&lt;&gt;Patrícia Karla de Sousa Araújo",$B:$B,"&lt;&gt;Lorena Dias de Araujo",$B:$B,"&lt;&gt;Lucas Luiz Romero")*(20/1083),IF(C768="Estágio",SUMIFS($D:$D,$A:$A,$A768,$B:$B,"&lt;&gt;Patrícia Karla de Sousa Araújo",$B:$B,"&lt;&gt;Lorena Dias de Araujo",$B:$B,"&lt;&gt;Lucas Luiz Romero")*(10/1083),0)))))),0)</f>
        <v/>
      </c>
      <c r="K768" s="3">
        <f>I768-J768</f>
        <v/>
      </c>
      <c r="L768" s="3">
        <f>IF(K768&lt;-5,"CRÍTICO",IF(K768&lt;0,"ATENÇÃO",IF(K768&lt;=5,"OPORTUNO","MUITO BOM")))</f>
        <v/>
      </c>
      <c r="M768" s="3" t="n">
        <v>9</v>
      </c>
      <c r="N768" s="3" t="n">
        <v>100</v>
      </c>
      <c r="O768" s="12" t="n">
        <v>17.1875</v>
      </c>
    </row>
    <row r="769">
      <c r="A769" s="5" t="n">
        <v>46153</v>
      </c>
      <c r="B769" s="6" t="inlineStr">
        <is>
          <t>Michelle G Santos</t>
        </is>
      </c>
      <c r="C769" s="1" t="inlineStr">
        <is>
          <t>Estágio</t>
        </is>
      </c>
      <c r="D769" s="3" t="n">
        <v>7</v>
      </c>
      <c r="E769" s="3" t="n">
        <v>7</v>
      </c>
      <c r="F769" s="3" t="n">
        <v>29.17</v>
      </c>
      <c r="G769" s="3" t="n">
        <v>0</v>
      </c>
      <c r="H769" s="3" t="n">
        <v>0</v>
      </c>
      <c r="I769" s="3">
        <f>E769+G769+H769</f>
        <v/>
      </c>
      <c r="J769" s="3">
        <f>ROUND(MIN(IF(C769="Técnico III",35,IF(C769="Técnico II",28,IF(C769="Técnico I",23,IF(C769="JR",20,IF(C769="Estágio",10,0))))),IF(C769="Técnico III",SUMIFS($D:$D,$A:$A,$A769,$B:$B,"&lt;&gt;Patrícia Karla de Sousa Araújo",$B:$B,"&lt;&gt;Lorena Dias de Araujo",$B:$B,"&lt;&gt;Lucas Luiz Romero")*(35/1083),IF(C769="Técnico II",SUMIFS($D:$D,$A:$A,$A769,$B:$B,"&lt;&gt;Patrícia Karla de Sousa Araújo",$B:$B,"&lt;&gt;Lorena Dias de Araujo",$B:$B,"&lt;&gt;Lucas Luiz Romero")*(28/1083),IF(C769="Técnico I",SUMIFS($D:$D,$A:$A,$A769,$B:$B,"&lt;&gt;Patrícia Karla de Sousa Araújo",$B:$B,"&lt;&gt;Lorena Dias de Araujo",$B:$B,"&lt;&gt;Lucas Luiz Romero")*(23/1083),IF(C769="JR",SUMIFS($D:$D,$A:$A,$A769,$B:$B,"&lt;&gt;Patrícia Karla de Sousa Araújo",$B:$B,"&lt;&gt;Lorena Dias de Araujo",$B:$B,"&lt;&gt;Lucas Luiz Romero")*(20/1083),IF(C769="Estágio",SUMIFS($D:$D,$A:$A,$A769,$B:$B,"&lt;&gt;Patrícia Karla de Sousa Araújo",$B:$B,"&lt;&gt;Lorena Dias de Araujo",$B:$B,"&lt;&gt;Lucas Luiz Romero")*(10/1083),0)))))),0)</f>
        <v/>
      </c>
      <c r="K769" s="3">
        <f>I769-J769</f>
        <v/>
      </c>
      <c r="L769" s="3">
        <f>IF(K769&lt;-5,"CRÍTICO",IF(K769&lt;0,"ATENÇÃO",IF(K769&lt;=5,"OPORTUNO","MUITO BOM")))</f>
        <v/>
      </c>
      <c r="M769" s="3" t="n">
        <v>4</v>
      </c>
      <c r="N769" s="3" t="n">
        <v>100</v>
      </c>
      <c r="O769" s="12" t="n">
        <v>17.1875</v>
      </c>
    </row>
    <row r="770">
      <c r="A770" s="7" t="n">
        <v>46161</v>
      </c>
      <c r="B770" s="8" t="inlineStr">
        <is>
          <t>Amanda Moura Ferreira</t>
        </is>
      </c>
      <c r="C770" s="1" t="inlineStr">
        <is>
          <t>Técnico III</t>
        </is>
      </c>
      <c r="D770" s="3" t="n">
        <v>0</v>
      </c>
      <c r="E770" s="3" t="n">
        <v>0</v>
      </c>
      <c r="F770" s="3" t="n">
        <v>0</v>
      </c>
      <c r="G770" s="3" t="n">
        <v>0</v>
      </c>
      <c r="H770" s="3" t="n">
        <v>0</v>
      </c>
      <c r="I770" s="3" t="n">
        <v>0</v>
      </c>
      <c r="J770" s="3" t="n">
        <v>0</v>
      </c>
      <c r="K770" s="3" t="n">
        <v>0</v>
      </c>
      <c r="L770" s="3" t="inlineStr">
        <is>
          <t>BOM</t>
        </is>
      </c>
      <c r="M770" s="3" t="n">
        <v>0</v>
      </c>
      <c r="N770" s="3" t="n">
        <v>100</v>
      </c>
      <c r="O770" s="12" t="n">
        <v>0</v>
      </c>
    </row>
    <row r="771">
      <c r="A771" s="7" t="n">
        <v>46161</v>
      </c>
      <c r="B771" s="8" t="inlineStr">
        <is>
          <t>Ana Paula Da Luz Silva Aleixo</t>
        </is>
      </c>
      <c r="C771" s="1" t="inlineStr">
        <is>
          <t>Técnico III</t>
        </is>
      </c>
      <c r="D771" s="3" t="n">
        <v>22</v>
      </c>
      <c r="E771" s="3" t="n">
        <v>19</v>
      </c>
      <c r="F771" s="3" t="n">
        <v>20.44</v>
      </c>
      <c r="G771" s="3" t="n">
        <v>1</v>
      </c>
      <c r="H771" s="3" t="n">
        <v>0</v>
      </c>
      <c r="I771" s="3" t="n">
        <v>20</v>
      </c>
      <c r="J771" s="3" t="n">
        <v>29</v>
      </c>
      <c r="K771" s="3" t="n">
        <v>-9</v>
      </c>
      <c r="L771" s="3" t="inlineStr">
        <is>
          <t>CRÍTICO</t>
        </is>
      </c>
      <c r="M771" s="3" t="n">
        <v>16</v>
      </c>
      <c r="N771" s="3" t="n">
        <v>96.94</v>
      </c>
      <c r="O771" s="12" t="n">
        <v>19.61325966850829</v>
      </c>
    </row>
    <row r="772">
      <c r="A772" s="10" t="n">
        <v>46024</v>
      </c>
      <c r="B772" t="inlineStr">
        <is>
          <t>Alisson de Freitas Silva</t>
        </is>
      </c>
      <c r="C772" s="1" t="inlineStr">
        <is>
          <t>Técnico II</t>
        </is>
      </c>
      <c r="D772" s="3" t="n">
        <v>21</v>
      </c>
      <c r="E772" s="3" t="n">
        <v>17</v>
      </c>
      <c r="F772" s="3" t="n">
        <v>12.2</v>
      </c>
      <c r="I772" s="3">
        <f>E772+G772+H772</f>
        <v/>
      </c>
      <c r="J772" s="3">
        <f>ROUND(MIN(IF(C772="Técnico III",35,IF(C772="Técnico II",28,IF(C772="Técnico I",23,IF(C772="JR",20,IF(C772="Estágio",10,0))))),IF(C772="Técnico III",SUMIFS($D:$D,$A:$A,$A772,$B:$B,"&lt;&gt;Patrícia Karla de Sousa Araújo",$B:$B,"&lt;&gt;Lorena Dias de Araujo",$B:$B,"&lt;&gt;Lucas Luiz Romero")*(35/1083),IF(C772="Técnico II",SUMIFS($D:$D,$A:$A,$A772,$B:$B,"&lt;&gt;Patrícia Karla de Sousa Araújo",$B:$B,"&lt;&gt;Lorena Dias de Araujo",$B:$B,"&lt;&gt;Lucas Luiz Romero")*(28/1083),IF(C772="Técnico I",SUMIFS($D:$D,$A:$A,$A772,$B:$B,"&lt;&gt;Patrícia Karla de Sousa Araújo",$B:$B,"&lt;&gt;Lorena Dias de Araujo",$B:$B,"&lt;&gt;Lucas Luiz Romero")*(23/1083),IF(C772="JR",SUMIFS($D:$D,$A:$A,$A772,$B:$B,"&lt;&gt;Patrícia Karla de Sousa Araújo",$B:$B,"&lt;&gt;Lorena Dias de Araujo",$B:$B,"&lt;&gt;Lucas Luiz Romero")*(20/1083),IF(C772="Estágio",SUMIFS($D:$D,$A:$A,$A772,$B:$B,"&lt;&gt;Patrícia Karla de Sousa Araújo",$B:$B,"&lt;&gt;Lorena Dias de Araujo",$B:$B,"&lt;&gt;Lucas Luiz Romero")*(10/1083),0)))))),0)</f>
        <v/>
      </c>
      <c r="K772" s="3">
        <f>I772-J772</f>
        <v/>
      </c>
      <c r="L772" s="3">
        <f>IF(K772&lt;-5,"CRÍTICO",IF(K772&lt;0,"ATENÇÃO",IF(K772&lt;=5,"BOM","EXCELENTE")))</f>
        <v/>
      </c>
      <c r="M772" s="3" t="n">
        <v>15</v>
      </c>
      <c r="N772" s="3" t="n">
        <v>96.81</v>
      </c>
      <c r="O772" s="12" t="n">
        <v>27.98053527980535</v>
      </c>
    </row>
    <row r="773">
      <c r="A773" s="10" t="n">
        <v>46024</v>
      </c>
      <c r="B773" t="inlineStr">
        <is>
          <t>Amanda Moura Ferreira</t>
        </is>
      </c>
      <c r="C773" s="1" t="inlineStr">
        <is>
          <t>Técnico III</t>
        </is>
      </c>
      <c r="D773" s="3" t="n">
        <v>0</v>
      </c>
      <c r="E773" s="3" t="n">
        <v>0</v>
      </c>
      <c r="F773" s="3" t="n">
        <v>0</v>
      </c>
      <c r="G773" s="3" t="n">
        <v>0</v>
      </c>
      <c r="H773" s="3" t="n">
        <v>0</v>
      </c>
      <c r="I773" s="3" t="n">
        <v>0</v>
      </c>
      <c r="J773" s="3" t="n">
        <v>0</v>
      </c>
      <c r="K773" s="3" t="n">
        <v>0</v>
      </c>
      <c r="L773" s="3">
        <f>IF(K773&lt;-5,"CRÍTICO",IF(K773&lt;0,"ATENÇÃO",IF(K773&lt;=5,"BOM","EXCELENTE")))</f>
        <v/>
      </c>
      <c r="M773" s="3" t="n">
        <v>21</v>
      </c>
      <c r="N773" s="3" t="n">
        <v>98.73</v>
      </c>
      <c r="O773" s="12" t="n">
        <v>35.75638506876228</v>
      </c>
    </row>
    <row r="774">
      <c r="A774" s="10" t="n">
        <v>46024</v>
      </c>
      <c r="B774" t="inlineStr">
        <is>
          <t>Ana Karollyne Souza Faria</t>
        </is>
      </c>
      <c r="C774" s="1" t="inlineStr">
        <is>
          <t>Técnico I</t>
        </is>
      </c>
      <c r="D774" s="3" t="n">
        <v>21</v>
      </c>
      <c r="E774" s="3" t="n">
        <v>19</v>
      </c>
      <c r="F774" s="3" t="n">
        <v>20.15</v>
      </c>
      <c r="I774" s="3">
        <f>E774+G774+H774</f>
        <v/>
      </c>
      <c r="J774" s="3">
        <f>ROUND(MIN(IF(C774="Técnico III",35,IF(C774="Técnico II",28,IF(C774="Técnico I",23,IF(C774="JR",20,IF(C774="Estágio",10,0))))),IF(C774="Técnico III",SUMIFS($D:$D,$A:$A,$A774,$B:$B,"&lt;&gt;Patrícia Karla de Sousa Araújo",$B:$B,"&lt;&gt;Lorena Dias de Araujo",$B:$B,"&lt;&gt;Lucas Luiz Romero")*(35/1083),IF(C774="Técnico II",SUMIFS($D:$D,$A:$A,$A774,$B:$B,"&lt;&gt;Patrícia Karla de Sousa Araújo",$B:$B,"&lt;&gt;Lorena Dias de Araujo",$B:$B,"&lt;&gt;Lucas Luiz Romero")*(28/1083),IF(C774="Técnico I",SUMIFS($D:$D,$A:$A,$A774,$B:$B,"&lt;&gt;Patrícia Karla de Sousa Araújo",$B:$B,"&lt;&gt;Lorena Dias de Araujo",$B:$B,"&lt;&gt;Lucas Luiz Romero")*(23/1083),IF(C774="JR",SUMIFS($D:$D,$A:$A,$A774,$B:$B,"&lt;&gt;Patrícia Karla de Sousa Araújo",$B:$B,"&lt;&gt;Lorena Dias de Araujo",$B:$B,"&lt;&gt;Lucas Luiz Romero")*(20/1083),IF(C774="Estágio",SUMIFS($D:$D,$A:$A,$A774,$B:$B,"&lt;&gt;Patrícia Karla de Sousa Araújo",$B:$B,"&lt;&gt;Lorena Dias de Araujo",$B:$B,"&lt;&gt;Lucas Luiz Romero")*(10/1083),0)))))),0)</f>
        <v/>
      </c>
      <c r="K774" s="3">
        <f>I774-J774</f>
        <v/>
      </c>
      <c r="L774" s="3">
        <f>IF(K774&lt;-5,"CRÍTICO",IF(K774&lt;0,"ATENÇÃO",IF(K774&lt;=5,"BOM","EXCELENTE")))</f>
        <v/>
      </c>
      <c r="M774" s="3" t="n">
        <v>18</v>
      </c>
      <c r="N774" s="3" t="n">
        <v>98.31999999999999</v>
      </c>
      <c r="O774" s="12" t="n">
        <v>26.76348547717842</v>
      </c>
    </row>
    <row r="775">
      <c r="A775" s="10" t="n">
        <v>46024</v>
      </c>
      <c r="B775" t="inlineStr">
        <is>
          <t>Ana Paula Da Luz Silva Aleixo</t>
        </is>
      </c>
      <c r="C775" s="1" t="inlineStr">
        <is>
          <t>Técnico III</t>
        </is>
      </c>
      <c r="D775" s="3" t="n">
        <v>21</v>
      </c>
      <c r="E775" s="3" t="n">
        <v>20</v>
      </c>
      <c r="F775" s="3" t="n">
        <v>21.43</v>
      </c>
      <c r="I775" s="3">
        <f>E775+G775+H775</f>
        <v/>
      </c>
      <c r="J775" s="3">
        <f>ROUND(MIN(IF(C775="Técnico III",35,IF(C775="Técnico II",28,IF(C775="Técnico I",23,IF(C775="JR",20,IF(C775="Estágio",10,0))))),IF(C775="Técnico III",SUMIFS($D:$D,$A:$A,$A775,$B:$B,"&lt;&gt;Patrícia Karla de Sousa Araújo",$B:$B,"&lt;&gt;Lorena Dias de Araujo",$B:$B,"&lt;&gt;Lucas Luiz Romero")*(35/1083),IF(C775="Técnico II",SUMIFS($D:$D,$A:$A,$A775,$B:$B,"&lt;&gt;Patrícia Karla de Sousa Araújo",$B:$B,"&lt;&gt;Lorena Dias de Araujo",$B:$B,"&lt;&gt;Lucas Luiz Romero")*(28/1083),IF(C775="Técnico I",SUMIFS($D:$D,$A:$A,$A775,$B:$B,"&lt;&gt;Patrícia Karla de Sousa Araújo",$B:$B,"&lt;&gt;Lorena Dias de Araujo",$B:$B,"&lt;&gt;Lucas Luiz Romero")*(23/1083),IF(C775="JR",SUMIFS($D:$D,$A:$A,$A775,$B:$B,"&lt;&gt;Patrícia Karla de Sousa Araújo",$B:$B,"&lt;&gt;Lorena Dias de Araujo",$B:$B,"&lt;&gt;Lucas Luiz Romero")*(20/1083),IF(C775="Estágio",SUMIFS($D:$D,$A:$A,$A775,$B:$B,"&lt;&gt;Patrícia Karla de Sousa Araújo",$B:$B,"&lt;&gt;Lorena Dias de Araujo",$B:$B,"&lt;&gt;Lucas Luiz Romero")*(10/1083),0)))))),0)</f>
        <v/>
      </c>
      <c r="K775" s="3">
        <f>I775-J775</f>
        <v/>
      </c>
      <c r="L775" s="3">
        <f>IF(K775&lt;-5,"CRÍTICO",IF(K775&lt;0,"ATENÇÃO",IF(K775&lt;=5,"BOM","EXCELENTE")))</f>
        <v/>
      </c>
      <c r="M775" s="3" t="n">
        <v>17</v>
      </c>
      <c r="N775" s="3" t="n">
        <v>99.19</v>
      </c>
      <c r="O775" s="12" t="n">
        <v>27.63713080168776</v>
      </c>
    </row>
    <row r="776">
      <c r="A776" s="10" t="n">
        <v>46024</v>
      </c>
      <c r="B776" t="inlineStr">
        <is>
          <t>Anna Luiza Rezende Tavares</t>
        </is>
      </c>
      <c r="C776" s="1" t="inlineStr">
        <is>
          <t>Estágio</t>
        </is>
      </c>
      <c r="D776" s="3" t="n">
        <v>0</v>
      </c>
      <c r="E776" s="3" t="n">
        <v>0</v>
      </c>
      <c r="F776" s="3" t="n">
        <v>0</v>
      </c>
      <c r="G776" s="3" t="n">
        <v>0</v>
      </c>
      <c r="H776" s="3" t="n">
        <v>0</v>
      </c>
      <c r="I776" s="3" t="n">
        <v>0</v>
      </c>
      <c r="J776" s="3" t="n">
        <v>0</v>
      </c>
      <c r="K776" s="3" t="n">
        <v>0</v>
      </c>
      <c r="L776" s="3">
        <f>IF(K776&lt;-5,"CRÍTICO",IF(K776&lt;0,"ATENÇÃO",IF(K776&lt;=5,"BOM","EXCELENTE")))</f>
        <v/>
      </c>
      <c r="M776" s="3" t="n">
        <v>0</v>
      </c>
      <c r="N776" s="3" t="n">
        <v>100</v>
      </c>
      <c r="O776" s="12" t="n">
        <v>39.56834532374101</v>
      </c>
    </row>
    <row r="777">
      <c r="A777" s="10" t="n">
        <v>46024</v>
      </c>
      <c r="B777" t="inlineStr">
        <is>
          <t>Brenda de Menezes Silva</t>
        </is>
      </c>
      <c r="C777" s="1" t="inlineStr">
        <is>
          <t>Técnico II</t>
        </is>
      </c>
      <c r="D777" s="3" t="n">
        <v>28</v>
      </c>
      <c r="E777" s="3" t="n">
        <v>25</v>
      </c>
      <c r="F777" s="3" t="n">
        <v>13.37</v>
      </c>
      <c r="I777" s="3">
        <f>E777+G777+H777</f>
        <v/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/>
      </c>
      <c r="K777" s="3">
        <f>I777-J777</f>
        <v/>
      </c>
      <c r="L777" s="3">
        <f>IF(K777&lt;-5,"CRÍTICO",IF(K777&lt;0,"ATENÇÃO",IF(K777&lt;=5,"BOM","EXCELENTE")))</f>
        <v/>
      </c>
      <c r="M777" s="3" t="n">
        <v>23</v>
      </c>
      <c r="N777" s="3" t="n">
        <v>98.54000000000001</v>
      </c>
      <c r="O777" s="12" t="n">
        <v>28.54477611940299</v>
      </c>
    </row>
    <row r="778">
      <c r="A778" s="10" t="n">
        <v>46024</v>
      </c>
      <c r="B778" t="inlineStr">
        <is>
          <t>Carlos Mateus Cassimiro Nunes</t>
        </is>
      </c>
      <c r="C778" s="1" t="inlineStr">
        <is>
          <t>Técnico II</t>
        </is>
      </c>
      <c r="D778" s="3" t="n">
        <v>22</v>
      </c>
      <c r="E778" s="3" t="n">
        <v>19</v>
      </c>
      <c r="F778" s="3" t="n">
        <v>16.58</v>
      </c>
      <c r="I778" s="3">
        <f>E778+G778+H778</f>
        <v/>
      </c>
      <c r="J778" s="3">
        <f>ROUND(MIN(IF(C778="Técnico III",35,IF(C778="Técnico II",28,IF(C778="Técnico I",23,IF(C778="JR",20,IF(C778="Estágio",10,0))))),IF(C778="Técnico III",SUMIFS($D:$D,$A:$A,$A778,$B:$B,"&lt;&gt;Patrícia Karla de Sousa Araújo",$B:$B,"&lt;&gt;Lorena Dias de Araujo",$B:$B,"&lt;&gt;Lucas Luiz Romero")*(35/1083),IF(C778="Técnico II",SUMIFS($D:$D,$A:$A,$A778,$B:$B,"&lt;&gt;Patrícia Karla de Sousa Araújo",$B:$B,"&lt;&gt;Lorena Dias de Araujo",$B:$B,"&lt;&gt;Lucas Luiz Romero")*(28/1083),IF(C778="Técnico I",SUMIFS($D:$D,$A:$A,$A778,$B:$B,"&lt;&gt;Patrícia Karla de Sousa Araújo",$B:$B,"&lt;&gt;Lorena Dias de Araujo",$B:$B,"&lt;&gt;Lucas Luiz Romero")*(23/1083),IF(C778="JR",SUMIFS($D:$D,$A:$A,$A778,$B:$B,"&lt;&gt;Patrícia Karla de Sousa Araújo",$B:$B,"&lt;&gt;Lorena Dias de Araujo",$B:$B,"&lt;&gt;Lucas Luiz Romero")*(20/1083),IF(C778="Estágio",SUMIFS($D:$D,$A:$A,$A778,$B:$B,"&lt;&gt;Patrícia Karla de Sousa Araújo",$B:$B,"&lt;&gt;Lorena Dias de Araujo",$B:$B,"&lt;&gt;Lucas Luiz Romero")*(10/1083),0)))))),0)</f>
        <v/>
      </c>
      <c r="K778" s="3">
        <f>I778-J778</f>
        <v/>
      </c>
      <c r="L778" s="3">
        <f>IF(K778&lt;-5,"CRÍTICO",IF(K778&lt;0,"ATENÇÃO",IF(K778&lt;=5,"BOM","EXCELENTE")))</f>
        <v/>
      </c>
      <c r="M778" s="3" t="n">
        <v>20</v>
      </c>
      <c r="N778" s="3" t="n">
        <v>100</v>
      </c>
      <c r="O778" s="12" t="n">
        <v>34.36692506459949</v>
      </c>
    </row>
    <row r="779">
      <c r="A779" s="10" t="n">
        <v>46024</v>
      </c>
      <c r="B779" t="inlineStr">
        <is>
          <t>Claudio de Sousa Velasco Filho</t>
        </is>
      </c>
      <c r="C779" s="1" t="inlineStr">
        <is>
          <t>Estágio</t>
        </is>
      </c>
      <c r="D779" s="3" t="n">
        <v>0</v>
      </c>
      <c r="E779" s="3" t="n">
        <v>0</v>
      </c>
      <c r="F779" s="3" t="n">
        <v>0</v>
      </c>
      <c r="G779" s="3" t="n">
        <v>0</v>
      </c>
      <c r="H779" s="3" t="n">
        <v>0</v>
      </c>
      <c r="I779" s="3" t="n">
        <v>0</v>
      </c>
      <c r="J779" s="3" t="n">
        <v>0</v>
      </c>
      <c r="K779" s="3" t="n">
        <v>0</v>
      </c>
      <c r="L779" s="3">
        <f>IF(K779&lt;-5,"CRÍTICO",IF(K779&lt;0,"ATENÇÃO",IF(K779&lt;=5,"BOM","EXCELENTE")))</f>
        <v/>
      </c>
      <c r="M779" s="3" t="n">
        <v>0</v>
      </c>
      <c r="N779" s="3" t="n">
        <v>0</v>
      </c>
      <c r="O779" s="12" t="n">
        <v>0</v>
      </c>
    </row>
    <row r="780">
      <c r="A780" s="10" t="n">
        <v>46024</v>
      </c>
      <c r="B780" t="inlineStr">
        <is>
          <t>Clessiane Pereira dos Santos</t>
        </is>
      </c>
      <c r="C780" s="1" t="inlineStr">
        <is>
          <t>Técnico I</t>
        </is>
      </c>
      <c r="D780" s="3" t="n">
        <v>0</v>
      </c>
      <c r="E780" s="3" t="n">
        <v>0</v>
      </c>
      <c r="F780" s="3" t="n">
        <v>0</v>
      </c>
      <c r="G780" s="3" t="n">
        <v>0</v>
      </c>
      <c r="H780" s="3" t="n">
        <v>0</v>
      </c>
      <c r="I780" s="3" t="n">
        <v>0</v>
      </c>
      <c r="J780" s="3" t="n">
        <v>0</v>
      </c>
      <c r="K780" s="3" t="n">
        <v>0</v>
      </c>
      <c r="L780" s="3">
        <f>IF(K780&lt;-5,"CRÍTICO",IF(K780&lt;0,"ATENÇÃO",IF(K780&lt;=5,"BOM","EXCELENTE")))</f>
        <v/>
      </c>
      <c r="M780" s="3" t="n">
        <v>0</v>
      </c>
      <c r="N780" s="3" t="n">
        <v>100</v>
      </c>
      <c r="O780" s="12" t="n">
        <v>29.51807228915663</v>
      </c>
    </row>
    <row r="781">
      <c r="A781" s="10" t="n">
        <v>46024</v>
      </c>
      <c r="B781" t="inlineStr">
        <is>
          <t>Cristiane Ramos da Silva Rocha</t>
        </is>
      </c>
      <c r="C781" s="1" t="inlineStr">
        <is>
          <t>Técnico III</t>
        </is>
      </c>
      <c r="D781" s="3" t="n">
        <v>0</v>
      </c>
      <c r="E781" s="3" t="n">
        <v>0</v>
      </c>
      <c r="F781" s="3" t="n">
        <v>0</v>
      </c>
      <c r="G781" s="3" t="n">
        <v>0</v>
      </c>
      <c r="H781" s="3" t="n">
        <v>0</v>
      </c>
      <c r="I781" s="3" t="n">
        <v>0</v>
      </c>
      <c r="J781" s="3" t="n">
        <v>0</v>
      </c>
      <c r="K781" s="3" t="n">
        <v>0</v>
      </c>
      <c r="L781" s="3">
        <f>IF(K781&lt;-5,"CRÍTICO",IF(K781&lt;0,"ATENÇÃO",IF(K781&lt;=5,"BOM","EXCELENTE")))</f>
        <v/>
      </c>
      <c r="M781" s="3" t="n">
        <v>0</v>
      </c>
      <c r="N781" s="3" t="n">
        <v>97.45</v>
      </c>
      <c r="O781" s="12" t="n">
        <v>41.421143847487</v>
      </c>
    </row>
    <row r="782">
      <c r="A782" s="10" t="n">
        <v>46024</v>
      </c>
      <c r="B782" t="inlineStr">
        <is>
          <t>Damyllis Lorraine de Oliveira Gonçalves</t>
        </is>
      </c>
      <c r="C782" s="1" t="inlineStr">
        <is>
          <t>Técnico II</t>
        </is>
      </c>
      <c r="D782" s="3" t="n">
        <v>25</v>
      </c>
      <c r="E782" s="3" t="n">
        <v>16</v>
      </c>
      <c r="F782" s="3" t="n">
        <v>8.369999999999999</v>
      </c>
      <c r="G782" s="3" t="n">
        <v>0</v>
      </c>
      <c r="H782" s="3" t="n">
        <v>0</v>
      </c>
      <c r="I782" s="3" t="n">
        <v>0</v>
      </c>
      <c r="J782" s="3" t="n">
        <v>0</v>
      </c>
      <c r="K782" s="3" t="n">
        <v>0</v>
      </c>
      <c r="L782" s="3">
        <f>IF(K782&lt;-5,"CRÍTICO",IF(K782&lt;0,"ATENÇÃO",IF(K782&lt;=5,"BOM","EXCELENTE")))</f>
        <v/>
      </c>
      <c r="M782" s="3" t="n">
        <v>13</v>
      </c>
      <c r="N782" s="3" t="n">
        <v>96.58</v>
      </c>
      <c r="O782" s="12" t="n">
        <v>30.39647577092511</v>
      </c>
    </row>
    <row r="783">
      <c r="A783" s="10" t="n">
        <v>46024</v>
      </c>
      <c r="B783" t="inlineStr">
        <is>
          <t>Daniel Gomes da Silva</t>
        </is>
      </c>
      <c r="C783" s="1" t="inlineStr">
        <is>
          <t>Técnico I</t>
        </is>
      </c>
      <c r="D783" s="3" t="n">
        <v>14</v>
      </c>
      <c r="E783" s="3" t="n">
        <v>14</v>
      </c>
      <c r="F783" s="3" t="n">
        <v>26.53</v>
      </c>
      <c r="I783" s="3">
        <f>E783+G783+H783</f>
        <v/>
      </c>
      <c r="J783" s="3">
        <f>ROUND(MIN(IF(C783="Técnico III",35,IF(C783="Técnico II",28,IF(C783="Técnico I",23,IF(C783="JR",20,IF(C783="Estágio",10,0))))),IF(C783="Técnico III",SUMIFS($D:$D,$A:$A,$A783,$B:$B,"&lt;&gt;Patrícia Karla de Sousa Araújo",$B:$B,"&lt;&gt;Lorena Dias de Araujo",$B:$B,"&lt;&gt;Lucas Luiz Romero")*(35/1083),IF(C783="Técnico II",SUMIFS($D:$D,$A:$A,$A783,$B:$B,"&lt;&gt;Patrícia Karla de Sousa Araújo",$B:$B,"&lt;&gt;Lorena Dias de Araujo",$B:$B,"&lt;&gt;Lucas Luiz Romero")*(28/1083),IF(C783="Técnico I",SUMIFS($D:$D,$A:$A,$A783,$B:$B,"&lt;&gt;Patrícia Karla de Sousa Araújo",$B:$B,"&lt;&gt;Lorena Dias de Araujo",$B:$B,"&lt;&gt;Lucas Luiz Romero")*(23/1083),IF(C783="JR",SUMIFS($D:$D,$A:$A,$A783,$B:$B,"&lt;&gt;Patrícia Karla de Sousa Araújo",$B:$B,"&lt;&gt;Lorena Dias de Araujo",$B:$B,"&lt;&gt;Lucas Luiz Romero")*(20/1083),IF(C783="Estágio",SUMIFS($D:$D,$A:$A,$A783,$B:$B,"&lt;&gt;Patrícia Karla de Sousa Araújo",$B:$B,"&lt;&gt;Lorena Dias de Araujo",$B:$B,"&lt;&gt;Lucas Luiz Romero")*(10/1083),0)))))),0)</f>
        <v/>
      </c>
      <c r="K783" s="3">
        <f>I783-J783</f>
        <v/>
      </c>
      <c r="L783" s="3">
        <f>IF(K783&lt;-5,"CRÍTICO",IF(K783&lt;0,"ATENÇÃO",IF(K783&lt;=5,"BOM","EXCELENTE")))</f>
        <v/>
      </c>
      <c r="M783" s="3" t="n">
        <v>14</v>
      </c>
      <c r="N783" s="3" t="n">
        <v>100</v>
      </c>
      <c r="O783" s="12" t="n">
        <v>27.44282744282744</v>
      </c>
    </row>
    <row r="784">
      <c r="A784" s="10" t="n">
        <v>46024</v>
      </c>
      <c r="B784" t="inlineStr">
        <is>
          <t>Davylla Rodrigues Freitas Silva</t>
        </is>
      </c>
      <c r="C784" s="1" t="inlineStr">
        <is>
          <t>Técnico III</t>
        </is>
      </c>
      <c r="D784" s="3" t="n">
        <v>18</v>
      </c>
      <c r="E784" s="3" t="n">
        <v>16</v>
      </c>
      <c r="F784" s="3" t="n">
        <v>27.31</v>
      </c>
      <c r="G784" s="3" t="n">
        <v>0</v>
      </c>
      <c r="H784" s="3" t="n">
        <v>0</v>
      </c>
      <c r="I784" s="3" t="n">
        <v>0</v>
      </c>
      <c r="J784" s="3" t="n">
        <v>0</v>
      </c>
      <c r="K784" s="3" t="n">
        <v>0</v>
      </c>
      <c r="L784" s="3">
        <f>IF(K784&lt;-5,"CRÍTICO",IF(K784&lt;0,"ATENÇÃO",IF(K784&lt;=5,"BOM","EXCELENTE")))</f>
        <v/>
      </c>
      <c r="M784" s="3" t="n">
        <v>16</v>
      </c>
      <c r="N784" s="3" t="n">
        <v>99.48999999999999</v>
      </c>
      <c r="O784" s="12" t="n">
        <v>40.2</v>
      </c>
    </row>
    <row r="785">
      <c r="A785" s="10" t="n">
        <v>46024</v>
      </c>
      <c r="B785" t="inlineStr">
        <is>
          <t>Emilly Caylane Costa</t>
        </is>
      </c>
      <c r="C785" s="1" t="inlineStr">
        <is>
          <t>Estágio</t>
        </is>
      </c>
      <c r="D785" s="3" t="n">
        <v>0</v>
      </c>
      <c r="E785" s="3" t="n">
        <v>0</v>
      </c>
      <c r="F785" s="3" t="n">
        <v>0</v>
      </c>
      <c r="G785" s="3" t="n">
        <v>0</v>
      </c>
      <c r="H785" s="3" t="n">
        <v>0</v>
      </c>
      <c r="I785" s="3" t="n">
        <v>0</v>
      </c>
      <c r="J785" s="3" t="n">
        <v>0</v>
      </c>
      <c r="K785" s="3" t="n">
        <v>0</v>
      </c>
      <c r="L785" s="3">
        <f>IF(K785&lt;-5,"CRÍTICO",IF(K785&lt;0,"ATENÇÃO",IF(K785&lt;=5,"BOM","EXCELENTE")))</f>
        <v/>
      </c>
      <c r="M785" s="3" t="n">
        <v>0</v>
      </c>
      <c r="N785" s="3" t="n">
        <v>100</v>
      </c>
      <c r="O785" s="12" t="n">
        <v>25</v>
      </c>
    </row>
    <row r="786">
      <c r="A786" s="10" t="n">
        <v>46024</v>
      </c>
      <c r="B786" t="inlineStr">
        <is>
          <t>Emilly Kamilly Medeiros Miranda</t>
        </is>
      </c>
      <c r="C786" s="1" t="inlineStr">
        <is>
          <t>Técnico II</t>
        </is>
      </c>
      <c r="D786" s="3" t="n">
        <v>27</v>
      </c>
      <c r="E786" s="3" t="n">
        <v>26</v>
      </c>
      <c r="F786" s="3" t="n">
        <v>12.32</v>
      </c>
      <c r="I786" s="3">
        <f>E786+G786+H786</f>
        <v/>
      </c>
      <c r="J786" s="3">
        <f>ROUND(MIN(IF(C786="Técnico III",35,IF(C786="Técnico II",28,IF(C786="Técnico I",23,IF(C786="JR",20,IF(C786="Estágio",10,0))))),IF(C786="Técnico III",SUMIFS($D:$D,$A:$A,$A786,$B:$B,"&lt;&gt;Patrícia Karla de Sousa Araújo",$B:$B,"&lt;&gt;Lorena Dias de Araujo",$B:$B,"&lt;&gt;Lucas Luiz Romero")*(35/1083),IF(C786="Técnico II",SUMIFS($D:$D,$A:$A,$A786,$B:$B,"&lt;&gt;Patrícia Karla de Sousa Araújo",$B:$B,"&lt;&gt;Lorena Dias de Araujo",$B:$B,"&lt;&gt;Lucas Luiz Romero")*(28/1083),IF(C786="Técnico I",SUMIFS($D:$D,$A:$A,$A786,$B:$B,"&lt;&gt;Patrícia Karla de Sousa Araújo",$B:$B,"&lt;&gt;Lorena Dias de Araujo",$B:$B,"&lt;&gt;Lucas Luiz Romero")*(23/1083),IF(C786="JR",SUMIFS($D:$D,$A:$A,$A786,$B:$B,"&lt;&gt;Patrícia Karla de Sousa Araújo",$B:$B,"&lt;&gt;Lorena Dias de Araujo",$B:$B,"&lt;&gt;Lucas Luiz Romero")*(20/1083),IF(C786="Estágio",SUMIFS($D:$D,$A:$A,$A786,$B:$B,"&lt;&gt;Patrícia Karla de Sousa Araújo",$B:$B,"&lt;&gt;Lorena Dias de Araujo",$B:$B,"&lt;&gt;Lucas Luiz Romero")*(10/1083),0)))))),0)</f>
        <v/>
      </c>
      <c r="K786" s="3">
        <f>I786-J786</f>
        <v/>
      </c>
      <c r="L786" s="3">
        <f>IF(K786&lt;-5,"CRÍTICO",IF(K786&lt;0,"ATENÇÃO",IF(K786&lt;=5,"BOM","EXCELENTE")))</f>
        <v/>
      </c>
      <c r="M786" s="3" t="n">
        <v>24</v>
      </c>
      <c r="N786" s="3" t="n">
        <v>100</v>
      </c>
      <c r="O786" s="12" t="n">
        <v>34.15094339622641</v>
      </c>
    </row>
    <row r="787">
      <c r="A787" s="10" t="n">
        <v>46024</v>
      </c>
      <c r="B787" t="inlineStr">
        <is>
          <t>Francielson de Oliveira</t>
        </is>
      </c>
      <c r="C787" s="1" t="inlineStr">
        <is>
          <t>Técnico III</t>
        </is>
      </c>
      <c r="D787" s="3" t="n">
        <v>17</v>
      </c>
      <c r="E787" s="3" t="n">
        <v>17</v>
      </c>
      <c r="F787" s="3" t="n">
        <v>16.5</v>
      </c>
      <c r="I787" s="3">
        <f>E787+G787+H787</f>
        <v/>
      </c>
      <c r="J787" s="3">
        <f>ROUND(MIN(IF(C787="Técnico III",35,IF(C787="Técnico II",28,IF(C787="Técnico I",23,IF(C787="JR",20,IF(C787="Estágio",10,0))))),IF(C787="Técnico III",SUMIFS($D:$D,$A:$A,$A787,$B:$B,"&lt;&gt;Patrícia Karla de Sousa Araújo",$B:$B,"&lt;&gt;Lorena Dias de Araujo",$B:$B,"&lt;&gt;Lucas Luiz Romero")*(35/1083),IF(C787="Técnico II",SUMIFS($D:$D,$A:$A,$A787,$B:$B,"&lt;&gt;Patrícia Karla de Sousa Araújo",$B:$B,"&lt;&gt;Lorena Dias de Araujo",$B:$B,"&lt;&gt;Lucas Luiz Romero")*(28/1083),IF(C787="Técnico I",SUMIFS($D:$D,$A:$A,$A787,$B:$B,"&lt;&gt;Patrícia Karla de Sousa Araújo",$B:$B,"&lt;&gt;Lorena Dias de Araujo",$B:$B,"&lt;&gt;Lucas Luiz Romero")*(23/1083),IF(C787="JR",SUMIFS($D:$D,$A:$A,$A787,$B:$B,"&lt;&gt;Patrícia Karla de Sousa Araújo",$B:$B,"&lt;&gt;Lorena Dias de Araujo",$B:$B,"&lt;&gt;Lucas Luiz Romero")*(20/1083),IF(C787="Estágio",SUMIFS($D:$D,$A:$A,$A787,$B:$B,"&lt;&gt;Patrícia Karla de Sousa Araújo",$B:$B,"&lt;&gt;Lorena Dias de Araujo",$B:$B,"&lt;&gt;Lucas Luiz Romero")*(10/1083),0)))))),0)</f>
        <v/>
      </c>
      <c r="K787" s="3">
        <f>I787-J787</f>
        <v/>
      </c>
      <c r="L787" s="3">
        <f>IF(K787&lt;-5,"CRÍTICO",IF(K787&lt;0,"ATENÇÃO",IF(K787&lt;=5,"BOM","EXCELENTE")))</f>
        <v/>
      </c>
      <c r="M787" s="3" t="n">
        <v>15</v>
      </c>
      <c r="N787" s="3" t="n">
        <v>100</v>
      </c>
      <c r="O787" s="12" t="n">
        <v>32.7313769751693</v>
      </c>
    </row>
    <row r="788">
      <c r="A788" s="10" t="n">
        <v>46024</v>
      </c>
      <c r="B788" t="inlineStr">
        <is>
          <t>Francilene Ferreira de Jesus</t>
        </is>
      </c>
      <c r="C788" s="1" t="inlineStr">
        <is>
          <t>Técnico II</t>
        </is>
      </c>
      <c r="D788" s="3" t="n">
        <v>27</v>
      </c>
      <c r="E788" s="3" t="n">
        <v>25</v>
      </c>
      <c r="F788" s="3" t="n">
        <v>14.1</v>
      </c>
      <c r="I788" s="3">
        <f>E788+G788+H788</f>
        <v/>
      </c>
      <c r="J788" s="3">
        <f>ROUND(MIN(IF(C788="Técnico III",35,IF(C788="Técnico II",28,IF(C788="Técnico I",23,IF(C788="JR",20,IF(C788="Estágio",10,0))))),IF(C788="Técnico III",SUMIFS($D:$D,$A:$A,$A788,$B:$B,"&lt;&gt;Patrícia Karla de Sousa Araújo",$B:$B,"&lt;&gt;Lorena Dias de Araujo",$B:$B,"&lt;&gt;Lucas Luiz Romero")*(35/1083),IF(C788="Técnico II",SUMIFS($D:$D,$A:$A,$A788,$B:$B,"&lt;&gt;Patrícia Karla de Sousa Araújo",$B:$B,"&lt;&gt;Lorena Dias de Araujo",$B:$B,"&lt;&gt;Lucas Luiz Romero")*(28/1083),IF(C788="Técnico I",SUMIFS($D:$D,$A:$A,$A788,$B:$B,"&lt;&gt;Patrícia Karla de Sousa Araújo",$B:$B,"&lt;&gt;Lorena Dias de Araujo",$B:$B,"&lt;&gt;Lucas Luiz Romero")*(23/1083),IF(C788="JR",SUMIFS($D:$D,$A:$A,$A788,$B:$B,"&lt;&gt;Patrícia Karla de Sousa Araújo",$B:$B,"&lt;&gt;Lorena Dias de Araujo",$B:$B,"&lt;&gt;Lucas Luiz Romero")*(20/1083),IF(C788="Estágio",SUMIFS($D:$D,$A:$A,$A788,$B:$B,"&lt;&gt;Patrícia Karla de Sousa Araújo",$B:$B,"&lt;&gt;Lorena Dias de Araujo",$B:$B,"&lt;&gt;Lucas Luiz Romero")*(10/1083),0)))))),0)</f>
        <v/>
      </c>
      <c r="K788" s="3">
        <f>I788-J788</f>
        <v/>
      </c>
      <c r="L788" s="3">
        <f>IF(K788&lt;-5,"CRÍTICO",IF(K788&lt;0,"ATENÇÃO",IF(K788&lt;=5,"BOM","EXCELENTE")))</f>
        <v/>
      </c>
      <c r="M788" s="3" t="n">
        <v>21</v>
      </c>
      <c r="N788" s="3" t="n">
        <v>99.31</v>
      </c>
      <c r="O788" s="12" t="n">
        <v>30.96234309623431</v>
      </c>
    </row>
    <row r="789">
      <c r="A789" s="10" t="n">
        <v>46058</v>
      </c>
      <c r="B789" t="inlineStr">
        <is>
          <t>Gabriel Gomes de Andrade</t>
        </is>
      </c>
      <c r="C789" s="1" t="inlineStr">
        <is>
          <t>Técnico I</t>
        </is>
      </c>
      <c r="D789" s="3" t="n">
        <v>27</v>
      </c>
      <c r="E789" s="3" t="n">
        <v>26</v>
      </c>
      <c r="F789" s="3" t="n">
        <v>20.02</v>
      </c>
      <c r="G789" s="3" t="n">
        <v>0</v>
      </c>
      <c r="H789" s="3" t="n">
        <v>0</v>
      </c>
      <c r="I789" s="3">
        <f>E789+G789+H789</f>
        <v/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/>
      </c>
      <c r="K789" s="3">
        <f>I789-J789</f>
        <v/>
      </c>
      <c r="L789" s="3">
        <f>IF(K789&lt;-5,"CRÍTICO",IF(K789&lt;0,"ATENÇÃO",IF(K789&lt;=5,"BOM","EXCELENTE")))</f>
        <v/>
      </c>
      <c r="M789" s="3" t="n">
        <v>27</v>
      </c>
      <c r="N789" s="3" t="n">
        <v>96.67</v>
      </c>
      <c r="O789" s="12" t="n">
        <v>31.45161290322581</v>
      </c>
    </row>
    <row r="790">
      <c r="A790" s="10" t="n">
        <v>46024</v>
      </c>
      <c r="B790" t="inlineStr">
        <is>
          <t>Isabella Borges de Oliveira</t>
        </is>
      </c>
      <c r="C790" s="1" t="inlineStr">
        <is>
          <t>Técnico II</t>
        </is>
      </c>
      <c r="D790" s="3" t="n">
        <v>21</v>
      </c>
      <c r="E790" s="3" t="n">
        <v>21</v>
      </c>
      <c r="F790" s="3" t="n">
        <v>20.28</v>
      </c>
      <c r="I790" s="3">
        <f>E790+G790+H790</f>
        <v/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/>
      </c>
      <c r="K790" s="3">
        <f>I790-J790</f>
        <v/>
      </c>
      <c r="L790" s="3">
        <f>IF(K790&lt;-5,"CRÍTICO",IF(K790&lt;0,"ATENÇÃO",IF(K790&lt;=5,"BOM","EXCELENTE")))</f>
        <v/>
      </c>
      <c r="M790" s="3" t="n">
        <v>20</v>
      </c>
      <c r="N790" s="3" t="n">
        <v>100</v>
      </c>
      <c r="O790" s="12" t="n">
        <v>27.67676767676768</v>
      </c>
    </row>
    <row r="791">
      <c r="A791" s="10" t="n">
        <v>46024</v>
      </c>
      <c r="B791" t="inlineStr">
        <is>
          <t>Janaina Lima dos Reis Urany</t>
        </is>
      </c>
      <c r="C791" s="1" t="inlineStr">
        <is>
          <t>Técnico III</t>
        </is>
      </c>
      <c r="D791" s="3" t="n">
        <v>30</v>
      </c>
      <c r="E791" s="3" t="n">
        <v>27</v>
      </c>
      <c r="F791" s="3" t="n">
        <v>12.25</v>
      </c>
      <c r="I791" s="3">
        <f>E791+G791+H791</f>
        <v/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/>
      </c>
      <c r="K791" s="3">
        <f>I791-J791</f>
        <v/>
      </c>
      <c r="L791" s="3">
        <f>IF(K791&lt;-5,"CRÍTICO",IF(K791&lt;0,"ATENÇÃO",IF(K791&lt;=5,"BOM","EXCELENTE")))</f>
        <v/>
      </c>
      <c r="M791" s="3" t="n">
        <v>27</v>
      </c>
      <c r="N791" s="3" t="n">
        <v>100</v>
      </c>
      <c r="O791" s="12" t="n">
        <v>31.17723156532988</v>
      </c>
    </row>
    <row r="792">
      <c r="A792" s="10" t="n">
        <v>46024</v>
      </c>
      <c r="B792" t="inlineStr">
        <is>
          <t>Jaqueline Evangelista da Silva Martins</t>
        </is>
      </c>
      <c r="C792" s="1" t="inlineStr">
        <is>
          <t>Técnico III</t>
        </is>
      </c>
      <c r="D792" s="3" t="n">
        <v>14</v>
      </c>
      <c r="E792" s="3" t="n">
        <v>9</v>
      </c>
      <c r="F792" s="3" t="n">
        <v>8.59</v>
      </c>
      <c r="I792" s="3">
        <f>E792+G792+H792</f>
        <v/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/>
      </c>
      <c r="K792" s="3">
        <f>I792-J792</f>
        <v/>
      </c>
      <c r="L792" s="3">
        <f>IF(K792&lt;-5,"CRÍTICO",IF(K792&lt;0,"ATENÇÃO",IF(K792&lt;=5,"BOM","EXCELENTE")))</f>
        <v/>
      </c>
      <c r="M792" s="3" t="n">
        <v>10</v>
      </c>
      <c r="N792" s="3" t="n">
        <v>100</v>
      </c>
      <c r="O792" s="12" t="n">
        <v>27.60942760942761</v>
      </c>
    </row>
    <row r="793">
      <c r="A793" s="10" t="n">
        <v>46024</v>
      </c>
      <c r="B793" t="inlineStr">
        <is>
          <t>Jessica Faria da Silveira</t>
        </is>
      </c>
      <c r="C793" s="1" t="inlineStr">
        <is>
          <t>Técnico II</t>
        </is>
      </c>
      <c r="D793" s="3" t="n">
        <v>28</v>
      </c>
      <c r="E793" s="3" t="n">
        <v>24</v>
      </c>
      <c r="F793" s="3" t="n">
        <v>10.21</v>
      </c>
      <c r="I793" s="3">
        <f>E793+G793+H793</f>
        <v/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/>
      </c>
      <c r="K793" s="3">
        <f>I793-J793</f>
        <v/>
      </c>
      <c r="L793" s="3">
        <f>IF(K793&lt;-5,"CRÍTICO",IF(K793&lt;0,"ATENÇÃO",IF(K793&lt;=5,"BOM","EXCELENTE")))</f>
        <v/>
      </c>
      <c r="M793" s="3" t="n">
        <v>22</v>
      </c>
      <c r="N793" s="3" t="n">
        <v>96.40000000000001</v>
      </c>
      <c r="O793" s="12" t="n">
        <v>28.76404494382023</v>
      </c>
    </row>
    <row r="794">
      <c r="A794" s="10" t="n">
        <v>46024</v>
      </c>
      <c r="B794" t="inlineStr">
        <is>
          <t>Jéssica Fé Moura</t>
        </is>
      </c>
      <c r="C794" s="1" t="inlineStr">
        <is>
          <t>Técnico III</t>
        </is>
      </c>
      <c r="D794" s="3" t="n">
        <v>0</v>
      </c>
      <c r="E794" s="3" t="n">
        <v>0</v>
      </c>
      <c r="F794" s="3" t="n">
        <v>0</v>
      </c>
      <c r="G794" s="3" t="n">
        <v>0</v>
      </c>
      <c r="H794" s="3" t="n">
        <v>0</v>
      </c>
      <c r="I794" s="3" t="n">
        <v>0</v>
      </c>
      <c r="J794" s="3" t="n">
        <v>0</v>
      </c>
      <c r="K794" s="3" t="n">
        <v>0</v>
      </c>
      <c r="L794" s="3">
        <f>IF(K794&lt;-5,"CRÍTICO",IF(K794&lt;0,"ATENÇÃO",IF(K794&lt;=5,"BOM","EXCELENTE")))</f>
        <v/>
      </c>
      <c r="M794" s="3" t="n">
        <v>0</v>
      </c>
      <c r="N794" s="3" t="n">
        <v>100</v>
      </c>
      <c r="O794" s="12" t="n">
        <v>33.98058252427185</v>
      </c>
    </row>
    <row r="795">
      <c r="A795" s="10" t="n">
        <v>46024</v>
      </c>
      <c r="B795" t="inlineStr">
        <is>
          <t>Karina Gonçalves Martins</t>
        </is>
      </c>
      <c r="C795" s="1" t="inlineStr">
        <is>
          <t>JR</t>
        </is>
      </c>
      <c r="D795" s="3" t="n">
        <v>7</v>
      </c>
      <c r="E795" s="3" t="n">
        <v>7</v>
      </c>
      <c r="F795" s="3" t="n">
        <v>29.05</v>
      </c>
      <c r="I795" s="3">
        <f>E795+G795+H795</f>
        <v/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/>
      </c>
      <c r="K795" s="3">
        <f>I795-J795</f>
        <v/>
      </c>
      <c r="L795" s="3">
        <f>IF(K795&lt;-5,"CRÍTICO",IF(K795&lt;0,"ATENÇÃO",IF(K795&lt;=5,"BOM","EXCELENTE")))</f>
        <v/>
      </c>
      <c r="M795" s="3" t="n">
        <v>6</v>
      </c>
      <c r="N795" s="3" t="n">
        <v>97.56</v>
      </c>
      <c r="O795" s="12" t="n">
        <v>32.51533742331289</v>
      </c>
    </row>
    <row r="796">
      <c r="A796" s="10" t="n">
        <v>46024</v>
      </c>
      <c r="B796" t="inlineStr">
        <is>
          <t>Kerollen Cristielly de Jesus Siqueira</t>
        </is>
      </c>
      <c r="C796" s="1" t="inlineStr">
        <is>
          <t>Técnico III</t>
        </is>
      </c>
      <c r="D796" s="3" t="n">
        <v>0</v>
      </c>
      <c r="E796" s="3" t="n">
        <v>0</v>
      </c>
      <c r="F796" s="3" t="n">
        <v>0</v>
      </c>
      <c r="G796" s="3" t="n">
        <v>0</v>
      </c>
      <c r="H796" s="3" t="n">
        <v>0</v>
      </c>
      <c r="I796" s="3" t="n">
        <v>0</v>
      </c>
      <c r="J796" s="3" t="n">
        <v>0</v>
      </c>
      <c r="K796" s="3" t="n">
        <v>0</v>
      </c>
      <c r="L796" s="3">
        <f>IF(K796&lt;-5,"CRÍTICO",IF(K796&lt;0,"ATENÇÃO",IF(K796&lt;=5,"BOM","EXCELENTE")))</f>
        <v/>
      </c>
      <c r="M796" s="3" t="n">
        <v>12</v>
      </c>
      <c r="N796" s="3" t="n">
        <v>97.11</v>
      </c>
      <c r="O796" s="12" t="n">
        <v>37.40831295843521</v>
      </c>
    </row>
    <row r="797">
      <c r="A797" s="10" t="n">
        <v>46024</v>
      </c>
      <c r="B797" t="inlineStr">
        <is>
          <t>Leandro de Souza Silva</t>
        </is>
      </c>
      <c r="C797" s="1" t="inlineStr">
        <is>
          <t>JR</t>
        </is>
      </c>
      <c r="D797" s="3" t="n">
        <v>0</v>
      </c>
      <c r="E797" s="3" t="n">
        <v>0</v>
      </c>
      <c r="F797" s="3" t="n">
        <v>0</v>
      </c>
      <c r="G797" s="3" t="n">
        <v>0</v>
      </c>
      <c r="H797" s="3" t="n">
        <v>0</v>
      </c>
      <c r="I797" s="3" t="n">
        <v>0</v>
      </c>
      <c r="J797" s="3" t="n">
        <v>0</v>
      </c>
      <c r="K797" s="3" t="n">
        <v>0</v>
      </c>
      <c r="L797" s="3">
        <f>IF(K797&lt;-5,"CRÍTICO",IF(K797&lt;0,"ATENÇÃO",IF(K797&lt;=5,"BOM","EXCELENTE")))</f>
        <v/>
      </c>
      <c r="M797" s="3" t="n">
        <v>0</v>
      </c>
      <c r="N797" s="3" t="n">
        <v>0</v>
      </c>
      <c r="O797" s="12" t="n">
        <v>0</v>
      </c>
    </row>
    <row r="798">
      <c r="A798" s="10" t="n">
        <v>46024</v>
      </c>
      <c r="B798" t="inlineStr">
        <is>
          <t>Leandro Oliveira de Sousa</t>
        </is>
      </c>
      <c r="C798" s="1" t="inlineStr">
        <is>
          <t>Técnico III</t>
        </is>
      </c>
      <c r="D798" s="3" t="n">
        <v>0</v>
      </c>
      <c r="E798" s="3" t="n">
        <v>0</v>
      </c>
      <c r="F798" s="3" t="n">
        <v>0</v>
      </c>
      <c r="G798" s="3" t="n">
        <v>0</v>
      </c>
      <c r="H798" s="3" t="n">
        <v>0</v>
      </c>
      <c r="I798" s="3" t="n">
        <v>0</v>
      </c>
      <c r="J798" s="3" t="n">
        <v>0</v>
      </c>
      <c r="K798" s="3" t="n">
        <v>0</v>
      </c>
      <c r="L798" s="3">
        <f>IF(K798&lt;-5,"CRÍTICO",IF(K798&lt;0,"ATENÇÃO",IF(K798&lt;=5,"BOM","EXCELENTE")))</f>
        <v/>
      </c>
      <c r="M798" s="3" t="n">
        <v>0</v>
      </c>
      <c r="N798" s="3" t="n">
        <v>100</v>
      </c>
      <c r="O798" s="12" t="n">
        <v>30.47034764826176</v>
      </c>
    </row>
    <row r="799">
      <c r="A799" s="10" t="n">
        <v>46024</v>
      </c>
      <c r="B799" t="inlineStr">
        <is>
          <t>Lizandra Gomes Duarte</t>
        </is>
      </c>
      <c r="C799" s="1" t="inlineStr">
        <is>
          <t>Técnico II</t>
        </is>
      </c>
      <c r="D799" s="3" t="n">
        <v>18</v>
      </c>
      <c r="E799" s="3" t="n">
        <v>17</v>
      </c>
      <c r="F799" s="3" t="n">
        <v>20.36</v>
      </c>
      <c r="I799" s="3">
        <f>E799+G799+H799</f>
        <v/>
      </c>
      <c r="J799" s="3">
        <f>ROUND(MIN(IF(C799="Técnico III",35,IF(C799="Técnico II",28,IF(C799="Técnico I",23,IF(C799="JR",20,IF(C799="Estágio",10,0))))),IF(C799="Técnico III",SUMIFS($D:$D,$A:$A,$A799,$B:$B,"&lt;&gt;Patrícia Karla de Sousa Araújo",$B:$B,"&lt;&gt;Lorena Dias de Araujo",$B:$B,"&lt;&gt;Lucas Luiz Romero")*(35/1083),IF(C799="Técnico II",SUMIFS($D:$D,$A:$A,$A799,$B:$B,"&lt;&gt;Patrícia Karla de Sousa Araújo",$B:$B,"&lt;&gt;Lorena Dias de Araujo",$B:$B,"&lt;&gt;Lucas Luiz Romero")*(28/1083),IF(C799="Técnico I",SUMIFS($D:$D,$A:$A,$A799,$B:$B,"&lt;&gt;Patrícia Karla de Sousa Araújo",$B:$B,"&lt;&gt;Lorena Dias de Araujo",$B:$B,"&lt;&gt;Lucas Luiz Romero")*(23/1083),IF(C799="JR",SUMIFS($D:$D,$A:$A,$A799,$B:$B,"&lt;&gt;Patrícia Karla de Sousa Araújo",$B:$B,"&lt;&gt;Lorena Dias de Araujo",$B:$B,"&lt;&gt;Lucas Luiz Romero")*(20/1083),IF(C799="Estágio",SUMIFS($D:$D,$A:$A,$A799,$B:$B,"&lt;&gt;Patrícia Karla de Sousa Araújo",$B:$B,"&lt;&gt;Lorena Dias de Araujo",$B:$B,"&lt;&gt;Lucas Luiz Romero")*(10/1083),0)))))),0)</f>
        <v/>
      </c>
      <c r="K799" s="3">
        <f>I799-J799</f>
        <v/>
      </c>
      <c r="L799" s="3">
        <f>IF(K799&lt;-5,"CRÍTICO",IF(K799&lt;0,"ATENÇÃO",IF(K799&lt;=5,"BOM","EXCELENTE")))</f>
        <v/>
      </c>
      <c r="M799" s="3" t="n">
        <v>16</v>
      </c>
      <c r="N799" s="3" t="n">
        <v>100</v>
      </c>
      <c r="O799" s="12" t="n">
        <v>32.37113402061856</v>
      </c>
    </row>
    <row r="800">
      <c r="A800" s="10" t="n">
        <v>46024</v>
      </c>
      <c r="B800" t="inlineStr">
        <is>
          <t>Lorena Dias de Araujo</t>
        </is>
      </c>
      <c r="C800" s="1" t="inlineStr">
        <is>
          <t>Técnico II</t>
        </is>
      </c>
      <c r="D800" s="3" t="n">
        <v>12</v>
      </c>
      <c r="E800" s="3" t="n">
        <v>12</v>
      </c>
      <c r="F800" s="3" t="n">
        <v>29.09</v>
      </c>
      <c r="G800" s="3" t="n">
        <v>0</v>
      </c>
      <c r="H800" s="3" t="n">
        <v>0</v>
      </c>
      <c r="I800" s="3" t="n">
        <v>0</v>
      </c>
      <c r="J800" s="3" t="n">
        <v>0</v>
      </c>
      <c r="K800" s="3" t="n">
        <v>0</v>
      </c>
      <c r="L800" s="3">
        <f>IF(K800&lt;-5,"CRÍTICO",IF(K800&lt;0,"ATENÇÃO",IF(K800&lt;=5,"BOM","EXCELENTE")))</f>
        <v/>
      </c>
      <c r="M800" s="3" t="n">
        <v>10</v>
      </c>
      <c r="N800" s="3" t="n">
        <v>98.31999999999999</v>
      </c>
      <c r="O800" s="12" t="n">
        <v>32.31850117096019</v>
      </c>
    </row>
    <row r="801">
      <c r="A801" s="10" t="n">
        <v>46024</v>
      </c>
      <c r="B801" t="inlineStr">
        <is>
          <t>Lucas Luiz Romero</t>
        </is>
      </c>
      <c r="C801" s="1" t="inlineStr">
        <is>
          <t>Técnico III</t>
        </is>
      </c>
      <c r="D801" s="3" t="n">
        <v>32</v>
      </c>
      <c r="E801" s="3" t="n">
        <v>21</v>
      </c>
      <c r="F801" s="3" t="n">
        <v>15.38</v>
      </c>
      <c r="I801" s="3">
        <f>E801+G801+H801</f>
        <v/>
      </c>
      <c r="J801" s="3">
        <f>ROUND(MIN(IF(C801="Técnico III",35,IF(C801="Técnico II",28,IF(C801="Técnico I",23,IF(C801="JR",20,IF(C801="Estágio",10,0))))),IF(C801="Técnico III",SUMIFS($D:$D,$A:$A,$A801,$B:$B,"&lt;&gt;Patrícia Karla de Sousa Araújo",$B:$B,"&lt;&gt;Lorena Dias de Araujo",$B:$B,"&lt;&gt;Lucas Luiz Romero")*(35/1083),IF(C801="Técnico II",SUMIFS($D:$D,$A:$A,$A801,$B:$B,"&lt;&gt;Patrícia Karla de Sousa Araújo",$B:$B,"&lt;&gt;Lorena Dias de Araujo",$B:$B,"&lt;&gt;Lucas Luiz Romero")*(28/1083),IF(C801="Técnico I",SUMIFS($D:$D,$A:$A,$A801,$B:$B,"&lt;&gt;Patrícia Karla de Sousa Araújo",$B:$B,"&lt;&gt;Lorena Dias de Araujo",$B:$B,"&lt;&gt;Lucas Luiz Romero")*(23/1083),IF(C801="JR",SUMIFS($D:$D,$A:$A,$A801,$B:$B,"&lt;&gt;Patrícia Karla de Sousa Araújo",$B:$B,"&lt;&gt;Lorena Dias de Araujo",$B:$B,"&lt;&gt;Lucas Luiz Romero")*(20/1083),IF(C801="Estágio",SUMIFS($D:$D,$A:$A,$A801,$B:$B,"&lt;&gt;Patrícia Karla de Sousa Araújo",$B:$B,"&lt;&gt;Lorena Dias de Araujo",$B:$B,"&lt;&gt;Lucas Luiz Romero")*(10/1083),0)))))),0)</f>
        <v/>
      </c>
      <c r="K801" s="3">
        <f>I801-J801</f>
        <v/>
      </c>
      <c r="L801" s="3">
        <f>IF(K801&lt;-5,"CRÍTICO",IF(K801&lt;0,"ATENÇÃO",IF(K801&lt;=5,"BOM","EXCELENTE")))</f>
        <v/>
      </c>
      <c r="M801" s="3" t="n">
        <v>20</v>
      </c>
      <c r="N801" s="3" t="n">
        <v>96.43000000000001</v>
      </c>
      <c r="O801" s="12" t="n">
        <v>27.01525054466231</v>
      </c>
    </row>
    <row r="802">
      <c r="A802" s="10" t="n">
        <v>46024</v>
      </c>
      <c r="B802" t="inlineStr">
        <is>
          <t>Luiz Fernando de Carvalho Junior</t>
        </is>
      </c>
      <c r="C802" s="1" t="inlineStr">
        <is>
          <t>Técnico I</t>
        </is>
      </c>
      <c r="D802" s="3" t="n">
        <v>22</v>
      </c>
      <c r="E802" s="3" t="n">
        <v>20</v>
      </c>
      <c r="F802" s="3" t="n">
        <v>17.17</v>
      </c>
      <c r="I802" s="3">
        <f>E802+G802+H802</f>
        <v/>
      </c>
      <c r="J802" s="3">
        <f>ROUND(MIN(IF(C802="Técnico III",35,IF(C802="Técnico II",28,IF(C802="Técnico I",23,IF(C802="JR",20,IF(C802="Estágio",10,0))))),IF(C802="Técnico III",SUMIFS($D:$D,$A:$A,$A802,$B:$B,"&lt;&gt;Patrícia Karla de Sousa Araújo",$B:$B,"&lt;&gt;Lorena Dias de Araujo",$B:$B,"&lt;&gt;Lucas Luiz Romero")*(35/1083),IF(C802="Técnico II",SUMIFS($D:$D,$A:$A,$A802,$B:$B,"&lt;&gt;Patrícia Karla de Sousa Araújo",$B:$B,"&lt;&gt;Lorena Dias de Araujo",$B:$B,"&lt;&gt;Lucas Luiz Romero")*(28/1083),IF(C802="Técnico I",SUMIFS($D:$D,$A:$A,$A802,$B:$B,"&lt;&gt;Patrícia Karla de Sousa Araújo",$B:$B,"&lt;&gt;Lorena Dias de Araujo",$B:$B,"&lt;&gt;Lucas Luiz Romero")*(23/1083),IF(C802="JR",SUMIFS($D:$D,$A:$A,$A802,$B:$B,"&lt;&gt;Patrícia Karla de Sousa Araújo",$B:$B,"&lt;&gt;Lorena Dias de Araujo",$B:$B,"&lt;&gt;Lucas Luiz Romero")*(20/1083),IF(C802="Estágio",SUMIFS($D:$D,$A:$A,$A802,$B:$B,"&lt;&gt;Patrícia Karla de Sousa Araújo",$B:$B,"&lt;&gt;Lorena Dias de Araujo",$B:$B,"&lt;&gt;Lucas Luiz Romero")*(10/1083),0)))))),0)</f>
        <v/>
      </c>
      <c r="K802" s="3">
        <f>I802-J802</f>
        <v/>
      </c>
      <c r="L802" s="3">
        <f>IF(K802&lt;-5,"CRÍTICO",IF(K802&lt;0,"ATENÇÃO",IF(K802&lt;=5,"BOM","EXCELENTE")))</f>
        <v/>
      </c>
      <c r="M802" s="3" t="n">
        <v>20</v>
      </c>
      <c r="N802" s="3" t="n">
        <v>98.89</v>
      </c>
      <c r="O802" s="12" t="n">
        <v>28.02197802197802</v>
      </c>
    </row>
    <row r="803">
      <c r="A803" s="10" t="n">
        <v>46024</v>
      </c>
      <c r="B803" t="inlineStr">
        <is>
          <t>Maria Eduarda Sousa Costa</t>
        </is>
      </c>
      <c r="C803" s="1" t="inlineStr">
        <is>
          <t>Estágio</t>
        </is>
      </c>
      <c r="D803" s="3" t="n">
        <v>0</v>
      </c>
      <c r="E803" s="3" t="n">
        <v>0</v>
      </c>
      <c r="F803" s="3" t="n">
        <v>0</v>
      </c>
      <c r="G803" s="3" t="n">
        <v>0</v>
      </c>
      <c r="H803" s="3" t="n">
        <v>0</v>
      </c>
      <c r="I803" s="3" t="n">
        <v>0</v>
      </c>
      <c r="J803" s="3" t="n">
        <v>0</v>
      </c>
      <c r="K803" s="3" t="n">
        <v>0</v>
      </c>
      <c r="L803" s="3">
        <f>IF(K803&lt;-5,"CRÍTICO",IF(K803&lt;0,"ATENÇÃO",IF(K803&lt;=5,"BOM","EXCELENTE")))</f>
        <v/>
      </c>
      <c r="M803" s="3" t="n">
        <v>0</v>
      </c>
      <c r="N803" s="3" t="n">
        <v>100</v>
      </c>
      <c r="O803" s="12" t="n">
        <v>33.33333333333333</v>
      </c>
    </row>
    <row r="804">
      <c r="A804" s="10" t="n">
        <v>46024</v>
      </c>
      <c r="B804" t="inlineStr">
        <is>
          <t>Matheus Farias De Souza</t>
        </is>
      </c>
      <c r="C804" s="1" t="inlineStr">
        <is>
          <t>Técnico III</t>
        </is>
      </c>
      <c r="D804" s="3" t="n">
        <v>0</v>
      </c>
      <c r="E804" s="3" t="n">
        <v>0</v>
      </c>
      <c r="F804" s="3" t="n">
        <v>0</v>
      </c>
      <c r="G804" s="3" t="n">
        <v>0</v>
      </c>
      <c r="H804" s="3" t="n">
        <v>0</v>
      </c>
      <c r="I804" s="3" t="n">
        <v>0</v>
      </c>
      <c r="J804" s="3" t="n">
        <v>0</v>
      </c>
      <c r="K804" s="3" t="n">
        <v>0</v>
      </c>
      <c r="L804" s="3">
        <f>IF(K804&lt;-5,"CRÍTICO",IF(K804&lt;0,"ATENÇÃO",IF(K804&lt;=5,"BOM","EXCELENTE")))</f>
        <v/>
      </c>
      <c r="M804" s="3" t="n">
        <v>0</v>
      </c>
      <c r="N804" s="3" t="n">
        <v>100</v>
      </c>
      <c r="O804" s="12" t="n">
        <v>27.43362831858407</v>
      </c>
    </row>
    <row r="805">
      <c r="A805" s="10" t="n">
        <v>46024</v>
      </c>
      <c r="B805" t="inlineStr">
        <is>
          <t>Maysa Victoria Dias Moura</t>
        </is>
      </c>
      <c r="C805" s="1" t="inlineStr">
        <is>
          <t>Técnico III</t>
        </is>
      </c>
      <c r="D805" s="3" t="n">
        <v>0</v>
      </c>
      <c r="E805" s="3" t="n">
        <v>0</v>
      </c>
      <c r="F805" s="3" t="n">
        <v>0</v>
      </c>
      <c r="G805" s="3" t="n">
        <v>0</v>
      </c>
      <c r="H805" s="3" t="n">
        <v>0</v>
      </c>
      <c r="I805" s="3" t="n">
        <v>0</v>
      </c>
      <c r="J805" s="3" t="n">
        <v>0</v>
      </c>
      <c r="K805" s="3" t="n">
        <v>0</v>
      </c>
      <c r="L805" s="3">
        <f>IF(K805&lt;-5,"CRÍTICO",IF(K805&lt;0,"ATENÇÃO",IF(K805&lt;=5,"BOM","EXCELENTE")))</f>
        <v/>
      </c>
      <c r="M805" s="3" t="n">
        <v>0</v>
      </c>
      <c r="N805" s="3" t="n">
        <v>98.65000000000001</v>
      </c>
      <c r="O805" s="12" t="n">
        <v>30.97826086956522</v>
      </c>
    </row>
    <row r="806">
      <c r="A806" s="10" t="n">
        <v>46024</v>
      </c>
      <c r="B806" t="inlineStr">
        <is>
          <t>Michelle G Santos</t>
        </is>
      </c>
      <c r="C806" s="1" t="inlineStr">
        <is>
          <t>Estágio</t>
        </is>
      </c>
      <c r="D806" s="3" t="n">
        <v>0</v>
      </c>
      <c r="E806" s="3" t="n">
        <v>0</v>
      </c>
      <c r="F806" s="3" t="n">
        <v>0</v>
      </c>
      <c r="G806" s="3" t="n">
        <v>0</v>
      </c>
      <c r="H806" s="3" t="n">
        <v>0</v>
      </c>
      <c r="I806" s="3" t="n">
        <v>0</v>
      </c>
      <c r="J806" s="3" t="n">
        <v>0</v>
      </c>
      <c r="K806" s="3" t="n">
        <v>0</v>
      </c>
      <c r="L806" s="3">
        <f>IF(K806&lt;-5,"CRÍTICO",IF(K806&lt;0,"ATENÇÃO",IF(K806&lt;=5,"BOM","EXCELENTE")))</f>
        <v/>
      </c>
      <c r="M806" s="3" t="n">
        <v>0</v>
      </c>
      <c r="N806" s="3" t="n">
        <v>100</v>
      </c>
      <c r="O806" s="12" t="n">
        <v>12</v>
      </c>
    </row>
    <row r="807">
      <c r="A807" s="10" t="n">
        <v>46024</v>
      </c>
      <c r="B807" t="inlineStr">
        <is>
          <t>Milena Sales</t>
        </is>
      </c>
      <c r="C807" s="1" t="inlineStr">
        <is>
          <t>JR</t>
        </is>
      </c>
      <c r="D807" s="3" t="n">
        <v>0</v>
      </c>
      <c r="E807" s="3" t="n">
        <v>0</v>
      </c>
      <c r="F807" s="3" t="n">
        <v>0</v>
      </c>
      <c r="G807" s="3" t="n">
        <v>0</v>
      </c>
      <c r="H807" s="3" t="n">
        <v>0</v>
      </c>
      <c r="I807" s="3" t="n">
        <v>0</v>
      </c>
      <c r="J807" s="3" t="n">
        <v>0</v>
      </c>
      <c r="K807" s="3" t="n">
        <v>0</v>
      </c>
      <c r="L807" s="3">
        <f>IF(K807&lt;-5,"CRÍTICO",IF(K807&lt;0,"ATENÇÃO",IF(K807&lt;=5,"BOM","EXCELENTE")))</f>
        <v/>
      </c>
      <c r="M807" s="3" t="n">
        <v>0</v>
      </c>
      <c r="N807" s="3" t="n">
        <v>0</v>
      </c>
      <c r="O807" s="12" t="n">
        <v>0</v>
      </c>
    </row>
    <row r="808">
      <c r="A808" s="10" t="n">
        <v>46024</v>
      </c>
      <c r="B808" t="inlineStr">
        <is>
          <t>Patrícia Karla de Sousa Araújo</t>
        </is>
      </c>
      <c r="C808" s="1" t="inlineStr">
        <is>
          <t>Técnico II</t>
        </is>
      </c>
      <c r="D808" s="3" t="n">
        <v>0</v>
      </c>
      <c r="E808" s="3" t="n">
        <v>0</v>
      </c>
      <c r="F808" s="3" t="n">
        <v>0</v>
      </c>
      <c r="G808" s="3" t="n">
        <v>0</v>
      </c>
      <c r="H808" s="3" t="n">
        <v>0</v>
      </c>
      <c r="I808" s="3" t="n">
        <v>0</v>
      </c>
      <c r="J808" s="3" t="n">
        <v>0</v>
      </c>
      <c r="K808" s="3" t="n">
        <v>0</v>
      </c>
      <c r="L808" s="3">
        <f>IF(K808&lt;-5,"CRÍTICO",IF(K808&lt;0,"ATENÇÃO",IF(K808&lt;=5,"BOM","EXCELENTE")))</f>
        <v/>
      </c>
      <c r="M808" s="3" t="n">
        <v>0</v>
      </c>
      <c r="N808" s="3" t="n">
        <v>97.56</v>
      </c>
      <c r="O808" s="12" t="n">
        <v>31.06796116504854</v>
      </c>
    </row>
    <row r="809">
      <c r="A809" s="10" t="n">
        <v>46024</v>
      </c>
      <c r="B809" t="inlineStr">
        <is>
          <t>Paulo Ricardo Santos</t>
        </is>
      </c>
      <c r="C809" s="1" t="inlineStr">
        <is>
          <t>JR</t>
        </is>
      </c>
      <c r="D809" s="3" t="n">
        <v>0</v>
      </c>
      <c r="E809" s="3" t="n">
        <v>0</v>
      </c>
      <c r="F809" s="3" t="n">
        <v>0</v>
      </c>
      <c r="G809" s="3" t="n">
        <v>0</v>
      </c>
      <c r="H809" s="3" t="n">
        <v>0</v>
      </c>
      <c r="I809" s="3" t="n">
        <v>0</v>
      </c>
      <c r="J809" s="3" t="n">
        <v>0</v>
      </c>
      <c r="K809" s="3" t="n">
        <v>0</v>
      </c>
      <c r="L809" s="3">
        <f>IF(K809&lt;-5,"CRÍTICO",IF(K809&lt;0,"ATENÇÃO",IF(K809&lt;=5,"BOM","EXCELENTE")))</f>
        <v/>
      </c>
      <c r="M809" s="3" t="n">
        <v>0</v>
      </c>
      <c r="N809" s="3" t="n">
        <v>0</v>
      </c>
      <c r="O809" s="12" t="n">
        <v>0</v>
      </c>
    </row>
    <row r="810">
      <c r="A810" s="10" t="n">
        <v>46024</v>
      </c>
      <c r="B810" t="inlineStr">
        <is>
          <t>Pedro Luiz Mota Sousa</t>
        </is>
      </c>
      <c r="C810" s="1" t="inlineStr">
        <is>
          <t>JR</t>
        </is>
      </c>
      <c r="D810" s="3" t="n">
        <v>0</v>
      </c>
      <c r="E810" s="3" t="n">
        <v>0</v>
      </c>
      <c r="F810" s="3" t="n">
        <v>0</v>
      </c>
      <c r="G810" s="3" t="n">
        <v>0</v>
      </c>
      <c r="H810" s="3" t="n">
        <v>0</v>
      </c>
      <c r="I810" s="3" t="n">
        <v>0</v>
      </c>
      <c r="J810" s="3" t="n">
        <v>0</v>
      </c>
      <c r="K810" s="3" t="n">
        <v>0</v>
      </c>
      <c r="L810" s="3">
        <f>IF(K810&lt;-5,"CRÍTICO",IF(K810&lt;0,"ATENÇÃO",IF(K810&lt;=5,"BOM","EXCELENTE")))</f>
        <v/>
      </c>
      <c r="M810" s="3" t="n">
        <v>0</v>
      </c>
      <c r="N810" s="3" t="n">
        <v>0</v>
      </c>
      <c r="O810" s="12" t="n">
        <v>0</v>
      </c>
    </row>
    <row r="811">
      <c r="A811" s="10" t="n">
        <v>46024</v>
      </c>
      <c r="B811" t="inlineStr">
        <is>
          <t>Quirino Diogo Leite Torres</t>
        </is>
      </c>
      <c r="C811" s="1" t="inlineStr">
        <is>
          <t>Estágio</t>
        </is>
      </c>
      <c r="D811" s="3" t="n">
        <v>0</v>
      </c>
      <c r="E811" s="3" t="n">
        <v>0</v>
      </c>
      <c r="F811" s="3" t="n">
        <v>0</v>
      </c>
      <c r="G811" s="3" t="n">
        <v>0</v>
      </c>
      <c r="H811" s="3" t="n">
        <v>0</v>
      </c>
      <c r="I811" s="3" t="n">
        <v>0</v>
      </c>
      <c r="J811" s="3" t="n">
        <v>0</v>
      </c>
      <c r="K811" s="3" t="n">
        <v>0</v>
      </c>
      <c r="L811" s="3">
        <f>IF(K811&lt;-5,"CRÍTICO",IF(K811&lt;0,"ATENÇÃO",IF(K811&lt;=5,"BOM","EXCELENTE")))</f>
        <v/>
      </c>
      <c r="M811" s="3" t="n">
        <v>0</v>
      </c>
      <c r="N811" s="3" t="n">
        <v>0</v>
      </c>
      <c r="O811" s="12" t="n">
        <v>0</v>
      </c>
    </row>
    <row r="812">
      <c r="A812" s="10" t="n">
        <v>46024</v>
      </c>
      <c r="B812" t="inlineStr">
        <is>
          <t>Raane Batista Matos</t>
        </is>
      </c>
      <c r="C812" s="1" t="inlineStr">
        <is>
          <t>Técnico I</t>
        </is>
      </c>
      <c r="D812" s="3" t="n">
        <v>0</v>
      </c>
      <c r="E812" s="3" t="n">
        <v>0</v>
      </c>
      <c r="F812" s="3" t="n">
        <v>0</v>
      </c>
      <c r="G812" s="3" t="n">
        <v>0</v>
      </c>
      <c r="H812" s="3" t="n">
        <v>0</v>
      </c>
      <c r="I812" s="3" t="n">
        <v>0</v>
      </c>
      <c r="J812" s="3" t="n">
        <v>0</v>
      </c>
      <c r="K812" s="3" t="n">
        <v>0</v>
      </c>
      <c r="L812" s="3">
        <f>IF(K812&lt;-5,"CRÍTICO",IF(K812&lt;0,"ATENÇÃO",IF(K812&lt;=5,"BOM","EXCELENTE")))</f>
        <v/>
      </c>
      <c r="M812" s="3" t="n">
        <v>0</v>
      </c>
      <c r="N812" s="3" t="n">
        <v>100</v>
      </c>
      <c r="O812" s="12" t="n">
        <v>53.84615384615385</v>
      </c>
    </row>
    <row r="813">
      <c r="A813" s="10" t="n">
        <v>46024</v>
      </c>
      <c r="B813" t="inlineStr">
        <is>
          <t>Rafael Gomes de Morais</t>
        </is>
      </c>
      <c r="C813" s="1" t="inlineStr">
        <is>
          <t>Técnico III</t>
        </is>
      </c>
      <c r="D813" s="3" t="n">
        <v>0</v>
      </c>
      <c r="E813" s="3" t="n">
        <v>0</v>
      </c>
      <c r="F813" s="3" t="n">
        <v>0</v>
      </c>
      <c r="G813" s="3" t="n">
        <v>0</v>
      </c>
      <c r="H813" s="3" t="n">
        <v>0</v>
      </c>
      <c r="I813" s="3" t="n">
        <v>0</v>
      </c>
      <c r="J813" s="3" t="n">
        <v>0</v>
      </c>
      <c r="K813" s="3" t="n">
        <v>0</v>
      </c>
      <c r="L813" s="3">
        <f>IF(K813&lt;-5,"CRÍTICO",IF(K813&lt;0,"ATENÇÃO",IF(K813&lt;=5,"BOM","EXCELENTE")))</f>
        <v/>
      </c>
      <c r="M813" s="3" t="n">
        <v>0</v>
      </c>
      <c r="N813" s="3" t="n">
        <v>100</v>
      </c>
      <c r="O813" s="12" t="n">
        <v>44.05594405594406</v>
      </c>
    </row>
    <row r="814">
      <c r="A814" s="10" t="n">
        <v>46024</v>
      </c>
      <c r="B814" t="inlineStr">
        <is>
          <t>Sara Maria Monteiro Lopes</t>
        </is>
      </c>
      <c r="C814" s="1" t="inlineStr">
        <is>
          <t>Técnico I</t>
        </is>
      </c>
      <c r="D814" s="3" t="n">
        <v>0</v>
      </c>
      <c r="E814" s="3" t="n">
        <v>0</v>
      </c>
      <c r="F814" s="3" t="n">
        <v>0</v>
      </c>
      <c r="G814" s="3" t="n">
        <v>0</v>
      </c>
      <c r="H814" s="3" t="n">
        <v>0</v>
      </c>
      <c r="I814" s="3" t="n">
        <v>0</v>
      </c>
      <c r="J814" s="3" t="n">
        <v>0</v>
      </c>
      <c r="K814" s="3" t="n">
        <v>0</v>
      </c>
      <c r="L814" s="3">
        <f>IF(K814&lt;-5,"CRÍTICO",IF(K814&lt;0,"ATENÇÃO",IF(K814&lt;=5,"BOM","EXCELENTE")))</f>
        <v/>
      </c>
      <c r="M814" s="3" t="n">
        <v>0</v>
      </c>
      <c r="N814" s="3" t="n">
        <v>100</v>
      </c>
      <c r="O814" s="12" t="n">
        <v>31.87250996015936</v>
      </c>
    </row>
    <row r="815">
      <c r="A815" s="10" t="n">
        <v>46024</v>
      </c>
      <c r="B815" t="inlineStr">
        <is>
          <t>Sarah Steffanie de Lima Borges</t>
        </is>
      </c>
      <c r="C815" s="1" t="inlineStr">
        <is>
          <t>Técnico III</t>
        </is>
      </c>
      <c r="D815" s="3" t="n">
        <v>25</v>
      </c>
      <c r="E815" s="3" t="n">
        <v>24</v>
      </c>
      <c r="F815" s="3" t="n">
        <v>10.49</v>
      </c>
      <c r="I815" s="3">
        <f>E815+G815+H815</f>
        <v/>
      </c>
      <c r="J815" s="3">
        <f>ROUND(MIN(IF(C815="Técnico III",35,IF(C815="Técnico II",28,IF(C815="Técnico I",23,IF(C815="JR",20,IF(C815="Estágio",10,0))))),IF(C815="Técnico III",SUMIFS($D:$D,$A:$A,$A815,$B:$B,"&lt;&gt;Patrícia Karla de Sousa Araújo",$B:$B,"&lt;&gt;Lorena Dias de Araujo",$B:$B,"&lt;&gt;Lucas Luiz Romero")*(35/1083),IF(C815="Técnico II",SUMIFS($D:$D,$A:$A,$A815,$B:$B,"&lt;&gt;Patrícia Karla de Sousa Araújo",$B:$B,"&lt;&gt;Lorena Dias de Araujo",$B:$B,"&lt;&gt;Lucas Luiz Romero")*(28/1083),IF(C815="Técnico I",SUMIFS($D:$D,$A:$A,$A815,$B:$B,"&lt;&gt;Patrícia Karla de Sousa Araújo",$B:$B,"&lt;&gt;Lorena Dias de Araujo",$B:$B,"&lt;&gt;Lucas Luiz Romero")*(23/1083),IF(C815="JR",SUMIFS($D:$D,$A:$A,$A815,$B:$B,"&lt;&gt;Patrícia Karla de Sousa Araújo",$B:$B,"&lt;&gt;Lorena Dias de Araujo",$B:$B,"&lt;&gt;Lucas Luiz Romero")*(20/1083),IF(C815="Estágio",SUMIFS($D:$D,$A:$A,$A815,$B:$B,"&lt;&gt;Patrícia Karla de Sousa Araújo",$B:$B,"&lt;&gt;Lorena Dias de Araujo",$B:$B,"&lt;&gt;Lucas Luiz Romero")*(10/1083),0)))))),0)</f>
        <v/>
      </c>
      <c r="K815" s="3">
        <f>I815-J815</f>
        <v/>
      </c>
      <c r="L815" s="3">
        <f>IF(K815&lt;-5,"CRÍTICO",IF(K815&lt;0,"ATENÇÃO",IF(K815&lt;=5,"BOM","EXCELENTE")))</f>
        <v/>
      </c>
      <c r="M815" s="3" t="n">
        <v>22</v>
      </c>
      <c r="N815" s="3" t="n">
        <v>98.41</v>
      </c>
      <c r="O815" s="12" t="n">
        <v>29.22465208747515</v>
      </c>
    </row>
    <row r="816">
      <c r="A816" s="10" t="n">
        <v>46027</v>
      </c>
      <c r="B816" t="inlineStr">
        <is>
          <t>Alisson de Freitas Silva</t>
        </is>
      </c>
      <c r="C816" s="1" t="inlineStr">
        <is>
          <t>Técnico II</t>
        </is>
      </c>
      <c r="D816" s="3" t="n">
        <v>36</v>
      </c>
      <c r="E816" s="3" t="n">
        <v>25</v>
      </c>
      <c r="F816" s="3" t="n">
        <v>11.48</v>
      </c>
      <c r="G816" s="3" t="n">
        <v>0</v>
      </c>
      <c r="H816" s="3" t="n">
        <v>0</v>
      </c>
      <c r="I816" s="3">
        <f>E816+G816+H816</f>
        <v/>
      </c>
      <c r="J816" s="3">
        <f>ROUND(MIN(IF(C816="Técnico III",35,IF(C816="Técnico II",28,IF(C816="Técnico I",23,IF(C816="JR",20,IF(C816="Estágio",10,0))))),IF(C816="Técnico III",SUMIFS($D:$D,$A:$A,$A816,$B:$B,"&lt;&gt;Patrícia Karla de Sousa Araújo",$B:$B,"&lt;&gt;Lorena Dias de Araujo",$B:$B,"&lt;&gt;Lucas Luiz Romero")*(35/1083),IF(C816="Técnico II",SUMIFS($D:$D,$A:$A,$A816,$B:$B,"&lt;&gt;Patrícia Karla de Sousa Araújo",$B:$B,"&lt;&gt;Lorena Dias de Araujo",$B:$B,"&lt;&gt;Lucas Luiz Romero")*(28/1083),IF(C816="Técnico I",SUMIFS($D:$D,$A:$A,$A816,$B:$B,"&lt;&gt;Patrícia Karla de Sousa Araújo",$B:$B,"&lt;&gt;Lorena Dias de Araujo",$B:$B,"&lt;&gt;Lucas Luiz Romero")*(23/1083),IF(C816="JR",SUMIFS($D:$D,$A:$A,$A816,$B:$B,"&lt;&gt;Patrícia Karla de Sousa Araújo",$B:$B,"&lt;&gt;Lorena Dias de Araujo",$B:$B,"&lt;&gt;Lucas Luiz Romero")*(20/1083),IF(C816="Estágio",SUMIFS($D:$D,$A:$A,$A816,$B:$B,"&lt;&gt;Patrícia Karla de Sousa Araújo",$B:$B,"&lt;&gt;Lorena Dias de Araujo",$B:$B,"&lt;&gt;Lucas Luiz Romero")*(10/1083),0)))))),0)</f>
        <v/>
      </c>
      <c r="K816" s="3">
        <f>I816-J816</f>
        <v/>
      </c>
      <c r="L816" s="3">
        <f>IF(K816&lt;-5,"CRÍTICO",IF(K816&lt;0,"ATENÇÃO",IF(K816&lt;=5,"BOM","EXCELENTE")))</f>
        <v/>
      </c>
      <c r="M816" s="3" t="n">
        <v>24</v>
      </c>
      <c r="N816" s="3" t="n">
        <v>96.81</v>
      </c>
      <c r="O816" s="12" t="n">
        <v>27.98053527980535</v>
      </c>
    </row>
    <row r="817">
      <c r="A817" s="10" t="n">
        <v>46027</v>
      </c>
      <c r="B817" t="inlineStr">
        <is>
          <t>Amanda Moura Ferreira</t>
        </is>
      </c>
      <c r="C817" s="1" t="inlineStr">
        <is>
          <t>Técnico III</t>
        </is>
      </c>
      <c r="D817" s="3" t="n">
        <v>0</v>
      </c>
      <c r="E817" s="3" t="n">
        <v>0</v>
      </c>
      <c r="F817" s="3" t="n">
        <v>0</v>
      </c>
      <c r="G817" s="3" t="n">
        <v>0</v>
      </c>
      <c r="H817" s="3" t="n">
        <v>0</v>
      </c>
      <c r="I817" s="3" t="n">
        <v>0</v>
      </c>
      <c r="J817" s="3" t="n">
        <v>0</v>
      </c>
      <c r="K817" s="3" t="n">
        <v>0</v>
      </c>
      <c r="L817" s="3">
        <f>IF(K817&lt;-5,"CRÍTICO",IF(K817&lt;0,"ATENÇÃO",IF(K817&lt;=5,"BOM","EXCELENTE")))</f>
        <v/>
      </c>
      <c r="M817" s="3" t="n">
        <v>25</v>
      </c>
      <c r="N817" s="3" t="n">
        <v>98.73</v>
      </c>
      <c r="O817" s="12" t="n">
        <v>35.75638506876228</v>
      </c>
    </row>
    <row r="818">
      <c r="A818" s="10" t="n">
        <v>46027</v>
      </c>
      <c r="B818" t="inlineStr">
        <is>
          <t>Ana Karollyne Souza Faria</t>
        </is>
      </c>
      <c r="C818" s="1" t="inlineStr">
        <is>
          <t>Técnico I</t>
        </is>
      </c>
      <c r="D818" s="3" t="n">
        <v>36</v>
      </c>
      <c r="E818" s="3" t="n">
        <v>32</v>
      </c>
      <c r="F818" s="3" t="n">
        <v>18.56</v>
      </c>
      <c r="G818" s="3" t="n">
        <v>0</v>
      </c>
      <c r="H818" s="3" t="n">
        <v>0</v>
      </c>
      <c r="I818" s="3">
        <f>E818+G818+H818</f>
        <v/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/>
      </c>
      <c r="K818" s="3">
        <f>I818-J818</f>
        <v/>
      </c>
      <c r="L818" s="3">
        <f>IF(K818&lt;-5,"CRÍTICO",IF(K818&lt;0,"ATENÇÃO",IF(K818&lt;=5,"BOM","EXCELENTE")))</f>
        <v/>
      </c>
      <c r="M818" s="3" t="n">
        <v>29</v>
      </c>
      <c r="N818" s="3" t="n">
        <v>98.31999999999999</v>
      </c>
      <c r="O818" s="12" t="n">
        <v>26.76348547717842</v>
      </c>
    </row>
    <row r="819">
      <c r="A819" s="10" t="n">
        <v>46027</v>
      </c>
      <c r="B819" t="inlineStr">
        <is>
          <t>Ana Paula Da Luz Silva Aleixo</t>
        </is>
      </c>
      <c r="C819" s="1" t="inlineStr">
        <is>
          <t>Técnico III</t>
        </is>
      </c>
      <c r="D819" s="3" t="n">
        <v>32</v>
      </c>
      <c r="E819" s="3" t="n">
        <v>32</v>
      </c>
      <c r="F819" s="3" t="n">
        <v>15.4</v>
      </c>
      <c r="G819" s="3" t="n">
        <v>0</v>
      </c>
      <c r="H819" s="3" t="n">
        <v>0</v>
      </c>
      <c r="I819" s="3">
        <f>E819+G819+H819</f>
        <v/>
      </c>
      <c r="J819" s="3">
        <f>ROUND(MIN(IF(C819="Técnico III",35,IF(C819="Técnico II",28,IF(C819="Técnico I",23,IF(C819="JR",20,IF(C819="Estágio",10,0))))),IF(C819="Técnico III",SUMIFS($D:$D,$A:$A,$A819,$B:$B,"&lt;&gt;Patrícia Karla de Sousa Araújo",$B:$B,"&lt;&gt;Lorena Dias de Araujo",$B:$B,"&lt;&gt;Lucas Luiz Romero")*(35/1083),IF(C819="Técnico II",SUMIFS($D:$D,$A:$A,$A819,$B:$B,"&lt;&gt;Patrícia Karla de Sousa Araújo",$B:$B,"&lt;&gt;Lorena Dias de Araujo",$B:$B,"&lt;&gt;Lucas Luiz Romero")*(28/1083),IF(C819="Técnico I",SUMIFS($D:$D,$A:$A,$A819,$B:$B,"&lt;&gt;Patrícia Karla de Sousa Araújo",$B:$B,"&lt;&gt;Lorena Dias de Araujo",$B:$B,"&lt;&gt;Lucas Luiz Romero")*(23/1083),IF(C819="JR",SUMIFS($D:$D,$A:$A,$A819,$B:$B,"&lt;&gt;Patrícia Karla de Sousa Araújo",$B:$B,"&lt;&gt;Lorena Dias de Araujo",$B:$B,"&lt;&gt;Lucas Luiz Romero")*(20/1083),IF(C819="Estágio",SUMIFS($D:$D,$A:$A,$A819,$B:$B,"&lt;&gt;Patrícia Karla de Sousa Araújo",$B:$B,"&lt;&gt;Lorena Dias de Araujo",$B:$B,"&lt;&gt;Lucas Luiz Romero")*(10/1083),0)))))),0)</f>
        <v/>
      </c>
      <c r="K819" s="3">
        <f>I819-J819</f>
        <v/>
      </c>
      <c r="L819" s="3">
        <f>IF(K819&lt;-5,"CRÍTICO",IF(K819&lt;0,"ATENÇÃO",IF(K819&lt;=5,"BOM","EXCELENTE")))</f>
        <v/>
      </c>
      <c r="M819" s="3" t="n">
        <v>27</v>
      </c>
      <c r="N819" s="3" t="n">
        <v>99.19</v>
      </c>
      <c r="O819" s="12" t="n">
        <v>27.63713080168776</v>
      </c>
    </row>
    <row r="820">
      <c r="A820" s="10" t="n">
        <v>46027</v>
      </c>
      <c r="B820" t="inlineStr">
        <is>
          <t>Anna Luiza Rezende Tavares</t>
        </is>
      </c>
      <c r="C820" s="1" t="inlineStr">
        <is>
          <t>Estágio</t>
        </is>
      </c>
      <c r="D820" s="3" t="n">
        <v>9</v>
      </c>
      <c r="E820" s="3" t="n">
        <v>9</v>
      </c>
      <c r="F820" s="3" t="n">
        <v>20.23</v>
      </c>
      <c r="G820" s="3" t="n">
        <v>0</v>
      </c>
      <c r="H820" s="3" t="n">
        <v>0</v>
      </c>
      <c r="I820" s="3">
        <f>E820+G820+H820</f>
        <v/>
      </c>
      <c r="J820" s="3">
        <f>ROUND(MIN(IF(C820="Técnico III",35,IF(C820="Técnico II",28,IF(C820="Técnico I",23,IF(C820="JR",20,IF(C820="Estágio",10,0))))),IF(C820="Técnico III",SUMIFS($D:$D,$A:$A,$A820,$B:$B,"&lt;&gt;Patrícia Karla de Sousa Araújo",$B:$B,"&lt;&gt;Lorena Dias de Araujo",$B:$B,"&lt;&gt;Lucas Luiz Romero")*(35/1083),IF(C820="Técnico II",SUMIFS($D:$D,$A:$A,$A820,$B:$B,"&lt;&gt;Patrícia Karla de Sousa Araújo",$B:$B,"&lt;&gt;Lorena Dias de Araujo",$B:$B,"&lt;&gt;Lucas Luiz Romero")*(28/1083),IF(C820="Técnico I",SUMIFS($D:$D,$A:$A,$A820,$B:$B,"&lt;&gt;Patrícia Karla de Sousa Araújo",$B:$B,"&lt;&gt;Lorena Dias de Araujo",$B:$B,"&lt;&gt;Lucas Luiz Romero")*(23/1083),IF(C820="JR",SUMIFS($D:$D,$A:$A,$A820,$B:$B,"&lt;&gt;Patrícia Karla de Sousa Araújo",$B:$B,"&lt;&gt;Lorena Dias de Araujo",$B:$B,"&lt;&gt;Lucas Luiz Romero")*(20/1083),IF(C820="Estágio",SUMIFS($D:$D,$A:$A,$A820,$B:$B,"&lt;&gt;Patrícia Karla de Sousa Araújo",$B:$B,"&lt;&gt;Lorena Dias de Araujo",$B:$B,"&lt;&gt;Lucas Luiz Romero")*(10/1083),0)))))),0)</f>
        <v/>
      </c>
      <c r="K820" s="3">
        <f>I820-J820</f>
        <v/>
      </c>
      <c r="L820" s="3">
        <f>IF(K820&lt;-5,"CRÍTICO",IF(K820&lt;0,"ATENÇÃO",IF(K820&lt;=5,"BOM","EXCELENTE")))</f>
        <v/>
      </c>
      <c r="M820" s="3" t="n">
        <v>9</v>
      </c>
      <c r="N820" s="3" t="n">
        <v>100</v>
      </c>
      <c r="O820" s="12" t="n">
        <v>39.56834532374101</v>
      </c>
    </row>
    <row r="821">
      <c r="A821" s="10" t="n">
        <v>46027</v>
      </c>
      <c r="B821" t="inlineStr">
        <is>
          <t>Brenda de Menezes Silva</t>
        </is>
      </c>
      <c r="C821" s="1" t="inlineStr">
        <is>
          <t>Técnico II</t>
        </is>
      </c>
      <c r="D821" s="3" t="n">
        <v>28</v>
      </c>
      <c r="E821" s="3" t="n">
        <v>26</v>
      </c>
      <c r="F821" s="3" t="n">
        <v>18.22</v>
      </c>
      <c r="G821" s="3" t="n">
        <v>0</v>
      </c>
      <c r="H821" s="3" t="n">
        <v>0</v>
      </c>
      <c r="I821" s="3">
        <f>E821+G821+H821</f>
        <v/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/>
      </c>
      <c r="K821" s="3">
        <f>I821-J821</f>
        <v/>
      </c>
      <c r="L821" s="3">
        <f>IF(K821&lt;-5,"CRÍTICO",IF(K821&lt;0,"ATENÇÃO",IF(K821&lt;=5,"BOM","EXCELENTE")))</f>
        <v/>
      </c>
      <c r="M821" s="3" t="n">
        <v>26</v>
      </c>
      <c r="N821" s="3" t="n">
        <v>98.54000000000001</v>
      </c>
      <c r="O821" s="12" t="n">
        <v>28.54477611940299</v>
      </c>
    </row>
    <row r="822">
      <c r="A822" s="10" t="n">
        <v>46027</v>
      </c>
      <c r="B822" t="inlineStr">
        <is>
          <t>Carlos Mateus Cassimiro Nunes</t>
        </is>
      </c>
      <c r="C822" s="1" t="inlineStr">
        <is>
          <t>Técnico II</t>
        </is>
      </c>
      <c r="D822" s="3" t="n">
        <v>33</v>
      </c>
      <c r="E822" s="3" t="n">
        <v>31</v>
      </c>
      <c r="F822" s="3" t="n">
        <v>15.32</v>
      </c>
      <c r="G822" s="3" t="n">
        <v>0</v>
      </c>
      <c r="H822" s="3" t="n">
        <v>0</v>
      </c>
      <c r="I822" s="3">
        <f>E822+G822+H822</f>
        <v/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/>
      </c>
      <c r="K822" s="3">
        <f>I822-J822</f>
        <v/>
      </c>
      <c r="L822" s="3">
        <f>IF(K822&lt;-5,"CRÍTICO",IF(K822&lt;0,"ATENÇÃO",IF(K822&lt;=5,"BOM","EXCELENTE")))</f>
        <v/>
      </c>
      <c r="M822" s="3" t="n">
        <v>27</v>
      </c>
      <c r="N822" s="3" t="n">
        <v>100</v>
      </c>
      <c r="O822" s="12" t="n">
        <v>34.36692506459949</v>
      </c>
    </row>
    <row r="823">
      <c r="A823" s="10" t="n">
        <v>46027</v>
      </c>
      <c r="B823" t="inlineStr">
        <is>
          <t>Claudio de Sousa Velasco Filho</t>
        </is>
      </c>
      <c r="C823" s="1" t="inlineStr">
        <is>
          <t>Estágio</t>
        </is>
      </c>
      <c r="D823" s="3" t="n">
        <v>0</v>
      </c>
      <c r="E823" s="3" t="n">
        <v>0</v>
      </c>
      <c r="F823" s="3" t="n">
        <v>0</v>
      </c>
      <c r="G823" s="3" t="n">
        <v>0</v>
      </c>
      <c r="H823" s="3" t="n">
        <v>0</v>
      </c>
      <c r="I823" s="3" t="n">
        <v>0</v>
      </c>
      <c r="J823" s="3" t="n">
        <v>0</v>
      </c>
      <c r="K823" s="3" t="n">
        <v>0</v>
      </c>
      <c r="L823" s="3">
        <f>IF(K823&lt;-5,"CRÍTICO",IF(K823&lt;0,"ATENÇÃO",IF(K823&lt;=5,"BOM","EXCELENTE")))</f>
        <v/>
      </c>
      <c r="M823" s="3" t="n">
        <v>0</v>
      </c>
      <c r="N823" s="3" t="n">
        <v>0</v>
      </c>
      <c r="O823" s="12" t="n">
        <v>0</v>
      </c>
    </row>
    <row r="824">
      <c r="A824" s="10" t="n">
        <v>46027</v>
      </c>
      <c r="B824" t="inlineStr">
        <is>
          <t>Clessiane Pereira dos Santos</t>
        </is>
      </c>
      <c r="C824" s="1" t="inlineStr">
        <is>
          <t>Técnico I</t>
        </is>
      </c>
      <c r="D824" s="3" t="n">
        <v>22</v>
      </c>
      <c r="E824" s="3" t="n">
        <v>20</v>
      </c>
      <c r="F824" s="3" t="n">
        <v>18.23</v>
      </c>
      <c r="G824" s="3" t="n">
        <v>0</v>
      </c>
      <c r="H824" s="3" t="n">
        <v>0</v>
      </c>
      <c r="I824" s="3">
        <f>E824+G824+H824</f>
        <v/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/>
      </c>
      <c r="K824" s="3">
        <f>I824-J824</f>
        <v/>
      </c>
      <c r="L824" s="3">
        <f>IF(K824&lt;-5,"CRÍTICO",IF(K824&lt;0,"ATENÇÃO",IF(K824&lt;=5,"BOM","EXCELENTE")))</f>
        <v/>
      </c>
      <c r="M824" s="3" t="n">
        <v>17</v>
      </c>
      <c r="N824" s="3" t="n">
        <v>100</v>
      </c>
      <c r="O824" s="12" t="n">
        <v>29.51807228915663</v>
      </c>
    </row>
    <row r="825">
      <c r="A825" s="10" t="n">
        <v>46027</v>
      </c>
      <c r="B825" t="inlineStr">
        <is>
          <t>Cristiane Ramos da Silva Rocha</t>
        </is>
      </c>
      <c r="C825" s="1" t="inlineStr">
        <is>
          <t>Técnico III</t>
        </is>
      </c>
      <c r="D825" s="3" t="n">
        <v>42</v>
      </c>
      <c r="E825" s="3" t="n">
        <v>40</v>
      </c>
      <c r="F825" s="3" t="n">
        <v>12.27</v>
      </c>
      <c r="G825" s="3" t="n">
        <v>0</v>
      </c>
      <c r="H825" s="3" t="n">
        <v>0</v>
      </c>
      <c r="I825" s="3">
        <f>E825+G825+H825</f>
        <v/>
      </c>
      <c r="J825" s="3">
        <f>ROUND(MIN(IF(C825="Técnico III",35,IF(C825="Técnico II",28,IF(C825="Técnico I",23,IF(C825="JR",20,IF(C825="Estágio",10,0))))),IF(C825="Técnico III",SUMIFS($D:$D,$A:$A,$A825,$B:$B,"&lt;&gt;Patrícia Karla de Sousa Araújo",$B:$B,"&lt;&gt;Lorena Dias de Araujo",$B:$B,"&lt;&gt;Lucas Luiz Romero")*(35/1083),IF(C825="Técnico II",SUMIFS($D:$D,$A:$A,$A825,$B:$B,"&lt;&gt;Patrícia Karla de Sousa Araújo",$B:$B,"&lt;&gt;Lorena Dias de Araujo",$B:$B,"&lt;&gt;Lucas Luiz Romero")*(28/1083),IF(C825="Técnico I",SUMIFS($D:$D,$A:$A,$A825,$B:$B,"&lt;&gt;Patrícia Karla de Sousa Araújo",$B:$B,"&lt;&gt;Lorena Dias de Araujo",$B:$B,"&lt;&gt;Lucas Luiz Romero")*(23/1083),IF(C825="JR",SUMIFS($D:$D,$A:$A,$A825,$B:$B,"&lt;&gt;Patrícia Karla de Sousa Araújo",$B:$B,"&lt;&gt;Lorena Dias de Araujo",$B:$B,"&lt;&gt;Lucas Luiz Romero")*(20/1083),IF(C825="Estágio",SUMIFS($D:$D,$A:$A,$A825,$B:$B,"&lt;&gt;Patrícia Karla de Sousa Araújo",$B:$B,"&lt;&gt;Lorena Dias de Araujo",$B:$B,"&lt;&gt;Lucas Luiz Romero")*(10/1083),0)))))),0)</f>
        <v/>
      </c>
      <c r="K825" s="3">
        <f>I825-J825</f>
        <v/>
      </c>
      <c r="L825" s="3">
        <f>IF(K825&lt;-5,"CRÍTICO",IF(K825&lt;0,"ATENÇÃO",IF(K825&lt;=5,"BOM","EXCELENTE")))</f>
        <v/>
      </c>
      <c r="M825" s="3" t="n">
        <v>38</v>
      </c>
      <c r="N825" s="3" t="n">
        <v>97.45</v>
      </c>
      <c r="O825" s="12" t="n">
        <v>41.421143847487</v>
      </c>
    </row>
    <row r="826">
      <c r="A826" s="10" t="n">
        <v>46027</v>
      </c>
      <c r="B826" t="inlineStr">
        <is>
          <t>Damyllis Lorraine de Oliveira Gonçalves</t>
        </is>
      </c>
      <c r="C826" s="1" t="inlineStr">
        <is>
          <t>Técnico II</t>
        </is>
      </c>
      <c r="D826" s="3" t="n">
        <v>33</v>
      </c>
      <c r="E826" s="3" t="n">
        <v>23</v>
      </c>
      <c r="F826" s="3" t="n">
        <v>13.36</v>
      </c>
      <c r="G826" s="3" t="n">
        <v>0</v>
      </c>
      <c r="H826" s="3" t="n">
        <v>0</v>
      </c>
      <c r="I826" s="3" t="n">
        <v>0</v>
      </c>
      <c r="J826" s="3" t="n">
        <v>0</v>
      </c>
      <c r="K826" s="3" t="n">
        <v>0</v>
      </c>
      <c r="L826" s="3">
        <f>IF(K826&lt;-5,"CRÍTICO",IF(K826&lt;0,"ATENÇÃO",IF(K826&lt;=5,"BOM","EXCELENTE")))</f>
        <v/>
      </c>
      <c r="M826" s="3" t="n">
        <v>25</v>
      </c>
      <c r="N826" s="3" t="n">
        <v>96.58</v>
      </c>
      <c r="O826" s="12" t="n">
        <v>30.39647577092511</v>
      </c>
    </row>
    <row r="827">
      <c r="A827" s="10" t="n">
        <v>46027</v>
      </c>
      <c r="B827" t="inlineStr">
        <is>
          <t>Daniel Gomes da Silva</t>
        </is>
      </c>
      <c r="C827" s="1" t="inlineStr">
        <is>
          <t>Técnico I</t>
        </is>
      </c>
      <c r="D827" s="3" t="n">
        <v>26</v>
      </c>
      <c r="E827" s="3" t="n">
        <v>22</v>
      </c>
      <c r="F827" s="3" t="n">
        <v>19.13</v>
      </c>
      <c r="G827" s="3" t="n">
        <v>0</v>
      </c>
      <c r="H827" s="3" t="n">
        <v>0</v>
      </c>
      <c r="I827" s="3">
        <f>E827+G827+H827</f>
        <v/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/>
      </c>
      <c r="K827" s="3">
        <f>I827-J827</f>
        <v/>
      </c>
      <c r="L827" s="3">
        <f>IF(K827&lt;-5,"CRÍTICO",IF(K827&lt;0,"ATENÇÃO",IF(K827&lt;=5,"BOM","EXCELENTE")))</f>
        <v/>
      </c>
      <c r="M827" s="3" t="n">
        <v>25</v>
      </c>
      <c r="N827" s="3" t="n">
        <v>100</v>
      </c>
      <c r="O827" s="12" t="n">
        <v>27.44282744282744</v>
      </c>
    </row>
    <row r="828">
      <c r="A828" s="10" t="n">
        <v>46027</v>
      </c>
      <c r="B828" t="inlineStr">
        <is>
          <t>Davylla Rodrigues Freitas Silva</t>
        </is>
      </c>
      <c r="C828" s="1" t="inlineStr">
        <is>
          <t>Técnico III</t>
        </is>
      </c>
      <c r="D828" s="3" t="n">
        <v>22</v>
      </c>
      <c r="E828" s="3" t="n">
        <v>22</v>
      </c>
      <c r="F828" s="3" t="n">
        <v>23.55</v>
      </c>
      <c r="G828" s="3" t="n">
        <v>0</v>
      </c>
      <c r="H828" s="3" t="n">
        <v>0</v>
      </c>
      <c r="I828" s="3" t="n">
        <v>0</v>
      </c>
      <c r="J828" s="3" t="n">
        <v>0</v>
      </c>
      <c r="K828" s="3" t="n">
        <v>0</v>
      </c>
      <c r="L828" s="3">
        <f>IF(K828&lt;-5,"CRÍTICO",IF(K828&lt;0,"ATENÇÃO",IF(K828&lt;=5,"BOM","EXCELENTE")))</f>
        <v/>
      </c>
      <c r="M828" s="3" t="n">
        <v>24</v>
      </c>
      <c r="N828" s="3" t="n">
        <v>99.48999999999999</v>
      </c>
      <c r="O828" s="12" t="n">
        <v>40.2</v>
      </c>
    </row>
    <row r="829">
      <c r="A829" s="10" t="n">
        <v>46027</v>
      </c>
      <c r="B829" t="inlineStr">
        <is>
          <t>Emilly Caylane Costa</t>
        </is>
      </c>
      <c r="C829" s="1" t="inlineStr">
        <is>
          <t>Estágio</t>
        </is>
      </c>
      <c r="D829" s="3" t="n">
        <v>0</v>
      </c>
      <c r="E829" s="3" t="n">
        <v>0</v>
      </c>
      <c r="F829" s="3" t="n">
        <v>0</v>
      </c>
      <c r="G829" s="3" t="n">
        <v>0</v>
      </c>
      <c r="H829" s="3" t="n">
        <v>0</v>
      </c>
      <c r="I829" s="3" t="n">
        <v>0</v>
      </c>
      <c r="J829" s="3" t="n">
        <v>0</v>
      </c>
      <c r="K829" s="3" t="n">
        <v>0</v>
      </c>
      <c r="L829" s="3">
        <f>IF(K829&lt;-5,"CRÍTICO",IF(K829&lt;0,"ATENÇÃO",IF(K829&lt;=5,"BOM","EXCELENTE")))</f>
        <v/>
      </c>
      <c r="M829" s="3" t="n">
        <v>0</v>
      </c>
      <c r="N829" s="3" t="n">
        <v>100</v>
      </c>
      <c r="O829" s="12" t="n">
        <v>25</v>
      </c>
    </row>
    <row r="830">
      <c r="A830" s="10" t="n">
        <v>46027</v>
      </c>
      <c r="B830" t="inlineStr">
        <is>
          <t>Emilly Kamilly Medeiros Miranda</t>
        </is>
      </c>
      <c r="C830" s="1" t="inlineStr">
        <is>
          <t>Técnico II</t>
        </is>
      </c>
      <c r="D830" s="3" t="n">
        <v>39</v>
      </c>
      <c r="E830" s="3" t="n">
        <v>38</v>
      </c>
      <c r="F830" s="3" t="n">
        <v>12.19</v>
      </c>
      <c r="G830" s="3" t="n">
        <v>0</v>
      </c>
      <c r="H830" s="3" t="n">
        <v>0</v>
      </c>
      <c r="I830" s="3">
        <f>E830+G830+H830</f>
        <v/>
      </c>
      <c r="J830" s="3">
        <f>ROUND(MIN(IF(C830="Técnico III",35,IF(C830="Técnico II",28,IF(C830="Técnico I",23,IF(C830="JR",20,IF(C830="Estágio",10,0))))),IF(C830="Técnico III",SUMIFS($D:$D,$A:$A,$A830,$B:$B,"&lt;&gt;Patrícia Karla de Sousa Araújo",$B:$B,"&lt;&gt;Lorena Dias de Araujo",$B:$B,"&lt;&gt;Lucas Luiz Romero")*(35/1083),IF(C830="Técnico II",SUMIFS($D:$D,$A:$A,$A830,$B:$B,"&lt;&gt;Patrícia Karla de Sousa Araújo",$B:$B,"&lt;&gt;Lorena Dias de Araujo",$B:$B,"&lt;&gt;Lucas Luiz Romero")*(28/1083),IF(C830="Técnico I",SUMIFS($D:$D,$A:$A,$A830,$B:$B,"&lt;&gt;Patrícia Karla de Sousa Araújo",$B:$B,"&lt;&gt;Lorena Dias de Araujo",$B:$B,"&lt;&gt;Lucas Luiz Romero")*(23/1083),IF(C830="JR",SUMIFS($D:$D,$A:$A,$A830,$B:$B,"&lt;&gt;Patrícia Karla de Sousa Araújo",$B:$B,"&lt;&gt;Lorena Dias de Araujo",$B:$B,"&lt;&gt;Lucas Luiz Romero")*(20/1083),IF(C830="Estágio",SUMIFS($D:$D,$A:$A,$A830,$B:$B,"&lt;&gt;Patrícia Karla de Sousa Araújo",$B:$B,"&lt;&gt;Lorena Dias de Araujo",$B:$B,"&lt;&gt;Lucas Luiz Romero")*(10/1083),0)))))),0)</f>
        <v/>
      </c>
      <c r="K830" s="3">
        <f>I830-J830</f>
        <v/>
      </c>
      <c r="L830" s="3">
        <f>IF(K830&lt;-5,"CRÍTICO",IF(K830&lt;0,"ATENÇÃO",IF(K830&lt;=5,"BOM","EXCELENTE")))</f>
        <v/>
      </c>
      <c r="M830" s="3" t="n">
        <v>34</v>
      </c>
      <c r="N830" s="3" t="n">
        <v>100</v>
      </c>
      <c r="O830" s="12" t="n">
        <v>34.15094339622641</v>
      </c>
    </row>
    <row r="831">
      <c r="A831" s="10" t="n">
        <v>46027</v>
      </c>
      <c r="B831" t="inlineStr">
        <is>
          <t>Francielson de Oliveira</t>
        </is>
      </c>
      <c r="C831" s="1" t="inlineStr">
        <is>
          <t>Técnico III</t>
        </is>
      </c>
      <c r="D831" s="3" t="n">
        <v>32</v>
      </c>
      <c r="E831" s="3" t="n">
        <v>29</v>
      </c>
      <c r="F831" s="3" t="n">
        <v>11.53</v>
      </c>
      <c r="G831" s="3" t="n">
        <v>0</v>
      </c>
      <c r="H831" s="3" t="n">
        <v>0</v>
      </c>
      <c r="I831" s="3">
        <f>E831+G831+H831</f>
        <v/>
      </c>
      <c r="J831" s="3">
        <f>ROUND(MIN(IF(C831="Técnico III",35,IF(C831="Técnico II",28,IF(C831="Técnico I",23,IF(C831="JR",20,IF(C831="Estágio",10,0))))),IF(C831="Técnico III",SUMIFS($D:$D,$A:$A,$A831,$B:$B,"&lt;&gt;Patrícia Karla de Sousa Araújo",$B:$B,"&lt;&gt;Lorena Dias de Araujo",$B:$B,"&lt;&gt;Lucas Luiz Romero")*(35/1083),IF(C831="Técnico II",SUMIFS($D:$D,$A:$A,$A831,$B:$B,"&lt;&gt;Patrícia Karla de Sousa Araújo",$B:$B,"&lt;&gt;Lorena Dias de Araujo",$B:$B,"&lt;&gt;Lucas Luiz Romero")*(28/1083),IF(C831="Técnico I",SUMIFS($D:$D,$A:$A,$A831,$B:$B,"&lt;&gt;Patrícia Karla de Sousa Araújo",$B:$B,"&lt;&gt;Lorena Dias de Araujo",$B:$B,"&lt;&gt;Lucas Luiz Romero")*(23/1083),IF(C831="JR",SUMIFS($D:$D,$A:$A,$A831,$B:$B,"&lt;&gt;Patrícia Karla de Sousa Araújo",$B:$B,"&lt;&gt;Lorena Dias de Araujo",$B:$B,"&lt;&gt;Lucas Luiz Romero")*(20/1083),IF(C831="Estágio",SUMIFS($D:$D,$A:$A,$A831,$B:$B,"&lt;&gt;Patrícia Karla de Sousa Araújo",$B:$B,"&lt;&gt;Lorena Dias de Araujo",$B:$B,"&lt;&gt;Lucas Luiz Romero")*(10/1083),0)))))),0)</f>
        <v/>
      </c>
      <c r="K831" s="3">
        <f>I831-J831</f>
        <v/>
      </c>
      <c r="L831" s="3">
        <f>IF(K831&lt;-5,"CRÍTICO",IF(K831&lt;0,"ATENÇÃO",IF(K831&lt;=5,"BOM","EXCELENTE")))</f>
        <v/>
      </c>
      <c r="M831" s="3" t="n">
        <v>30</v>
      </c>
      <c r="N831" s="3" t="n">
        <v>100</v>
      </c>
      <c r="O831" s="12" t="n">
        <v>32.7313769751693</v>
      </c>
    </row>
    <row r="832">
      <c r="A832" s="10" t="n">
        <v>46027</v>
      </c>
      <c r="B832" t="inlineStr">
        <is>
          <t>Francilene Ferreira de Jesus</t>
        </is>
      </c>
      <c r="C832" s="1" t="inlineStr">
        <is>
          <t>Técnico II</t>
        </is>
      </c>
      <c r="D832" s="3" t="n">
        <v>32</v>
      </c>
      <c r="E832" s="3" t="n">
        <v>27</v>
      </c>
      <c r="F832" s="3" t="n">
        <v>20.36</v>
      </c>
      <c r="G832" s="3" t="n">
        <v>0</v>
      </c>
      <c r="H832" s="3" t="n">
        <v>0</v>
      </c>
      <c r="I832" s="3">
        <f>E832+G832+H832</f>
        <v/>
      </c>
      <c r="J832" s="3">
        <f>ROUND(MIN(IF(C832="Técnico III",35,IF(C832="Técnico II",28,IF(C832="Técnico I",23,IF(C832="JR",20,IF(C832="Estágio",10,0))))),IF(C832="Técnico III",SUMIFS($D:$D,$A:$A,$A832,$B:$B,"&lt;&gt;Patrícia Karla de Sousa Araújo",$B:$B,"&lt;&gt;Lorena Dias de Araujo",$B:$B,"&lt;&gt;Lucas Luiz Romero")*(35/1083),IF(C832="Técnico II",SUMIFS($D:$D,$A:$A,$A832,$B:$B,"&lt;&gt;Patrícia Karla de Sousa Araújo",$B:$B,"&lt;&gt;Lorena Dias de Araujo",$B:$B,"&lt;&gt;Lucas Luiz Romero")*(28/1083),IF(C832="Técnico I",SUMIFS($D:$D,$A:$A,$A832,$B:$B,"&lt;&gt;Patrícia Karla de Sousa Araújo",$B:$B,"&lt;&gt;Lorena Dias de Araujo",$B:$B,"&lt;&gt;Lucas Luiz Romero")*(23/1083),IF(C832="JR",SUMIFS($D:$D,$A:$A,$A832,$B:$B,"&lt;&gt;Patrícia Karla de Sousa Araújo",$B:$B,"&lt;&gt;Lorena Dias de Araujo",$B:$B,"&lt;&gt;Lucas Luiz Romero")*(20/1083),IF(C832="Estágio",SUMIFS($D:$D,$A:$A,$A832,$B:$B,"&lt;&gt;Patrícia Karla de Sousa Araújo",$B:$B,"&lt;&gt;Lorena Dias de Araujo",$B:$B,"&lt;&gt;Lucas Luiz Romero")*(10/1083),0)))))),0)</f>
        <v/>
      </c>
      <c r="K832" s="3">
        <f>I832-J832</f>
        <v/>
      </c>
      <c r="L832" s="3">
        <f>IF(K832&lt;-5,"CRÍTICO",IF(K832&lt;0,"ATENÇÃO",IF(K832&lt;=5,"BOM","EXCELENTE")))</f>
        <v/>
      </c>
      <c r="M832" s="3" t="n">
        <v>27</v>
      </c>
      <c r="N832" s="3" t="n">
        <v>99.31</v>
      </c>
      <c r="O832" s="12" t="n">
        <v>30.96234309623431</v>
      </c>
    </row>
    <row r="833">
      <c r="A833" s="10" t="n">
        <v>46059</v>
      </c>
      <c r="B833" t="inlineStr">
        <is>
          <t>Gabriel Gomes de Andrade</t>
        </is>
      </c>
      <c r="C833" s="1" t="inlineStr">
        <is>
          <t>Técnico I</t>
        </is>
      </c>
      <c r="D833" s="3" t="n">
        <v>18</v>
      </c>
      <c r="E833" s="3" t="n">
        <v>16</v>
      </c>
      <c r="F833" s="3" t="n">
        <v>27.15</v>
      </c>
      <c r="G833" s="3" t="n">
        <v>0</v>
      </c>
      <c r="H833" s="3" t="n">
        <v>0</v>
      </c>
      <c r="I833" s="3">
        <f>E833+G833+H833</f>
        <v/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/>
      </c>
      <c r="K833" s="3">
        <f>I833-J833</f>
        <v/>
      </c>
      <c r="L833" s="3">
        <f>IF(K833&lt;-5,"CRÍTICO",IF(K833&lt;0,"ATENÇÃO",IF(K833&lt;=5,"BOM","EXCELENTE")))</f>
        <v/>
      </c>
      <c r="M833" s="3" t="n">
        <v>28</v>
      </c>
      <c r="N833" s="3" t="n">
        <v>96.67</v>
      </c>
      <c r="O833" s="12" t="n">
        <v>31.45161290322581</v>
      </c>
    </row>
    <row r="834">
      <c r="A834" s="10" t="n">
        <v>46027</v>
      </c>
      <c r="B834" t="inlineStr">
        <is>
          <t>Isabella Borges de Oliveira</t>
        </is>
      </c>
      <c r="C834" s="1" t="inlineStr">
        <is>
          <t>Técnico II</t>
        </is>
      </c>
      <c r="D834" s="3" t="n">
        <v>27</v>
      </c>
      <c r="E834" s="3" t="n">
        <v>24</v>
      </c>
      <c r="F834" s="3" t="n">
        <v>22.12</v>
      </c>
      <c r="G834" s="3" t="n">
        <v>0</v>
      </c>
      <c r="H834" s="3" t="n">
        <v>0</v>
      </c>
      <c r="I834" s="3">
        <f>E834+G834+H834</f>
        <v/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/>
      </c>
      <c r="K834" s="3">
        <f>I834-J834</f>
        <v/>
      </c>
      <c r="L834" s="3">
        <f>IF(K834&lt;-5,"CRÍTICO",IF(K834&lt;0,"ATENÇÃO",IF(K834&lt;=5,"BOM","EXCELENTE")))</f>
        <v/>
      </c>
      <c r="M834" s="3" t="n">
        <v>25</v>
      </c>
      <c r="N834" s="3" t="n">
        <v>100</v>
      </c>
      <c r="O834" s="12" t="n">
        <v>27.67676767676768</v>
      </c>
    </row>
    <row r="835">
      <c r="A835" s="10" t="n">
        <v>46027</v>
      </c>
      <c r="B835" t="inlineStr">
        <is>
          <t>Janaina Lima dos Reis Urany</t>
        </is>
      </c>
      <c r="C835" s="1" t="inlineStr">
        <is>
          <t>Técnico III</t>
        </is>
      </c>
      <c r="D835" s="3" t="n">
        <v>53</v>
      </c>
      <c r="E835" s="3" t="n">
        <v>44</v>
      </c>
      <c r="F835" s="3" t="n">
        <v>12.26</v>
      </c>
      <c r="G835" s="3" t="n">
        <v>0</v>
      </c>
      <c r="H835" s="3" t="n">
        <v>0</v>
      </c>
      <c r="I835" s="3">
        <f>E835+G835+H835</f>
        <v/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/>
      </c>
      <c r="K835" s="3">
        <f>I835-J835</f>
        <v/>
      </c>
      <c r="L835" s="3">
        <f>IF(K835&lt;-5,"CRÍTICO",IF(K835&lt;0,"ATENÇÃO",IF(K835&lt;=5,"BOM","EXCELENTE")))</f>
        <v/>
      </c>
      <c r="M835" s="3" t="n">
        <v>46</v>
      </c>
      <c r="N835" s="3" t="n">
        <v>100</v>
      </c>
      <c r="O835" s="12" t="n">
        <v>31.17723156532988</v>
      </c>
    </row>
    <row r="836">
      <c r="A836" s="10" t="n">
        <v>46027</v>
      </c>
      <c r="B836" t="inlineStr">
        <is>
          <t>Jaqueline Evangelista da Silva Martins</t>
        </is>
      </c>
      <c r="C836" s="1" t="inlineStr">
        <is>
          <t>Técnico III</t>
        </is>
      </c>
      <c r="D836" s="3" t="n">
        <v>14</v>
      </c>
      <c r="E836" s="3" t="n">
        <v>12</v>
      </c>
      <c r="F836" s="3" t="n">
        <v>15.15</v>
      </c>
      <c r="G836" s="3" t="n">
        <v>0</v>
      </c>
      <c r="H836" s="3" t="n">
        <v>0</v>
      </c>
      <c r="I836" s="3">
        <f>E836+G836+H836</f>
        <v/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/>
      </c>
      <c r="K836" s="3">
        <f>I836-J836</f>
        <v/>
      </c>
      <c r="L836" s="3">
        <f>IF(K836&lt;-5,"CRÍTICO",IF(K836&lt;0,"ATENÇÃO",IF(K836&lt;=5,"BOM","EXCELENTE")))</f>
        <v/>
      </c>
      <c r="M836" s="3" t="n">
        <v>11</v>
      </c>
      <c r="N836" s="3" t="n">
        <v>100</v>
      </c>
      <c r="O836" s="12" t="n">
        <v>27.60942760942761</v>
      </c>
    </row>
    <row r="837">
      <c r="A837" s="10" t="n">
        <v>46027</v>
      </c>
      <c r="B837" t="inlineStr">
        <is>
          <t>Jessica Faria da Silveira</t>
        </is>
      </c>
      <c r="C837" s="1" t="inlineStr">
        <is>
          <t>Técnico II</t>
        </is>
      </c>
      <c r="D837" s="3" t="n">
        <v>40</v>
      </c>
      <c r="E837" s="3" t="n">
        <v>30</v>
      </c>
      <c r="F837" s="3" t="n">
        <v>11.52</v>
      </c>
      <c r="G837" s="3" t="n">
        <v>0</v>
      </c>
      <c r="H837" s="3" t="n">
        <v>0</v>
      </c>
      <c r="I837" s="3">
        <f>E837+G837+H837</f>
        <v/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/>
      </c>
      <c r="K837" s="3">
        <f>I837-J837</f>
        <v/>
      </c>
      <c r="L837" s="3">
        <f>IF(K837&lt;-5,"CRÍTICO",IF(K837&lt;0,"ATENÇÃO",IF(K837&lt;=5,"BOM","EXCELENTE")))</f>
        <v/>
      </c>
      <c r="M837" s="3" t="n">
        <v>29</v>
      </c>
      <c r="N837" s="3" t="n">
        <v>96.40000000000001</v>
      </c>
      <c r="O837" s="12" t="n">
        <v>28.76404494382023</v>
      </c>
    </row>
    <row r="838">
      <c r="A838" s="10" t="n">
        <v>46027</v>
      </c>
      <c r="B838" t="inlineStr">
        <is>
          <t>Jéssica Fé Moura</t>
        </is>
      </c>
      <c r="C838" s="1" t="inlineStr">
        <is>
          <t>Técnico III</t>
        </is>
      </c>
      <c r="D838" s="3" t="n">
        <v>0</v>
      </c>
      <c r="E838" s="3" t="n">
        <v>0</v>
      </c>
      <c r="F838" s="3" t="n">
        <v>0</v>
      </c>
      <c r="G838" s="3" t="n">
        <v>0</v>
      </c>
      <c r="H838" s="3" t="n">
        <v>0</v>
      </c>
      <c r="I838" s="3" t="n">
        <v>0</v>
      </c>
      <c r="J838" s="3" t="n">
        <v>0</v>
      </c>
      <c r="K838" s="3" t="n">
        <v>0</v>
      </c>
      <c r="L838" s="3">
        <f>IF(K838&lt;-5,"CRÍTICO",IF(K838&lt;0,"ATENÇÃO",IF(K838&lt;=5,"BOM","EXCELENTE")))</f>
        <v/>
      </c>
      <c r="M838" s="3" t="n">
        <v>21</v>
      </c>
      <c r="N838" s="3" t="n">
        <v>100</v>
      </c>
      <c r="O838" s="12" t="n">
        <v>33.98058252427185</v>
      </c>
    </row>
    <row r="839">
      <c r="A839" s="10" t="n">
        <v>46027</v>
      </c>
      <c r="B839" t="inlineStr">
        <is>
          <t>Karina Gonçalves Martins</t>
        </is>
      </c>
      <c r="C839" s="1" t="inlineStr">
        <is>
          <t>JR</t>
        </is>
      </c>
      <c r="D839" s="3" t="n">
        <v>7</v>
      </c>
      <c r="E839" s="3" t="n">
        <v>6</v>
      </c>
      <c r="F839" s="3" t="n">
        <v>29.13</v>
      </c>
      <c r="G839" s="3" t="n">
        <v>0</v>
      </c>
      <c r="H839" s="3" t="n">
        <v>0</v>
      </c>
      <c r="I839" s="3">
        <f>E839+G839+H839</f>
        <v/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/>
      </c>
      <c r="K839" s="3">
        <f>I839-J839</f>
        <v/>
      </c>
      <c r="L839" s="3">
        <f>IF(K839&lt;-5,"CRÍTICO",IF(K839&lt;0,"ATENÇÃO",IF(K839&lt;=5,"BOM","EXCELENTE")))</f>
        <v/>
      </c>
      <c r="M839" s="3" t="n">
        <v>6</v>
      </c>
      <c r="N839" s="3" t="n">
        <v>97.56</v>
      </c>
      <c r="O839" s="12" t="n">
        <v>32.51533742331289</v>
      </c>
    </row>
    <row r="840">
      <c r="A840" s="10" t="n">
        <v>46027</v>
      </c>
      <c r="B840" t="inlineStr">
        <is>
          <t>Kerollen Cristielly de Jesus Siqueira</t>
        </is>
      </c>
      <c r="C840" s="1" t="inlineStr">
        <is>
          <t>Técnico III</t>
        </is>
      </c>
      <c r="D840" s="3" t="n">
        <v>0</v>
      </c>
      <c r="E840" s="3" t="n">
        <v>0</v>
      </c>
      <c r="F840" s="3" t="n">
        <v>0</v>
      </c>
      <c r="G840" s="3" t="n">
        <v>0</v>
      </c>
      <c r="H840" s="3" t="n">
        <v>0</v>
      </c>
      <c r="I840" s="3" t="n">
        <v>0</v>
      </c>
      <c r="J840" s="3" t="n">
        <v>0</v>
      </c>
      <c r="K840" s="3" t="n">
        <v>0</v>
      </c>
      <c r="L840" s="3">
        <f>IF(K840&lt;-5,"CRÍTICO",IF(K840&lt;0,"ATENÇÃO",IF(K840&lt;=5,"BOM","EXCELENTE")))</f>
        <v/>
      </c>
      <c r="M840" s="3" t="n">
        <v>15</v>
      </c>
      <c r="N840" s="3" t="n">
        <v>97.11</v>
      </c>
      <c r="O840" s="12" t="n">
        <v>37.40831295843521</v>
      </c>
    </row>
    <row r="841">
      <c r="A841" s="10" t="n">
        <v>46027</v>
      </c>
      <c r="B841" t="inlineStr">
        <is>
          <t>Leandro de Souza Silva</t>
        </is>
      </c>
      <c r="C841" s="1" t="inlineStr">
        <is>
          <t>JR</t>
        </is>
      </c>
      <c r="D841" s="3" t="n">
        <v>0</v>
      </c>
      <c r="E841" s="3" t="n">
        <v>0</v>
      </c>
      <c r="F841" s="3" t="n">
        <v>0</v>
      </c>
      <c r="G841" s="3" t="n">
        <v>0</v>
      </c>
      <c r="H841" s="3" t="n">
        <v>0</v>
      </c>
      <c r="I841" s="3" t="n">
        <v>0</v>
      </c>
      <c r="J841" s="3" t="n">
        <v>0</v>
      </c>
      <c r="K841" s="3" t="n">
        <v>0</v>
      </c>
      <c r="L841" s="3">
        <f>IF(K841&lt;-5,"CRÍTICO",IF(K841&lt;0,"ATENÇÃO",IF(K841&lt;=5,"BOM","EXCELENTE")))</f>
        <v/>
      </c>
      <c r="M841" s="3" t="n">
        <v>0</v>
      </c>
      <c r="N841" s="3" t="n">
        <v>0</v>
      </c>
      <c r="O841" s="12" t="n">
        <v>0</v>
      </c>
    </row>
    <row r="842">
      <c r="A842" s="10" t="n">
        <v>46027</v>
      </c>
      <c r="B842" t="inlineStr">
        <is>
          <t>Leandro Oliveira de Sousa</t>
        </is>
      </c>
      <c r="C842" s="1" t="inlineStr">
        <is>
          <t>Técnico III</t>
        </is>
      </c>
      <c r="D842" s="3" t="n">
        <v>31</v>
      </c>
      <c r="E842" s="3" t="n">
        <v>29</v>
      </c>
      <c r="F842" s="3" t="n">
        <v>15.57</v>
      </c>
      <c r="G842" s="3" t="n">
        <v>0</v>
      </c>
      <c r="H842" s="3" t="n">
        <v>0</v>
      </c>
      <c r="I842" s="3">
        <f>E842+G842+H842</f>
        <v/>
      </c>
      <c r="J842" s="3">
        <f>ROUND(MIN(IF(C842="Técnico III",35,IF(C842="Técnico II",28,IF(C842="Técnico I",23,IF(C842="JR",20,IF(C842="Estágio",10,0))))),IF(C842="Técnico III",SUMIFS($D:$D,$A:$A,$A842,$B:$B,"&lt;&gt;Patrícia Karla de Sousa Araújo",$B:$B,"&lt;&gt;Lorena Dias de Araujo",$B:$B,"&lt;&gt;Lucas Luiz Romero")*(35/1083),IF(C842="Técnico II",SUMIFS($D:$D,$A:$A,$A842,$B:$B,"&lt;&gt;Patrícia Karla de Sousa Araújo",$B:$B,"&lt;&gt;Lorena Dias de Araujo",$B:$B,"&lt;&gt;Lucas Luiz Romero")*(28/1083),IF(C842="Técnico I",SUMIFS($D:$D,$A:$A,$A842,$B:$B,"&lt;&gt;Patrícia Karla de Sousa Araújo",$B:$B,"&lt;&gt;Lorena Dias de Araujo",$B:$B,"&lt;&gt;Lucas Luiz Romero")*(23/1083),IF(C842="JR",SUMIFS($D:$D,$A:$A,$A842,$B:$B,"&lt;&gt;Patrícia Karla de Sousa Araújo",$B:$B,"&lt;&gt;Lorena Dias de Araujo",$B:$B,"&lt;&gt;Lucas Luiz Romero")*(20/1083),IF(C842="Estágio",SUMIFS($D:$D,$A:$A,$A842,$B:$B,"&lt;&gt;Patrícia Karla de Sousa Araújo",$B:$B,"&lt;&gt;Lorena Dias de Araujo",$B:$B,"&lt;&gt;Lucas Luiz Romero")*(10/1083),0)))))),0)</f>
        <v/>
      </c>
      <c r="K842" s="3">
        <f>I842-J842</f>
        <v/>
      </c>
      <c r="L842" s="3">
        <f>IF(K842&lt;-5,"CRÍTICO",IF(K842&lt;0,"ATENÇÃO",IF(K842&lt;=5,"BOM","EXCELENTE")))</f>
        <v/>
      </c>
      <c r="M842" s="3" t="n">
        <v>25</v>
      </c>
      <c r="N842" s="3" t="n">
        <v>100</v>
      </c>
      <c r="O842" s="12" t="n">
        <v>30.47034764826176</v>
      </c>
    </row>
    <row r="843">
      <c r="A843" s="10" t="n">
        <v>46027</v>
      </c>
      <c r="B843" t="inlineStr">
        <is>
          <t>Lizandra Gomes Duarte</t>
        </is>
      </c>
      <c r="C843" s="1" t="inlineStr">
        <is>
          <t>Técnico II</t>
        </is>
      </c>
      <c r="D843" s="3" t="n">
        <v>32</v>
      </c>
      <c r="E843" s="3" t="n">
        <v>28</v>
      </c>
      <c r="F843" s="3" t="n">
        <v>17.1</v>
      </c>
      <c r="G843" s="3" t="n">
        <v>0</v>
      </c>
      <c r="H843" s="3" t="n">
        <v>0</v>
      </c>
      <c r="I843" s="3">
        <f>E843+G843+H843</f>
        <v/>
      </c>
      <c r="J843" s="3">
        <f>ROUND(MIN(IF(C843="Técnico III",35,IF(C843="Técnico II",28,IF(C843="Técnico I",23,IF(C843="JR",20,IF(C843="Estágio",10,0))))),IF(C843="Técnico III",SUMIFS($D:$D,$A:$A,$A843,$B:$B,"&lt;&gt;Patrícia Karla de Sousa Araújo",$B:$B,"&lt;&gt;Lorena Dias de Araujo",$B:$B,"&lt;&gt;Lucas Luiz Romero")*(35/1083),IF(C843="Técnico II",SUMIFS($D:$D,$A:$A,$A843,$B:$B,"&lt;&gt;Patrícia Karla de Sousa Araújo",$B:$B,"&lt;&gt;Lorena Dias de Araujo",$B:$B,"&lt;&gt;Lucas Luiz Romero")*(28/1083),IF(C843="Técnico I",SUMIFS($D:$D,$A:$A,$A843,$B:$B,"&lt;&gt;Patrícia Karla de Sousa Araújo",$B:$B,"&lt;&gt;Lorena Dias de Araujo",$B:$B,"&lt;&gt;Lucas Luiz Romero")*(23/1083),IF(C843="JR",SUMIFS($D:$D,$A:$A,$A843,$B:$B,"&lt;&gt;Patrícia Karla de Sousa Araújo",$B:$B,"&lt;&gt;Lorena Dias de Araujo",$B:$B,"&lt;&gt;Lucas Luiz Romero")*(20/1083),IF(C843="Estágio",SUMIFS($D:$D,$A:$A,$A843,$B:$B,"&lt;&gt;Patrícia Karla de Sousa Araújo",$B:$B,"&lt;&gt;Lorena Dias de Araujo",$B:$B,"&lt;&gt;Lucas Luiz Romero")*(10/1083),0)))))),0)</f>
        <v/>
      </c>
      <c r="K843" s="3">
        <f>I843-J843</f>
        <v/>
      </c>
      <c r="L843" s="3">
        <f>IF(K843&lt;-5,"CRÍTICO",IF(K843&lt;0,"ATENÇÃO",IF(K843&lt;=5,"BOM","EXCELENTE")))</f>
        <v/>
      </c>
      <c r="M843" s="3" t="n">
        <v>28</v>
      </c>
      <c r="N843" s="3" t="n">
        <v>100</v>
      </c>
      <c r="O843" s="12" t="n">
        <v>32.37113402061856</v>
      </c>
    </row>
    <row r="844">
      <c r="A844" s="10" t="n">
        <v>46027</v>
      </c>
      <c r="B844" t="inlineStr">
        <is>
          <t>Lorena Dias de Araujo</t>
        </is>
      </c>
      <c r="C844" s="1" t="inlineStr">
        <is>
          <t>Técnico II</t>
        </is>
      </c>
      <c r="D844" s="3" t="n">
        <v>28</v>
      </c>
      <c r="E844" s="3" t="n">
        <v>26</v>
      </c>
      <c r="F844" s="3" t="n">
        <v>17.28</v>
      </c>
      <c r="G844" s="3" t="n">
        <v>0</v>
      </c>
      <c r="H844" s="3" t="n">
        <v>0</v>
      </c>
      <c r="I844" s="3" t="n">
        <v>0</v>
      </c>
      <c r="J844" s="3" t="n">
        <v>0</v>
      </c>
      <c r="K844" s="3" t="n">
        <v>0</v>
      </c>
      <c r="L844" s="3">
        <f>IF(K844&lt;-5,"CRÍTICO",IF(K844&lt;0,"ATENÇÃO",IF(K844&lt;=5,"BOM","EXCELENTE")))</f>
        <v/>
      </c>
      <c r="M844" s="3" t="n">
        <v>26</v>
      </c>
      <c r="N844" s="3" t="n">
        <v>98.31999999999999</v>
      </c>
      <c r="O844" s="12" t="n">
        <v>32.31850117096019</v>
      </c>
    </row>
    <row r="845">
      <c r="A845" s="10" t="n">
        <v>46027</v>
      </c>
      <c r="B845" t="inlineStr">
        <is>
          <t>Lucas Luiz Romero</t>
        </is>
      </c>
      <c r="C845" s="1" t="inlineStr">
        <is>
          <t>Técnico III</t>
        </is>
      </c>
      <c r="D845" s="3" t="n">
        <v>47</v>
      </c>
      <c r="E845" s="3" t="n">
        <v>40</v>
      </c>
      <c r="F845" s="3" t="n">
        <v>9</v>
      </c>
      <c r="G845" s="3" t="n">
        <v>0</v>
      </c>
      <c r="H845" s="3" t="n">
        <v>0</v>
      </c>
      <c r="I845" s="3">
        <f>E845+G845+H845</f>
        <v/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/>
      </c>
      <c r="K845" s="3">
        <f>I845-J845</f>
        <v/>
      </c>
      <c r="L845" s="3">
        <f>IF(K845&lt;-5,"CRÍTICO",IF(K845&lt;0,"ATENÇÃO",IF(K845&lt;=5,"BOM","EXCELENTE")))</f>
        <v/>
      </c>
      <c r="M845" s="3" t="n">
        <v>37</v>
      </c>
      <c r="N845" s="3" t="n">
        <v>96.43000000000001</v>
      </c>
      <c r="O845" s="12" t="n">
        <v>27.01525054466231</v>
      </c>
    </row>
    <row r="846">
      <c r="A846" s="10" t="n">
        <v>46027</v>
      </c>
      <c r="B846" t="inlineStr">
        <is>
          <t>Luiz Fernando de Carvalho Junior</t>
        </is>
      </c>
      <c r="C846" s="1" t="inlineStr">
        <is>
          <t>Técnico I</t>
        </is>
      </c>
      <c r="D846" s="3" t="n">
        <v>29</v>
      </c>
      <c r="E846" s="3" t="n">
        <v>28</v>
      </c>
      <c r="F846" s="3" t="n">
        <v>16.5</v>
      </c>
      <c r="G846" s="3" t="n">
        <v>0</v>
      </c>
      <c r="H846" s="3" t="n">
        <v>0</v>
      </c>
      <c r="I846" s="3">
        <f>E846+G846+H846</f>
        <v/>
      </c>
      <c r="J846" s="3">
        <f>ROUND(MIN(IF(C846="Técnico III",35,IF(C846="Técnico II",28,IF(C846="Técnico I",23,IF(C846="JR",20,IF(C846="Estágio",10,0))))),IF(C846="Técnico III",SUMIFS($D:$D,$A:$A,$A846,$B:$B,"&lt;&gt;Patrícia Karla de Sousa Araújo",$B:$B,"&lt;&gt;Lorena Dias de Araujo",$B:$B,"&lt;&gt;Lucas Luiz Romero")*(35/1083),IF(C846="Técnico II",SUMIFS($D:$D,$A:$A,$A846,$B:$B,"&lt;&gt;Patrícia Karla de Sousa Araújo",$B:$B,"&lt;&gt;Lorena Dias de Araujo",$B:$B,"&lt;&gt;Lucas Luiz Romero")*(28/1083),IF(C846="Técnico I",SUMIFS($D:$D,$A:$A,$A846,$B:$B,"&lt;&gt;Patrícia Karla de Sousa Araújo",$B:$B,"&lt;&gt;Lorena Dias de Araujo",$B:$B,"&lt;&gt;Lucas Luiz Romero")*(23/1083),IF(C846="JR",SUMIFS($D:$D,$A:$A,$A846,$B:$B,"&lt;&gt;Patrícia Karla de Sousa Araújo",$B:$B,"&lt;&gt;Lorena Dias de Araujo",$B:$B,"&lt;&gt;Lucas Luiz Romero")*(20/1083),IF(C846="Estágio",SUMIFS($D:$D,$A:$A,$A846,$B:$B,"&lt;&gt;Patrícia Karla de Sousa Araújo",$B:$B,"&lt;&gt;Lorena Dias de Araujo",$B:$B,"&lt;&gt;Lucas Luiz Romero")*(10/1083),0)))))),0)</f>
        <v/>
      </c>
      <c r="K846" s="3">
        <f>I846-J846</f>
        <v/>
      </c>
      <c r="L846" s="3">
        <f>IF(K846&lt;-5,"CRÍTICO",IF(K846&lt;0,"ATENÇÃO",IF(K846&lt;=5,"BOM","EXCELENTE")))</f>
        <v/>
      </c>
      <c r="M846" s="3" t="n">
        <v>25</v>
      </c>
      <c r="N846" s="3" t="n">
        <v>98.89</v>
      </c>
      <c r="O846" s="12" t="n">
        <v>28.02197802197802</v>
      </c>
    </row>
    <row r="847">
      <c r="A847" s="10" t="n">
        <v>46027</v>
      </c>
      <c r="B847" t="inlineStr">
        <is>
          <t>Maria Eduarda Sousa Costa</t>
        </is>
      </c>
      <c r="C847" s="1" t="inlineStr">
        <is>
          <t>Estágio</t>
        </is>
      </c>
      <c r="D847" s="3" t="n">
        <v>10</v>
      </c>
      <c r="E847" s="3" t="n">
        <v>9</v>
      </c>
      <c r="F847" s="3" t="n">
        <v>34.12</v>
      </c>
      <c r="G847" s="3" t="n">
        <v>0</v>
      </c>
      <c r="H847" s="3" t="n">
        <v>0</v>
      </c>
      <c r="I847" s="3">
        <f>E847+G847+H847</f>
        <v/>
      </c>
      <c r="J847" s="3">
        <f>ROUND(MIN(IF(C847="Técnico III",35,IF(C847="Técnico II",28,IF(C847="Técnico I",23,IF(C847="JR",20,IF(C847="Estágio",10,0))))),IF(C847="Técnico III",SUMIFS($D:$D,$A:$A,$A847,$B:$B,"&lt;&gt;Patrícia Karla de Sousa Araújo",$B:$B,"&lt;&gt;Lorena Dias de Araujo",$B:$B,"&lt;&gt;Lucas Luiz Romero")*(35/1083),IF(C847="Técnico II",SUMIFS($D:$D,$A:$A,$A847,$B:$B,"&lt;&gt;Patrícia Karla de Sousa Araújo",$B:$B,"&lt;&gt;Lorena Dias de Araujo",$B:$B,"&lt;&gt;Lucas Luiz Romero")*(28/1083),IF(C847="Técnico I",SUMIFS($D:$D,$A:$A,$A847,$B:$B,"&lt;&gt;Patrícia Karla de Sousa Araújo",$B:$B,"&lt;&gt;Lorena Dias de Araujo",$B:$B,"&lt;&gt;Lucas Luiz Romero")*(23/1083),IF(C847="JR",SUMIFS($D:$D,$A:$A,$A847,$B:$B,"&lt;&gt;Patrícia Karla de Sousa Araújo",$B:$B,"&lt;&gt;Lorena Dias de Araujo",$B:$B,"&lt;&gt;Lucas Luiz Romero")*(20/1083),IF(C847="Estágio",SUMIFS($D:$D,$A:$A,$A847,$B:$B,"&lt;&gt;Patrícia Karla de Sousa Araújo",$B:$B,"&lt;&gt;Lorena Dias de Araujo",$B:$B,"&lt;&gt;Lucas Luiz Romero")*(10/1083),0)))))),0)</f>
        <v/>
      </c>
      <c r="K847" s="3">
        <f>I847-J847</f>
        <v/>
      </c>
      <c r="L847" s="3">
        <f>IF(K847&lt;-5,"CRÍTICO",IF(K847&lt;0,"ATENÇÃO",IF(K847&lt;=5,"BOM","EXCELENTE")))</f>
        <v/>
      </c>
      <c r="M847" s="3" t="n">
        <v>9</v>
      </c>
      <c r="N847" s="3" t="n">
        <v>100</v>
      </c>
      <c r="O847" s="12" t="n">
        <v>33.33333333333333</v>
      </c>
    </row>
    <row r="848">
      <c r="A848" s="10" t="n">
        <v>46027</v>
      </c>
      <c r="B848" t="inlineStr">
        <is>
          <t>Matheus Farias De Souza</t>
        </is>
      </c>
      <c r="C848" s="1" t="inlineStr">
        <is>
          <t>Técnico III</t>
        </is>
      </c>
      <c r="D848" s="3" t="n">
        <v>0</v>
      </c>
      <c r="E848" s="3" t="n">
        <v>0</v>
      </c>
      <c r="F848" s="3" t="n">
        <v>0</v>
      </c>
      <c r="G848" s="3" t="n">
        <v>0</v>
      </c>
      <c r="H848" s="3" t="n">
        <v>0</v>
      </c>
      <c r="I848" s="3" t="n">
        <v>0</v>
      </c>
      <c r="J848" s="3" t="n">
        <v>0</v>
      </c>
      <c r="K848" s="3" t="n">
        <v>0</v>
      </c>
      <c r="L848" s="3">
        <f>IF(K848&lt;-5,"CRÍTICO",IF(K848&lt;0,"ATENÇÃO",IF(K848&lt;=5,"BOM","EXCELENTE")))</f>
        <v/>
      </c>
      <c r="M848" s="3" t="n">
        <v>0</v>
      </c>
      <c r="N848" s="3" t="n">
        <v>100</v>
      </c>
      <c r="O848" s="12" t="n">
        <v>27.43362831858407</v>
      </c>
    </row>
    <row r="849">
      <c r="A849" s="10" t="n">
        <v>46027</v>
      </c>
      <c r="B849" t="inlineStr">
        <is>
          <t>Maysa Victoria Dias Moura</t>
        </is>
      </c>
      <c r="C849" s="1" t="inlineStr">
        <is>
          <t>Técnico III</t>
        </is>
      </c>
      <c r="D849" s="3" t="n">
        <v>44</v>
      </c>
      <c r="E849" s="3" t="n">
        <v>32</v>
      </c>
      <c r="F849" s="3" t="n">
        <v>10.58</v>
      </c>
      <c r="G849" s="3" t="n">
        <v>0</v>
      </c>
      <c r="H849" s="3" t="n">
        <v>0</v>
      </c>
      <c r="I849" s="3">
        <f>E849+G849+H849</f>
        <v/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/>
      </c>
      <c r="K849" s="3">
        <f>I849-J849</f>
        <v/>
      </c>
      <c r="L849" s="3">
        <f>IF(K849&lt;-5,"CRÍTICO",IF(K849&lt;0,"ATENÇÃO",IF(K849&lt;=5,"BOM","EXCELENTE")))</f>
        <v/>
      </c>
      <c r="M849" s="3" t="n">
        <v>32</v>
      </c>
      <c r="N849" s="3" t="n">
        <v>98.65000000000001</v>
      </c>
      <c r="O849" s="12" t="n">
        <v>30.97826086956522</v>
      </c>
    </row>
    <row r="850">
      <c r="A850" s="10" t="n">
        <v>46027</v>
      </c>
      <c r="B850" t="inlineStr">
        <is>
          <t>Michelle G Santos</t>
        </is>
      </c>
      <c r="C850" s="1" t="inlineStr">
        <is>
          <t>Estágio</t>
        </is>
      </c>
      <c r="D850" s="3" t="n">
        <v>0</v>
      </c>
      <c r="E850" s="3" t="n">
        <v>0</v>
      </c>
      <c r="F850" s="3" t="n">
        <v>0</v>
      </c>
      <c r="G850" s="3" t="n">
        <v>0</v>
      </c>
      <c r="H850" s="3" t="n">
        <v>0</v>
      </c>
      <c r="I850" s="3" t="n">
        <v>0</v>
      </c>
      <c r="J850" s="3" t="n">
        <v>0</v>
      </c>
      <c r="K850" s="3" t="n">
        <v>0</v>
      </c>
      <c r="L850" s="3">
        <f>IF(K850&lt;-5,"CRÍTICO",IF(K850&lt;0,"ATENÇÃO",IF(K850&lt;=5,"BOM","EXCELENTE")))</f>
        <v/>
      </c>
      <c r="M850" s="3" t="n">
        <v>0</v>
      </c>
      <c r="N850" s="3" t="n">
        <v>100</v>
      </c>
      <c r="O850" s="12" t="n">
        <v>12</v>
      </c>
    </row>
    <row r="851">
      <c r="A851" s="10" t="n">
        <v>46027</v>
      </c>
      <c r="B851" t="inlineStr">
        <is>
          <t>Milena Sales</t>
        </is>
      </c>
      <c r="C851" s="1" t="inlineStr">
        <is>
          <t>JR</t>
        </is>
      </c>
      <c r="D851" s="3" t="n">
        <v>0</v>
      </c>
      <c r="E851" s="3" t="n">
        <v>0</v>
      </c>
      <c r="F851" s="3" t="n">
        <v>0</v>
      </c>
      <c r="G851" s="3" t="n">
        <v>0</v>
      </c>
      <c r="H851" s="3" t="n">
        <v>0</v>
      </c>
      <c r="I851" s="3" t="n">
        <v>0</v>
      </c>
      <c r="J851" s="3" t="n">
        <v>0</v>
      </c>
      <c r="K851" s="3" t="n">
        <v>0</v>
      </c>
      <c r="L851" s="3">
        <f>IF(K851&lt;-5,"CRÍTICO",IF(K851&lt;0,"ATENÇÃO",IF(K851&lt;=5,"BOM","EXCELENTE")))</f>
        <v/>
      </c>
      <c r="M851" s="3" t="n">
        <v>0</v>
      </c>
      <c r="N851" s="3" t="n">
        <v>0</v>
      </c>
      <c r="O851" s="12" t="n">
        <v>0</v>
      </c>
    </row>
    <row r="852">
      <c r="A852" s="10" t="n">
        <v>46027</v>
      </c>
      <c r="B852" t="inlineStr">
        <is>
          <t>Patrícia Karla de Sousa Araújo</t>
        </is>
      </c>
      <c r="C852" s="1" t="inlineStr">
        <is>
          <t>Técnico II</t>
        </is>
      </c>
      <c r="D852" s="3" t="n">
        <v>0</v>
      </c>
      <c r="E852" s="3" t="n">
        <v>0</v>
      </c>
      <c r="F852" s="3" t="n">
        <v>0</v>
      </c>
      <c r="G852" s="3" t="n">
        <v>0</v>
      </c>
      <c r="H852" s="3" t="n">
        <v>0</v>
      </c>
      <c r="I852" s="3" t="n">
        <v>0</v>
      </c>
      <c r="J852" s="3" t="n">
        <v>0</v>
      </c>
      <c r="K852" s="3" t="n">
        <v>0</v>
      </c>
      <c r="L852" s="3">
        <f>IF(K852&lt;-5,"CRÍTICO",IF(K852&lt;0,"ATENÇÃO",IF(K852&lt;=5,"BOM","EXCELENTE")))</f>
        <v/>
      </c>
      <c r="M852" s="3" t="n">
        <v>0</v>
      </c>
      <c r="N852" s="3" t="n">
        <v>97.56</v>
      </c>
      <c r="O852" s="12" t="n">
        <v>31.06796116504854</v>
      </c>
    </row>
    <row r="853">
      <c r="A853" s="10" t="n">
        <v>46027</v>
      </c>
      <c r="B853" t="inlineStr">
        <is>
          <t>Paulo Ricardo Santos</t>
        </is>
      </c>
      <c r="C853" s="1" t="inlineStr">
        <is>
          <t>JR</t>
        </is>
      </c>
      <c r="D853" s="3" t="n">
        <v>0</v>
      </c>
      <c r="E853" s="3" t="n">
        <v>0</v>
      </c>
      <c r="F853" s="3" t="n">
        <v>0</v>
      </c>
      <c r="G853" s="3" t="n">
        <v>0</v>
      </c>
      <c r="H853" s="3" t="n">
        <v>0</v>
      </c>
      <c r="I853" s="3" t="n">
        <v>0</v>
      </c>
      <c r="J853" s="3" t="n">
        <v>0</v>
      </c>
      <c r="K853" s="3" t="n">
        <v>0</v>
      </c>
      <c r="L853" s="3">
        <f>IF(K853&lt;-5,"CRÍTICO",IF(K853&lt;0,"ATENÇÃO",IF(K853&lt;=5,"BOM","EXCELENTE")))</f>
        <v/>
      </c>
      <c r="M853" s="3" t="n">
        <v>0</v>
      </c>
      <c r="N853" s="3" t="n">
        <v>0</v>
      </c>
      <c r="O853" s="12" t="n">
        <v>0</v>
      </c>
    </row>
    <row r="854">
      <c r="A854" s="10" t="n">
        <v>46027</v>
      </c>
      <c r="B854" t="inlineStr">
        <is>
          <t>Pedro Luiz Mota Sousa</t>
        </is>
      </c>
      <c r="C854" s="1" t="inlineStr">
        <is>
          <t>JR</t>
        </is>
      </c>
      <c r="D854" s="3" t="n">
        <v>0</v>
      </c>
      <c r="E854" s="3" t="n">
        <v>0</v>
      </c>
      <c r="F854" s="3" t="n">
        <v>0</v>
      </c>
      <c r="G854" s="3" t="n">
        <v>0</v>
      </c>
      <c r="H854" s="3" t="n">
        <v>0</v>
      </c>
      <c r="I854" s="3" t="n">
        <v>0</v>
      </c>
      <c r="J854" s="3" t="n">
        <v>0</v>
      </c>
      <c r="K854" s="3" t="n">
        <v>0</v>
      </c>
      <c r="L854" s="3">
        <f>IF(K854&lt;-5,"CRÍTICO",IF(K854&lt;0,"ATENÇÃO",IF(K854&lt;=5,"BOM","EXCELENTE")))</f>
        <v/>
      </c>
      <c r="M854" s="3" t="n">
        <v>0</v>
      </c>
      <c r="N854" s="3" t="n">
        <v>0</v>
      </c>
      <c r="O854" s="12" t="n">
        <v>0</v>
      </c>
    </row>
    <row r="855">
      <c r="A855" s="10" t="n">
        <v>46027</v>
      </c>
      <c r="B855" t="inlineStr">
        <is>
          <t>Quirino Diogo Leite Torres</t>
        </is>
      </c>
      <c r="C855" s="1" t="inlineStr">
        <is>
          <t>Estágio</t>
        </is>
      </c>
      <c r="D855" s="3" t="n">
        <v>0</v>
      </c>
      <c r="E855" s="3" t="n">
        <v>0</v>
      </c>
      <c r="F855" s="3" t="n">
        <v>0</v>
      </c>
      <c r="G855" s="3" t="n">
        <v>0</v>
      </c>
      <c r="H855" s="3" t="n">
        <v>0</v>
      </c>
      <c r="I855" s="3" t="n">
        <v>0</v>
      </c>
      <c r="J855" s="3" t="n">
        <v>0</v>
      </c>
      <c r="K855" s="3" t="n">
        <v>0</v>
      </c>
      <c r="L855" s="3">
        <f>IF(K855&lt;-5,"CRÍTICO",IF(K855&lt;0,"ATENÇÃO",IF(K855&lt;=5,"BOM","EXCELENTE")))</f>
        <v/>
      </c>
      <c r="M855" s="3" t="n">
        <v>0</v>
      </c>
      <c r="N855" s="3" t="n">
        <v>0</v>
      </c>
      <c r="O855" s="12" t="n">
        <v>0</v>
      </c>
    </row>
    <row r="856">
      <c r="A856" s="10" t="n">
        <v>46027</v>
      </c>
      <c r="B856" t="inlineStr">
        <is>
          <t>Raane Batista Matos</t>
        </is>
      </c>
      <c r="C856" s="1" t="inlineStr">
        <is>
          <t>Técnico I</t>
        </is>
      </c>
      <c r="D856" s="3" t="n">
        <v>0</v>
      </c>
      <c r="E856" s="3" t="n">
        <v>0</v>
      </c>
      <c r="F856" s="3" t="n">
        <v>0</v>
      </c>
      <c r="G856" s="3" t="n">
        <v>0</v>
      </c>
      <c r="H856" s="3" t="n">
        <v>0</v>
      </c>
      <c r="I856" s="3" t="n">
        <v>0</v>
      </c>
      <c r="J856" s="3" t="n">
        <v>0</v>
      </c>
      <c r="K856" s="3" t="n">
        <v>0</v>
      </c>
      <c r="L856" s="3">
        <f>IF(K856&lt;-5,"CRÍTICO",IF(K856&lt;0,"ATENÇÃO",IF(K856&lt;=5,"BOM","EXCELENTE")))</f>
        <v/>
      </c>
      <c r="M856" s="3" t="n">
        <v>0</v>
      </c>
      <c r="N856" s="3" t="n">
        <v>100</v>
      </c>
      <c r="O856" s="12" t="n">
        <v>53.84615384615385</v>
      </c>
    </row>
    <row r="857">
      <c r="A857" s="10" t="n">
        <v>46027</v>
      </c>
      <c r="B857" t="inlineStr">
        <is>
          <t>Rafael Gomes de Morais</t>
        </is>
      </c>
      <c r="C857" s="1" t="inlineStr">
        <is>
          <t>Técnico III</t>
        </is>
      </c>
      <c r="D857" s="3" t="n">
        <v>0</v>
      </c>
      <c r="E857" s="3" t="n">
        <v>0</v>
      </c>
      <c r="F857" s="3" t="n">
        <v>0</v>
      </c>
      <c r="G857" s="3" t="n">
        <v>0</v>
      </c>
      <c r="H857" s="3" t="n">
        <v>0</v>
      </c>
      <c r="I857" s="3" t="n">
        <v>0</v>
      </c>
      <c r="J857" s="3" t="n">
        <v>0</v>
      </c>
      <c r="K857" s="3" t="n">
        <v>0</v>
      </c>
      <c r="L857" s="3">
        <f>IF(K857&lt;-5,"CRÍTICO",IF(K857&lt;0,"ATENÇÃO",IF(K857&lt;=5,"BOM","EXCELENTE")))</f>
        <v/>
      </c>
      <c r="M857" s="3" t="n">
        <v>0</v>
      </c>
      <c r="N857" s="3" t="n">
        <v>100</v>
      </c>
      <c r="O857" s="12" t="n">
        <v>44.05594405594406</v>
      </c>
    </row>
    <row r="858">
      <c r="A858" s="10" t="n">
        <v>46027</v>
      </c>
      <c r="B858" t="inlineStr">
        <is>
          <t>Sara Maria Monteiro Lopes</t>
        </is>
      </c>
      <c r="C858" s="1" t="inlineStr">
        <is>
          <t>Técnico I</t>
        </is>
      </c>
      <c r="D858" s="3" t="n">
        <v>22</v>
      </c>
      <c r="E858" s="3" t="n">
        <v>19</v>
      </c>
      <c r="F858" s="3" t="n">
        <v>26.57</v>
      </c>
      <c r="G858" s="3" t="n">
        <v>0</v>
      </c>
      <c r="H858" s="3" t="n">
        <v>0</v>
      </c>
      <c r="I858" s="3">
        <f>E858+G858+H858</f>
        <v/>
      </c>
      <c r="J858" s="3">
        <f>ROUND(MIN(IF(C858="Técnico III",35,IF(C858="Técnico II",28,IF(C858="Técnico I",23,IF(C858="JR",20,IF(C858="Estágio",10,0))))),IF(C858="Técnico III",SUMIFS($D:$D,$A:$A,$A858,$B:$B,"&lt;&gt;Patrícia Karla de Sousa Araújo",$B:$B,"&lt;&gt;Lorena Dias de Araujo",$B:$B,"&lt;&gt;Lucas Luiz Romero")*(35/1083),IF(C858="Técnico II",SUMIFS($D:$D,$A:$A,$A858,$B:$B,"&lt;&gt;Patrícia Karla de Sousa Araújo",$B:$B,"&lt;&gt;Lorena Dias de Araujo",$B:$B,"&lt;&gt;Lucas Luiz Romero")*(28/1083),IF(C858="Técnico I",SUMIFS($D:$D,$A:$A,$A858,$B:$B,"&lt;&gt;Patrícia Karla de Sousa Araújo",$B:$B,"&lt;&gt;Lorena Dias de Araujo",$B:$B,"&lt;&gt;Lucas Luiz Romero")*(23/1083),IF(C858="JR",SUMIFS($D:$D,$A:$A,$A858,$B:$B,"&lt;&gt;Patrícia Karla de Sousa Araújo",$B:$B,"&lt;&gt;Lorena Dias de Araujo",$B:$B,"&lt;&gt;Lucas Luiz Romero")*(20/1083),IF(C858="Estágio",SUMIFS($D:$D,$A:$A,$A858,$B:$B,"&lt;&gt;Patrícia Karla de Sousa Araújo",$B:$B,"&lt;&gt;Lorena Dias de Araujo",$B:$B,"&lt;&gt;Lucas Luiz Romero")*(10/1083),0)))))),0)</f>
        <v/>
      </c>
      <c r="K858" s="3">
        <f>I858-J858</f>
        <v/>
      </c>
      <c r="L858" s="3">
        <f>IF(K858&lt;-5,"CRÍTICO",IF(K858&lt;0,"ATENÇÃO",IF(K858&lt;=5,"BOM","EXCELENTE")))</f>
        <v/>
      </c>
      <c r="M858" s="3" t="n">
        <v>18</v>
      </c>
      <c r="N858" s="3" t="n">
        <v>100</v>
      </c>
      <c r="O858" s="12" t="n">
        <v>31.87250996015936</v>
      </c>
    </row>
    <row r="859">
      <c r="A859" s="10" t="n">
        <v>46027</v>
      </c>
      <c r="B859" t="inlineStr">
        <is>
          <t>Sarah Steffanie de Lima Borges</t>
        </is>
      </c>
      <c r="C859" s="1" t="inlineStr">
        <is>
          <t>Técnico III</t>
        </is>
      </c>
      <c r="D859" s="3" t="n">
        <v>30</v>
      </c>
      <c r="E859" s="3" t="n">
        <v>28</v>
      </c>
      <c r="F859" s="3" t="n">
        <v>18.21</v>
      </c>
      <c r="G859" s="3" t="n">
        <v>0</v>
      </c>
      <c r="H859" s="3" t="n">
        <v>0</v>
      </c>
      <c r="I859" s="3">
        <f>E859+G859+H859</f>
        <v/>
      </c>
      <c r="J859" s="3">
        <f>ROUND(MIN(IF(C859="Técnico III",35,IF(C859="Técnico II",28,IF(C859="Técnico I",23,IF(C859="JR",20,IF(C859="Estágio",10,0))))),IF(C859="Técnico III",SUMIFS($D:$D,$A:$A,$A859,$B:$B,"&lt;&gt;Patrícia Karla de Sousa Araújo",$B:$B,"&lt;&gt;Lorena Dias de Araujo",$B:$B,"&lt;&gt;Lucas Luiz Romero")*(35/1083),IF(C859="Técnico II",SUMIFS($D:$D,$A:$A,$A859,$B:$B,"&lt;&gt;Patrícia Karla de Sousa Araújo",$B:$B,"&lt;&gt;Lorena Dias de Araujo",$B:$B,"&lt;&gt;Lucas Luiz Romero")*(28/1083),IF(C859="Técnico I",SUMIFS($D:$D,$A:$A,$A859,$B:$B,"&lt;&gt;Patrícia Karla de Sousa Araújo",$B:$B,"&lt;&gt;Lorena Dias de Araujo",$B:$B,"&lt;&gt;Lucas Luiz Romero")*(23/1083),IF(C859="JR",SUMIFS($D:$D,$A:$A,$A859,$B:$B,"&lt;&gt;Patrícia Karla de Sousa Araújo",$B:$B,"&lt;&gt;Lorena Dias de Araujo",$B:$B,"&lt;&gt;Lucas Luiz Romero")*(20/1083),IF(C859="Estágio",SUMIFS($D:$D,$A:$A,$A859,$B:$B,"&lt;&gt;Patrícia Karla de Sousa Araújo",$B:$B,"&lt;&gt;Lorena Dias de Araujo",$B:$B,"&lt;&gt;Lucas Luiz Romero")*(10/1083),0)))))),0)</f>
        <v/>
      </c>
      <c r="K859" s="3">
        <f>I859-J859</f>
        <v/>
      </c>
      <c r="L859" s="3">
        <f>IF(K859&lt;-5,"CRÍTICO",IF(K859&lt;0,"ATENÇÃO",IF(K859&lt;=5,"BOM","EXCELENTE")))</f>
        <v/>
      </c>
      <c r="M859" s="3" t="n">
        <v>27</v>
      </c>
      <c r="N859" s="3" t="n">
        <v>98.41</v>
      </c>
      <c r="O859" s="12" t="n">
        <v>29.22465208747515</v>
      </c>
    </row>
    <row r="860">
      <c r="A860" s="10" t="n">
        <v>46028</v>
      </c>
      <c r="B860" t="inlineStr">
        <is>
          <t>Alisson de Freitas Silva</t>
        </is>
      </c>
      <c r="C860" s="1" t="inlineStr">
        <is>
          <t>Técnico II</t>
        </is>
      </c>
      <c r="D860" s="3" t="n">
        <v>28</v>
      </c>
      <c r="E860" s="3" t="n">
        <v>25</v>
      </c>
      <c r="F860" s="3" t="n">
        <v>20.2</v>
      </c>
      <c r="G860" s="3" t="n">
        <v>0</v>
      </c>
      <c r="H860" s="3" t="n">
        <v>0</v>
      </c>
      <c r="I860" s="3">
        <f>E860+G860+H860</f>
        <v/>
      </c>
      <c r="J860" s="3">
        <f>ROUND(MIN(IF(C860="Técnico III",35,IF(C860="Técnico II",28,IF(C860="Técnico I",23,IF(C860="JR",20,IF(C860="Estágio",10,0))))),IF(C860="Técnico III",SUMIFS($D:$D,$A:$A,$A860,$B:$B,"&lt;&gt;Patrícia Karla de Sousa Araújo",$B:$B,"&lt;&gt;Lorena Dias de Araujo",$B:$B,"&lt;&gt;Lucas Luiz Romero")*(35/1083),IF(C860="Técnico II",SUMIFS($D:$D,$A:$A,$A860,$B:$B,"&lt;&gt;Patrícia Karla de Sousa Araújo",$B:$B,"&lt;&gt;Lorena Dias de Araujo",$B:$B,"&lt;&gt;Lucas Luiz Romero")*(28/1083),IF(C860="Técnico I",SUMIFS($D:$D,$A:$A,$A860,$B:$B,"&lt;&gt;Patrícia Karla de Sousa Araújo",$B:$B,"&lt;&gt;Lorena Dias de Araujo",$B:$B,"&lt;&gt;Lucas Luiz Romero")*(23/1083),IF(C860="JR",SUMIFS($D:$D,$A:$A,$A860,$B:$B,"&lt;&gt;Patrícia Karla de Sousa Araújo",$B:$B,"&lt;&gt;Lorena Dias de Araujo",$B:$B,"&lt;&gt;Lucas Luiz Romero")*(20/1083),IF(C860="Estágio",SUMIFS($D:$D,$A:$A,$A860,$B:$B,"&lt;&gt;Patrícia Karla de Sousa Araújo",$B:$B,"&lt;&gt;Lorena Dias de Araujo",$B:$B,"&lt;&gt;Lucas Luiz Romero")*(10/1083),0)))))),0)</f>
        <v/>
      </c>
      <c r="K860" s="3">
        <f>I860-J860</f>
        <v/>
      </c>
      <c r="L860" s="3">
        <f>IF(K860&lt;-5,"CRÍTICO",IF(K860&lt;0,"ATENÇÃO",IF(K860&lt;=5,"BOM","EXCELENTE")))</f>
        <v/>
      </c>
      <c r="M860" s="3" t="n">
        <v>17</v>
      </c>
      <c r="N860" s="3" t="n">
        <v>96.81</v>
      </c>
      <c r="O860" s="12" t="n">
        <v>27.98053527980535</v>
      </c>
    </row>
    <row r="861">
      <c r="A861" s="10" t="n">
        <v>46028</v>
      </c>
      <c r="B861" t="inlineStr">
        <is>
          <t>Amanda Moura Ferreira</t>
        </is>
      </c>
      <c r="C861" s="1" t="inlineStr">
        <is>
          <t>Técnico III</t>
        </is>
      </c>
      <c r="D861" s="3" t="n">
        <v>0</v>
      </c>
      <c r="E861" s="3" t="n">
        <v>0</v>
      </c>
      <c r="F861" s="3" t="n">
        <v>0</v>
      </c>
      <c r="G861" s="3" t="n">
        <v>0</v>
      </c>
      <c r="H861" s="3" t="n">
        <v>0</v>
      </c>
      <c r="I861" s="3" t="n">
        <v>0</v>
      </c>
      <c r="J861" s="3" t="n">
        <v>0</v>
      </c>
      <c r="K861" s="3" t="n">
        <v>0</v>
      </c>
      <c r="L861" s="3">
        <f>IF(K861&lt;-5,"CRÍTICO",IF(K861&lt;0,"ATENÇÃO",IF(K861&lt;=5,"BOM","EXCELENTE")))</f>
        <v/>
      </c>
      <c r="M861" s="3" t="n">
        <v>30</v>
      </c>
      <c r="N861" s="3" t="n">
        <v>98.73</v>
      </c>
      <c r="O861" s="12" t="n">
        <v>35.75638506876228</v>
      </c>
    </row>
    <row r="862">
      <c r="A862" s="10" t="n">
        <v>46028</v>
      </c>
      <c r="B862" t="inlineStr">
        <is>
          <t>Ana Karollyne Souza Faria</t>
        </is>
      </c>
      <c r="C862" s="1" t="inlineStr">
        <is>
          <t>Técnico I</t>
        </is>
      </c>
      <c r="D862" s="3" t="n">
        <v>33</v>
      </c>
      <c r="E862" s="3" t="n">
        <v>30</v>
      </c>
      <c r="F862" s="3" t="n">
        <v>22.04</v>
      </c>
      <c r="G862" s="3" t="n">
        <v>0</v>
      </c>
      <c r="H862" s="3" t="n">
        <v>0</v>
      </c>
      <c r="I862" s="3">
        <f>E862+G862+H862</f>
        <v/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/>
      </c>
      <c r="K862" s="3">
        <f>I862-J862</f>
        <v/>
      </c>
      <c r="L862" s="3">
        <f>IF(K862&lt;-5,"CRÍTICO",IF(K862&lt;0,"ATENÇÃO",IF(K862&lt;=5,"BOM","EXCELENTE")))</f>
        <v/>
      </c>
      <c r="M862" s="3" t="n">
        <v>33</v>
      </c>
      <c r="N862" s="3" t="n">
        <v>98.31999999999999</v>
      </c>
      <c r="O862" s="12" t="n">
        <v>26.76348547717842</v>
      </c>
    </row>
    <row r="863">
      <c r="A863" s="10" t="n">
        <v>46028</v>
      </c>
      <c r="B863" t="inlineStr">
        <is>
          <t>Ana Paula Da Luz Silva Aleixo</t>
        </is>
      </c>
      <c r="C863" s="1" t="inlineStr">
        <is>
          <t>Técnico III</t>
        </is>
      </c>
      <c r="D863" s="3" t="n">
        <v>40</v>
      </c>
      <c r="E863" s="3" t="n">
        <v>36</v>
      </c>
      <c r="F863" s="3" t="n">
        <v>15.18</v>
      </c>
      <c r="G863" s="3" t="n">
        <v>0</v>
      </c>
      <c r="H863" s="3" t="n">
        <v>0</v>
      </c>
      <c r="I863" s="3">
        <f>E863+G863+H863</f>
        <v/>
      </c>
      <c r="J863" s="3">
        <f>ROUND(MIN(IF(C863="Técnico III",35,IF(C863="Técnico II",28,IF(C863="Técnico I",23,IF(C863="JR",20,IF(C863="Estágio",10,0))))),IF(C863="Técnico III",SUMIFS($D:$D,$A:$A,$A863,$B:$B,"&lt;&gt;Patrícia Karla de Sousa Araújo",$B:$B,"&lt;&gt;Lorena Dias de Araujo",$B:$B,"&lt;&gt;Lucas Luiz Romero")*(35/1083),IF(C863="Técnico II",SUMIFS($D:$D,$A:$A,$A863,$B:$B,"&lt;&gt;Patrícia Karla de Sousa Araújo",$B:$B,"&lt;&gt;Lorena Dias de Araujo",$B:$B,"&lt;&gt;Lucas Luiz Romero")*(28/1083),IF(C863="Técnico I",SUMIFS($D:$D,$A:$A,$A863,$B:$B,"&lt;&gt;Patrícia Karla de Sousa Araújo",$B:$B,"&lt;&gt;Lorena Dias de Araujo",$B:$B,"&lt;&gt;Lucas Luiz Romero")*(23/1083),IF(C863="JR",SUMIFS($D:$D,$A:$A,$A863,$B:$B,"&lt;&gt;Patrícia Karla de Sousa Araújo",$B:$B,"&lt;&gt;Lorena Dias de Araujo",$B:$B,"&lt;&gt;Lucas Luiz Romero")*(20/1083),IF(C863="Estágio",SUMIFS($D:$D,$A:$A,$A863,$B:$B,"&lt;&gt;Patrícia Karla de Sousa Araújo",$B:$B,"&lt;&gt;Lorena Dias de Araujo",$B:$B,"&lt;&gt;Lucas Luiz Romero")*(10/1083),0)))))),0)</f>
        <v/>
      </c>
      <c r="K863" s="3">
        <f>I863-J863</f>
        <v/>
      </c>
      <c r="L863" s="3">
        <f>IF(K863&lt;-5,"CRÍTICO",IF(K863&lt;0,"ATENÇÃO",IF(K863&lt;=5,"BOM","EXCELENTE")))</f>
        <v/>
      </c>
      <c r="M863" s="3" t="n">
        <v>34</v>
      </c>
      <c r="N863" s="3" t="n">
        <v>99.19</v>
      </c>
      <c r="O863" s="12" t="n">
        <v>27.63713080168776</v>
      </c>
    </row>
    <row r="864">
      <c r="A864" s="10" t="n">
        <v>46028</v>
      </c>
      <c r="B864" t="inlineStr">
        <is>
          <t>Anna Luiza Rezende Tavares</t>
        </is>
      </c>
      <c r="C864" s="1" t="inlineStr">
        <is>
          <t>Estágio</t>
        </is>
      </c>
      <c r="D864" s="3" t="n">
        <v>9</v>
      </c>
      <c r="E864" s="3" t="n">
        <v>9</v>
      </c>
      <c r="F864" s="3" t="n">
        <v>38.24</v>
      </c>
      <c r="G864" s="3" t="n">
        <v>0</v>
      </c>
      <c r="H864" s="3" t="n">
        <v>0</v>
      </c>
      <c r="I864" s="3">
        <f>E864+G864+H864</f>
        <v/>
      </c>
      <c r="J864" s="3">
        <f>ROUND(MIN(IF(C864="Técnico III",35,IF(C864="Técnico II",28,IF(C864="Técnico I",23,IF(C864="JR",20,IF(C864="Estágio",10,0))))),IF(C864="Técnico III",SUMIFS($D:$D,$A:$A,$A864,$B:$B,"&lt;&gt;Patrícia Karla de Sousa Araújo",$B:$B,"&lt;&gt;Lorena Dias de Araujo",$B:$B,"&lt;&gt;Lucas Luiz Romero")*(35/1083),IF(C864="Técnico II",SUMIFS($D:$D,$A:$A,$A864,$B:$B,"&lt;&gt;Patrícia Karla de Sousa Araújo",$B:$B,"&lt;&gt;Lorena Dias de Araujo",$B:$B,"&lt;&gt;Lucas Luiz Romero")*(28/1083),IF(C864="Técnico I",SUMIFS($D:$D,$A:$A,$A864,$B:$B,"&lt;&gt;Patrícia Karla de Sousa Araújo",$B:$B,"&lt;&gt;Lorena Dias de Araujo",$B:$B,"&lt;&gt;Lucas Luiz Romero")*(23/1083),IF(C864="JR",SUMIFS($D:$D,$A:$A,$A864,$B:$B,"&lt;&gt;Patrícia Karla de Sousa Araújo",$B:$B,"&lt;&gt;Lorena Dias de Araujo",$B:$B,"&lt;&gt;Lucas Luiz Romero")*(20/1083),IF(C864="Estágio",SUMIFS($D:$D,$A:$A,$A864,$B:$B,"&lt;&gt;Patrícia Karla de Sousa Araújo",$B:$B,"&lt;&gt;Lorena Dias de Araujo",$B:$B,"&lt;&gt;Lucas Luiz Romero")*(10/1083),0)))))),0)</f>
        <v/>
      </c>
      <c r="K864" s="3">
        <f>I864-J864</f>
        <v/>
      </c>
      <c r="L864" s="3">
        <f>IF(K864&lt;-5,"CRÍTICO",IF(K864&lt;0,"ATENÇÃO",IF(K864&lt;=5,"BOM","EXCELENTE")))</f>
        <v/>
      </c>
      <c r="M864" s="3" t="n">
        <v>8</v>
      </c>
      <c r="N864" s="3" t="n">
        <v>100</v>
      </c>
      <c r="O864" s="12" t="n">
        <v>39.56834532374101</v>
      </c>
    </row>
    <row r="865">
      <c r="A865" s="10" t="n">
        <v>46028</v>
      </c>
      <c r="B865" t="inlineStr">
        <is>
          <t>Brenda de Menezes Silva</t>
        </is>
      </c>
      <c r="C865" s="1" t="inlineStr">
        <is>
          <t>Técnico II</t>
        </is>
      </c>
      <c r="D865" s="3" t="n">
        <v>27</v>
      </c>
      <c r="E865" s="3" t="n">
        <v>25</v>
      </c>
      <c r="F865" s="3" t="n">
        <v>23.35</v>
      </c>
      <c r="G865" s="3" t="n">
        <v>0</v>
      </c>
      <c r="H865" s="3" t="n">
        <v>0</v>
      </c>
      <c r="I865" s="3">
        <f>E865+G865+H865</f>
        <v/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/>
      </c>
      <c r="K865" s="3">
        <f>I865-J865</f>
        <v/>
      </c>
      <c r="L865" s="3">
        <f>IF(K865&lt;-5,"CRÍTICO",IF(K865&lt;0,"ATENÇÃO",IF(K865&lt;=5,"BOM","EXCELENTE")))</f>
        <v/>
      </c>
      <c r="M865" s="3" t="n">
        <v>26</v>
      </c>
      <c r="N865" s="3" t="n">
        <v>98.54000000000001</v>
      </c>
      <c r="O865" s="12" t="n">
        <v>28.54477611940299</v>
      </c>
    </row>
    <row r="866">
      <c r="A866" s="10" t="n">
        <v>46028</v>
      </c>
      <c r="B866" t="inlineStr">
        <is>
          <t>Carlos Mateus Cassimiro Nunes</t>
        </is>
      </c>
      <c r="C866" s="1" t="inlineStr">
        <is>
          <t>Técnico II</t>
        </is>
      </c>
      <c r="D866" s="3" t="n">
        <v>6</v>
      </c>
      <c r="E866" s="3" t="n">
        <v>6</v>
      </c>
      <c r="F866" s="3" t="n">
        <v>50.57</v>
      </c>
      <c r="G866" s="3" t="n">
        <v>0</v>
      </c>
      <c r="H866" s="3" t="n">
        <v>0</v>
      </c>
      <c r="I866" s="3">
        <f>E866+G866+H866</f>
        <v/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/>
      </c>
      <c r="K866" s="3">
        <f>I866-J866</f>
        <v/>
      </c>
      <c r="L866" s="3">
        <f>IF(K866&lt;-5,"CRÍTICO",IF(K866&lt;0,"ATENÇÃO",IF(K866&lt;=5,"BOM","EXCELENTE")))</f>
        <v/>
      </c>
      <c r="M866" s="3" t="n">
        <v>6</v>
      </c>
      <c r="N866" s="3" t="n">
        <v>100</v>
      </c>
      <c r="O866" s="12" t="n">
        <v>34.36692506459949</v>
      </c>
    </row>
    <row r="867">
      <c r="A867" s="10" t="n">
        <v>46028</v>
      </c>
      <c r="B867" t="inlineStr">
        <is>
          <t>Claudio de Sousa Velasco Filho</t>
        </is>
      </c>
      <c r="C867" s="1" t="inlineStr">
        <is>
          <t>Estágio</t>
        </is>
      </c>
      <c r="D867" s="3" t="n">
        <v>0</v>
      </c>
      <c r="E867" s="3" t="n">
        <v>0</v>
      </c>
      <c r="F867" s="3" t="n">
        <v>0</v>
      </c>
      <c r="G867" s="3" t="n">
        <v>0</v>
      </c>
      <c r="H867" s="3" t="n">
        <v>0</v>
      </c>
      <c r="I867" s="3" t="n">
        <v>0</v>
      </c>
      <c r="J867" s="3" t="n">
        <v>0</v>
      </c>
      <c r="K867" s="3" t="n">
        <v>0</v>
      </c>
      <c r="L867" s="3">
        <f>IF(K867&lt;-5,"CRÍTICO",IF(K867&lt;0,"ATENÇÃO",IF(K867&lt;=5,"BOM","EXCELENTE")))</f>
        <v/>
      </c>
      <c r="M867" s="3" t="n">
        <v>0</v>
      </c>
      <c r="N867" s="3" t="n">
        <v>0</v>
      </c>
      <c r="O867" s="12" t="n">
        <v>0</v>
      </c>
    </row>
    <row r="868">
      <c r="A868" s="10" t="n">
        <v>46028</v>
      </c>
      <c r="B868" t="inlineStr">
        <is>
          <t>Clessiane Pereira dos Santos</t>
        </is>
      </c>
      <c r="C868" s="1" t="inlineStr">
        <is>
          <t>Técnico I</t>
        </is>
      </c>
      <c r="D868" s="3" t="n">
        <v>21</v>
      </c>
      <c r="E868" s="3" t="n">
        <v>21</v>
      </c>
      <c r="F868" s="3" t="n">
        <v>30.15</v>
      </c>
      <c r="G868" s="3" t="n">
        <v>0</v>
      </c>
      <c r="H868" s="3" t="n">
        <v>0</v>
      </c>
      <c r="I868" s="3">
        <f>E868+G868+H868</f>
        <v/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/>
      </c>
      <c r="K868" s="3">
        <f>I868-J868</f>
        <v/>
      </c>
      <c r="L868" s="3">
        <f>IF(K868&lt;-5,"CRÍTICO",IF(K868&lt;0,"ATENÇÃO",IF(K868&lt;=5,"BOM","EXCELENTE")))</f>
        <v/>
      </c>
      <c r="M868" s="3" t="n">
        <v>20</v>
      </c>
      <c r="N868" s="3" t="n">
        <v>100</v>
      </c>
      <c r="O868" s="12" t="n">
        <v>29.51807228915663</v>
      </c>
    </row>
    <row r="869">
      <c r="A869" s="10" t="n">
        <v>46028</v>
      </c>
      <c r="B869" t="inlineStr">
        <is>
          <t>Cristiane Ramos da Silva Rocha</t>
        </is>
      </c>
      <c r="C869" s="1" t="inlineStr">
        <is>
          <t>Técnico III</t>
        </is>
      </c>
      <c r="D869" s="3" t="n">
        <v>44</v>
      </c>
      <c r="E869" s="3" t="n">
        <v>41</v>
      </c>
      <c r="F869" s="3" t="n">
        <v>13.2</v>
      </c>
      <c r="G869" s="3" t="n">
        <v>0</v>
      </c>
      <c r="H869" s="3" t="n">
        <v>0</v>
      </c>
      <c r="I869" s="3">
        <f>E869+G869+H869</f>
        <v/>
      </c>
      <c r="J869" s="3">
        <f>ROUND(MIN(IF(C869="Técnico III",35,IF(C869="Técnico II",28,IF(C869="Técnico I",23,IF(C869="JR",20,IF(C869="Estágio",10,0))))),IF(C869="Técnico III",SUMIFS($D:$D,$A:$A,$A869,$B:$B,"&lt;&gt;Patrícia Karla de Sousa Araújo",$B:$B,"&lt;&gt;Lorena Dias de Araujo",$B:$B,"&lt;&gt;Lucas Luiz Romero")*(35/1083),IF(C869="Técnico II",SUMIFS($D:$D,$A:$A,$A869,$B:$B,"&lt;&gt;Patrícia Karla de Sousa Araújo",$B:$B,"&lt;&gt;Lorena Dias de Araujo",$B:$B,"&lt;&gt;Lucas Luiz Romero")*(28/1083),IF(C869="Técnico I",SUMIFS($D:$D,$A:$A,$A869,$B:$B,"&lt;&gt;Patrícia Karla de Sousa Araújo",$B:$B,"&lt;&gt;Lorena Dias de Araujo",$B:$B,"&lt;&gt;Lucas Luiz Romero")*(23/1083),IF(C869="JR",SUMIFS($D:$D,$A:$A,$A869,$B:$B,"&lt;&gt;Patrícia Karla de Sousa Araújo",$B:$B,"&lt;&gt;Lorena Dias de Araujo",$B:$B,"&lt;&gt;Lucas Luiz Romero")*(20/1083),IF(C869="Estágio",SUMIFS($D:$D,$A:$A,$A869,$B:$B,"&lt;&gt;Patrícia Karla de Sousa Araújo",$B:$B,"&lt;&gt;Lorena Dias de Araujo",$B:$B,"&lt;&gt;Lucas Luiz Romero")*(10/1083),0)))))),0)</f>
        <v/>
      </c>
      <c r="K869" s="3">
        <f>I869-J869</f>
        <v/>
      </c>
      <c r="L869" s="3">
        <f>IF(K869&lt;-5,"CRÍTICO",IF(K869&lt;0,"ATENÇÃO",IF(K869&lt;=5,"BOM","EXCELENTE")))</f>
        <v/>
      </c>
      <c r="M869" s="3" t="n">
        <v>38</v>
      </c>
      <c r="N869" s="3" t="n">
        <v>97.45</v>
      </c>
      <c r="O869" s="12" t="n">
        <v>41.421143847487</v>
      </c>
    </row>
    <row r="870">
      <c r="A870" s="10" t="n">
        <v>46028</v>
      </c>
      <c r="B870" t="inlineStr">
        <is>
          <t>Damyllis Lorraine de Oliveira Gonçalves</t>
        </is>
      </c>
      <c r="C870" s="1" t="inlineStr">
        <is>
          <t>Técnico II</t>
        </is>
      </c>
      <c r="D870" s="3" t="n">
        <v>29</v>
      </c>
      <c r="E870" s="3" t="n">
        <v>25</v>
      </c>
      <c r="F870" s="3" t="n">
        <v>19.06</v>
      </c>
      <c r="G870" s="3" t="n">
        <v>0</v>
      </c>
      <c r="H870" s="3" t="n">
        <v>0</v>
      </c>
      <c r="I870" s="3" t="n">
        <v>0</v>
      </c>
      <c r="J870" s="3" t="n">
        <v>0</v>
      </c>
      <c r="K870" s="3" t="n">
        <v>0</v>
      </c>
      <c r="L870" s="3">
        <f>IF(K870&lt;-5,"CRÍTICO",IF(K870&lt;0,"ATENÇÃO",IF(K870&lt;=5,"BOM","EXCELENTE")))</f>
        <v/>
      </c>
      <c r="M870" s="3" t="n">
        <v>27</v>
      </c>
      <c r="N870" s="3" t="n">
        <v>96.58</v>
      </c>
      <c r="O870" s="12" t="n">
        <v>30.39647577092511</v>
      </c>
    </row>
    <row r="871">
      <c r="A871" s="10" t="n">
        <v>46028</v>
      </c>
      <c r="B871" t="inlineStr">
        <is>
          <t>Daniel Gomes da Silva</t>
        </is>
      </c>
      <c r="C871" s="1" t="inlineStr">
        <is>
          <t>Técnico I</t>
        </is>
      </c>
      <c r="D871" s="3" t="n">
        <v>23</v>
      </c>
      <c r="E871" s="3" t="n">
        <v>23</v>
      </c>
      <c r="F871" s="3" t="n">
        <v>23.51</v>
      </c>
      <c r="G871" s="3" t="n">
        <v>0</v>
      </c>
      <c r="H871" s="3" t="n">
        <v>0</v>
      </c>
      <c r="I871" s="3">
        <f>E871+G871+H871</f>
        <v/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/>
      </c>
      <c r="K871" s="3">
        <f>I871-J871</f>
        <v/>
      </c>
      <c r="L871" s="3">
        <f>IF(K871&lt;-5,"CRÍTICO",IF(K871&lt;0,"ATENÇÃO",IF(K871&lt;=5,"BOM","EXCELENTE")))</f>
        <v/>
      </c>
      <c r="M871" s="3" t="n">
        <v>24</v>
      </c>
      <c r="N871" s="3" t="n">
        <v>100</v>
      </c>
      <c r="O871" s="12" t="n">
        <v>27.44282744282744</v>
      </c>
    </row>
    <row r="872">
      <c r="A872" s="10" t="n">
        <v>46028</v>
      </c>
      <c r="B872" t="inlineStr">
        <is>
          <t>Davylla Rodrigues Freitas Silva</t>
        </is>
      </c>
      <c r="C872" s="1" t="inlineStr">
        <is>
          <t>Técnico III</t>
        </is>
      </c>
      <c r="D872" s="3" t="n">
        <v>27</v>
      </c>
      <c r="E872" s="3" t="n">
        <v>26</v>
      </c>
      <c r="F872" s="3" t="n">
        <v>26.51</v>
      </c>
      <c r="G872" s="3" t="n">
        <v>0</v>
      </c>
      <c r="H872" s="3" t="n">
        <v>0</v>
      </c>
      <c r="I872" s="3" t="n">
        <v>0</v>
      </c>
      <c r="J872" s="3" t="n">
        <v>0</v>
      </c>
      <c r="K872" s="3" t="n">
        <v>0</v>
      </c>
      <c r="L872" s="3">
        <f>IF(K872&lt;-5,"CRÍTICO",IF(K872&lt;0,"ATENÇÃO",IF(K872&lt;=5,"BOM","EXCELENTE")))</f>
        <v/>
      </c>
      <c r="M872" s="3" t="n">
        <v>27</v>
      </c>
      <c r="N872" s="3" t="n">
        <v>99.48999999999999</v>
      </c>
      <c r="O872" s="12" t="n">
        <v>40.2</v>
      </c>
    </row>
    <row r="873">
      <c r="A873" s="10" t="n">
        <v>46028</v>
      </c>
      <c r="B873" t="inlineStr">
        <is>
          <t>Emilly Caylane Costa</t>
        </is>
      </c>
      <c r="C873" s="1" t="inlineStr">
        <is>
          <t>Estágio</t>
        </is>
      </c>
      <c r="D873" s="3" t="n">
        <v>0</v>
      </c>
      <c r="E873" s="3" t="n">
        <v>0</v>
      </c>
      <c r="F873" s="3" t="n">
        <v>0</v>
      </c>
      <c r="G873" s="3" t="n">
        <v>0</v>
      </c>
      <c r="H873" s="3" t="n">
        <v>0</v>
      </c>
      <c r="I873" s="3" t="n">
        <v>0</v>
      </c>
      <c r="J873" s="3" t="n">
        <v>0</v>
      </c>
      <c r="K873" s="3" t="n">
        <v>0</v>
      </c>
      <c r="L873" s="3">
        <f>IF(K873&lt;-5,"CRÍTICO",IF(K873&lt;0,"ATENÇÃO",IF(K873&lt;=5,"BOM","EXCELENTE")))</f>
        <v/>
      </c>
      <c r="M873" s="3" t="n">
        <v>0</v>
      </c>
      <c r="N873" s="3" t="n">
        <v>100</v>
      </c>
      <c r="O873" s="12" t="n">
        <v>25</v>
      </c>
    </row>
    <row r="874">
      <c r="A874" s="10" t="n">
        <v>46028</v>
      </c>
      <c r="B874" t="inlineStr">
        <is>
          <t>Emilly Kamilly Medeiros Miranda</t>
        </is>
      </c>
      <c r="C874" s="1" t="inlineStr">
        <is>
          <t>Técnico II</t>
        </is>
      </c>
      <c r="D874" s="3" t="n">
        <v>30</v>
      </c>
      <c r="E874" s="3" t="n">
        <v>27</v>
      </c>
      <c r="F874" s="3" t="n">
        <v>15.04</v>
      </c>
      <c r="G874" s="3" t="n">
        <v>0</v>
      </c>
      <c r="H874" s="3" t="n">
        <v>0</v>
      </c>
      <c r="I874" s="3">
        <f>E874+G874+H874</f>
        <v/>
      </c>
      <c r="J874" s="3">
        <f>ROUND(MIN(IF(C874="Técnico III",35,IF(C874="Técnico II",28,IF(C874="Técnico I",23,IF(C874="JR",20,IF(C874="Estágio",10,0))))),IF(C874="Técnico III",SUMIFS($D:$D,$A:$A,$A874,$B:$B,"&lt;&gt;Patrícia Karla de Sousa Araújo",$B:$B,"&lt;&gt;Lorena Dias de Araujo",$B:$B,"&lt;&gt;Lucas Luiz Romero")*(35/1083),IF(C874="Técnico II",SUMIFS($D:$D,$A:$A,$A874,$B:$B,"&lt;&gt;Patrícia Karla de Sousa Araújo",$B:$B,"&lt;&gt;Lorena Dias de Araujo",$B:$B,"&lt;&gt;Lucas Luiz Romero")*(28/1083),IF(C874="Técnico I",SUMIFS($D:$D,$A:$A,$A874,$B:$B,"&lt;&gt;Patrícia Karla de Sousa Araújo",$B:$B,"&lt;&gt;Lorena Dias de Araujo",$B:$B,"&lt;&gt;Lucas Luiz Romero")*(23/1083),IF(C874="JR",SUMIFS($D:$D,$A:$A,$A874,$B:$B,"&lt;&gt;Patrícia Karla de Sousa Araújo",$B:$B,"&lt;&gt;Lorena Dias de Araujo",$B:$B,"&lt;&gt;Lucas Luiz Romero")*(20/1083),IF(C874="Estágio",SUMIFS($D:$D,$A:$A,$A874,$B:$B,"&lt;&gt;Patrícia Karla de Sousa Araújo",$B:$B,"&lt;&gt;Lorena Dias de Araujo",$B:$B,"&lt;&gt;Lucas Luiz Romero")*(10/1083),0)))))),0)</f>
        <v/>
      </c>
      <c r="K874" s="3">
        <f>I874-J874</f>
        <v/>
      </c>
      <c r="L874" s="3">
        <f>IF(K874&lt;-5,"CRÍTICO",IF(K874&lt;0,"ATENÇÃO",IF(K874&lt;=5,"BOM","EXCELENTE")))</f>
        <v/>
      </c>
      <c r="M874" s="3" t="n">
        <v>27</v>
      </c>
      <c r="N874" s="3" t="n">
        <v>100</v>
      </c>
      <c r="O874" s="12" t="n">
        <v>34.15094339622641</v>
      </c>
    </row>
    <row r="875">
      <c r="A875" s="10" t="n">
        <v>46028</v>
      </c>
      <c r="B875" t="inlineStr">
        <is>
          <t>Francielson de Oliveira</t>
        </is>
      </c>
      <c r="C875" s="1" t="inlineStr">
        <is>
          <t>Técnico III</t>
        </is>
      </c>
      <c r="D875" s="3" t="n">
        <v>22</v>
      </c>
      <c r="E875" s="3" t="n">
        <v>17</v>
      </c>
      <c r="F875" s="3" t="n">
        <v>13.56</v>
      </c>
      <c r="G875" s="3" t="n">
        <v>0</v>
      </c>
      <c r="H875" s="3" t="n">
        <v>0</v>
      </c>
      <c r="I875" s="3">
        <f>E875+G875+H875</f>
        <v/>
      </c>
      <c r="J875" s="3">
        <f>ROUND(MIN(IF(C875="Técnico III",35,IF(C875="Técnico II",28,IF(C875="Técnico I",23,IF(C875="JR",20,IF(C875="Estágio",10,0))))),IF(C875="Técnico III",SUMIFS($D:$D,$A:$A,$A875,$B:$B,"&lt;&gt;Patrícia Karla de Sousa Araújo",$B:$B,"&lt;&gt;Lorena Dias de Araujo",$B:$B,"&lt;&gt;Lucas Luiz Romero")*(35/1083),IF(C875="Técnico II",SUMIFS($D:$D,$A:$A,$A875,$B:$B,"&lt;&gt;Patrícia Karla de Sousa Araújo",$B:$B,"&lt;&gt;Lorena Dias de Araujo",$B:$B,"&lt;&gt;Lucas Luiz Romero")*(28/1083),IF(C875="Técnico I",SUMIFS($D:$D,$A:$A,$A875,$B:$B,"&lt;&gt;Patrícia Karla de Sousa Araújo",$B:$B,"&lt;&gt;Lorena Dias de Araujo",$B:$B,"&lt;&gt;Lucas Luiz Romero")*(23/1083),IF(C875="JR",SUMIFS($D:$D,$A:$A,$A875,$B:$B,"&lt;&gt;Patrícia Karla de Sousa Araújo",$B:$B,"&lt;&gt;Lorena Dias de Araujo",$B:$B,"&lt;&gt;Lucas Luiz Romero")*(20/1083),IF(C875="Estágio",SUMIFS($D:$D,$A:$A,$A875,$B:$B,"&lt;&gt;Patrícia Karla de Sousa Araújo",$B:$B,"&lt;&gt;Lorena Dias de Araujo",$B:$B,"&lt;&gt;Lucas Luiz Romero")*(10/1083),0)))))),0)</f>
        <v/>
      </c>
      <c r="K875" s="3">
        <f>I875-J875</f>
        <v/>
      </c>
      <c r="L875" s="3">
        <f>IF(K875&lt;-5,"CRÍTICO",IF(K875&lt;0,"ATENÇÃO",IF(K875&lt;=5,"BOM","EXCELENTE")))</f>
        <v/>
      </c>
      <c r="M875" s="3" t="n">
        <v>15</v>
      </c>
      <c r="N875" s="3" t="n">
        <v>100</v>
      </c>
      <c r="O875" s="12" t="n">
        <v>32.7313769751693</v>
      </c>
    </row>
    <row r="876">
      <c r="A876" s="10" t="n">
        <v>46028</v>
      </c>
      <c r="B876" t="inlineStr">
        <is>
          <t>Francilene Ferreira de Jesus</t>
        </is>
      </c>
      <c r="C876" s="1" t="inlineStr">
        <is>
          <t>Técnico II</t>
        </is>
      </c>
      <c r="D876" s="3" t="n">
        <v>46</v>
      </c>
      <c r="E876" s="3" t="n">
        <v>45</v>
      </c>
      <c r="F876" s="3" t="n">
        <v>18.35</v>
      </c>
      <c r="G876" s="3" t="n">
        <v>0</v>
      </c>
      <c r="H876" s="3" t="n">
        <v>0</v>
      </c>
      <c r="I876" s="3">
        <f>E876+G876+H876</f>
        <v/>
      </c>
      <c r="J876" s="3">
        <f>ROUND(MIN(IF(C876="Técnico III",35,IF(C876="Técnico II",28,IF(C876="Técnico I",23,IF(C876="JR",20,IF(C876="Estágio",10,0))))),IF(C876="Técnico III",SUMIFS($D:$D,$A:$A,$A876,$B:$B,"&lt;&gt;Patrícia Karla de Sousa Araújo",$B:$B,"&lt;&gt;Lorena Dias de Araujo",$B:$B,"&lt;&gt;Lucas Luiz Romero")*(35/1083),IF(C876="Técnico II",SUMIFS($D:$D,$A:$A,$A876,$B:$B,"&lt;&gt;Patrícia Karla de Sousa Araújo",$B:$B,"&lt;&gt;Lorena Dias de Araujo",$B:$B,"&lt;&gt;Lucas Luiz Romero")*(28/1083),IF(C876="Técnico I",SUMIFS($D:$D,$A:$A,$A876,$B:$B,"&lt;&gt;Patrícia Karla de Sousa Araújo",$B:$B,"&lt;&gt;Lorena Dias de Araujo",$B:$B,"&lt;&gt;Lucas Luiz Romero")*(23/1083),IF(C876="JR",SUMIFS($D:$D,$A:$A,$A876,$B:$B,"&lt;&gt;Patrícia Karla de Sousa Araújo",$B:$B,"&lt;&gt;Lorena Dias de Araujo",$B:$B,"&lt;&gt;Lucas Luiz Romero")*(20/1083),IF(C876="Estágio",SUMIFS($D:$D,$A:$A,$A876,$B:$B,"&lt;&gt;Patrícia Karla de Sousa Araújo",$B:$B,"&lt;&gt;Lorena Dias de Araujo",$B:$B,"&lt;&gt;Lucas Luiz Romero")*(10/1083),0)))))),0)</f>
        <v/>
      </c>
      <c r="K876" s="3">
        <f>I876-J876</f>
        <v/>
      </c>
      <c r="L876" s="3">
        <f>IF(K876&lt;-5,"CRÍTICO",IF(K876&lt;0,"ATENÇÃO",IF(K876&lt;=5,"BOM","EXCELENTE")))</f>
        <v/>
      </c>
      <c r="M876" s="3" t="n">
        <v>38</v>
      </c>
      <c r="N876" s="3" t="n">
        <v>99.31</v>
      </c>
      <c r="O876" s="12" t="n">
        <v>30.96234309623431</v>
      </c>
    </row>
    <row r="877">
      <c r="A877" s="10" t="n">
        <v>46062</v>
      </c>
      <c r="B877" t="inlineStr">
        <is>
          <t>Gabriel Gomes de Andrade</t>
        </is>
      </c>
      <c r="C877" s="1" t="inlineStr">
        <is>
          <t>Técnico I</t>
        </is>
      </c>
      <c r="D877" s="3" t="n">
        <v>14</v>
      </c>
      <c r="E877" s="3" t="n">
        <v>13</v>
      </c>
      <c r="F877" s="3" t="n">
        <v>29.08</v>
      </c>
      <c r="G877" s="3" t="n">
        <v>0</v>
      </c>
      <c r="H877" s="3" t="n">
        <v>0</v>
      </c>
      <c r="I877" s="3">
        <f>E877+G877+H877</f>
        <v/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/>
      </c>
      <c r="K877" s="3">
        <f>I877-J877</f>
        <v/>
      </c>
      <c r="L877" s="3">
        <f>IF(K877&lt;-5,"CRÍTICO",IF(K877&lt;0,"ATENÇÃO",IF(K877&lt;=5,"BOM","EXCELENTE")))</f>
        <v/>
      </c>
      <c r="M877" s="3" t="n">
        <v>25</v>
      </c>
      <c r="N877" s="3" t="n">
        <v>96.67</v>
      </c>
      <c r="O877" s="12" t="n">
        <v>31.45161290322581</v>
      </c>
    </row>
    <row r="878">
      <c r="A878" s="10" t="n">
        <v>46028</v>
      </c>
      <c r="B878" t="inlineStr">
        <is>
          <t>Isabella Borges de Oliveira</t>
        </is>
      </c>
      <c r="C878" s="1" t="inlineStr">
        <is>
          <t>Técnico II</t>
        </is>
      </c>
      <c r="D878" s="3" t="n">
        <v>24</v>
      </c>
      <c r="E878" s="3" t="n">
        <v>21</v>
      </c>
      <c r="F878" s="3" t="n">
        <v>13.58</v>
      </c>
      <c r="G878" s="3" t="n">
        <v>0</v>
      </c>
      <c r="H878" s="3" t="n">
        <v>0</v>
      </c>
      <c r="I878" s="3">
        <f>E878+G878+H878</f>
        <v/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/>
      </c>
      <c r="K878" s="3">
        <f>I878-J878</f>
        <v/>
      </c>
      <c r="L878" s="3">
        <f>IF(K878&lt;-5,"CRÍTICO",IF(K878&lt;0,"ATENÇÃO",IF(K878&lt;=5,"BOM","EXCELENTE")))</f>
        <v/>
      </c>
      <c r="M878" s="3" t="n">
        <v>20</v>
      </c>
      <c r="N878" s="3" t="n">
        <v>100</v>
      </c>
      <c r="O878" s="12" t="n">
        <v>27.67676767676768</v>
      </c>
    </row>
    <row r="879">
      <c r="A879" s="10" t="n">
        <v>46028</v>
      </c>
      <c r="B879" t="inlineStr">
        <is>
          <t>Janaina Lima dos Reis Urany</t>
        </is>
      </c>
      <c r="C879" s="1" t="inlineStr">
        <is>
          <t>Técnico III</t>
        </is>
      </c>
      <c r="D879" s="3" t="n">
        <v>53</v>
      </c>
      <c r="E879" s="3" t="n">
        <v>46</v>
      </c>
      <c r="F879" s="3" t="n">
        <v>12.3</v>
      </c>
      <c r="G879" s="3" t="n">
        <v>0</v>
      </c>
      <c r="H879" s="3" t="n">
        <v>0</v>
      </c>
      <c r="I879" s="3">
        <f>E879+G879+H879</f>
        <v/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/>
      </c>
      <c r="K879" s="3">
        <f>I879-J879</f>
        <v/>
      </c>
      <c r="L879" s="3">
        <f>IF(K879&lt;-5,"CRÍTICO",IF(K879&lt;0,"ATENÇÃO",IF(K879&lt;=5,"BOM","EXCELENTE")))</f>
        <v/>
      </c>
      <c r="M879" s="3" t="n">
        <v>49</v>
      </c>
      <c r="N879" s="3" t="n">
        <v>100</v>
      </c>
      <c r="O879" s="12" t="n">
        <v>31.17723156532988</v>
      </c>
    </row>
    <row r="880">
      <c r="A880" s="10" t="n">
        <v>46028</v>
      </c>
      <c r="B880" t="inlineStr">
        <is>
          <t>Jaqueline Evangelista da Silva Martins</t>
        </is>
      </c>
      <c r="C880" s="1" t="inlineStr">
        <is>
          <t>Técnico III</t>
        </is>
      </c>
      <c r="D880" s="3" t="n">
        <v>41</v>
      </c>
      <c r="E880" s="3" t="n">
        <v>41</v>
      </c>
      <c r="F880" s="3" t="n">
        <v>13.35</v>
      </c>
      <c r="G880" s="3" t="n">
        <v>0</v>
      </c>
      <c r="H880" s="3" t="n">
        <v>0</v>
      </c>
      <c r="I880" s="3">
        <f>E880+G880+H880</f>
        <v/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/>
      </c>
      <c r="K880" s="3">
        <f>I880-J880</f>
        <v/>
      </c>
      <c r="L880" s="3">
        <f>IF(K880&lt;-5,"CRÍTICO",IF(K880&lt;0,"ATENÇÃO",IF(K880&lt;=5,"BOM","EXCELENTE")))</f>
        <v/>
      </c>
      <c r="M880" s="3" t="n">
        <v>38</v>
      </c>
      <c r="N880" s="3" t="n">
        <v>100</v>
      </c>
      <c r="O880" s="12" t="n">
        <v>27.60942760942761</v>
      </c>
    </row>
    <row r="881">
      <c r="A881" s="10" t="n">
        <v>46028</v>
      </c>
      <c r="B881" t="inlineStr">
        <is>
          <t>Jessica Faria da Silveira</t>
        </is>
      </c>
      <c r="C881" s="1" t="inlineStr">
        <is>
          <t>Técnico II</t>
        </is>
      </c>
      <c r="D881" s="3" t="n">
        <v>38</v>
      </c>
      <c r="E881" s="3" t="n">
        <v>30</v>
      </c>
      <c r="F881" s="3" t="n">
        <v>13.52</v>
      </c>
      <c r="G881" s="3" t="n">
        <v>0</v>
      </c>
      <c r="H881" s="3" t="n">
        <v>0</v>
      </c>
      <c r="I881" s="3">
        <f>E881+G881+H881</f>
        <v/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/>
      </c>
      <c r="K881" s="3">
        <f>I881-J881</f>
        <v/>
      </c>
      <c r="L881" s="3">
        <f>IF(K881&lt;-5,"CRÍTICO",IF(K881&lt;0,"ATENÇÃO",IF(K881&lt;=5,"BOM","EXCELENTE")))</f>
        <v/>
      </c>
      <c r="M881" s="3" t="n">
        <v>28</v>
      </c>
      <c r="N881" s="3" t="n">
        <v>96.40000000000001</v>
      </c>
      <c r="O881" s="12" t="n">
        <v>28.76404494382023</v>
      </c>
    </row>
    <row r="882">
      <c r="A882" s="10" t="n">
        <v>46028</v>
      </c>
      <c r="B882" t="inlineStr">
        <is>
          <t>Jéssica Fé Moura</t>
        </is>
      </c>
      <c r="C882" s="1" t="inlineStr">
        <is>
          <t>Técnico III</t>
        </is>
      </c>
      <c r="D882" s="3" t="n">
        <v>0</v>
      </c>
      <c r="E882" s="3" t="n">
        <v>0</v>
      </c>
      <c r="F882" s="3" t="n">
        <v>0</v>
      </c>
      <c r="G882" s="3" t="n">
        <v>0</v>
      </c>
      <c r="H882" s="3" t="n">
        <v>0</v>
      </c>
      <c r="I882" s="3" t="n">
        <v>0</v>
      </c>
      <c r="J882" s="3" t="n">
        <v>0</v>
      </c>
      <c r="K882" s="3" t="n">
        <v>0</v>
      </c>
      <c r="L882" s="3">
        <f>IF(K882&lt;-5,"CRÍTICO",IF(K882&lt;0,"ATENÇÃO",IF(K882&lt;=5,"BOM","EXCELENTE")))</f>
        <v/>
      </c>
      <c r="M882" s="3" t="n">
        <v>26</v>
      </c>
      <c r="N882" s="3" t="n">
        <v>100</v>
      </c>
      <c r="O882" s="12" t="n">
        <v>33.98058252427185</v>
      </c>
    </row>
    <row r="883">
      <c r="A883" s="10" t="n">
        <v>46028</v>
      </c>
      <c r="B883" t="inlineStr">
        <is>
          <t>Karina Gonçalves Martins</t>
        </is>
      </c>
      <c r="C883" s="1" t="inlineStr">
        <is>
          <t>JR</t>
        </is>
      </c>
      <c r="D883" s="3" t="n">
        <v>3</v>
      </c>
      <c r="E883" s="3" t="n">
        <v>3</v>
      </c>
      <c r="F883" s="3" t="n">
        <v>57.08</v>
      </c>
      <c r="G883" s="3" t="n">
        <v>0</v>
      </c>
      <c r="H883" s="3" t="n">
        <v>0</v>
      </c>
      <c r="I883" s="3">
        <f>E883+G883+H883</f>
        <v/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/>
      </c>
      <c r="K883" s="3">
        <f>I883-J883</f>
        <v/>
      </c>
      <c r="L883" s="3">
        <f>IF(K883&lt;-5,"CRÍTICO",IF(K883&lt;0,"ATENÇÃO",IF(K883&lt;=5,"BOM","EXCELENTE")))</f>
        <v/>
      </c>
      <c r="M883" s="3" t="n">
        <v>3</v>
      </c>
      <c r="N883" s="3" t="n">
        <v>97.56</v>
      </c>
      <c r="O883" s="12" t="n">
        <v>32.51533742331289</v>
      </c>
    </row>
    <row r="884">
      <c r="A884" s="10" t="n">
        <v>46028</v>
      </c>
      <c r="B884" t="inlineStr">
        <is>
          <t>Kerollen Cristielly de Jesus Siqueira</t>
        </is>
      </c>
      <c r="C884" s="1" t="inlineStr">
        <is>
          <t>Técnico III</t>
        </is>
      </c>
      <c r="D884" s="3" t="n">
        <v>0</v>
      </c>
      <c r="E884" s="3" t="n">
        <v>0</v>
      </c>
      <c r="F884" s="3" t="n">
        <v>0</v>
      </c>
      <c r="G884" s="3" t="n">
        <v>0</v>
      </c>
      <c r="H884" s="3" t="n">
        <v>0</v>
      </c>
      <c r="I884" s="3" t="n">
        <v>0</v>
      </c>
      <c r="J884" s="3" t="n">
        <v>0</v>
      </c>
      <c r="K884" s="3" t="n">
        <v>0</v>
      </c>
      <c r="L884" s="3">
        <f>IF(K884&lt;-5,"CRÍTICO",IF(K884&lt;0,"ATENÇÃO",IF(K884&lt;=5,"BOM","EXCELENTE")))</f>
        <v/>
      </c>
      <c r="M884" s="3" t="n">
        <v>46</v>
      </c>
      <c r="N884" s="3" t="n">
        <v>97.11</v>
      </c>
      <c r="O884" s="12" t="n">
        <v>37.40831295843521</v>
      </c>
    </row>
    <row r="885">
      <c r="A885" s="10" t="n">
        <v>46028</v>
      </c>
      <c r="B885" t="inlineStr">
        <is>
          <t>Leandro de Souza Silva</t>
        </is>
      </c>
      <c r="C885" s="1" t="inlineStr">
        <is>
          <t>JR</t>
        </is>
      </c>
      <c r="D885" s="3" t="n">
        <v>0</v>
      </c>
      <c r="E885" s="3" t="n">
        <v>0</v>
      </c>
      <c r="F885" s="3" t="n">
        <v>0</v>
      </c>
      <c r="G885" s="3" t="n">
        <v>0</v>
      </c>
      <c r="H885" s="3" t="n">
        <v>0</v>
      </c>
      <c r="I885" s="3" t="n">
        <v>0</v>
      </c>
      <c r="J885" s="3" t="n">
        <v>0</v>
      </c>
      <c r="K885" s="3" t="n">
        <v>0</v>
      </c>
      <c r="L885" s="3">
        <f>IF(K885&lt;-5,"CRÍTICO",IF(K885&lt;0,"ATENÇÃO",IF(K885&lt;=5,"BOM","EXCELENTE")))</f>
        <v/>
      </c>
      <c r="M885" s="3" t="n">
        <v>0</v>
      </c>
      <c r="N885" s="3" t="n">
        <v>0</v>
      </c>
      <c r="O885" s="12" t="n">
        <v>0</v>
      </c>
    </row>
    <row r="886">
      <c r="A886" s="10" t="n">
        <v>46028</v>
      </c>
      <c r="B886" t="inlineStr">
        <is>
          <t>Leandro Oliveira de Sousa</t>
        </is>
      </c>
      <c r="C886" s="1" t="inlineStr">
        <is>
          <t>Técnico III</t>
        </is>
      </c>
      <c r="D886" s="3" t="n">
        <v>45</v>
      </c>
      <c r="E886" s="3" t="n">
        <v>41</v>
      </c>
      <c r="F886" s="3" t="n">
        <v>15.19</v>
      </c>
      <c r="G886" s="3" t="n">
        <v>0</v>
      </c>
      <c r="H886" s="3" t="n">
        <v>0</v>
      </c>
      <c r="I886" s="3">
        <f>E886+G886+H886</f>
        <v/>
      </c>
      <c r="J886" s="3">
        <f>ROUND(MIN(IF(C886="Técnico III",35,IF(C886="Técnico II",28,IF(C886="Técnico I",23,IF(C886="JR",20,IF(C886="Estágio",10,0))))),IF(C886="Técnico III",SUMIFS($D:$D,$A:$A,$A886,$B:$B,"&lt;&gt;Patrícia Karla de Sousa Araújo",$B:$B,"&lt;&gt;Lorena Dias de Araujo",$B:$B,"&lt;&gt;Lucas Luiz Romero")*(35/1083),IF(C886="Técnico II",SUMIFS($D:$D,$A:$A,$A886,$B:$B,"&lt;&gt;Patrícia Karla de Sousa Araújo",$B:$B,"&lt;&gt;Lorena Dias de Araujo",$B:$B,"&lt;&gt;Lucas Luiz Romero")*(28/1083),IF(C886="Técnico I",SUMIFS($D:$D,$A:$A,$A886,$B:$B,"&lt;&gt;Patrícia Karla de Sousa Araújo",$B:$B,"&lt;&gt;Lorena Dias de Araujo",$B:$B,"&lt;&gt;Lucas Luiz Romero")*(23/1083),IF(C886="JR",SUMIFS($D:$D,$A:$A,$A886,$B:$B,"&lt;&gt;Patrícia Karla de Sousa Araújo",$B:$B,"&lt;&gt;Lorena Dias de Araujo",$B:$B,"&lt;&gt;Lucas Luiz Romero")*(20/1083),IF(C886="Estágio",SUMIFS($D:$D,$A:$A,$A886,$B:$B,"&lt;&gt;Patrícia Karla de Sousa Araújo",$B:$B,"&lt;&gt;Lorena Dias de Araujo",$B:$B,"&lt;&gt;Lucas Luiz Romero")*(10/1083),0)))))),0)</f>
        <v/>
      </c>
      <c r="K886" s="3">
        <f>I886-J886</f>
        <v/>
      </c>
      <c r="L886" s="3">
        <f>IF(K886&lt;-5,"CRÍTICO",IF(K886&lt;0,"ATENÇÃO",IF(K886&lt;=5,"BOM","EXCELENTE")))</f>
        <v/>
      </c>
      <c r="M886" s="3" t="n">
        <v>37</v>
      </c>
      <c r="N886" s="3" t="n">
        <v>100</v>
      </c>
      <c r="O886" s="12" t="n">
        <v>30.47034764826176</v>
      </c>
    </row>
    <row r="887">
      <c r="A887" s="10" t="n">
        <v>46028</v>
      </c>
      <c r="B887" t="inlineStr">
        <is>
          <t>Lizandra Gomes Duarte</t>
        </is>
      </c>
      <c r="C887" s="1" t="inlineStr">
        <is>
          <t>Técnico II</t>
        </is>
      </c>
      <c r="D887" s="3" t="n">
        <v>31</v>
      </c>
      <c r="E887" s="3" t="n">
        <v>29</v>
      </c>
      <c r="F887" s="3" t="n">
        <v>16.57</v>
      </c>
      <c r="G887" s="3" t="n">
        <v>0</v>
      </c>
      <c r="H887" s="3" t="n">
        <v>0</v>
      </c>
      <c r="I887" s="3">
        <f>E887+G887+H887</f>
        <v/>
      </c>
      <c r="J887" s="3">
        <f>ROUND(MIN(IF(C887="Técnico III",35,IF(C887="Técnico II",28,IF(C887="Técnico I",23,IF(C887="JR",20,IF(C887="Estágio",10,0))))),IF(C887="Técnico III",SUMIFS($D:$D,$A:$A,$A887,$B:$B,"&lt;&gt;Patrícia Karla de Sousa Araújo",$B:$B,"&lt;&gt;Lorena Dias de Araujo",$B:$B,"&lt;&gt;Lucas Luiz Romero")*(35/1083),IF(C887="Técnico II",SUMIFS($D:$D,$A:$A,$A887,$B:$B,"&lt;&gt;Patrícia Karla de Sousa Araújo",$B:$B,"&lt;&gt;Lorena Dias de Araujo",$B:$B,"&lt;&gt;Lucas Luiz Romero")*(28/1083),IF(C887="Técnico I",SUMIFS($D:$D,$A:$A,$A887,$B:$B,"&lt;&gt;Patrícia Karla de Sousa Araújo",$B:$B,"&lt;&gt;Lorena Dias de Araujo",$B:$B,"&lt;&gt;Lucas Luiz Romero")*(23/1083),IF(C887="JR",SUMIFS($D:$D,$A:$A,$A887,$B:$B,"&lt;&gt;Patrícia Karla de Sousa Araújo",$B:$B,"&lt;&gt;Lorena Dias de Araujo",$B:$B,"&lt;&gt;Lucas Luiz Romero")*(20/1083),IF(C887="Estágio",SUMIFS($D:$D,$A:$A,$A887,$B:$B,"&lt;&gt;Patrícia Karla de Sousa Araújo",$B:$B,"&lt;&gt;Lorena Dias de Araujo",$B:$B,"&lt;&gt;Lucas Luiz Romero")*(10/1083),0)))))),0)</f>
        <v/>
      </c>
      <c r="K887" s="3">
        <f>I887-J887</f>
        <v/>
      </c>
      <c r="L887" s="3">
        <f>IF(K887&lt;-5,"CRÍTICO",IF(K887&lt;0,"ATENÇÃO",IF(K887&lt;=5,"BOM","EXCELENTE")))</f>
        <v/>
      </c>
      <c r="M887" s="3" t="n">
        <v>28</v>
      </c>
      <c r="N887" s="3" t="n">
        <v>100</v>
      </c>
      <c r="O887" s="12" t="n">
        <v>32.37113402061856</v>
      </c>
    </row>
    <row r="888">
      <c r="A888" s="10" t="n">
        <v>46028</v>
      </c>
      <c r="B888" t="inlineStr">
        <is>
          <t>Lorena Dias de Araujo</t>
        </is>
      </c>
      <c r="C888" s="1" t="inlineStr">
        <is>
          <t>Técnico II</t>
        </is>
      </c>
      <c r="D888" s="3" t="n">
        <v>33</v>
      </c>
      <c r="E888" s="3" t="n">
        <v>32</v>
      </c>
      <c r="F888" s="3" t="n">
        <v>17.16</v>
      </c>
      <c r="G888" s="3" t="n">
        <v>0</v>
      </c>
      <c r="H888" s="3" t="n">
        <v>0</v>
      </c>
      <c r="I888" s="3" t="n">
        <v>0</v>
      </c>
      <c r="J888" s="3" t="n">
        <v>0</v>
      </c>
      <c r="K888" s="3" t="n">
        <v>0</v>
      </c>
      <c r="L888" s="3">
        <f>IF(K888&lt;-5,"CRÍTICO",IF(K888&lt;0,"ATENÇÃO",IF(K888&lt;=5,"BOM","EXCELENTE")))</f>
        <v/>
      </c>
      <c r="M888" s="3" t="n">
        <v>26</v>
      </c>
      <c r="N888" s="3" t="n">
        <v>98.31999999999999</v>
      </c>
      <c r="O888" s="12" t="n">
        <v>32.31850117096019</v>
      </c>
    </row>
    <row r="889">
      <c r="A889" s="10" t="n">
        <v>46028</v>
      </c>
      <c r="B889" t="inlineStr">
        <is>
          <t>Lucas Luiz Romero</t>
        </is>
      </c>
      <c r="C889" s="1" t="inlineStr">
        <is>
          <t>Técnico III</t>
        </is>
      </c>
      <c r="D889" s="3" t="n">
        <v>21</v>
      </c>
      <c r="E889" s="3" t="n">
        <v>16</v>
      </c>
      <c r="F889" s="3" t="n">
        <v>15.06</v>
      </c>
      <c r="G889" s="3" t="n">
        <v>0</v>
      </c>
      <c r="H889" s="3" t="n">
        <v>0</v>
      </c>
      <c r="I889" s="3">
        <f>E889+G889+H889</f>
        <v/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/>
      </c>
      <c r="K889" s="3">
        <f>I889-J889</f>
        <v/>
      </c>
      <c r="L889" s="3">
        <f>IF(K889&lt;-5,"CRÍTICO",IF(K889&lt;0,"ATENÇÃO",IF(K889&lt;=5,"BOM","EXCELENTE")))</f>
        <v/>
      </c>
      <c r="M889" s="3" t="n">
        <v>13</v>
      </c>
      <c r="N889" s="3" t="n">
        <v>96.43000000000001</v>
      </c>
      <c r="O889" s="12" t="n">
        <v>27.01525054466231</v>
      </c>
    </row>
    <row r="890">
      <c r="A890" s="10" t="n">
        <v>46028</v>
      </c>
      <c r="B890" t="inlineStr">
        <is>
          <t>Luiz Fernando de Carvalho Junior</t>
        </is>
      </c>
      <c r="C890" s="1" t="inlineStr">
        <is>
          <t>Técnico I</t>
        </is>
      </c>
      <c r="D890" s="3" t="n">
        <v>21</v>
      </c>
      <c r="E890" s="3" t="n">
        <v>21</v>
      </c>
      <c r="F890" s="3" t="n">
        <v>29.07</v>
      </c>
      <c r="G890" s="3" t="n">
        <v>0</v>
      </c>
      <c r="H890" s="3" t="n">
        <v>0</v>
      </c>
      <c r="I890" s="3">
        <f>E890+G890+H890</f>
        <v/>
      </c>
      <c r="J890" s="3">
        <f>ROUND(MIN(IF(C890="Técnico III",35,IF(C890="Técnico II",28,IF(C890="Técnico I",23,IF(C890="JR",20,IF(C890="Estágio",10,0))))),IF(C890="Técnico III",SUMIFS($D:$D,$A:$A,$A890,$B:$B,"&lt;&gt;Patrícia Karla de Sousa Araújo",$B:$B,"&lt;&gt;Lorena Dias de Araujo",$B:$B,"&lt;&gt;Lucas Luiz Romero")*(35/1083),IF(C890="Técnico II",SUMIFS($D:$D,$A:$A,$A890,$B:$B,"&lt;&gt;Patrícia Karla de Sousa Araújo",$B:$B,"&lt;&gt;Lorena Dias de Araujo",$B:$B,"&lt;&gt;Lucas Luiz Romero")*(28/1083),IF(C890="Técnico I",SUMIFS($D:$D,$A:$A,$A890,$B:$B,"&lt;&gt;Patrícia Karla de Sousa Araújo",$B:$B,"&lt;&gt;Lorena Dias de Araujo",$B:$B,"&lt;&gt;Lucas Luiz Romero")*(23/1083),IF(C890="JR",SUMIFS($D:$D,$A:$A,$A890,$B:$B,"&lt;&gt;Patrícia Karla de Sousa Araújo",$B:$B,"&lt;&gt;Lorena Dias de Araujo",$B:$B,"&lt;&gt;Lucas Luiz Romero")*(20/1083),IF(C890="Estágio",SUMIFS($D:$D,$A:$A,$A890,$B:$B,"&lt;&gt;Patrícia Karla de Sousa Araújo",$B:$B,"&lt;&gt;Lorena Dias de Araujo",$B:$B,"&lt;&gt;Lucas Luiz Romero")*(10/1083),0)))))),0)</f>
        <v/>
      </c>
      <c r="K890" s="3">
        <f>I890-J890</f>
        <v/>
      </c>
      <c r="L890" s="3">
        <f>IF(K890&lt;-5,"CRÍTICO",IF(K890&lt;0,"ATENÇÃO",IF(K890&lt;=5,"BOM","EXCELENTE")))</f>
        <v/>
      </c>
      <c r="M890" s="3" t="n">
        <v>19</v>
      </c>
      <c r="N890" s="3" t="n">
        <v>98.89</v>
      </c>
      <c r="O890" s="12" t="n">
        <v>28.02197802197802</v>
      </c>
    </row>
    <row r="891">
      <c r="A891" s="10" t="n">
        <v>46028</v>
      </c>
      <c r="B891" t="inlineStr">
        <is>
          <t>Maria Eduarda Sousa Costa</t>
        </is>
      </c>
      <c r="C891" s="1" t="inlineStr">
        <is>
          <t>Estágio</t>
        </is>
      </c>
      <c r="D891" s="3" t="n">
        <v>11</v>
      </c>
      <c r="E891" s="3" t="n">
        <v>10</v>
      </c>
      <c r="F891" s="3" t="n">
        <v>37.26</v>
      </c>
      <c r="G891" s="3" t="n">
        <v>0</v>
      </c>
      <c r="H891" s="3" t="n">
        <v>0</v>
      </c>
      <c r="I891" s="3">
        <f>E891+G891+H891</f>
        <v/>
      </c>
      <c r="J891" s="3">
        <f>ROUND(MIN(IF(C891="Técnico III",35,IF(C891="Técnico II",28,IF(C891="Técnico I",23,IF(C891="JR",20,IF(C891="Estágio",10,0))))),IF(C891="Técnico III",SUMIFS($D:$D,$A:$A,$A891,$B:$B,"&lt;&gt;Patrícia Karla de Sousa Araújo",$B:$B,"&lt;&gt;Lorena Dias de Araujo",$B:$B,"&lt;&gt;Lucas Luiz Romero")*(35/1083),IF(C891="Técnico II",SUMIFS($D:$D,$A:$A,$A891,$B:$B,"&lt;&gt;Patrícia Karla de Sousa Araújo",$B:$B,"&lt;&gt;Lorena Dias de Araujo",$B:$B,"&lt;&gt;Lucas Luiz Romero")*(28/1083),IF(C891="Técnico I",SUMIFS($D:$D,$A:$A,$A891,$B:$B,"&lt;&gt;Patrícia Karla de Sousa Araújo",$B:$B,"&lt;&gt;Lorena Dias de Araujo",$B:$B,"&lt;&gt;Lucas Luiz Romero")*(23/1083),IF(C891="JR",SUMIFS($D:$D,$A:$A,$A891,$B:$B,"&lt;&gt;Patrícia Karla de Sousa Araújo",$B:$B,"&lt;&gt;Lorena Dias de Araujo",$B:$B,"&lt;&gt;Lucas Luiz Romero")*(20/1083),IF(C891="Estágio",SUMIFS($D:$D,$A:$A,$A891,$B:$B,"&lt;&gt;Patrícia Karla de Sousa Araújo",$B:$B,"&lt;&gt;Lorena Dias de Araujo",$B:$B,"&lt;&gt;Lucas Luiz Romero")*(10/1083),0)))))),0)</f>
        <v/>
      </c>
      <c r="K891" s="3">
        <f>I891-J891</f>
        <v/>
      </c>
      <c r="L891" s="3">
        <f>IF(K891&lt;-5,"CRÍTICO",IF(K891&lt;0,"ATENÇÃO",IF(K891&lt;=5,"BOM","EXCELENTE")))</f>
        <v/>
      </c>
      <c r="M891" s="3" t="n">
        <v>8</v>
      </c>
      <c r="N891" s="3" t="n">
        <v>100</v>
      </c>
      <c r="O891" s="12" t="n">
        <v>33.33333333333333</v>
      </c>
    </row>
    <row r="892">
      <c r="A892" s="10" t="n">
        <v>46028</v>
      </c>
      <c r="B892" t="inlineStr">
        <is>
          <t>Matheus Farias De Souza</t>
        </is>
      </c>
      <c r="C892" s="1" t="inlineStr">
        <is>
          <t>Técnico III</t>
        </is>
      </c>
      <c r="D892" s="3" t="n">
        <v>0</v>
      </c>
      <c r="E892" s="3" t="n">
        <v>0</v>
      </c>
      <c r="F892" s="3" t="n">
        <v>0</v>
      </c>
      <c r="G892" s="3" t="n">
        <v>0</v>
      </c>
      <c r="H892" s="3" t="n">
        <v>0</v>
      </c>
      <c r="I892" s="3" t="n">
        <v>0</v>
      </c>
      <c r="J892" s="3" t="n">
        <v>0</v>
      </c>
      <c r="K892" s="3" t="n">
        <v>0</v>
      </c>
      <c r="L892" s="3">
        <f>IF(K892&lt;-5,"CRÍTICO",IF(K892&lt;0,"ATENÇÃO",IF(K892&lt;=5,"BOM","EXCELENTE")))</f>
        <v/>
      </c>
      <c r="M892" s="3" t="n">
        <v>0</v>
      </c>
      <c r="N892" s="3" t="n">
        <v>100</v>
      </c>
      <c r="O892" s="12" t="n">
        <v>27.43362831858407</v>
      </c>
    </row>
    <row r="893">
      <c r="A893" s="10" t="n">
        <v>46028</v>
      </c>
      <c r="B893" t="inlineStr">
        <is>
          <t>Maysa Victoria Dias Moura</t>
        </is>
      </c>
      <c r="C893" s="1" t="inlineStr">
        <is>
          <t>Técnico III</t>
        </is>
      </c>
      <c r="D893" s="3" t="n">
        <v>49</v>
      </c>
      <c r="E893" s="3" t="n">
        <v>42</v>
      </c>
      <c r="F893" s="3" t="n">
        <v>10.4</v>
      </c>
      <c r="G893" s="3" t="n">
        <v>0</v>
      </c>
      <c r="H893" s="3" t="n">
        <v>0</v>
      </c>
      <c r="I893" s="3">
        <f>E893+G893+H893</f>
        <v/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/>
      </c>
      <c r="K893" s="3">
        <f>I893-J893</f>
        <v/>
      </c>
      <c r="L893" s="3">
        <f>IF(K893&lt;-5,"CRÍTICO",IF(K893&lt;0,"ATENÇÃO",IF(K893&lt;=5,"BOM","EXCELENTE")))</f>
        <v/>
      </c>
      <c r="M893" s="3" t="n">
        <v>45</v>
      </c>
      <c r="N893" s="3" t="n">
        <v>98.65000000000001</v>
      </c>
      <c r="O893" s="12" t="n">
        <v>30.97826086956522</v>
      </c>
    </row>
    <row r="894">
      <c r="A894" s="10" t="n">
        <v>46028</v>
      </c>
      <c r="B894" t="inlineStr">
        <is>
          <t>Michelle G Santos</t>
        </is>
      </c>
      <c r="C894" s="1" t="inlineStr">
        <is>
          <t>Estágio</t>
        </is>
      </c>
      <c r="D894" s="3" t="n">
        <v>0</v>
      </c>
      <c r="E894" s="3" t="n">
        <v>0</v>
      </c>
      <c r="F894" s="3" t="n">
        <v>0</v>
      </c>
      <c r="G894" s="3" t="n">
        <v>0</v>
      </c>
      <c r="H894" s="3" t="n">
        <v>0</v>
      </c>
      <c r="I894" s="3" t="n">
        <v>0</v>
      </c>
      <c r="J894" s="3" t="n">
        <v>0</v>
      </c>
      <c r="K894" s="3" t="n">
        <v>0</v>
      </c>
      <c r="L894" s="3">
        <f>IF(K894&lt;-5,"CRÍTICO",IF(K894&lt;0,"ATENÇÃO",IF(K894&lt;=5,"BOM","EXCELENTE")))</f>
        <v/>
      </c>
      <c r="M894" s="3" t="n">
        <v>0</v>
      </c>
      <c r="N894" s="3" t="n">
        <v>100</v>
      </c>
      <c r="O894" s="12" t="n">
        <v>12</v>
      </c>
    </row>
    <row r="895">
      <c r="A895" s="10" t="n">
        <v>46028</v>
      </c>
      <c r="B895" t="inlineStr">
        <is>
          <t>Milena Sales</t>
        </is>
      </c>
      <c r="C895" s="1" t="inlineStr">
        <is>
          <t>JR</t>
        </is>
      </c>
      <c r="D895" s="3" t="n">
        <v>0</v>
      </c>
      <c r="E895" s="3" t="n">
        <v>0</v>
      </c>
      <c r="F895" s="3" t="n">
        <v>0</v>
      </c>
      <c r="G895" s="3" t="n">
        <v>0</v>
      </c>
      <c r="H895" s="3" t="n">
        <v>0</v>
      </c>
      <c r="I895" s="3" t="n">
        <v>0</v>
      </c>
      <c r="J895" s="3" t="n">
        <v>0</v>
      </c>
      <c r="K895" s="3" t="n">
        <v>0</v>
      </c>
      <c r="L895" s="3">
        <f>IF(K895&lt;-5,"CRÍTICO",IF(K895&lt;0,"ATENÇÃO",IF(K895&lt;=5,"BOM","EXCELENTE")))</f>
        <v/>
      </c>
      <c r="M895" s="3" t="n">
        <v>0</v>
      </c>
      <c r="N895" s="3" t="n">
        <v>0</v>
      </c>
      <c r="O895" s="12" t="n">
        <v>0</v>
      </c>
    </row>
    <row r="896">
      <c r="A896" s="10" t="n">
        <v>46028</v>
      </c>
      <c r="B896" t="inlineStr">
        <is>
          <t>Patrícia Karla de Sousa Araújo</t>
        </is>
      </c>
      <c r="C896" s="1" t="inlineStr">
        <is>
          <t>Técnico II</t>
        </is>
      </c>
      <c r="D896" s="3" t="n">
        <v>0</v>
      </c>
      <c r="E896" s="3" t="n">
        <v>0</v>
      </c>
      <c r="F896" s="3" t="n">
        <v>0</v>
      </c>
      <c r="G896" s="3" t="n">
        <v>0</v>
      </c>
      <c r="H896" s="3" t="n">
        <v>0</v>
      </c>
      <c r="I896" s="3" t="n">
        <v>0</v>
      </c>
      <c r="J896" s="3" t="n">
        <v>0</v>
      </c>
      <c r="K896" s="3" t="n">
        <v>0</v>
      </c>
      <c r="L896" s="3">
        <f>IF(K896&lt;-5,"CRÍTICO",IF(K896&lt;0,"ATENÇÃO",IF(K896&lt;=5,"BOM","EXCELENTE")))</f>
        <v/>
      </c>
      <c r="M896" s="3" t="n">
        <v>0</v>
      </c>
      <c r="N896" s="3" t="n">
        <v>97.56</v>
      </c>
      <c r="O896" s="12" t="n">
        <v>31.06796116504854</v>
      </c>
    </row>
    <row r="897">
      <c r="A897" s="10" t="n">
        <v>46028</v>
      </c>
      <c r="B897" t="inlineStr">
        <is>
          <t>Paulo Ricardo Santos</t>
        </is>
      </c>
      <c r="C897" s="1" t="inlineStr">
        <is>
          <t>JR</t>
        </is>
      </c>
      <c r="D897" s="3" t="n">
        <v>0</v>
      </c>
      <c r="E897" s="3" t="n">
        <v>0</v>
      </c>
      <c r="F897" s="3" t="n">
        <v>0</v>
      </c>
      <c r="G897" s="3" t="n">
        <v>0</v>
      </c>
      <c r="H897" s="3" t="n">
        <v>0</v>
      </c>
      <c r="I897" s="3" t="n">
        <v>0</v>
      </c>
      <c r="J897" s="3" t="n">
        <v>0</v>
      </c>
      <c r="K897" s="3" t="n">
        <v>0</v>
      </c>
      <c r="L897" s="3">
        <f>IF(K897&lt;-5,"CRÍTICO",IF(K897&lt;0,"ATENÇÃO",IF(K897&lt;=5,"BOM","EXCELENTE")))</f>
        <v/>
      </c>
      <c r="M897" s="3" t="n">
        <v>0</v>
      </c>
      <c r="N897" s="3" t="n">
        <v>0</v>
      </c>
      <c r="O897" s="12" t="n">
        <v>0</v>
      </c>
    </row>
    <row r="898">
      <c r="A898" s="10" t="n">
        <v>46028</v>
      </c>
      <c r="B898" t="inlineStr">
        <is>
          <t>Pedro Luiz Mota Sousa</t>
        </is>
      </c>
      <c r="C898" s="1" t="inlineStr">
        <is>
          <t>JR</t>
        </is>
      </c>
      <c r="D898" s="3" t="n">
        <v>0</v>
      </c>
      <c r="E898" s="3" t="n">
        <v>0</v>
      </c>
      <c r="F898" s="3" t="n">
        <v>0</v>
      </c>
      <c r="G898" s="3" t="n">
        <v>0</v>
      </c>
      <c r="H898" s="3" t="n">
        <v>0</v>
      </c>
      <c r="I898" s="3" t="n">
        <v>0</v>
      </c>
      <c r="J898" s="3" t="n">
        <v>0</v>
      </c>
      <c r="K898" s="3" t="n">
        <v>0</v>
      </c>
      <c r="L898" s="3">
        <f>IF(K898&lt;-5,"CRÍTICO",IF(K898&lt;0,"ATENÇÃO",IF(K898&lt;=5,"BOM","EXCELENTE")))</f>
        <v/>
      </c>
      <c r="M898" s="3" t="n">
        <v>0</v>
      </c>
      <c r="N898" s="3" t="n">
        <v>0</v>
      </c>
      <c r="O898" s="12" t="n">
        <v>0</v>
      </c>
    </row>
    <row r="899">
      <c r="A899" s="10" t="n">
        <v>46028</v>
      </c>
      <c r="B899" t="inlineStr">
        <is>
          <t>Quirino Diogo Leite Torres</t>
        </is>
      </c>
      <c r="C899" s="1" t="inlineStr">
        <is>
          <t>Estágio</t>
        </is>
      </c>
      <c r="D899" s="3" t="n">
        <v>0</v>
      </c>
      <c r="E899" s="3" t="n">
        <v>0</v>
      </c>
      <c r="F899" s="3" t="n">
        <v>0</v>
      </c>
      <c r="G899" s="3" t="n">
        <v>0</v>
      </c>
      <c r="H899" s="3" t="n">
        <v>0</v>
      </c>
      <c r="I899" s="3" t="n">
        <v>0</v>
      </c>
      <c r="J899" s="3" t="n">
        <v>0</v>
      </c>
      <c r="K899" s="3" t="n">
        <v>0</v>
      </c>
      <c r="L899" s="3">
        <f>IF(K899&lt;-5,"CRÍTICO",IF(K899&lt;0,"ATENÇÃO",IF(K899&lt;=5,"BOM","EXCELENTE")))</f>
        <v/>
      </c>
      <c r="M899" s="3" t="n">
        <v>0</v>
      </c>
      <c r="N899" s="3" t="n">
        <v>0</v>
      </c>
      <c r="O899" s="12" t="n">
        <v>0</v>
      </c>
    </row>
    <row r="900">
      <c r="A900" s="10" t="n">
        <v>46028</v>
      </c>
      <c r="B900" t="inlineStr">
        <is>
          <t>Raane Batista Matos</t>
        </is>
      </c>
      <c r="C900" s="1" t="inlineStr">
        <is>
          <t>Técnico I</t>
        </is>
      </c>
      <c r="D900" s="3" t="n">
        <v>0</v>
      </c>
      <c r="E900" s="3" t="n">
        <v>0</v>
      </c>
      <c r="F900" s="3" t="n">
        <v>0</v>
      </c>
      <c r="G900" s="3" t="n">
        <v>0</v>
      </c>
      <c r="H900" s="3" t="n">
        <v>0</v>
      </c>
      <c r="I900" s="3" t="n">
        <v>0</v>
      </c>
      <c r="J900" s="3" t="n">
        <v>0</v>
      </c>
      <c r="K900" s="3" t="n">
        <v>0</v>
      </c>
      <c r="L900" s="3">
        <f>IF(K900&lt;-5,"CRÍTICO",IF(K900&lt;0,"ATENÇÃO",IF(K900&lt;=5,"BOM","EXCELENTE")))</f>
        <v/>
      </c>
      <c r="M900" s="3" t="n">
        <v>0</v>
      </c>
      <c r="N900" s="3" t="n">
        <v>100</v>
      </c>
      <c r="O900" s="12" t="n">
        <v>53.84615384615385</v>
      </c>
    </row>
    <row r="901">
      <c r="A901" s="10" t="n">
        <v>46028</v>
      </c>
      <c r="B901" t="inlineStr">
        <is>
          <t>Rafael Gomes de Morais</t>
        </is>
      </c>
      <c r="C901" s="1" t="inlineStr">
        <is>
          <t>Técnico III</t>
        </is>
      </c>
      <c r="D901" s="3" t="n">
        <v>0</v>
      </c>
      <c r="E901" s="3" t="n">
        <v>0</v>
      </c>
      <c r="F901" s="3" t="n">
        <v>0</v>
      </c>
      <c r="G901" s="3" t="n">
        <v>0</v>
      </c>
      <c r="H901" s="3" t="n">
        <v>0</v>
      </c>
      <c r="I901" s="3" t="n">
        <v>0</v>
      </c>
      <c r="J901" s="3" t="n">
        <v>0</v>
      </c>
      <c r="K901" s="3" t="n">
        <v>0</v>
      </c>
      <c r="L901" s="3">
        <f>IF(K901&lt;-5,"CRÍTICO",IF(K901&lt;0,"ATENÇÃO",IF(K901&lt;=5,"BOM","EXCELENTE")))</f>
        <v/>
      </c>
      <c r="M901" s="3" t="n">
        <v>0</v>
      </c>
      <c r="N901" s="3" t="n">
        <v>100</v>
      </c>
      <c r="O901" s="12" t="n">
        <v>44.05594405594406</v>
      </c>
    </row>
    <row r="902">
      <c r="A902" s="10" t="n">
        <v>46028</v>
      </c>
      <c r="B902" t="inlineStr">
        <is>
          <t>Sara Maria Monteiro Lopes</t>
        </is>
      </c>
      <c r="C902" s="1" t="inlineStr">
        <is>
          <t>Técnico I</t>
        </is>
      </c>
      <c r="D902" s="3" t="n">
        <v>15</v>
      </c>
      <c r="E902" s="3" t="n">
        <v>11</v>
      </c>
      <c r="F902" s="3" t="n">
        <v>27.36</v>
      </c>
      <c r="G902" s="3" t="n">
        <v>0</v>
      </c>
      <c r="H902" s="3" t="n">
        <v>0</v>
      </c>
      <c r="I902" s="3">
        <f>E902+G902+H902</f>
        <v/>
      </c>
      <c r="J902" s="3">
        <f>ROUND(MIN(IF(C902="Técnico III",35,IF(C902="Técnico II",28,IF(C902="Técnico I",23,IF(C902="JR",20,IF(C902="Estágio",10,0))))),IF(C902="Técnico III",SUMIFS($D:$D,$A:$A,$A902,$B:$B,"&lt;&gt;Patrícia Karla de Sousa Araújo",$B:$B,"&lt;&gt;Lorena Dias de Araujo",$B:$B,"&lt;&gt;Lucas Luiz Romero")*(35/1083),IF(C902="Técnico II",SUMIFS($D:$D,$A:$A,$A902,$B:$B,"&lt;&gt;Patrícia Karla de Sousa Araújo",$B:$B,"&lt;&gt;Lorena Dias de Araujo",$B:$B,"&lt;&gt;Lucas Luiz Romero")*(28/1083),IF(C902="Técnico I",SUMIFS($D:$D,$A:$A,$A902,$B:$B,"&lt;&gt;Patrícia Karla de Sousa Araújo",$B:$B,"&lt;&gt;Lorena Dias de Araujo",$B:$B,"&lt;&gt;Lucas Luiz Romero")*(23/1083),IF(C902="JR",SUMIFS($D:$D,$A:$A,$A902,$B:$B,"&lt;&gt;Patrícia Karla de Sousa Araújo",$B:$B,"&lt;&gt;Lorena Dias de Araujo",$B:$B,"&lt;&gt;Lucas Luiz Romero")*(20/1083),IF(C902="Estágio",SUMIFS($D:$D,$A:$A,$A902,$B:$B,"&lt;&gt;Patrícia Karla de Sousa Araújo",$B:$B,"&lt;&gt;Lorena Dias de Araujo",$B:$B,"&lt;&gt;Lucas Luiz Romero")*(10/1083),0)))))),0)</f>
        <v/>
      </c>
      <c r="K902" s="3">
        <f>I902-J902</f>
        <v/>
      </c>
      <c r="L902" s="3">
        <f>IF(K902&lt;-5,"CRÍTICO",IF(K902&lt;0,"ATENÇÃO",IF(K902&lt;=5,"BOM","EXCELENTE")))</f>
        <v/>
      </c>
      <c r="M902" s="3" t="n">
        <v>12</v>
      </c>
      <c r="N902" s="3" t="n">
        <v>100</v>
      </c>
      <c r="O902" s="12" t="n">
        <v>31.87250996015936</v>
      </c>
    </row>
    <row r="903">
      <c r="A903" s="10" t="n">
        <v>46028</v>
      </c>
      <c r="B903" t="inlineStr">
        <is>
          <t>Sarah Steffanie de Lima Borges</t>
        </is>
      </c>
      <c r="C903" s="1" t="inlineStr">
        <is>
          <t>Técnico III</t>
        </is>
      </c>
      <c r="D903" s="3" t="n">
        <v>29</v>
      </c>
      <c r="E903" s="3" t="n">
        <v>27</v>
      </c>
      <c r="F903" s="3" t="n">
        <v>18.4</v>
      </c>
      <c r="G903" s="3" t="n">
        <v>0</v>
      </c>
      <c r="H903" s="3" t="n">
        <v>0</v>
      </c>
      <c r="I903" s="3">
        <f>E903+G903+H903</f>
        <v/>
      </c>
      <c r="J903" s="3">
        <f>ROUND(MIN(IF(C903="Técnico III",35,IF(C903="Técnico II",28,IF(C903="Técnico I",23,IF(C903="JR",20,IF(C903="Estágio",10,0))))),IF(C903="Técnico III",SUMIFS($D:$D,$A:$A,$A903,$B:$B,"&lt;&gt;Patrícia Karla de Sousa Araújo",$B:$B,"&lt;&gt;Lorena Dias de Araujo",$B:$B,"&lt;&gt;Lucas Luiz Romero")*(35/1083),IF(C903="Técnico II",SUMIFS($D:$D,$A:$A,$A903,$B:$B,"&lt;&gt;Patrícia Karla de Sousa Araújo",$B:$B,"&lt;&gt;Lorena Dias de Araujo",$B:$B,"&lt;&gt;Lucas Luiz Romero")*(28/1083),IF(C903="Técnico I",SUMIFS($D:$D,$A:$A,$A903,$B:$B,"&lt;&gt;Patrícia Karla de Sousa Araújo",$B:$B,"&lt;&gt;Lorena Dias de Araujo",$B:$B,"&lt;&gt;Lucas Luiz Romero")*(23/1083),IF(C903="JR",SUMIFS($D:$D,$A:$A,$A903,$B:$B,"&lt;&gt;Patrícia Karla de Sousa Araújo",$B:$B,"&lt;&gt;Lorena Dias de Araujo",$B:$B,"&lt;&gt;Lucas Luiz Romero")*(20/1083),IF(C903="Estágio",SUMIFS($D:$D,$A:$A,$A903,$B:$B,"&lt;&gt;Patrícia Karla de Sousa Araújo",$B:$B,"&lt;&gt;Lorena Dias de Araujo",$B:$B,"&lt;&gt;Lucas Luiz Romero")*(10/1083),0)))))),0)</f>
        <v/>
      </c>
      <c r="K903" s="3">
        <f>I903-J903</f>
        <v/>
      </c>
      <c r="L903" s="3">
        <f>IF(K903&lt;-5,"CRÍTICO",IF(K903&lt;0,"ATENÇÃO",IF(K903&lt;=5,"BOM","EXCELENTE")))</f>
        <v/>
      </c>
      <c r="M903" s="3" t="n">
        <v>25</v>
      </c>
      <c r="N903" s="3" t="n">
        <v>98.41</v>
      </c>
      <c r="O903" s="12" t="n">
        <v>29.22465208747515</v>
      </c>
    </row>
    <row r="904">
      <c r="A904" s="10" t="n">
        <v>46029</v>
      </c>
      <c r="B904" t="inlineStr">
        <is>
          <t>Alisson de Freitas Silva</t>
        </is>
      </c>
      <c r="C904" s="1" t="inlineStr">
        <is>
          <t>Técnico II</t>
        </is>
      </c>
      <c r="D904" s="3" t="n">
        <v>26</v>
      </c>
      <c r="E904" s="3" t="n">
        <v>23</v>
      </c>
      <c r="F904" s="3" t="n">
        <v>20.57</v>
      </c>
      <c r="G904" s="3" t="n">
        <v>0</v>
      </c>
      <c r="H904" s="3" t="n">
        <v>0</v>
      </c>
      <c r="I904" s="3">
        <f>E904+G904+H904</f>
        <v/>
      </c>
      <c r="J904" s="3">
        <f>ROUND(MIN(IF(C904="Técnico III",35,IF(C904="Técnico II",28,IF(C904="Técnico I",23,IF(C904="JR",20,IF(C904="Estágio",10,0))))),IF(C904="Técnico III",SUMIFS($D:$D,$A:$A,$A904,$B:$B,"&lt;&gt;Patrícia Karla de Sousa Araújo",$B:$B,"&lt;&gt;Lorena Dias de Araujo",$B:$B,"&lt;&gt;Lucas Luiz Romero")*(35/1083),IF(C904="Técnico II",SUMIFS($D:$D,$A:$A,$A904,$B:$B,"&lt;&gt;Patrícia Karla de Sousa Araújo",$B:$B,"&lt;&gt;Lorena Dias de Araujo",$B:$B,"&lt;&gt;Lucas Luiz Romero")*(28/1083),IF(C904="Técnico I",SUMIFS($D:$D,$A:$A,$A904,$B:$B,"&lt;&gt;Patrícia Karla de Sousa Araújo",$B:$B,"&lt;&gt;Lorena Dias de Araujo",$B:$B,"&lt;&gt;Lucas Luiz Romero")*(23/1083),IF(C904="JR",SUMIFS($D:$D,$A:$A,$A904,$B:$B,"&lt;&gt;Patrícia Karla de Sousa Araújo",$B:$B,"&lt;&gt;Lorena Dias de Araujo",$B:$B,"&lt;&gt;Lucas Luiz Romero")*(20/1083),IF(C904="Estágio",SUMIFS($D:$D,$A:$A,$A904,$B:$B,"&lt;&gt;Patrícia Karla de Sousa Araújo",$B:$B,"&lt;&gt;Lorena Dias de Araujo",$B:$B,"&lt;&gt;Lucas Luiz Romero")*(10/1083),0)))))),0)</f>
        <v/>
      </c>
      <c r="K904" s="3">
        <f>I904-J904</f>
        <v/>
      </c>
      <c r="L904" s="3">
        <f>IF(K904&lt;-5,"CRÍTICO",IF(K904&lt;0,"ATENÇÃO",IF(K904&lt;=5,"BOM","EXCELENTE")))</f>
        <v/>
      </c>
      <c r="M904" s="3" t="n">
        <v>19</v>
      </c>
      <c r="N904" s="3" t="n">
        <v>96.81</v>
      </c>
      <c r="O904" s="12" t="n">
        <v>27.98053527980535</v>
      </c>
    </row>
    <row r="905">
      <c r="A905" s="10" t="n">
        <v>46029</v>
      </c>
      <c r="B905" t="inlineStr">
        <is>
          <t>Amanda Moura Ferreira</t>
        </is>
      </c>
      <c r="C905" s="1" t="inlineStr">
        <is>
          <t>Técnico III</t>
        </is>
      </c>
      <c r="D905" s="3" t="n">
        <v>0</v>
      </c>
      <c r="E905" s="3" t="n">
        <v>0</v>
      </c>
      <c r="F905" s="3" t="n">
        <v>0</v>
      </c>
      <c r="G905" s="3" t="n">
        <v>0</v>
      </c>
      <c r="H905" s="3" t="n">
        <v>0</v>
      </c>
      <c r="I905" s="3" t="n">
        <v>0</v>
      </c>
      <c r="J905" s="3" t="n">
        <v>0</v>
      </c>
      <c r="K905" s="3" t="n">
        <v>0</v>
      </c>
      <c r="L905" s="3">
        <f>IF(K905&lt;-5,"CRÍTICO",IF(K905&lt;0,"ATENÇÃO",IF(K905&lt;=5,"BOM","EXCELENTE")))</f>
        <v/>
      </c>
      <c r="M905" s="3" t="n">
        <v>26</v>
      </c>
      <c r="N905" s="3" t="n">
        <v>98.73</v>
      </c>
      <c r="O905" s="12" t="n">
        <v>35.75638506876228</v>
      </c>
    </row>
    <row r="906">
      <c r="A906" s="10" t="n">
        <v>46029</v>
      </c>
      <c r="B906" t="inlineStr">
        <is>
          <t>Ana Karollyne Souza Faria</t>
        </is>
      </c>
      <c r="C906" s="1" t="inlineStr">
        <is>
          <t>Técnico I</t>
        </is>
      </c>
      <c r="D906" s="3" t="n">
        <v>30</v>
      </c>
      <c r="E906" s="3" t="n">
        <v>25</v>
      </c>
      <c r="F906" s="3" t="n">
        <v>15.14</v>
      </c>
      <c r="G906" s="3" t="n">
        <v>0</v>
      </c>
      <c r="H906" s="3" t="n">
        <v>0</v>
      </c>
      <c r="I906" s="3">
        <f>E906+G906+H906</f>
        <v/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/>
      </c>
      <c r="K906" s="3">
        <f>I906-J906</f>
        <v/>
      </c>
      <c r="L906" s="3">
        <f>IF(K906&lt;-5,"CRÍTICO",IF(K906&lt;0,"ATENÇÃO",IF(K906&lt;=5,"BOM","EXCELENTE")))</f>
        <v/>
      </c>
      <c r="M906" s="3" t="n">
        <v>24</v>
      </c>
      <c r="N906" s="3" t="n">
        <v>98.31999999999999</v>
      </c>
      <c r="O906" s="12" t="n">
        <v>26.76348547717842</v>
      </c>
    </row>
    <row r="907">
      <c r="A907" s="10" t="n">
        <v>46029</v>
      </c>
      <c r="B907" t="inlineStr">
        <is>
          <t>Ana Paula Da Luz Silva Aleixo</t>
        </is>
      </c>
      <c r="C907" s="1" t="inlineStr">
        <is>
          <t>Técnico III</t>
        </is>
      </c>
      <c r="D907" s="3" t="n">
        <v>31</v>
      </c>
      <c r="E907" s="3" t="n">
        <v>30</v>
      </c>
      <c r="F907" s="3" t="n">
        <v>20.06</v>
      </c>
      <c r="G907" s="3" t="n">
        <v>0</v>
      </c>
      <c r="H907" s="3" t="n">
        <v>0</v>
      </c>
      <c r="I907" s="3">
        <f>E907+G907+H907</f>
        <v/>
      </c>
      <c r="J907" s="3">
        <f>ROUND(MIN(IF(C907="Técnico III",35,IF(C907="Técnico II",28,IF(C907="Técnico I",23,IF(C907="JR",20,IF(C907="Estágio",10,0))))),IF(C907="Técnico III",SUMIFS($D:$D,$A:$A,$A907,$B:$B,"&lt;&gt;Patrícia Karla de Sousa Araújo",$B:$B,"&lt;&gt;Lorena Dias de Araujo",$B:$B,"&lt;&gt;Lucas Luiz Romero")*(35/1083),IF(C907="Técnico II",SUMIFS($D:$D,$A:$A,$A907,$B:$B,"&lt;&gt;Patrícia Karla de Sousa Araújo",$B:$B,"&lt;&gt;Lorena Dias de Araujo",$B:$B,"&lt;&gt;Lucas Luiz Romero")*(28/1083),IF(C907="Técnico I",SUMIFS($D:$D,$A:$A,$A907,$B:$B,"&lt;&gt;Patrícia Karla de Sousa Araújo",$B:$B,"&lt;&gt;Lorena Dias de Araujo",$B:$B,"&lt;&gt;Lucas Luiz Romero")*(23/1083),IF(C907="JR",SUMIFS($D:$D,$A:$A,$A907,$B:$B,"&lt;&gt;Patrícia Karla de Sousa Araújo",$B:$B,"&lt;&gt;Lorena Dias de Araujo",$B:$B,"&lt;&gt;Lucas Luiz Romero")*(20/1083),IF(C907="Estágio",SUMIFS($D:$D,$A:$A,$A907,$B:$B,"&lt;&gt;Patrícia Karla de Sousa Araújo",$B:$B,"&lt;&gt;Lorena Dias de Araujo",$B:$B,"&lt;&gt;Lucas Luiz Romero")*(10/1083),0)))))),0)</f>
        <v/>
      </c>
      <c r="K907" s="3">
        <f>I907-J907</f>
        <v/>
      </c>
      <c r="L907" s="3">
        <f>IF(K907&lt;-5,"CRÍTICO",IF(K907&lt;0,"ATENÇÃO",IF(K907&lt;=5,"BOM","EXCELENTE")))</f>
        <v/>
      </c>
      <c r="M907" s="3" t="n">
        <v>28</v>
      </c>
      <c r="N907" s="3" t="n">
        <v>99.19</v>
      </c>
      <c r="O907" s="12" t="n">
        <v>27.63713080168776</v>
      </c>
    </row>
    <row r="908">
      <c r="A908" s="10" t="n">
        <v>46029</v>
      </c>
      <c r="B908" t="inlineStr">
        <is>
          <t>Anna Luiza Rezende Tavares</t>
        </is>
      </c>
      <c r="C908" s="1" t="inlineStr">
        <is>
          <t>Estágio</t>
        </is>
      </c>
      <c r="D908" s="3" t="n">
        <v>15</v>
      </c>
      <c r="E908" s="3" t="n">
        <v>14</v>
      </c>
      <c r="F908" s="3" t="n">
        <v>32.35</v>
      </c>
      <c r="G908" s="3" t="n">
        <v>0</v>
      </c>
      <c r="H908" s="3" t="n">
        <v>0</v>
      </c>
      <c r="I908" s="3">
        <f>E908+G908+H908</f>
        <v/>
      </c>
      <c r="J908" s="3">
        <f>ROUND(MIN(IF(C908="Técnico III",35,IF(C908="Técnico II",28,IF(C908="Técnico I",23,IF(C908="JR",20,IF(C908="Estágio",10,0))))),IF(C908="Técnico III",SUMIFS($D:$D,$A:$A,$A908,$B:$B,"&lt;&gt;Patrícia Karla de Sousa Araújo",$B:$B,"&lt;&gt;Lorena Dias de Araujo",$B:$B,"&lt;&gt;Lucas Luiz Romero")*(35/1083),IF(C908="Técnico II",SUMIFS($D:$D,$A:$A,$A908,$B:$B,"&lt;&gt;Patrícia Karla de Sousa Araújo",$B:$B,"&lt;&gt;Lorena Dias de Araujo",$B:$B,"&lt;&gt;Lucas Luiz Romero")*(28/1083),IF(C908="Técnico I",SUMIFS($D:$D,$A:$A,$A908,$B:$B,"&lt;&gt;Patrícia Karla de Sousa Araújo",$B:$B,"&lt;&gt;Lorena Dias de Araujo",$B:$B,"&lt;&gt;Lucas Luiz Romero")*(23/1083),IF(C908="JR",SUMIFS($D:$D,$A:$A,$A908,$B:$B,"&lt;&gt;Patrícia Karla de Sousa Araújo",$B:$B,"&lt;&gt;Lorena Dias de Araujo",$B:$B,"&lt;&gt;Lucas Luiz Romero")*(20/1083),IF(C908="Estágio",SUMIFS($D:$D,$A:$A,$A908,$B:$B,"&lt;&gt;Patrícia Karla de Sousa Araújo",$B:$B,"&lt;&gt;Lorena Dias de Araujo",$B:$B,"&lt;&gt;Lucas Luiz Romero")*(10/1083),0)))))),0)</f>
        <v/>
      </c>
      <c r="K908" s="3">
        <f>I908-J908</f>
        <v/>
      </c>
      <c r="L908" s="3">
        <f>IF(K908&lt;-5,"CRÍTICO",IF(K908&lt;0,"ATENÇÃO",IF(K908&lt;=5,"BOM","EXCELENTE")))</f>
        <v/>
      </c>
      <c r="M908" s="3" t="n">
        <v>13</v>
      </c>
      <c r="N908" s="3" t="n">
        <v>100</v>
      </c>
      <c r="O908" s="12" t="n">
        <v>39.56834532374101</v>
      </c>
    </row>
    <row r="909">
      <c r="A909" s="10" t="n">
        <v>46029</v>
      </c>
      <c r="B909" t="inlineStr">
        <is>
          <t>Brenda de Menezes Silva</t>
        </is>
      </c>
      <c r="C909" s="1" t="inlineStr">
        <is>
          <t>Técnico II</t>
        </is>
      </c>
      <c r="D909" s="3" t="n">
        <v>31</v>
      </c>
      <c r="E909" s="3" t="n">
        <v>28</v>
      </c>
      <c r="F909" s="3" t="n">
        <v>20.12</v>
      </c>
      <c r="G909" s="3" t="n">
        <v>0</v>
      </c>
      <c r="H909" s="3" t="n">
        <v>0</v>
      </c>
      <c r="I909" s="3">
        <f>E909+G909+H909</f>
        <v/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/>
      </c>
      <c r="K909" s="3">
        <f>I909-J909</f>
        <v/>
      </c>
      <c r="L909" s="3">
        <f>IF(K909&lt;-5,"CRÍTICO",IF(K909&lt;0,"ATENÇÃO",IF(K909&lt;=5,"BOM","EXCELENTE")))</f>
        <v/>
      </c>
      <c r="M909" s="3" t="n">
        <v>26</v>
      </c>
      <c r="N909" s="3" t="n">
        <v>98.54000000000001</v>
      </c>
      <c r="O909" s="12" t="n">
        <v>28.54477611940299</v>
      </c>
    </row>
    <row r="910">
      <c r="A910" s="10" t="n">
        <v>46029</v>
      </c>
      <c r="B910" t="inlineStr">
        <is>
          <t>Carlos Mateus Cassimiro Nunes</t>
        </is>
      </c>
      <c r="C910" s="1" t="inlineStr">
        <is>
          <t>Técnico II</t>
        </is>
      </c>
      <c r="D910" s="3" t="n">
        <v>28</v>
      </c>
      <c r="E910" s="3" t="n">
        <v>23</v>
      </c>
      <c r="F910" s="3" t="n">
        <v>19.14</v>
      </c>
      <c r="G910" s="3" t="n">
        <v>0</v>
      </c>
      <c r="H910" s="3" t="n">
        <v>0</v>
      </c>
      <c r="I910" s="3">
        <f>E910+G910+H910</f>
        <v/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/>
      </c>
      <c r="K910" s="3">
        <f>I910-J910</f>
        <v/>
      </c>
      <c r="L910" s="3">
        <f>IF(K910&lt;-5,"CRÍTICO",IF(K910&lt;0,"ATENÇÃO",IF(K910&lt;=5,"BOM","EXCELENTE")))</f>
        <v/>
      </c>
      <c r="M910" s="3" t="n">
        <v>20</v>
      </c>
      <c r="N910" s="3" t="n">
        <v>100</v>
      </c>
      <c r="O910" s="12" t="n">
        <v>34.36692506459949</v>
      </c>
    </row>
    <row r="911">
      <c r="A911" s="10" t="n">
        <v>46029</v>
      </c>
      <c r="B911" t="inlineStr">
        <is>
          <t>Claudio de Sousa Velasco Filho</t>
        </is>
      </c>
      <c r="C911" s="1" t="inlineStr">
        <is>
          <t>Estágio</t>
        </is>
      </c>
      <c r="D911" s="3" t="n">
        <v>0</v>
      </c>
      <c r="E911" s="3" t="n">
        <v>0</v>
      </c>
      <c r="F911" s="3" t="n">
        <v>0</v>
      </c>
      <c r="G911" s="3" t="n">
        <v>0</v>
      </c>
      <c r="H911" s="3" t="n">
        <v>0</v>
      </c>
      <c r="I911" s="3" t="n">
        <v>0</v>
      </c>
      <c r="J911" s="3" t="n">
        <v>0</v>
      </c>
      <c r="K911" s="3" t="n">
        <v>0</v>
      </c>
      <c r="L911" s="3">
        <f>IF(K911&lt;-5,"CRÍTICO",IF(K911&lt;0,"ATENÇÃO",IF(K911&lt;=5,"BOM","EXCELENTE")))</f>
        <v/>
      </c>
      <c r="M911" s="3" t="n">
        <v>0</v>
      </c>
      <c r="N911" s="3" t="n">
        <v>0</v>
      </c>
      <c r="O911" s="12" t="n">
        <v>0</v>
      </c>
    </row>
    <row r="912">
      <c r="A912" s="10" t="n">
        <v>46029</v>
      </c>
      <c r="B912" t="inlineStr">
        <is>
          <t>Clessiane Pereira dos Santos</t>
        </is>
      </c>
      <c r="C912" s="1" t="inlineStr">
        <is>
          <t>Técnico I</t>
        </is>
      </c>
      <c r="D912" s="3" t="n">
        <v>17</v>
      </c>
      <c r="E912" s="3" t="n">
        <v>17</v>
      </c>
      <c r="F912" s="3" t="n">
        <v>30.57</v>
      </c>
      <c r="G912" s="3" t="n">
        <v>0</v>
      </c>
      <c r="H912" s="3" t="n">
        <v>0</v>
      </c>
      <c r="I912" s="3">
        <f>E912+G912+H912</f>
        <v/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/>
      </c>
      <c r="K912" s="3">
        <f>I912-J912</f>
        <v/>
      </c>
      <c r="L912" s="3">
        <f>IF(K912&lt;-5,"CRÍTICO",IF(K912&lt;0,"ATENÇÃO",IF(K912&lt;=5,"BOM","EXCELENTE")))</f>
        <v/>
      </c>
      <c r="M912" s="3" t="n">
        <v>14</v>
      </c>
      <c r="N912" s="3" t="n">
        <v>100</v>
      </c>
      <c r="O912" s="12" t="n">
        <v>29.51807228915663</v>
      </c>
    </row>
    <row r="913">
      <c r="A913" s="10" t="n">
        <v>46029</v>
      </c>
      <c r="B913" t="inlineStr">
        <is>
          <t>Cristiane Ramos da Silva Rocha</t>
        </is>
      </c>
      <c r="C913" s="1" t="inlineStr">
        <is>
          <t>Técnico III</t>
        </is>
      </c>
      <c r="D913" s="3" t="n">
        <v>55</v>
      </c>
      <c r="E913" s="3" t="n">
        <v>45</v>
      </c>
      <c r="F913" s="3" t="n">
        <v>9.109999999999999</v>
      </c>
      <c r="G913" s="3" t="n">
        <v>0</v>
      </c>
      <c r="H913" s="3" t="n">
        <v>0</v>
      </c>
      <c r="I913" s="3">
        <f>E913+G913+H913</f>
        <v/>
      </c>
      <c r="J913" s="3">
        <f>ROUND(MIN(IF(C913="Técnico III",35,IF(C913="Técnico II",28,IF(C913="Técnico I",23,IF(C913="JR",20,IF(C913="Estágio",10,0))))),IF(C913="Técnico III",SUMIFS($D:$D,$A:$A,$A913,$B:$B,"&lt;&gt;Patrícia Karla de Sousa Araújo",$B:$B,"&lt;&gt;Lorena Dias de Araujo",$B:$B,"&lt;&gt;Lucas Luiz Romero")*(35/1083),IF(C913="Técnico II",SUMIFS($D:$D,$A:$A,$A913,$B:$B,"&lt;&gt;Patrícia Karla de Sousa Araújo",$B:$B,"&lt;&gt;Lorena Dias de Araujo",$B:$B,"&lt;&gt;Lucas Luiz Romero")*(28/1083),IF(C913="Técnico I",SUMIFS($D:$D,$A:$A,$A913,$B:$B,"&lt;&gt;Patrícia Karla de Sousa Araújo",$B:$B,"&lt;&gt;Lorena Dias de Araujo",$B:$B,"&lt;&gt;Lucas Luiz Romero")*(23/1083),IF(C913="JR",SUMIFS($D:$D,$A:$A,$A913,$B:$B,"&lt;&gt;Patrícia Karla de Sousa Araújo",$B:$B,"&lt;&gt;Lorena Dias de Araujo",$B:$B,"&lt;&gt;Lucas Luiz Romero")*(20/1083),IF(C913="Estágio",SUMIFS($D:$D,$A:$A,$A913,$B:$B,"&lt;&gt;Patrícia Karla de Sousa Araújo",$B:$B,"&lt;&gt;Lorena Dias de Araujo",$B:$B,"&lt;&gt;Lucas Luiz Romero")*(10/1083),0)))))),0)</f>
        <v/>
      </c>
      <c r="K913" s="3">
        <f>I913-J913</f>
        <v/>
      </c>
      <c r="L913" s="3">
        <f>IF(K913&lt;-5,"CRÍTICO",IF(K913&lt;0,"ATENÇÃO",IF(K913&lt;=5,"BOM","EXCELENTE")))</f>
        <v/>
      </c>
      <c r="M913" s="3" t="n">
        <v>42</v>
      </c>
      <c r="N913" s="3" t="n">
        <v>97.45</v>
      </c>
      <c r="O913" s="12" t="n">
        <v>41.421143847487</v>
      </c>
    </row>
    <row r="914">
      <c r="A914" s="10" t="n">
        <v>46029</v>
      </c>
      <c r="B914" t="inlineStr">
        <is>
          <t>Damyllis Lorraine de Oliveira Gonçalves</t>
        </is>
      </c>
      <c r="C914" s="1" t="inlineStr">
        <is>
          <t>Técnico II</t>
        </is>
      </c>
      <c r="D914" s="3" t="n">
        <v>37</v>
      </c>
      <c r="E914" s="3" t="n">
        <v>33</v>
      </c>
      <c r="F914" s="3" t="n">
        <v>15.37</v>
      </c>
      <c r="G914" s="3" t="n">
        <v>0</v>
      </c>
      <c r="H914" s="3" t="n">
        <v>0</v>
      </c>
      <c r="I914" s="3" t="n">
        <v>0</v>
      </c>
      <c r="J914" s="3" t="n">
        <v>0</v>
      </c>
      <c r="K914" s="3" t="n">
        <v>0</v>
      </c>
      <c r="L914" s="3">
        <f>IF(K914&lt;-5,"CRÍTICO",IF(K914&lt;0,"ATENÇÃO",IF(K914&lt;=5,"BOM","EXCELENTE")))</f>
        <v/>
      </c>
      <c r="M914" s="3" t="n">
        <v>26</v>
      </c>
      <c r="N914" s="3" t="n">
        <v>96.58</v>
      </c>
      <c r="O914" s="12" t="n">
        <v>30.39647577092511</v>
      </c>
    </row>
    <row r="915">
      <c r="A915" s="10" t="n">
        <v>46029</v>
      </c>
      <c r="B915" t="inlineStr">
        <is>
          <t>Daniel Gomes da Silva</t>
        </is>
      </c>
      <c r="C915" s="1" t="inlineStr">
        <is>
          <t>Técnico I</t>
        </is>
      </c>
      <c r="D915" s="3" t="n">
        <v>27</v>
      </c>
      <c r="E915" s="3" t="n">
        <v>27</v>
      </c>
      <c r="F915" s="3" t="n">
        <v>21.4</v>
      </c>
      <c r="G915" s="3" t="n">
        <v>0</v>
      </c>
      <c r="H915" s="3" t="n">
        <v>0</v>
      </c>
      <c r="I915" s="3">
        <f>E915+G915+H915</f>
        <v/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/>
      </c>
      <c r="K915" s="3">
        <f>I915-J915</f>
        <v/>
      </c>
      <c r="L915" s="3">
        <f>IF(K915&lt;-5,"CRÍTICO",IF(K915&lt;0,"ATENÇÃO",IF(K915&lt;=5,"BOM","EXCELENTE")))</f>
        <v/>
      </c>
      <c r="M915" s="3" t="n">
        <v>25</v>
      </c>
      <c r="N915" s="3" t="n">
        <v>100</v>
      </c>
      <c r="O915" s="12" t="n">
        <v>27.44282744282744</v>
      </c>
    </row>
    <row r="916">
      <c r="A916" s="10" t="n">
        <v>46029</v>
      </c>
      <c r="B916" t="inlineStr">
        <is>
          <t>Davylla Rodrigues Freitas Silva</t>
        </is>
      </c>
      <c r="C916" s="1" t="inlineStr">
        <is>
          <t>Técnico III</t>
        </is>
      </c>
      <c r="D916" s="3" t="n">
        <v>34</v>
      </c>
      <c r="E916" s="3" t="n">
        <v>33</v>
      </c>
      <c r="F916" s="3" t="n">
        <v>21.41</v>
      </c>
      <c r="G916" s="3" t="n">
        <v>0</v>
      </c>
      <c r="H916" s="3" t="n">
        <v>0</v>
      </c>
      <c r="I916" s="3" t="n">
        <v>0</v>
      </c>
      <c r="J916" s="3" t="n">
        <v>0</v>
      </c>
      <c r="K916" s="3" t="n">
        <v>0</v>
      </c>
      <c r="L916" s="3">
        <f>IF(K916&lt;-5,"CRÍTICO",IF(K916&lt;0,"ATENÇÃO",IF(K916&lt;=5,"BOM","EXCELENTE")))</f>
        <v/>
      </c>
      <c r="M916" s="3" t="n">
        <v>33</v>
      </c>
      <c r="N916" s="3" t="n">
        <v>99.48999999999999</v>
      </c>
      <c r="O916" s="12" t="n">
        <v>40.2</v>
      </c>
    </row>
    <row r="917">
      <c r="A917" s="10" t="n">
        <v>46029</v>
      </c>
      <c r="B917" t="inlineStr">
        <is>
          <t>Emilly Caylane Costa</t>
        </is>
      </c>
      <c r="C917" s="1" t="inlineStr">
        <is>
          <t>Estágio</t>
        </is>
      </c>
      <c r="D917" s="3" t="n">
        <v>0</v>
      </c>
      <c r="E917" s="3" t="n">
        <v>0</v>
      </c>
      <c r="F917" s="3" t="n">
        <v>0</v>
      </c>
      <c r="G917" s="3" t="n">
        <v>0</v>
      </c>
      <c r="H917" s="3" t="n">
        <v>0</v>
      </c>
      <c r="I917" s="3" t="n">
        <v>0</v>
      </c>
      <c r="J917" s="3" t="n">
        <v>0</v>
      </c>
      <c r="K917" s="3" t="n">
        <v>0</v>
      </c>
      <c r="L917" s="3">
        <f>IF(K917&lt;-5,"CRÍTICO",IF(K917&lt;0,"ATENÇÃO",IF(K917&lt;=5,"BOM","EXCELENTE")))</f>
        <v/>
      </c>
      <c r="M917" s="3" t="n">
        <v>0</v>
      </c>
      <c r="N917" s="3" t="n">
        <v>100</v>
      </c>
      <c r="O917" s="12" t="n">
        <v>25</v>
      </c>
    </row>
    <row r="918">
      <c r="A918" s="10" t="n">
        <v>46029</v>
      </c>
      <c r="B918" t="inlineStr">
        <is>
          <t>Emilly Kamilly Medeiros Miranda</t>
        </is>
      </c>
      <c r="C918" s="1" t="inlineStr">
        <is>
          <t>Técnico II</t>
        </is>
      </c>
      <c r="D918" s="3" t="n">
        <v>34</v>
      </c>
      <c r="E918" s="3" t="n">
        <v>33</v>
      </c>
      <c r="F918" s="3" t="n">
        <v>16.43</v>
      </c>
      <c r="G918" s="3" t="n">
        <v>0</v>
      </c>
      <c r="H918" s="3" t="n">
        <v>0</v>
      </c>
      <c r="I918" s="3">
        <f>E918+G918+H918</f>
        <v/>
      </c>
      <c r="J918" s="3">
        <f>ROUND(MIN(IF(C918="Técnico III",35,IF(C918="Técnico II",28,IF(C918="Técnico I",23,IF(C918="JR",20,IF(C918="Estágio",10,0))))),IF(C918="Técnico III",SUMIFS($D:$D,$A:$A,$A918,$B:$B,"&lt;&gt;Patrícia Karla de Sousa Araújo",$B:$B,"&lt;&gt;Lorena Dias de Araujo",$B:$B,"&lt;&gt;Lucas Luiz Romero")*(35/1083),IF(C918="Técnico II",SUMIFS($D:$D,$A:$A,$A918,$B:$B,"&lt;&gt;Patrícia Karla de Sousa Araújo",$B:$B,"&lt;&gt;Lorena Dias de Araujo",$B:$B,"&lt;&gt;Lucas Luiz Romero")*(28/1083),IF(C918="Técnico I",SUMIFS($D:$D,$A:$A,$A918,$B:$B,"&lt;&gt;Patrícia Karla de Sousa Araújo",$B:$B,"&lt;&gt;Lorena Dias de Araujo",$B:$B,"&lt;&gt;Lucas Luiz Romero")*(23/1083),IF(C918="JR",SUMIFS($D:$D,$A:$A,$A918,$B:$B,"&lt;&gt;Patrícia Karla de Sousa Araújo",$B:$B,"&lt;&gt;Lorena Dias de Araujo",$B:$B,"&lt;&gt;Lucas Luiz Romero")*(20/1083),IF(C918="Estágio",SUMIFS($D:$D,$A:$A,$A918,$B:$B,"&lt;&gt;Patrícia Karla de Sousa Araújo",$B:$B,"&lt;&gt;Lorena Dias de Araujo",$B:$B,"&lt;&gt;Lucas Luiz Romero")*(10/1083),0)))))),0)</f>
        <v/>
      </c>
      <c r="K918" s="3">
        <f>I918-J918</f>
        <v/>
      </c>
      <c r="L918" s="3">
        <f>IF(K918&lt;-5,"CRÍTICO",IF(K918&lt;0,"ATENÇÃO",IF(K918&lt;=5,"BOM","EXCELENTE")))</f>
        <v/>
      </c>
      <c r="M918" s="3" t="n">
        <v>27</v>
      </c>
      <c r="N918" s="3" t="n">
        <v>100</v>
      </c>
      <c r="O918" s="12" t="n">
        <v>34.15094339622641</v>
      </c>
    </row>
    <row r="919">
      <c r="A919" s="10" t="n">
        <v>46029</v>
      </c>
      <c r="B919" t="inlineStr">
        <is>
          <t>Francielson de Oliveira</t>
        </is>
      </c>
      <c r="C919" s="1" t="inlineStr">
        <is>
          <t>Técnico III</t>
        </is>
      </c>
      <c r="D919" s="3" t="n">
        <v>34</v>
      </c>
      <c r="E919" s="3" t="n">
        <v>31</v>
      </c>
      <c r="F919" s="3" t="n">
        <v>12.38</v>
      </c>
      <c r="G919" s="3" t="n">
        <v>0</v>
      </c>
      <c r="H919" s="3" t="n">
        <v>0</v>
      </c>
      <c r="I919" s="3">
        <f>E919+G919+H919</f>
        <v/>
      </c>
      <c r="J919" s="3">
        <f>ROUND(MIN(IF(C919="Técnico III",35,IF(C919="Técnico II",28,IF(C919="Técnico I",23,IF(C919="JR",20,IF(C919="Estágio",10,0))))),IF(C919="Técnico III",SUMIFS($D:$D,$A:$A,$A919,$B:$B,"&lt;&gt;Patrícia Karla de Sousa Araújo",$B:$B,"&lt;&gt;Lorena Dias de Araujo",$B:$B,"&lt;&gt;Lucas Luiz Romero")*(35/1083),IF(C919="Técnico II",SUMIFS($D:$D,$A:$A,$A919,$B:$B,"&lt;&gt;Patrícia Karla de Sousa Araújo",$B:$B,"&lt;&gt;Lorena Dias de Araujo",$B:$B,"&lt;&gt;Lucas Luiz Romero")*(28/1083),IF(C919="Técnico I",SUMIFS($D:$D,$A:$A,$A919,$B:$B,"&lt;&gt;Patrícia Karla de Sousa Araújo",$B:$B,"&lt;&gt;Lorena Dias de Araujo",$B:$B,"&lt;&gt;Lucas Luiz Romero")*(23/1083),IF(C919="JR",SUMIFS($D:$D,$A:$A,$A919,$B:$B,"&lt;&gt;Patrícia Karla de Sousa Araújo",$B:$B,"&lt;&gt;Lorena Dias de Araujo",$B:$B,"&lt;&gt;Lucas Luiz Romero")*(20/1083),IF(C919="Estágio",SUMIFS($D:$D,$A:$A,$A919,$B:$B,"&lt;&gt;Patrícia Karla de Sousa Araújo",$B:$B,"&lt;&gt;Lorena Dias de Araujo",$B:$B,"&lt;&gt;Lucas Luiz Romero")*(10/1083),0)))))),0)</f>
        <v/>
      </c>
      <c r="K919" s="3">
        <f>I919-J919</f>
        <v/>
      </c>
      <c r="L919" s="3">
        <f>IF(K919&lt;-5,"CRÍTICO",IF(K919&lt;0,"ATENÇÃO",IF(K919&lt;=5,"BOM","EXCELENTE")))</f>
        <v/>
      </c>
      <c r="M919" s="3" t="n">
        <v>32</v>
      </c>
      <c r="N919" s="3" t="n">
        <v>100</v>
      </c>
      <c r="O919" s="12" t="n">
        <v>32.7313769751693</v>
      </c>
    </row>
    <row r="920">
      <c r="A920" s="10" t="n">
        <v>46029</v>
      </c>
      <c r="B920" t="inlineStr">
        <is>
          <t>Francilene Ferreira de Jesus</t>
        </is>
      </c>
      <c r="C920" s="1" t="inlineStr">
        <is>
          <t>Técnico II</t>
        </is>
      </c>
      <c r="D920" s="3" t="n">
        <v>33</v>
      </c>
      <c r="E920" s="3" t="n">
        <v>31</v>
      </c>
      <c r="F920" s="3" t="n">
        <v>25.16</v>
      </c>
      <c r="G920" s="3" t="n">
        <v>0</v>
      </c>
      <c r="H920" s="3" t="n">
        <v>0</v>
      </c>
      <c r="I920" s="3">
        <f>E920+G920+H920</f>
        <v/>
      </c>
      <c r="J920" s="3">
        <f>ROUND(MIN(IF(C920="Técnico III",35,IF(C920="Técnico II",28,IF(C920="Técnico I",23,IF(C920="JR",20,IF(C920="Estágio",10,0))))),IF(C920="Técnico III",SUMIFS($D:$D,$A:$A,$A920,$B:$B,"&lt;&gt;Patrícia Karla de Sousa Araújo",$B:$B,"&lt;&gt;Lorena Dias de Araujo",$B:$B,"&lt;&gt;Lucas Luiz Romero")*(35/1083),IF(C920="Técnico II",SUMIFS($D:$D,$A:$A,$A920,$B:$B,"&lt;&gt;Patrícia Karla de Sousa Araújo",$B:$B,"&lt;&gt;Lorena Dias de Araujo",$B:$B,"&lt;&gt;Lucas Luiz Romero")*(28/1083),IF(C920="Técnico I",SUMIFS($D:$D,$A:$A,$A920,$B:$B,"&lt;&gt;Patrícia Karla de Sousa Araújo",$B:$B,"&lt;&gt;Lorena Dias de Araujo",$B:$B,"&lt;&gt;Lucas Luiz Romero")*(23/1083),IF(C920="JR",SUMIFS($D:$D,$A:$A,$A920,$B:$B,"&lt;&gt;Patrícia Karla de Sousa Araújo",$B:$B,"&lt;&gt;Lorena Dias de Araujo",$B:$B,"&lt;&gt;Lucas Luiz Romero")*(20/1083),IF(C920="Estágio",SUMIFS($D:$D,$A:$A,$A920,$B:$B,"&lt;&gt;Patrícia Karla de Sousa Araújo",$B:$B,"&lt;&gt;Lorena Dias de Araujo",$B:$B,"&lt;&gt;Lucas Luiz Romero")*(10/1083),0)))))),0)</f>
        <v/>
      </c>
      <c r="K920" s="3">
        <f>I920-J920</f>
        <v/>
      </c>
      <c r="L920" s="3">
        <f>IF(K920&lt;-5,"CRÍTICO",IF(K920&lt;0,"ATENÇÃO",IF(K920&lt;=5,"BOM","EXCELENTE")))</f>
        <v/>
      </c>
      <c r="M920" s="3" t="n">
        <v>29</v>
      </c>
      <c r="N920" s="3" t="n">
        <v>99.31</v>
      </c>
      <c r="O920" s="12" t="n">
        <v>30.96234309623431</v>
      </c>
    </row>
    <row r="921">
      <c r="A921" s="10" t="n">
        <v>46063</v>
      </c>
      <c r="B921" t="inlineStr">
        <is>
          <t>Gabriel Gomes de Andrade</t>
        </is>
      </c>
      <c r="C921" s="1" t="inlineStr">
        <is>
          <t>Técnico I</t>
        </is>
      </c>
      <c r="D921" s="3" t="n">
        <v>6</v>
      </c>
      <c r="E921" s="3" t="n">
        <v>6</v>
      </c>
      <c r="F921" s="3" t="n">
        <v>20.39</v>
      </c>
      <c r="G921" s="3" t="n">
        <v>0</v>
      </c>
      <c r="H921" s="3" t="n">
        <v>0</v>
      </c>
      <c r="I921" s="3">
        <f>E921+G921+H921</f>
        <v/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/>
      </c>
      <c r="K921" s="3">
        <f>I921-J921</f>
        <v/>
      </c>
      <c r="L921" s="3">
        <f>IF(K921&lt;-5,"CRÍTICO",IF(K921&lt;0,"ATENÇÃO",IF(K921&lt;=5,"BOM","EXCELENTE")))</f>
        <v/>
      </c>
      <c r="M921" s="3" t="n">
        <v>28</v>
      </c>
      <c r="N921" s="3" t="n">
        <v>96.67</v>
      </c>
      <c r="O921" s="12" t="n">
        <v>31.45161290322581</v>
      </c>
    </row>
    <row r="922">
      <c r="A922" s="10" t="n">
        <v>46029</v>
      </c>
      <c r="B922" t="inlineStr">
        <is>
          <t>Isabella Borges de Oliveira</t>
        </is>
      </c>
      <c r="C922" s="1" t="inlineStr">
        <is>
          <t>Técnico II</t>
        </is>
      </c>
      <c r="D922" s="3" t="n">
        <v>28</v>
      </c>
      <c r="E922" s="3" t="n">
        <v>25</v>
      </c>
      <c r="F922" s="3" t="n">
        <v>15.12</v>
      </c>
      <c r="G922" s="3" t="n">
        <v>0</v>
      </c>
      <c r="H922" s="3" t="n">
        <v>0</v>
      </c>
      <c r="I922" s="3">
        <f>E922+G922+H922</f>
        <v/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/>
      </c>
      <c r="K922" s="3">
        <f>I922-J922</f>
        <v/>
      </c>
      <c r="L922" s="3">
        <f>IF(K922&lt;-5,"CRÍTICO",IF(K922&lt;0,"ATENÇÃO",IF(K922&lt;=5,"BOM","EXCELENTE")))</f>
        <v/>
      </c>
      <c r="M922" s="3" t="n">
        <v>27</v>
      </c>
      <c r="N922" s="3" t="n">
        <v>100</v>
      </c>
      <c r="O922" s="12" t="n">
        <v>27.67676767676768</v>
      </c>
    </row>
    <row r="923">
      <c r="A923" s="10" t="n">
        <v>46029</v>
      </c>
      <c r="B923" t="inlineStr">
        <is>
          <t>Janaina Lima dos Reis Urany</t>
        </is>
      </c>
      <c r="C923" s="1" t="inlineStr">
        <is>
          <t>Técnico III</t>
        </is>
      </c>
      <c r="D923" s="3" t="n">
        <v>59</v>
      </c>
      <c r="E923" s="3" t="n">
        <v>53</v>
      </c>
      <c r="F923" s="3" t="n">
        <v>10.35</v>
      </c>
      <c r="G923" s="3" t="n">
        <v>0</v>
      </c>
      <c r="H923" s="3" t="n">
        <v>0</v>
      </c>
      <c r="I923" s="3">
        <f>E923+G923+H923</f>
        <v/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/>
      </c>
      <c r="K923" s="3">
        <f>I923-J923</f>
        <v/>
      </c>
      <c r="L923" s="3">
        <f>IF(K923&lt;-5,"CRÍTICO",IF(K923&lt;0,"ATENÇÃO",IF(K923&lt;=5,"BOM","EXCELENTE")))</f>
        <v/>
      </c>
      <c r="M923" s="3" t="n">
        <v>51</v>
      </c>
      <c r="N923" s="3" t="n">
        <v>100</v>
      </c>
      <c r="O923" s="12" t="n">
        <v>31.17723156532988</v>
      </c>
    </row>
    <row r="924">
      <c r="A924" s="10" t="n">
        <v>46029</v>
      </c>
      <c r="B924" t="inlineStr">
        <is>
          <t>Jaqueline Evangelista da Silva Martins</t>
        </is>
      </c>
      <c r="C924" s="1" t="inlineStr">
        <is>
          <t>Técnico III</t>
        </is>
      </c>
      <c r="D924" s="3" t="n">
        <v>30</v>
      </c>
      <c r="E924" s="3" t="n">
        <v>27</v>
      </c>
      <c r="F924" s="3" t="n">
        <v>12.23</v>
      </c>
      <c r="G924" s="3" t="n">
        <v>0</v>
      </c>
      <c r="H924" s="3" t="n">
        <v>0</v>
      </c>
      <c r="I924" s="3">
        <f>E924+G924+H924</f>
        <v/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/>
      </c>
      <c r="K924" s="3">
        <f>I924-J924</f>
        <v/>
      </c>
      <c r="L924" s="3">
        <f>IF(K924&lt;-5,"CRÍTICO",IF(K924&lt;0,"ATENÇÃO",IF(K924&lt;=5,"BOM","EXCELENTE")))</f>
        <v/>
      </c>
      <c r="M924" s="3" t="n">
        <v>24</v>
      </c>
      <c r="N924" s="3" t="n">
        <v>100</v>
      </c>
      <c r="O924" s="12" t="n">
        <v>27.60942760942761</v>
      </c>
    </row>
    <row r="925">
      <c r="A925" s="10" t="n">
        <v>46029</v>
      </c>
      <c r="B925" t="inlineStr">
        <is>
          <t>Jessica Faria da Silveira</t>
        </is>
      </c>
      <c r="C925" s="1" t="inlineStr">
        <is>
          <t>Técnico II</t>
        </is>
      </c>
      <c r="D925" s="3" t="n">
        <v>33</v>
      </c>
      <c r="E925" s="3" t="n">
        <v>27</v>
      </c>
      <c r="F925" s="3" t="n">
        <v>11.54</v>
      </c>
      <c r="G925" s="3" t="n">
        <v>0</v>
      </c>
      <c r="H925" s="3" t="n">
        <v>0</v>
      </c>
      <c r="I925" s="3">
        <f>E925+G925+H925</f>
        <v/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/>
      </c>
      <c r="K925" s="3">
        <f>I925-J925</f>
        <v/>
      </c>
      <c r="L925" s="3">
        <f>IF(K925&lt;-5,"CRÍTICO",IF(K925&lt;0,"ATENÇÃO",IF(K925&lt;=5,"BOM","EXCELENTE")))</f>
        <v/>
      </c>
      <c r="M925" s="3" t="n">
        <v>26</v>
      </c>
      <c r="N925" s="3" t="n">
        <v>96.40000000000001</v>
      </c>
      <c r="O925" s="12" t="n">
        <v>28.76404494382023</v>
      </c>
    </row>
    <row r="926">
      <c r="A926" s="10" t="n">
        <v>46029</v>
      </c>
      <c r="B926" t="inlineStr">
        <is>
          <t>Jéssica Fé Moura</t>
        </is>
      </c>
      <c r="C926" s="1" t="inlineStr">
        <is>
          <t>Técnico III</t>
        </is>
      </c>
      <c r="D926" s="3" t="n">
        <v>0</v>
      </c>
      <c r="E926" s="3" t="n">
        <v>0</v>
      </c>
      <c r="F926" s="3" t="n">
        <v>0</v>
      </c>
      <c r="G926" s="3" t="n">
        <v>0</v>
      </c>
      <c r="H926" s="3" t="n">
        <v>0</v>
      </c>
      <c r="I926" s="3" t="n">
        <v>0</v>
      </c>
      <c r="J926" s="3" t="n">
        <v>0</v>
      </c>
      <c r="K926" s="3" t="n">
        <v>0</v>
      </c>
      <c r="L926" s="3">
        <f>IF(K926&lt;-5,"CRÍTICO",IF(K926&lt;0,"ATENÇÃO",IF(K926&lt;=5,"BOM","EXCELENTE")))</f>
        <v/>
      </c>
      <c r="M926" s="3" t="n">
        <v>28</v>
      </c>
      <c r="N926" s="3" t="n">
        <v>100</v>
      </c>
      <c r="O926" s="12" t="n">
        <v>33.98058252427185</v>
      </c>
    </row>
    <row r="927">
      <c r="A927" s="10" t="n">
        <v>46029</v>
      </c>
      <c r="B927" t="inlineStr">
        <is>
          <t>Karina Gonçalves Martins</t>
        </is>
      </c>
      <c r="C927" s="1" t="inlineStr">
        <is>
          <t>JR</t>
        </is>
      </c>
      <c r="D927" s="3" t="n">
        <v>8</v>
      </c>
      <c r="E927" s="3" t="n">
        <v>8</v>
      </c>
      <c r="F927" s="3" t="n">
        <v>33.34</v>
      </c>
      <c r="G927" s="3" t="n">
        <v>0</v>
      </c>
      <c r="H927" s="3" t="n">
        <v>0</v>
      </c>
      <c r="I927" s="3">
        <f>E927+G927+H927</f>
        <v/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/>
      </c>
      <c r="K927" s="3">
        <f>I927-J927</f>
        <v/>
      </c>
      <c r="L927" s="3">
        <f>IF(K927&lt;-5,"CRÍTICO",IF(K927&lt;0,"ATENÇÃO",IF(K927&lt;=5,"BOM","EXCELENTE")))</f>
        <v/>
      </c>
      <c r="M927" s="3" t="n">
        <v>7</v>
      </c>
      <c r="N927" s="3" t="n">
        <v>97.56</v>
      </c>
      <c r="O927" s="12" t="n">
        <v>32.51533742331289</v>
      </c>
    </row>
    <row r="928">
      <c r="A928" s="10" t="n">
        <v>46029</v>
      </c>
      <c r="B928" t="inlineStr">
        <is>
          <t>Kerollen Cristielly de Jesus Siqueira</t>
        </is>
      </c>
      <c r="C928" s="1" t="inlineStr">
        <is>
          <t>Técnico III</t>
        </is>
      </c>
      <c r="D928" s="3" t="n">
        <v>15</v>
      </c>
      <c r="E928" s="3" t="n">
        <v>15</v>
      </c>
      <c r="F928" s="3" t="n">
        <v>34.14</v>
      </c>
      <c r="G928" s="3" t="n">
        <v>0</v>
      </c>
      <c r="H928" s="3" t="n">
        <v>0</v>
      </c>
      <c r="I928" s="3">
        <f>E928+G928+H928</f>
        <v/>
      </c>
      <c r="J928" s="3">
        <f>ROUND(MIN(IF(C928="Técnico III",35,IF(C928="Técnico II",28,IF(C928="Técnico I",23,IF(C928="JR",20,IF(C928="Estágio",10,0))))),IF(C928="Técnico III",SUMIFS($D:$D,$A:$A,$A928,$B:$B,"&lt;&gt;Patrícia Karla de Sousa Araújo",$B:$B,"&lt;&gt;Lorena Dias de Araujo",$B:$B,"&lt;&gt;Lucas Luiz Romero")*(35/1083),IF(C928="Técnico II",SUMIFS($D:$D,$A:$A,$A928,$B:$B,"&lt;&gt;Patrícia Karla de Sousa Araújo",$B:$B,"&lt;&gt;Lorena Dias de Araujo",$B:$B,"&lt;&gt;Lucas Luiz Romero")*(28/1083),IF(C928="Técnico I",SUMIFS($D:$D,$A:$A,$A928,$B:$B,"&lt;&gt;Patrícia Karla de Sousa Araújo",$B:$B,"&lt;&gt;Lorena Dias de Araujo",$B:$B,"&lt;&gt;Lucas Luiz Romero")*(23/1083),IF(C928="JR",SUMIFS($D:$D,$A:$A,$A928,$B:$B,"&lt;&gt;Patrícia Karla de Sousa Araújo",$B:$B,"&lt;&gt;Lorena Dias de Araujo",$B:$B,"&lt;&gt;Lucas Luiz Romero")*(20/1083),IF(C928="Estágio",SUMIFS($D:$D,$A:$A,$A928,$B:$B,"&lt;&gt;Patrícia Karla de Sousa Araújo",$B:$B,"&lt;&gt;Lorena Dias de Araujo",$B:$B,"&lt;&gt;Lucas Luiz Romero")*(10/1083),0)))))),0)</f>
        <v/>
      </c>
      <c r="K928" s="3">
        <f>I928-J928</f>
        <v/>
      </c>
      <c r="L928" s="3">
        <f>IF(K928&lt;-5,"CRÍTICO",IF(K928&lt;0,"ATENÇÃO",IF(K928&lt;=5,"BOM","EXCELENTE")))</f>
        <v/>
      </c>
      <c r="M928" s="3" t="n">
        <v>15</v>
      </c>
      <c r="N928" s="3" t="n">
        <v>97.11</v>
      </c>
      <c r="O928" s="12" t="n">
        <v>37.40831295843521</v>
      </c>
    </row>
    <row r="929">
      <c r="A929" s="10" t="n">
        <v>46029</v>
      </c>
      <c r="B929" t="inlineStr">
        <is>
          <t>Leandro de Souza Silva</t>
        </is>
      </c>
      <c r="C929" s="1" t="inlineStr">
        <is>
          <t>JR</t>
        </is>
      </c>
      <c r="D929" s="3" t="n">
        <v>0</v>
      </c>
      <c r="E929" s="3" t="n">
        <v>0</v>
      </c>
      <c r="F929" s="3" t="n">
        <v>0</v>
      </c>
      <c r="G929" s="3" t="n">
        <v>0</v>
      </c>
      <c r="H929" s="3" t="n">
        <v>0</v>
      </c>
      <c r="I929" s="3" t="n">
        <v>0</v>
      </c>
      <c r="J929" s="3" t="n">
        <v>0</v>
      </c>
      <c r="K929" s="3" t="n">
        <v>0</v>
      </c>
      <c r="L929" s="3">
        <f>IF(K929&lt;-5,"CRÍTICO",IF(K929&lt;0,"ATENÇÃO",IF(K929&lt;=5,"BOM","EXCELENTE")))</f>
        <v/>
      </c>
      <c r="M929" s="3" t="n">
        <v>0</v>
      </c>
      <c r="N929" s="3" t="n">
        <v>0</v>
      </c>
      <c r="O929" s="12" t="n">
        <v>0</v>
      </c>
    </row>
    <row r="930">
      <c r="A930" s="10" t="n">
        <v>46029</v>
      </c>
      <c r="B930" t="inlineStr">
        <is>
          <t>Leandro Oliveira de Sousa</t>
        </is>
      </c>
      <c r="C930" s="1" t="inlineStr">
        <is>
          <t>Técnico III</t>
        </is>
      </c>
      <c r="D930" s="3" t="n">
        <v>33</v>
      </c>
      <c r="E930" s="3" t="n">
        <v>30</v>
      </c>
      <c r="F930" s="3" t="n">
        <v>17.1</v>
      </c>
      <c r="G930" s="3" t="n">
        <v>0</v>
      </c>
      <c r="H930" s="3" t="n">
        <v>0</v>
      </c>
      <c r="I930" s="3">
        <f>E930+G930+H930</f>
        <v/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/>
      </c>
      <c r="K930" s="3">
        <f>I930-J930</f>
        <v/>
      </c>
      <c r="L930" s="3">
        <f>IF(K930&lt;-5,"CRÍTICO",IF(K930&lt;0,"ATENÇÃO",IF(K930&lt;=5,"BOM","EXCELENTE")))</f>
        <v/>
      </c>
      <c r="M930" s="3" t="n">
        <v>33</v>
      </c>
      <c r="N930" s="3" t="n">
        <v>100</v>
      </c>
      <c r="O930" s="12" t="n">
        <v>30.47034764826176</v>
      </c>
    </row>
    <row r="931">
      <c r="A931" s="10" t="n">
        <v>46029</v>
      </c>
      <c r="B931" t="inlineStr">
        <is>
          <t>Lizandra Gomes Duarte</t>
        </is>
      </c>
      <c r="C931" s="1" t="inlineStr">
        <is>
          <t>Técnico II</t>
        </is>
      </c>
      <c r="D931" s="3" t="n">
        <v>29</v>
      </c>
      <c r="E931" s="3" t="n">
        <v>26</v>
      </c>
      <c r="F931" s="3" t="n">
        <v>20.34</v>
      </c>
      <c r="G931" s="3" t="n">
        <v>0</v>
      </c>
      <c r="H931" s="3" t="n">
        <v>0</v>
      </c>
      <c r="I931" s="3">
        <f>E931+G931+H931</f>
        <v/>
      </c>
      <c r="J931" s="3">
        <f>ROUND(MIN(IF(C931="Técnico III",35,IF(C931="Técnico II",28,IF(C931="Técnico I",23,IF(C931="JR",20,IF(C931="Estágio",10,0))))),IF(C931="Técnico III",SUMIFS($D:$D,$A:$A,$A931,$B:$B,"&lt;&gt;Patrícia Karla de Sousa Araújo",$B:$B,"&lt;&gt;Lorena Dias de Araujo",$B:$B,"&lt;&gt;Lucas Luiz Romero")*(35/1083),IF(C931="Técnico II",SUMIFS($D:$D,$A:$A,$A931,$B:$B,"&lt;&gt;Patrícia Karla de Sousa Araújo",$B:$B,"&lt;&gt;Lorena Dias de Araujo",$B:$B,"&lt;&gt;Lucas Luiz Romero")*(28/1083),IF(C931="Técnico I",SUMIFS($D:$D,$A:$A,$A931,$B:$B,"&lt;&gt;Patrícia Karla de Sousa Araújo",$B:$B,"&lt;&gt;Lorena Dias de Araujo",$B:$B,"&lt;&gt;Lucas Luiz Romero")*(23/1083),IF(C931="JR",SUMIFS($D:$D,$A:$A,$A931,$B:$B,"&lt;&gt;Patrícia Karla de Sousa Araújo",$B:$B,"&lt;&gt;Lorena Dias de Araujo",$B:$B,"&lt;&gt;Lucas Luiz Romero")*(20/1083),IF(C931="Estágio",SUMIFS($D:$D,$A:$A,$A931,$B:$B,"&lt;&gt;Patrícia Karla de Sousa Araújo",$B:$B,"&lt;&gt;Lorena Dias de Araujo",$B:$B,"&lt;&gt;Lucas Luiz Romero")*(10/1083),0)))))),0)</f>
        <v/>
      </c>
      <c r="K931" s="3">
        <f>I931-J931</f>
        <v/>
      </c>
      <c r="L931" s="3">
        <f>IF(K931&lt;-5,"CRÍTICO",IF(K931&lt;0,"ATENÇÃO",IF(K931&lt;=5,"BOM","EXCELENTE")))</f>
        <v/>
      </c>
      <c r="M931" s="3" t="n">
        <v>23</v>
      </c>
      <c r="N931" s="3" t="n">
        <v>100</v>
      </c>
      <c r="O931" s="12" t="n">
        <v>32.37113402061856</v>
      </c>
    </row>
    <row r="932">
      <c r="A932" s="10" t="n">
        <v>46029</v>
      </c>
      <c r="B932" t="inlineStr">
        <is>
          <t>Lorena Dias de Araujo</t>
        </is>
      </c>
      <c r="C932" s="1" t="inlineStr">
        <is>
          <t>Técnico II</t>
        </is>
      </c>
      <c r="D932" s="3" t="n">
        <v>21</v>
      </c>
      <c r="E932" s="3" t="n">
        <v>21</v>
      </c>
      <c r="F932" s="3" t="n">
        <v>20.1</v>
      </c>
      <c r="G932" s="3" t="n">
        <v>0</v>
      </c>
      <c r="H932" s="3" t="n">
        <v>0</v>
      </c>
      <c r="I932" s="3" t="n">
        <v>0</v>
      </c>
      <c r="J932" s="3" t="n">
        <v>0</v>
      </c>
      <c r="K932" s="3" t="n">
        <v>0</v>
      </c>
      <c r="L932" s="3">
        <f>IF(K932&lt;-5,"CRÍTICO",IF(K932&lt;0,"ATENÇÃO",IF(K932&lt;=5,"BOM","EXCELENTE")))</f>
        <v/>
      </c>
      <c r="M932" s="3" t="n">
        <v>18</v>
      </c>
      <c r="N932" s="3" t="n">
        <v>98.31999999999999</v>
      </c>
      <c r="O932" s="12" t="n">
        <v>32.31850117096019</v>
      </c>
    </row>
    <row r="933">
      <c r="A933" s="10" t="n">
        <v>46029</v>
      </c>
      <c r="B933" t="inlineStr">
        <is>
          <t>Lucas Luiz Romero</t>
        </is>
      </c>
      <c r="C933" s="1" t="inlineStr">
        <is>
          <t>Técnico III</t>
        </is>
      </c>
      <c r="D933" s="3" t="n">
        <v>48</v>
      </c>
      <c r="E933" s="3" t="n">
        <v>43</v>
      </c>
      <c r="F933" s="3" t="n">
        <v>17.34</v>
      </c>
      <c r="G933" s="3" t="n">
        <v>0</v>
      </c>
      <c r="H933" s="3" t="n">
        <v>0</v>
      </c>
      <c r="I933" s="3">
        <f>E933+G933+H933</f>
        <v/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/>
      </c>
      <c r="K933" s="3">
        <f>I933-J933</f>
        <v/>
      </c>
      <c r="L933" s="3">
        <f>IF(K933&lt;-5,"CRÍTICO",IF(K933&lt;0,"ATENÇÃO",IF(K933&lt;=5,"BOM","EXCELENTE")))</f>
        <v/>
      </c>
      <c r="M933" s="3" t="n">
        <v>39</v>
      </c>
      <c r="N933" s="3" t="n">
        <v>96.43000000000001</v>
      </c>
      <c r="O933" s="12" t="n">
        <v>27.01525054466231</v>
      </c>
    </row>
    <row r="934">
      <c r="A934" s="10" t="n">
        <v>46029</v>
      </c>
      <c r="B934" t="inlineStr">
        <is>
          <t>Luiz Fernando de Carvalho Junior</t>
        </is>
      </c>
      <c r="C934" s="1" t="inlineStr">
        <is>
          <t>Técnico I</t>
        </is>
      </c>
      <c r="D934" s="3" t="n">
        <v>26</v>
      </c>
      <c r="E934" s="3" t="n">
        <v>26</v>
      </c>
      <c r="F934" s="3" t="n">
        <v>20.06</v>
      </c>
      <c r="G934" s="3" t="n">
        <v>0</v>
      </c>
      <c r="H934" s="3" t="n">
        <v>0</v>
      </c>
      <c r="I934" s="3">
        <f>E934+G934+H934</f>
        <v/>
      </c>
      <c r="J934" s="3">
        <f>ROUND(MIN(IF(C934="Técnico III",35,IF(C934="Técnico II",28,IF(C934="Técnico I",23,IF(C934="JR",20,IF(C934="Estágio",10,0))))),IF(C934="Técnico III",SUMIFS($D:$D,$A:$A,$A934,$B:$B,"&lt;&gt;Patrícia Karla de Sousa Araújo",$B:$B,"&lt;&gt;Lorena Dias de Araujo",$B:$B,"&lt;&gt;Lucas Luiz Romero")*(35/1083),IF(C934="Técnico II",SUMIFS($D:$D,$A:$A,$A934,$B:$B,"&lt;&gt;Patrícia Karla de Sousa Araújo",$B:$B,"&lt;&gt;Lorena Dias de Araujo",$B:$B,"&lt;&gt;Lucas Luiz Romero")*(28/1083),IF(C934="Técnico I",SUMIFS($D:$D,$A:$A,$A934,$B:$B,"&lt;&gt;Patrícia Karla de Sousa Araújo",$B:$B,"&lt;&gt;Lorena Dias de Araujo",$B:$B,"&lt;&gt;Lucas Luiz Romero")*(23/1083),IF(C934="JR",SUMIFS($D:$D,$A:$A,$A934,$B:$B,"&lt;&gt;Patrícia Karla de Sousa Araújo",$B:$B,"&lt;&gt;Lorena Dias de Araujo",$B:$B,"&lt;&gt;Lucas Luiz Romero")*(20/1083),IF(C934="Estágio",SUMIFS($D:$D,$A:$A,$A934,$B:$B,"&lt;&gt;Patrícia Karla de Sousa Araújo",$B:$B,"&lt;&gt;Lorena Dias de Araujo",$B:$B,"&lt;&gt;Lucas Luiz Romero")*(10/1083),0)))))),0)</f>
        <v/>
      </c>
      <c r="K934" s="3">
        <f>I934-J934</f>
        <v/>
      </c>
      <c r="L934" s="3">
        <f>IF(K934&lt;-5,"CRÍTICO",IF(K934&lt;0,"ATENÇÃO",IF(K934&lt;=5,"BOM","EXCELENTE")))</f>
        <v/>
      </c>
      <c r="M934" s="3" t="n">
        <v>22</v>
      </c>
      <c r="N934" s="3" t="n">
        <v>98.89</v>
      </c>
      <c r="O934" s="12" t="n">
        <v>28.02197802197802</v>
      </c>
    </row>
    <row r="935">
      <c r="A935" s="10" t="n">
        <v>46029</v>
      </c>
      <c r="B935" t="inlineStr">
        <is>
          <t>Maria Eduarda Sousa Costa</t>
        </is>
      </c>
      <c r="C935" s="1" t="inlineStr">
        <is>
          <t>Estágio</t>
        </is>
      </c>
      <c r="D935" s="3" t="n">
        <v>18</v>
      </c>
      <c r="E935" s="3" t="n">
        <v>17</v>
      </c>
      <c r="F935" s="3" t="n">
        <v>37.01</v>
      </c>
      <c r="G935" s="3" t="n">
        <v>0</v>
      </c>
      <c r="H935" s="3" t="n">
        <v>0</v>
      </c>
      <c r="I935" s="3">
        <f>E935+G935+H935</f>
        <v/>
      </c>
      <c r="J935" s="3">
        <f>ROUND(MIN(IF(C935="Técnico III",35,IF(C935="Técnico II",28,IF(C935="Técnico I",23,IF(C935="JR",20,IF(C935="Estágio",10,0))))),IF(C935="Técnico III",SUMIFS($D:$D,$A:$A,$A935,$B:$B,"&lt;&gt;Patrícia Karla de Sousa Araújo",$B:$B,"&lt;&gt;Lorena Dias de Araujo",$B:$B,"&lt;&gt;Lucas Luiz Romero")*(35/1083),IF(C935="Técnico II",SUMIFS($D:$D,$A:$A,$A935,$B:$B,"&lt;&gt;Patrícia Karla de Sousa Araújo",$B:$B,"&lt;&gt;Lorena Dias de Araujo",$B:$B,"&lt;&gt;Lucas Luiz Romero")*(28/1083),IF(C935="Técnico I",SUMIFS($D:$D,$A:$A,$A935,$B:$B,"&lt;&gt;Patrícia Karla de Sousa Araújo",$B:$B,"&lt;&gt;Lorena Dias de Araujo",$B:$B,"&lt;&gt;Lucas Luiz Romero")*(23/1083),IF(C935="JR",SUMIFS($D:$D,$A:$A,$A935,$B:$B,"&lt;&gt;Patrícia Karla de Sousa Araújo",$B:$B,"&lt;&gt;Lorena Dias de Araujo",$B:$B,"&lt;&gt;Lucas Luiz Romero")*(20/1083),IF(C935="Estágio",SUMIFS($D:$D,$A:$A,$A935,$B:$B,"&lt;&gt;Patrícia Karla de Sousa Araújo",$B:$B,"&lt;&gt;Lorena Dias de Araujo",$B:$B,"&lt;&gt;Lucas Luiz Romero")*(10/1083),0)))))),0)</f>
        <v/>
      </c>
      <c r="K935" s="3">
        <f>I935-J935</f>
        <v/>
      </c>
      <c r="L935" s="3">
        <f>IF(K935&lt;-5,"CRÍTICO",IF(K935&lt;0,"ATENÇÃO",IF(K935&lt;=5,"BOM","EXCELENTE")))</f>
        <v/>
      </c>
      <c r="M935" s="3" t="n">
        <v>14</v>
      </c>
      <c r="N935" s="3" t="n">
        <v>100</v>
      </c>
      <c r="O935" s="12" t="n">
        <v>33.33333333333333</v>
      </c>
    </row>
    <row r="936">
      <c r="A936" s="10" t="n">
        <v>46029</v>
      </c>
      <c r="B936" t="inlineStr">
        <is>
          <t>Matheus Farias De Souza</t>
        </is>
      </c>
      <c r="C936" s="1" t="inlineStr">
        <is>
          <t>Técnico III</t>
        </is>
      </c>
      <c r="D936" s="3" t="n">
        <v>0</v>
      </c>
      <c r="E936" s="3" t="n">
        <v>0</v>
      </c>
      <c r="F936" s="3" t="n">
        <v>0</v>
      </c>
      <c r="G936" s="3" t="n">
        <v>0</v>
      </c>
      <c r="H936" s="3" t="n">
        <v>0</v>
      </c>
      <c r="I936" s="3" t="n">
        <v>0</v>
      </c>
      <c r="J936" s="3" t="n">
        <v>0</v>
      </c>
      <c r="K936" s="3" t="n">
        <v>0</v>
      </c>
      <c r="L936" s="3">
        <f>IF(K936&lt;-5,"CRÍTICO",IF(K936&lt;0,"ATENÇÃO",IF(K936&lt;=5,"BOM","EXCELENTE")))</f>
        <v/>
      </c>
      <c r="M936" s="3" t="n">
        <v>0</v>
      </c>
      <c r="N936" s="3" t="n">
        <v>100</v>
      </c>
      <c r="O936" s="12" t="n">
        <v>27.43362831858407</v>
      </c>
    </row>
    <row r="937">
      <c r="A937" s="10" t="n">
        <v>46029</v>
      </c>
      <c r="B937" t="inlineStr">
        <is>
          <t>Maysa Victoria Dias Moura</t>
        </is>
      </c>
      <c r="C937" s="1" t="inlineStr">
        <is>
          <t>Técnico III</t>
        </is>
      </c>
      <c r="D937" s="3" t="n">
        <v>32</v>
      </c>
      <c r="E937" s="3" t="n">
        <v>30</v>
      </c>
      <c r="F937" s="3" t="n">
        <v>20.05</v>
      </c>
      <c r="G937" s="3" t="n">
        <v>0</v>
      </c>
      <c r="H937" s="3" t="n">
        <v>0</v>
      </c>
      <c r="I937" s="3">
        <f>E937+G937+H937</f>
        <v/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/>
      </c>
      <c r="K937" s="3">
        <f>I937-J937</f>
        <v/>
      </c>
      <c r="L937" s="3">
        <f>IF(K937&lt;-5,"CRÍTICO",IF(K937&lt;0,"ATENÇÃO",IF(K937&lt;=5,"BOM","EXCELENTE")))</f>
        <v/>
      </c>
      <c r="M937" s="3" t="n">
        <v>27</v>
      </c>
      <c r="N937" s="3" t="n">
        <v>98.65000000000001</v>
      </c>
      <c r="O937" s="12" t="n">
        <v>30.97826086956522</v>
      </c>
    </row>
    <row r="938">
      <c r="A938" s="10" t="n">
        <v>46029</v>
      </c>
      <c r="B938" t="inlineStr">
        <is>
          <t>Michelle G Santos</t>
        </is>
      </c>
      <c r="C938" s="1" t="inlineStr">
        <is>
          <t>Estágio</t>
        </is>
      </c>
      <c r="D938" s="3" t="n">
        <v>0</v>
      </c>
      <c r="E938" s="3" t="n">
        <v>0</v>
      </c>
      <c r="F938" s="3" t="n">
        <v>0</v>
      </c>
      <c r="G938" s="3" t="n">
        <v>0</v>
      </c>
      <c r="H938" s="3" t="n">
        <v>0</v>
      </c>
      <c r="I938" s="3" t="n">
        <v>0</v>
      </c>
      <c r="J938" s="3" t="n">
        <v>0</v>
      </c>
      <c r="K938" s="3" t="n">
        <v>0</v>
      </c>
      <c r="L938" s="3">
        <f>IF(K938&lt;-5,"CRÍTICO",IF(K938&lt;0,"ATENÇÃO",IF(K938&lt;=5,"BOM","EXCELENTE")))</f>
        <v/>
      </c>
      <c r="M938" s="3" t="n">
        <v>0</v>
      </c>
      <c r="N938" s="3" t="n">
        <v>100</v>
      </c>
      <c r="O938" s="12" t="n">
        <v>12</v>
      </c>
    </row>
    <row r="939">
      <c r="A939" s="10" t="n">
        <v>46029</v>
      </c>
      <c r="B939" t="inlineStr">
        <is>
          <t>Milena Sales</t>
        </is>
      </c>
      <c r="C939" s="1" t="inlineStr">
        <is>
          <t>JR</t>
        </is>
      </c>
      <c r="D939" s="3" t="n">
        <v>0</v>
      </c>
      <c r="E939" s="3" t="n">
        <v>0</v>
      </c>
      <c r="F939" s="3" t="n">
        <v>0</v>
      </c>
      <c r="G939" s="3" t="n">
        <v>0</v>
      </c>
      <c r="H939" s="3" t="n">
        <v>0</v>
      </c>
      <c r="I939" s="3" t="n">
        <v>0</v>
      </c>
      <c r="J939" s="3" t="n">
        <v>0</v>
      </c>
      <c r="K939" s="3" t="n">
        <v>0</v>
      </c>
      <c r="L939" s="3">
        <f>IF(K939&lt;-5,"CRÍTICO",IF(K939&lt;0,"ATENÇÃO",IF(K939&lt;=5,"BOM","EXCELENTE")))</f>
        <v/>
      </c>
      <c r="M939" s="3" t="n">
        <v>0</v>
      </c>
      <c r="N939" s="3" t="n">
        <v>0</v>
      </c>
      <c r="O939" s="12" t="n">
        <v>0</v>
      </c>
    </row>
    <row r="940">
      <c r="A940" s="10" t="n">
        <v>46029</v>
      </c>
      <c r="B940" t="inlineStr">
        <is>
          <t>Patrícia Karla de Sousa Araújo</t>
        </is>
      </c>
      <c r="C940" s="1" t="inlineStr">
        <is>
          <t>Técnico II</t>
        </is>
      </c>
      <c r="D940" s="3" t="n">
        <v>0</v>
      </c>
      <c r="E940" s="3" t="n">
        <v>0</v>
      </c>
      <c r="F940" s="3" t="n">
        <v>0</v>
      </c>
      <c r="G940" s="3" t="n">
        <v>0</v>
      </c>
      <c r="H940" s="3" t="n">
        <v>0</v>
      </c>
      <c r="I940" s="3" t="n">
        <v>0</v>
      </c>
      <c r="J940" s="3" t="n">
        <v>0</v>
      </c>
      <c r="K940" s="3" t="n">
        <v>0</v>
      </c>
      <c r="L940" s="3">
        <f>IF(K940&lt;-5,"CRÍTICO",IF(K940&lt;0,"ATENÇÃO",IF(K940&lt;=5,"BOM","EXCELENTE")))</f>
        <v/>
      </c>
      <c r="M940" s="3" t="n">
        <v>0</v>
      </c>
      <c r="N940" s="3" t="n">
        <v>97.56</v>
      </c>
      <c r="O940" s="12" t="n">
        <v>31.06796116504854</v>
      </c>
    </row>
    <row r="941">
      <c r="A941" s="10" t="n">
        <v>46029</v>
      </c>
      <c r="B941" t="inlineStr">
        <is>
          <t>Paulo Ricardo Santos</t>
        </is>
      </c>
      <c r="C941" s="1" t="inlineStr">
        <is>
          <t>JR</t>
        </is>
      </c>
      <c r="D941" s="3" t="n">
        <v>0</v>
      </c>
      <c r="E941" s="3" t="n">
        <v>0</v>
      </c>
      <c r="F941" s="3" t="n">
        <v>0</v>
      </c>
      <c r="G941" s="3" t="n">
        <v>0</v>
      </c>
      <c r="H941" s="3" t="n">
        <v>0</v>
      </c>
      <c r="I941" s="3" t="n">
        <v>0</v>
      </c>
      <c r="J941" s="3" t="n">
        <v>0</v>
      </c>
      <c r="K941" s="3" t="n">
        <v>0</v>
      </c>
      <c r="L941" s="3">
        <f>IF(K941&lt;-5,"CRÍTICO",IF(K941&lt;0,"ATENÇÃO",IF(K941&lt;=5,"BOM","EXCELENTE")))</f>
        <v/>
      </c>
      <c r="M941" s="3" t="n">
        <v>0</v>
      </c>
      <c r="N941" s="3" t="n">
        <v>0</v>
      </c>
      <c r="O941" s="12" t="n">
        <v>0</v>
      </c>
    </row>
    <row r="942">
      <c r="A942" s="10" t="n">
        <v>46029</v>
      </c>
      <c r="B942" t="inlineStr">
        <is>
          <t>Pedro Luiz Mota Sousa</t>
        </is>
      </c>
      <c r="C942" s="1" t="inlineStr">
        <is>
          <t>JR</t>
        </is>
      </c>
      <c r="D942" s="3" t="n">
        <v>0</v>
      </c>
      <c r="E942" s="3" t="n">
        <v>0</v>
      </c>
      <c r="F942" s="3" t="n">
        <v>0</v>
      </c>
      <c r="G942" s="3" t="n">
        <v>0</v>
      </c>
      <c r="H942" s="3" t="n">
        <v>0</v>
      </c>
      <c r="I942" s="3" t="n">
        <v>0</v>
      </c>
      <c r="J942" s="3" t="n">
        <v>0</v>
      </c>
      <c r="K942" s="3" t="n">
        <v>0</v>
      </c>
      <c r="L942" s="3">
        <f>IF(K942&lt;-5,"CRÍTICO",IF(K942&lt;0,"ATENÇÃO",IF(K942&lt;=5,"BOM","EXCELENTE")))</f>
        <v/>
      </c>
      <c r="M942" s="3" t="n">
        <v>0</v>
      </c>
      <c r="N942" s="3" t="n">
        <v>0</v>
      </c>
      <c r="O942" s="12" t="n">
        <v>0</v>
      </c>
    </row>
    <row r="943">
      <c r="A943" s="10" t="n">
        <v>46029</v>
      </c>
      <c r="B943" t="inlineStr">
        <is>
          <t>Quirino Diogo Leite Torres</t>
        </is>
      </c>
      <c r="C943" s="1" t="inlineStr">
        <is>
          <t>Estágio</t>
        </is>
      </c>
      <c r="D943" s="3" t="n">
        <v>0</v>
      </c>
      <c r="E943" s="3" t="n">
        <v>0</v>
      </c>
      <c r="F943" s="3" t="n">
        <v>0</v>
      </c>
      <c r="G943" s="3" t="n">
        <v>0</v>
      </c>
      <c r="H943" s="3" t="n">
        <v>0</v>
      </c>
      <c r="I943" s="3" t="n">
        <v>0</v>
      </c>
      <c r="J943" s="3" t="n">
        <v>0</v>
      </c>
      <c r="K943" s="3" t="n">
        <v>0</v>
      </c>
      <c r="L943" s="3">
        <f>IF(K943&lt;-5,"CRÍTICO",IF(K943&lt;0,"ATENÇÃO",IF(K943&lt;=5,"BOM","EXCELENTE")))</f>
        <v/>
      </c>
      <c r="M943" s="3" t="n">
        <v>0</v>
      </c>
      <c r="N943" s="3" t="n">
        <v>0</v>
      </c>
      <c r="O943" s="12" t="n">
        <v>0</v>
      </c>
    </row>
    <row r="944">
      <c r="A944" s="10" t="n">
        <v>46029</v>
      </c>
      <c r="B944" t="inlineStr">
        <is>
          <t>Raane Batista Matos</t>
        </is>
      </c>
      <c r="C944" s="1" t="inlineStr">
        <is>
          <t>Técnico I</t>
        </is>
      </c>
      <c r="D944" s="3" t="n">
        <v>0</v>
      </c>
      <c r="E944" s="3" t="n">
        <v>0</v>
      </c>
      <c r="F944" s="3" t="n">
        <v>0</v>
      </c>
      <c r="G944" s="3" t="n">
        <v>0</v>
      </c>
      <c r="H944" s="3" t="n">
        <v>0</v>
      </c>
      <c r="I944" s="3" t="n">
        <v>0</v>
      </c>
      <c r="J944" s="3" t="n">
        <v>0</v>
      </c>
      <c r="K944" s="3" t="n">
        <v>0</v>
      </c>
      <c r="L944" s="3">
        <f>IF(K944&lt;-5,"CRÍTICO",IF(K944&lt;0,"ATENÇÃO",IF(K944&lt;=5,"BOM","EXCELENTE")))</f>
        <v/>
      </c>
      <c r="M944" s="3" t="n">
        <v>0</v>
      </c>
      <c r="N944" s="3" t="n">
        <v>100</v>
      </c>
      <c r="O944" s="12" t="n">
        <v>53.84615384615385</v>
      </c>
    </row>
    <row r="945">
      <c r="A945" s="10" t="n">
        <v>46029</v>
      </c>
      <c r="B945" t="inlineStr">
        <is>
          <t>Rafael Gomes de Morais</t>
        </is>
      </c>
      <c r="C945" s="1" t="inlineStr">
        <is>
          <t>Técnico III</t>
        </is>
      </c>
      <c r="D945" s="3" t="n">
        <v>0</v>
      </c>
      <c r="E945" s="3" t="n">
        <v>0</v>
      </c>
      <c r="F945" s="3" t="n">
        <v>0</v>
      </c>
      <c r="G945" s="3" t="n">
        <v>0</v>
      </c>
      <c r="H945" s="3" t="n">
        <v>0</v>
      </c>
      <c r="I945" s="3" t="n">
        <v>0</v>
      </c>
      <c r="J945" s="3" t="n">
        <v>0</v>
      </c>
      <c r="K945" s="3" t="n">
        <v>0</v>
      </c>
      <c r="L945" s="3">
        <f>IF(K945&lt;-5,"CRÍTICO",IF(K945&lt;0,"ATENÇÃO",IF(K945&lt;=5,"BOM","EXCELENTE")))</f>
        <v/>
      </c>
      <c r="M945" s="3" t="n">
        <v>0</v>
      </c>
      <c r="N945" s="3" t="n">
        <v>100</v>
      </c>
      <c r="O945" s="12" t="n">
        <v>44.05594405594406</v>
      </c>
    </row>
    <row r="946">
      <c r="A946" s="10" t="n">
        <v>46029</v>
      </c>
      <c r="B946" t="inlineStr">
        <is>
          <t>Sara Maria Monteiro Lopes</t>
        </is>
      </c>
      <c r="C946" s="1" t="inlineStr">
        <is>
          <t>Técnico I</t>
        </is>
      </c>
      <c r="D946" s="3" t="n">
        <v>18</v>
      </c>
      <c r="E946" s="3" t="n">
        <v>17</v>
      </c>
      <c r="F946" s="3" t="n">
        <v>30.15</v>
      </c>
      <c r="G946" s="3" t="n">
        <v>0</v>
      </c>
      <c r="H946" s="3" t="n">
        <v>0</v>
      </c>
      <c r="I946" s="3">
        <f>E946+G946+H946</f>
        <v/>
      </c>
      <c r="J946" s="3">
        <f>ROUND(MIN(IF(C946="Técnico III",35,IF(C946="Técnico II",28,IF(C946="Técnico I",23,IF(C946="JR",20,IF(C946="Estágio",10,0))))),IF(C946="Técnico III",SUMIFS($D:$D,$A:$A,$A946,$B:$B,"&lt;&gt;Patrícia Karla de Sousa Araújo",$B:$B,"&lt;&gt;Lorena Dias de Araujo",$B:$B,"&lt;&gt;Lucas Luiz Romero")*(35/1083),IF(C946="Técnico II",SUMIFS($D:$D,$A:$A,$A946,$B:$B,"&lt;&gt;Patrícia Karla de Sousa Araújo",$B:$B,"&lt;&gt;Lorena Dias de Araujo",$B:$B,"&lt;&gt;Lucas Luiz Romero")*(28/1083),IF(C946="Técnico I",SUMIFS($D:$D,$A:$A,$A946,$B:$B,"&lt;&gt;Patrícia Karla de Sousa Araújo",$B:$B,"&lt;&gt;Lorena Dias de Araujo",$B:$B,"&lt;&gt;Lucas Luiz Romero")*(23/1083),IF(C946="JR",SUMIFS($D:$D,$A:$A,$A946,$B:$B,"&lt;&gt;Patrícia Karla de Sousa Araújo",$B:$B,"&lt;&gt;Lorena Dias de Araujo",$B:$B,"&lt;&gt;Lucas Luiz Romero")*(20/1083),IF(C946="Estágio",SUMIFS($D:$D,$A:$A,$A946,$B:$B,"&lt;&gt;Patrícia Karla de Sousa Araújo",$B:$B,"&lt;&gt;Lorena Dias de Araujo",$B:$B,"&lt;&gt;Lucas Luiz Romero")*(10/1083),0)))))),0)</f>
        <v/>
      </c>
      <c r="K946" s="3">
        <f>I946-J946</f>
        <v/>
      </c>
      <c r="L946" s="3">
        <f>IF(K946&lt;-5,"CRÍTICO",IF(K946&lt;0,"ATENÇÃO",IF(K946&lt;=5,"BOM","EXCELENTE")))</f>
        <v/>
      </c>
      <c r="M946" s="3" t="n">
        <v>16</v>
      </c>
      <c r="N946" s="3" t="n">
        <v>100</v>
      </c>
      <c r="O946" s="12" t="n">
        <v>31.87250996015936</v>
      </c>
    </row>
    <row r="947">
      <c r="A947" s="10" t="n">
        <v>46029</v>
      </c>
      <c r="B947" t="inlineStr">
        <is>
          <t>Sarah Steffanie de Lima Borges</t>
        </is>
      </c>
      <c r="C947" s="1" t="inlineStr">
        <is>
          <t>Técnico III</t>
        </is>
      </c>
      <c r="D947" s="3" t="n">
        <v>30</v>
      </c>
      <c r="E947" s="3" t="n">
        <v>26</v>
      </c>
      <c r="F947" s="3" t="n">
        <v>18.53</v>
      </c>
      <c r="G947" s="3" t="n">
        <v>0</v>
      </c>
      <c r="H947" s="3" t="n">
        <v>0</v>
      </c>
      <c r="I947" s="3">
        <f>E947+G947+H947</f>
        <v/>
      </c>
      <c r="J947" s="3">
        <f>ROUND(MIN(IF(C947="Técnico III",35,IF(C947="Técnico II",28,IF(C947="Técnico I",23,IF(C947="JR",20,IF(C947="Estágio",10,0))))),IF(C947="Técnico III",SUMIFS($D:$D,$A:$A,$A947,$B:$B,"&lt;&gt;Patrícia Karla de Sousa Araújo",$B:$B,"&lt;&gt;Lorena Dias de Araujo",$B:$B,"&lt;&gt;Lucas Luiz Romero")*(35/1083),IF(C947="Técnico II",SUMIFS($D:$D,$A:$A,$A947,$B:$B,"&lt;&gt;Patrícia Karla de Sousa Araújo",$B:$B,"&lt;&gt;Lorena Dias de Araujo",$B:$B,"&lt;&gt;Lucas Luiz Romero")*(28/1083),IF(C947="Técnico I",SUMIFS($D:$D,$A:$A,$A947,$B:$B,"&lt;&gt;Patrícia Karla de Sousa Araújo",$B:$B,"&lt;&gt;Lorena Dias de Araujo",$B:$B,"&lt;&gt;Lucas Luiz Romero")*(23/1083),IF(C947="JR",SUMIFS($D:$D,$A:$A,$A947,$B:$B,"&lt;&gt;Patrícia Karla de Sousa Araújo",$B:$B,"&lt;&gt;Lorena Dias de Araujo",$B:$B,"&lt;&gt;Lucas Luiz Romero")*(20/1083),IF(C947="Estágio",SUMIFS($D:$D,$A:$A,$A947,$B:$B,"&lt;&gt;Patrícia Karla de Sousa Araújo",$B:$B,"&lt;&gt;Lorena Dias de Araujo",$B:$B,"&lt;&gt;Lucas Luiz Romero")*(10/1083),0)))))),0)</f>
        <v/>
      </c>
      <c r="K947" s="3">
        <f>I947-J947</f>
        <v/>
      </c>
      <c r="L947" s="3">
        <f>IF(K947&lt;-5,"CRÍTICO",IF(K947&lt;0,"ATENÇÃO",IF(K947&lt;=5,"BOM","EXCELENTE")))</f>
        <v/>
      </c>
      <c r="M947" s="3" t="n">
        <v>23</v>
      </c>
      <c r="N947" s="3" t="n">
        <v>98.41</v>
      </c>
      <c r="O947" s="12" t="n">
        <v>29.22465208747515</v>
      </c>
    </row>
    <row r="948">
      <c r="A948" s="10" t="n">
        <v>46030</v>
      </c>
      <c r="B948" t="inlineStr">
        <is>
          <t>Alisson de Freitas Silva</t>
        </is>
      </c>
      <c r="C948" s="1" t="inlineStr">
        <is>
          <t>Técnico II</t>
        </is>
      </c>
      <c r="D948" s="3" t="n">
        <v>33</v>
      </c>
      <c r="E948" s="3" t="n">
        <v>27</v>
      </c>
      <c r="F948" s="3" t="n">
        <v>9.06</v>
      </c>
      <c r="G948" s="3" t="n">
        <v>0</v>
      </c>
      <c r="H948" s="3" t="n">
        <v>0</v>
      </c>
      <c r="I948" s="3">
        <f>E948+G948+H948</f>
        <v/>
      </c>
      <c r="J948" s="3">
        <f>ROUND(MIN(IF(C948="Técnico III",35,IF(C948="Técnico II",28,IF(C948="Técnico I",23,IF(C948="JR",20,IF(C948="Estágio",10,0))))),IF(C948="Técnico III",SUMIFS($D:$D,$A:$A,$A948,$B:$B,"&lt;&gt;Patrícia Karla de Sousa Araújo",$B:$B,"&lt;&gt;Lorena Dias de Araujo",$B:$B,"&lt;&gt;Lucas Luiz Romero")*(35/1083),IF(C948="Técnico II",SUMIFS($D:$D,$A:$A,$A948,$B:$B,"&lt;&gt;Patrícia Karla de Sousa Araújo",$B:$B,"&lt;&gt;Lorena Dias de Araujo",$B:$B,"&lt;&gt;Lucas Luiz Romero")*(28/1083),IF(C948="Técnico I",SUMIFS($D:$D,$A:$A,$A948,$B:$B,"&lt;&gt;Patrícia Karla de Sousa Araújo",$B:$B,"&lt;&gt;Lorena Dias de Araujo",$B:$B,"&lt;&gt;Lucas Luiz Romero")*(23/1083),IF(C948="JR",SUMIFS($D:$D,$A:$A,$A948,$B:$B,"&lt;&gt;Patrícia Karla de Sousa Araújo",$B:$B,"&lt;&gt;Lorena Dias de Araujo",$B:$B,"&lt;&gt;Lucas Luiz Romero")*(20/1083),IF(C948="Estágio",SUMIFS($D:$D,$A:$A,$A948,$B:$B,"&lt;&gt;Patrícia Karla de Sousa Araújo",$B:$B,"&lt;&gt;Lorena Dias de Araujo",$B:$B,"&lt;&gt;Lucas Luiz Romero")*(10/1083),0)))))),0)</f>
        <v/>
      </c>
      <c r="K948" s="3">
        <f>I948-J948</f>
        <v/>
      </c>
      <c r="L948" s="3">
        <f>IF(K948&lt;-5,"CRÍTICO",IF(K948&lt;0,"ATENÇÃO",IF(K948&lt;=5,"BOM","EXCELENTE")))</f>
        <v/>
      </c>
      <c r="M948" s="3" t="n">
        <v>21</v>
      </c>
      <c r="N948" s="3" t="n">
        <v>96.81</v>
      </c>
      <c r="O948" s="12" t="n">
        <v>27.98053527980535</v>
      </c>
    </row>
    <row r="949">
      <c r="A949" s="10" t="n">
        <v>46030</v>
      </c>
      <c r="B949" t="inlineStr">
        <is>
          <t>Amanda Moura Ferreira</t>
        </is>
      </c>
      <c r="C949" s="1" t="inlineStr">
        <is>
          <t>Técnico III</t>
        </is>
      </c>
      <c r="D949" s="3" t="n">
        <v>0</v>
      </c>
      <c r="E949" s="3" t="n">
        <v>0</v>
      </c>
      <c r="F949" s="3" t="n">
        <v>0</v>
      </c>
      <c r="G949" s="3" t="n">
        <v>0</v>
      </c>
      <c r="H949" s="3" t="n">
        <v>0</v>
      </c>
      <c r="I949" s="3" t="n">
        <v>0</v>
      </c>
      <c r="J949" s="3" t="n">
        <v>0</v>
      </c>
      <c r="K949" s="3" t="n">
        <v>0</v>
      </c>
      <c r="L949" s="3">
        <f>IF(K949&lt;-5,"CRÍTICO",IF(K949&lt;0,"ATENÇÃO",IF(K949&lt;=5,"BOM","EXCELENTE")))</f>
        <v/>
      </c>
      <c r="M949" s="3" t="n">
        <v>23</v>
      </c>
      <c r="N949" s="3" t="n">
        <v>98.73</v>
      </c>
      <c r="O949" s="12" t="n">
        <v>35.75638506876228</v>
      </c>
    </row>
    <row r="950">
      <c r="A950" s="10" t="n">
        <v>46030</v>
      </c>
      <c r="B950" t="inlineStr">
        <is>
          <t>Ana Karollyne Souza Faria</t>
        </is>
      </c>
      <c r="C950" s="1" t="inlineStr">
        <is>
          <t>Técnico I</t>
        </is>
      </c>
      <c r="D950" s="3" t="n">
        <v>21</v>
      </c>
      <c r="E950" s="3" t="n">
        <v>17</v>
      </c>
      <c r="F950" s="3" t="n">
        <v>22.09</v>
      </c>
      <c r="G950" s="3" t="n">
        <v>0</v>
      </c>
      <c r="H950" s="3" t="n">
        <v>0</v>
      </c>
      <c r="I950" s="3">
        <f>E950+G950+H950</f>
        <v/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/>
      </c>
      <c r="K950" s="3">
        <f>I950-J950</f>
        <v/>
      </c>
      <c r="L950" s="3">
        <f>IF(K950&lt;-5,"CRÍTICO",IF(K950&lt;0,"ATENÇÃO",IF(K950&lt;=5,"BOM","EXCELENTE")))</f>
        <v/>
      </c>
      <c r="M950" s="3" t="n">
        <v>17</v>
      </c>
      <c r="N950" s="3" t="n">
        <v>98.31999999999999</v>
      </c>
      <c r="O950" s="12" t="n">
        <v>26.76348547717842</v>
      </c>
    </row>
    <row r="951">
      <c r="A951" s="10" t="n">
        <v>46030</v>
      </c>
      <c r="B951" t="inlineStr">
        <is>
          <t>Ana Paula Da Luz Silva Aleixo</t>
        </is>
      </c>
      <c r="C951" s="1" t="inlineStr">
        <is>
          <t>Técnico III</t>
        </is>
      </c>
      <c r="D951" s="3" t="n">
        <v>45</v>
      </c>
      <c r="E951" s="3" t="n">
        <v>41</v>
      </c>
      <c r="F951" s="3" t="n">
        <v>13.52</v>
      </c>
      <c r="G951" s="3" t="n">
        <v>0</v>
      </c>
      <c r="H951" s="3" t="n">
        <v>0</v>
      </c>
      <c r="I951" s="3">
        <f>E951+G951+H951</f>
        <v/>
      </c>
      <c r="J951" s="3">
        <f>ROUND(MIN(IF(C951="Técnico III",35,IF(C951="Técnico II",28,IF(C951="Técnico I",23,IF(C951="JR",20,IF(C951="Estágio",10,0))))),IF(C951="Técnico III",SUMIFS($D:$D,$A:$A,$A951,$B:$B,"&lt;&gt;Patrícia Karla de Sousa Araújo",$B:$B,"&lt;&gt;Lorena Dias de Araujo",$B:$B,"&lt;&gt;Lucas Luiz Romero")*(35/1083),IF(C951="Técnico II",SUMIFS($D:$D,$A:$A,$A951,$B:$B,"&lt;&gt;Patrícia Karla de Sousa Araújo",$B:$B,"&lt;&gt;Lorena Dias de Araujo",$B:$B,"&lt;&gt;Lucas Luiz Romero")*(28/1083),IF(C951="Técnico I",SUMIFS($D:$D,$A:$A,$A951,$B:$B,"&lt;&gt;Patrícia Karla de Sousa Araújo",$B:$B,"&lt;&gt;Lorena Dias de Araujo",$B:$B,"&lt;&gt;Lucas Luiz Romero")*(23/1083),IF(C951="JR",SUMIFS($D:$D,$A:$A,$A951,$B:$B,"&lt;&gt;Patrícia Karla de Sousa Araújo",$B:$B,"&lt;&gt;Lorena Dias de Araujo",$B:$B,"&lt;&gt;Lucas Luiz Romero")*(20/1083),IF(C951="Estágio",SUMIFS($D:$D,$A:$A,$A951,$B:$B,"&lt;&gt;Patrícia Karla de Sousa Araújo",$B:$B,"&lt;&gt;Lorena Dias de Araujo",$B:$B,"&lt;&gt;Lucas Luiz Romero")*(10/1083),0)))))),0)</f>
        <v/>
      </c>
      <c r="K951" s="3">
        <f>I951-J951</f>
        <v/>
      </c>
      <c r="L951" s="3">
        <f>IF(K951&lt;-5,"CRÍTICO",IF(K951&lt;0,"ATENÇÃO",IF(K951&lt;=5,"BOM","EXCELENTE")))</f>
        <v/>
      </c>
      <c r="M951" s="3" t="n">
        <v>36</v>
      </c>
      <c r="N951" s="3" t="n">
        <v>99.19</v>
      </c>
      <c r="O951" s="12" t="n">
        <v>27.63713080168776</v>
      </c>
    </row>
    <row r="952">
      <c r="A952" s="10" t="n">
        <v>46030</v>
      </c>
      <c r="B952" t="inlineStr">
        <is>
          <t>Anna Luiza Rezende Tavares</t>
        </is>
      </c>
      <c r="C952" s="1" t="inlineStr">
        <is>
          <t>Estágio</t>
        </is>
      </c>
      <c r="D952" s="3" t="n">
        <v>9</v>
      </c>
      <c r="E952" s="3" t="n">
        <v>9</v>
      </c>
      <c r="F952" s="3" t="n">
        <v>38.53</v>
      </c>
      <c r="G952" s="3" t="n">
        <v>0</v>
      </c>
      <c r="H952" s="3" t="n">
        <v>0</v>
      </c>
      <c r="I952" s="3">
        <f>E952+G952+H952</f>
        <v/>
      </c>
      <c r="J952" s="3">
        <f>ROUND(MIN(IF(C952="Técnico III",35,IF(C952="Técnico II",28,IF(C952="Técnico I",23,IF(C952="JR",20,IF(C952="Estágio",10,0))))),IF(C952="Técnico III",SUMIFS($D:$D,$A:$A,$A952,$B:$B,"&lt;&gt;Patrícia Karla de Sousa Araújo",$B:$B,"&lt;&gt;Lorena Dias de Araujo",$B:$B,"&lt;&gt;Lucas Luiz Romero")*(35/1083),IF(C952="Técnico II",SUMIFS($D:$D,$A:$A,$A952,$B:$B,"&lt;&gt;Patrícia Karla de Sousa Araújo",$B:$B,"&lt;&gt;Lorena Dias de Araujo",$B:$B,"&lt;&gt;Lucas Luiz Romero")*(28/1083),IF(C952="Técnico I",SUMIFS($D:$D,$A:$A,$A952,$B:$B,"&lt;&gt;Patrícia Karla de Sousa Araújo",$B:$B,"&lt;&gt;Lorena Dias de Araujo",$B:$B,"&lt;&gt;Lucas Luiz Romero")*(23/1083),IF(C952="JR",SUMIFS($D:$D,$A:$A,$A952,$B:$B,"&lt;&gt;Patrícia Karla de Sousa Araújo",$B:$B,"&lt;&gt;Lorena Dias de Araujo",$B:$B,"&lt;&gt;Lucas Luiz Romero")*(20/1083),IF(C952="Estágio",SUMIFS($D:$D,$A:$A,$A952,$B:$B,"&lt;&gt;Patrícia Karla de Sousa Araújo",$B:$B,"&lt;&gt;Lorena Dias de Araujo",$B:$B,"&lt;&gt;Lucas Luiz Romero")*(10/1083),0)))))),0)</f>
        <v/>
      </c>
      <c r="K952" s="3">
        <f>I952-J952</f>
        <v/>
      </c>
      <c r="L952" s="3">
        <f>IF(K952&lt;-5,"CRÍTICO",IF(K952&lt;0,"ATENÇÃO",IF(K952&lt;=5,"BOM","EXCELENTE")))</f>
        <v/>
      </c>
      <c r="M952" s="3" t="n">
        <v>7</v>
      </c>
      <c r="N952" s="3" t="n">
        <v>100</v>
      </c>
      <c r="O952" s="12" t="n">
        <v>39.56834532374101</v>
      </c>
    </row>
    <row r="953">
      <c r="A953" s="10" t="n">
        <v>46030</v>
      </c>
      <c r="B953" t="inlineStr">
        <is>
          <t>Brenda de Menezes Silva</t>
        </is>
      </c>
      <c r="C953" s="1" t="inlineStr">
        <is>
          <t>Técnico II</t>
        </is>
      </c>
      <c r="D953" s="3" t="n">
        <v>34</v>
      </c>
      <c r="E953" s="3" t="n">
        <v>31</v>
      </c>
      <c r="F953" s="3" t="n">
        <v>16.59</v>
      </c>
      <c r="G953" s="3" t="n">
        <v>0</v>
      </c>
      <c r="H953" s="3" t="n">
        <v>0</v>
      </c>
      <c r="I953" s="3">
        <f>E953+G953+H953</f>
        <v/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/>
      </c>
      <c r="K953" s="3">
        <f>I953-J953</f>
        <v/>
      </c>
      <c r="L953" s="3">
        <f>IF(K953&lt;-5,"CRÍTICO",IF(K953&lt;0,"ATENÇÃO",IF(K953&lt;=5,"BOM","EXCELENTE")))</f>
        <v/>
      </c>
      <c r="M953" s="3" t="n">
        <v>31</v>
      </c>
      <c r="N953" s="3" t="n">
        <v>98.54000000000001</v>
      </c>
      <c r="O953" s="12" t="n">
        <v>28.54477611940299</v>
      </c>
    </row>
    <row r="954">
      <c r="A954" s="10" t="n">
        <v>46030</v>
      </c>
      <c r="B954" t="inlineStr">
        <is>
          <t>Carlos Mateus Cassimiro Nunes</t>
        </is>
      </c>
      <c r="C954" s="1" t="inlineStr">
        <is>
          <t>Técnico II</t>
        </is>
      </c>
      <c r="D954" s="3" t="n">
        <v>16</v>
      </c>
      <c r="E954" s="3" t="n">
        <v>16</v>
      </c>
      <c r="F954" s="3" t="n">
        <v>24.05</v>
      </c>
      <c r="G954" s="3" t="n">
        <v>0</v>
      </c>
      <c r="H954" s="3" t="n">
        <v>0</v>
      </c>
      <c r="I954" s="3">
        <f>E954+G954+H954</f>
        <v/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/>
      </c>
      <c r="K954" s="3">
        <f>I954-J954</f>
        <v/>
      </c>
      <c r="L954" s="3">
        <f>IF(K954&lt;-5,"CRÍTICO",IF(K954&lt;0,"ATENÇÃO",IF(K954&lt;=5,"BOM","EXCELENTE")))</f>
        <v/>
      </c>
      <c r="M954" s="3" t="n">
        <v>16</v>
      </c>
      <c r="N954" s="3" t="n">
        <v>100</v>
      </c>
      <c r="O954" s="12" t="n">
        <v>34.36692506459949</v>
      </c>
    </row>
    <row r="955">
      <c r="A955" s="10" t="n">
        <v>46030</v>
      </c>
      <c r="B955" t="inlineStr">
        <is>
          <t>Claudio de Sousa Velasco Filho</t>
        </is>
      </c>
      <c r="C955" s="1" t="inlineStr">
        <is>
          <t>Estágio</t>
        </is>
      </c>
      <c r="D955" s="3" t="n">
        <v>0</v>
      </c>
      <c r="E955" s="3" t="n">
        <v>0</v>
      </c>
      <c r="F955" s="3" t="n">
        <v>0</v>
      </c>
      <c r="G955" s="3" t="n">
        <v>0</v>
      </c>
      <c r="H955" s="3" t="n">
        <v>0</v>
      </c>
      <c r="I955" s="3" t="n">
        <v>0</v>
      </c>
      <c r="J955" s="3" t="n">
        <v>0</v>
      </c>
      <c r="K955" s="3" t="n">
        <v>0</v>
      </c>
      <c r="L955" s="3">
        <f>IF(K955&lt;-5,"CRÍTICO",IF(K955&lt;0,"ATENÇÃO",IF(K955&lt;=5,"BOM","EXCELENTE")))</f>
        <v/>
      </c>
      <c r="M955" s="3" t="n">
        <v>0</v>
      </c>
      <c r="N955" s="3" t="n">
        <v>0</v>
      </c>
      <c r="O955" s="12" t="n">
        <v>0</v>
      </c>
    </row>
    <row r="956">
      <c r="A956" s="10" t="n">
        <v>46030</v>
      </c>
      <c r="B956" t="inlineStr">
        <is>
          <t>Clessiane Pereira dos Santos</t>
        </is>
      </c>
      <c r="C956" s="1" t="inlineStr">
        <is>
          <t>Técnico I</t>
        </is>
      </c>
      <c r="D956" s="3" t="n">
        <v>30</v>
      </c>
      <c r="E956" s="3" t="n">
        <v>29</v>
      </c>
      <c r="F956" s="3" t="n">
        <v>18.4</v>
      </c>
      <c r="G956" s="3" t="n">
        <v>0</v>
      </c>
      <c r="H956" s="3" t="n">
        <v>0</v>
      </c>
      <c r="I956" s="3">
        <f>E956+G956+H956</f>
        <v/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/>
      </c>
      <c r="K956" s="3">
        <f>I956-J956</f>
        <v/>
      </c>
      <c r="L956" s="3">
        <f>IF(K956&lt;-5,"CRÍTICO",IF(K956&lt;0,"ATENÇÃO",IF(K956&lt;=5,"BOM","EXCELENTE")))</f>
        <v/>
      </c>
      <c r="M956" s="3" t="n">
        <v>22</v>
      </c>
      <c r="N956" s="3" t="n">
        <v>100</v>
      </c>
      <c r="O956" s="12" t="n">
        <v>29.51807228915663</v>
      </c>
    </row>
    <row r="957">
      <c r="A957" s="10" t="n">
        <v>46030</v>
      </c>
      <c r="B957" t="inlineStr">
        <is>
          <t>Cristiane Ramos da Silva Rocha</t>
        </is>
      </c>
      <c r="C957" s="1" t="inlineStr">
        <is>
          <t>Técnico III</t>
        </is>
      </c>
      <c r="D957" s="3" t="n">
        <v>32</v>
      </c>
      <c r="E957" s="3" t="n">
        <v>29</v>
      </c>
      <c r="F957" s="3" t="n">
        <v>17.01</v>
      </c>
      <c r="G957" s="3" t="n">
        <v>0</v>
      </c>
      <c r="H957" s="3" t="n">
        <v>0</v>
      </c>
      <c r="I957" s="3">
        <f>E957+G957+H957</f>
        <v/>
      </c>
      <c r="J957" s="3">
        <f>ROUND(MIN(IF(C957="Técnico III",35,IF(C957="Técnico II",28,IF(C957="Técnico I",23,IF(C957="JR",20,IF(C957="Estágio",10,0))))),IF(C957="Técnico III",SUMIFS($D:$D,$A:$A,$A957,$B:$B,"&lt;&gt;Patrícia Karla de Sousa Araújo",$B:$B,"&lt;&gt;Lorena Dias de Araujo",$B:$B,"&lt;&gt;Lucas Luiz Romero")*(35/1083),IF(C957="Técnico II",SUMIFS($D:$D,$A:$A,$A957,$B:$B,"&lt;&gt;Patrícia Karla de Sousa Araújo",$B:$B,"&lt;&gt;Lorena Dias de Araujo",$B:$B,"&lt;&gt;Lucas Luiz Romero")*(28/1083),IF(C957="Técnico I",SUMIFS($D:$D,$A:$A,$A957,$B:$B,"&lt;&gt;Patrícia Karla de Sousa Araújo",$B:$B,"&lt;&gt;Lorena Dias de Araujo",$B:$B,"&lt;&gt;Lucas Luiz Romero")*(23/1083),IF(C957="JR",SUMIFS($D:$D,$A:$A,$A957,$B:$B,"&lt;&gt;Patrícia Karla de Sousa Araújo",$B:$B,"&lt;&gt;Lorena Dias de Araujo",$B:$B,"&lt;&gt;Lucas Luiz Romero")*(20/1083),IF(C957="Estágio",SUMIFS($D:$D,$A:$A,$A957,$B:$B,"&lt;&gt;Patrícia Karla de Sousa Araújo",$B:$B,"&lt;&gt;Lorena Dias de Araujo",$B:$B,"&lt;&gt;Lucas Luiz Romero")*(10/1083),0)))))),0)</f>
        <v/>
      </c>
      <c r="K957" s="3">
        <f>I957-J957</f>
        <v/>
      </c>
      <c r="L957" s="3">
        <f>IF(K957&lt;-5,"CRÍTICO",IF(K957&lt;0,"ATENÇÃO",IF(K957&lt;=5,"BOM","EXCELENTE")))</f>
        <v/>
      </c>
      <c r="M957" s="3" t="n">
        <v>29</v>
      </c>
      <c r="N957" s="3" t="n">
        <v>97.45</v>
      </c>
      <c r="O957" s="12" t="n">
        <v>41.421143847487</v>
      </c>
    </row>
    <row r="958">
      <c r="A958" s="10" t="n">
        <v>46030</v>
      </c>
      <c r="B958" t="inlineStr">
        <is>
          <t>Damyllis Lorraine de Oliveira Gonçalves</t>
        </is>
      </c>
      <c r="C958" s="1" t="inlineStr">
        <is>
          <t>Técnico II</t>
        </is>
      </c>
      <c r="D958" s="3" t="n">
        <v>33</v>
      </c>
      <c r="E958" s="3" t="n">
        <v>28</v>
      </c>
      <c r="F958" s="3" t="n">
        <v>17.26</v>
      </c>
      <c r="G958" s="3" t="n">
        <v>0</v>
      </c>
      <c r="H958" s="3" t="n">
        <v>0</v>
      </c>
      <c r="I958" s="3" t="n">
        <v>0</v>
      </c>
      <c r="J958" s="3" t="n">
        <v>0</v>
      </c>
      <c r="K958" s="3" t="n">
        <v>0</v>
      </c>
      <c r="L958" s="3">
        <f>IF(K958&lt;-5,"CRÍTICO",IF(K958&lt;0,"ATENÇÃO",IF(K958&lt;=5,"BOM","EXCELENTE")))</f>
        <v/>
      </c>
      <c r="M958" s="3" t="n">
        <v>23</v>
      </c>
      <c r="N958" s="3" t="n">
        <v>96.58</v>
      </c>
      <c r="O958" s="12" t="n">
        <v>30.39647577092511</v>
      </c>
    </row>
    <row r="959">
      <c r="A959" s="10" t="n">
        <v>46030</v>
      </c>
      <c r="B959" t="inlineStr">
        <is>
          <t>Daniel Gomes da Silva</t>
        </is>
      </c>
      <c r="C959" s="1" t="inlineStr">
        <is>
          <t>Técnico I</t>
        </is>
      </c>
      <c r="D959" s="3" t="n">
        <v>24</v>
      </c>
      <c r="E959" s="3" t="n">
        <v>24</v>
      </c>
      <c r="F959" s="3" t="n">
        <v>22.02</v>
      </c>
      <c r="G959" s="3" t="n">
        <v>0</v>
      </c>
      <c r="H959" s="3" t="n">
        <v>0</v>
      </c>
      <c r="I959" s="3">
        <f>E959+G959+H959</f>
        <v/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/>
      </c>
      <c r="K959" s="3">
        <f>I959-J959</f>
        <v/>
      </c>
      <c r="L959" s="3">
        <f>IF(K959&lt;-5,"CRÍTICO",IF(K959&lt;0,"ATENÇÃO",IF(K959&lt;=5,"BOM","EXCELENTE")))</f>
        <v/>
      </c>
      <c r="M959" s="3" t="n">
        <v>22</v>
      </c>
      <c r="N959" s="3" t="n">
        <v>100</v>
      </c>
      <c r="O959" s="12" t="n">
        <v>27.44282744282744</v>
      </c>
    </row>
    <row r="960">
      <c r="A960" s="10" t="n">
        <v>46030</v>
      </c>
      <c r="B960" t="inlineStr">
        <is>
          <t>Davylla Rodrigues Freitas Silva</t>
        </is>
      </c>
      <c r="C960" s="1" t="inlineStr">
        <is>
          <t>Técnico III</t>
        </is>
      </c>
      <c r="D960" s="3" t="n">
        <v>29</v>
      </c>
      <c r="E960" s="3" t="n">
        <v>28</v>
      </c>
      <c r="F960" s="3" t="n">
        <v>26.59</v>
      </c>
      <c r="G960" s="3" t="n">
        <v>0</v>
      </c>
      <c r="H960" s="3" t="n">
        <v>0</v>
      </c>
      <c r="I960" s="3" t="n">
        <v>0</v>
      </c>
      <c r="J960" s="3" t="n">
        <v>0</v>
      </c>
      <c r="K960" s="3" t="n">
        <v>0</v>
      </c>
      <c r="L960" s="3">
        <f>IF(K960&lt;-5,"CRÍTICO",IF(K960&lt;0,"ATENÇÃO",IF(K960&lt;=5,"BOM","EXCELENTE")))</f>
        <v/>
      </c>
      <c r="M960" s="3" t="n">
        <v>28</v>
      </c>
      <c r="N960" s="3" t="n">
        <v>99.48999999999999</v>
      </c>
      <c r="O960" s="12" t="n">
        <v>40.2</v>
      </c>
    </row>
    <row r="961">
      <c r="A961" s="10" t="n">
        <v>46030</v>
      </c>
      <c r="B961" t="inlineStr">
        <is>
          <t>Emilly Caylane Costa</t>
        </is>
      </c>
      <c r="C961" s="1" t="inlineStr">
        <is>
          <t>Estágio</t>
        </is>
      </c>
      <c r="D961" s="3" t="n">
        <v>0</v>
      </c>
      <c r="E961" s="3" t="n">
        <v>0</v>
      </c>
      <c r="F961" s="3" t="n">
        <v>0</v>
      </c>
      <c r="G961" s="3" t="n">
        <v>0</v>
      </c>
      <c r="H961" s="3" t="n">
        <v>0</v>
      </c>
      <c r="I961" s="3" t="n">
        <v>0</v>
      </c>
      <c r="J961" s="3" t="n">
        <v>0</v>
      </c>
      <c r="K961" s="3" t="n">
        <v>0</v>
      </c>
      <c r="L961" s="3">
        <f>IF(K961&lt;-5,"CRÍTICO",IF(K961&lt;0,"ATENÇÃO",IF(K961&lt;=5,"BOM","EXCELENTE")))</f>
        <v/>
      </c>
      <c r="M961" s="3" t="n">
        <v>0</v>
      </c>
      <c r="N961" s="3" t="n">
        <v>100</v>
      </c>
      <c r="O961" s="12" t="n">
        <v>25</v>
      </c>
    </row>
    <row r="962">
      <c r="A962" s="10" t="n">
        <v>46030</v>
      </c>
      <c r="B962" t="inlineStr">
        <is>
          <t>Emilly Kamilly Medeiros Miranda</t>
        </is>
      </c>
      <c r="C962" s="1" t="inlineStr">
        <is>
          <t>Técnico II</t>
        </is>
      </c>
      <c r="D962" s="3" t="n">
        <v>28</v>
      </c>
      <c r="E962" s="3" t="n">
        <v>26</v>
      </c>
      <c r="F962" s="3" t="n">
        <v>14.1</v>
      </c>
      <c r="G962" s="3" t="n">
        <v>0</v>
      </c>
      <c r="H962" s="3" t="n">
        <v>0</v>
      </c>
      <c r="I962" s="3">
        <f>E962+G962+H962</f>
        <v/>
      </c>
      <c r="J962" s="3">
        <f>ROUND(MIN(IF(C962="Técnico III",35,IF(C962="Técnico II",28,IF(C962="Técnico I",23,IF(C962="JR",20,IF(C962="Estágio",10,0))))),IF(C962="Técnico III",SUMIFS($D:$D,$A:$A,$A962,$B:$B,"&lt;&gt;Patrícia Karla de Sousa Araújo",$B:$B,"&lt;&gt;Lorena Dias de Araujo",$B:$B,"&lt;&gt;Lucas Luiz Romero")*(35/1083),IF(C962="Técnico II",SUMIFS($D:$D,$A:$A,$A962,$B:$B,"&lt;&gt;Patrícia Karla de Sousa Araújo",$B:$B,"&lt;&gt;Lorena Dias de Araujo",$B:$B,"&lt;&gt;Lucas Luiz Romero")*(28/1083),IF(C962="Técnico I",SUMIFS($D:$D,$A:$A,$A962,$B:$B,"&lt;&gt;Patrícia Karla de Sousa Araújo",$B:$B,"&lt;&gt;Lorena Dias de Araujo",$B:$B,"&lt;&gt;Lucas Luiz Romero")*(23/1083),IF(C962="JR",SUMIFS($D:$D,$A:$A,$A962,$B:$B,"&lt;&gt;Patrícia Karla de Sousa Araújo",$B:$B,"&lt;&gt;Lorena Dias de Araujo",$B:$B,"&lt;&gt;Lucas Luiz Romero")*(20/1083),IF(C962="Estágio",SUMIFS($D:$D,$A:$A,$A962,$B:$B,"&lt;&gt;Patrícia Karla de Sousa Araújo",$B:$B,"&lt;&gt;Lorena Dias de Araujo",$B:$B,"&lt;&gt;Lucas Luiz Romero")*(10/1083),0)))))),0)</f>
        <v/>
      </c>
      <c r="K962" s="3">
        <f>I962-J962</f>
        <v/>
      </c>
      <c r="L962" s="3">
        <f>IF(K962&lt;-5,"CRÍTICO",IF(K962&lt;0,"ATENÇÃO",IF(K962&lt;=5,"BOM","EXCELENTE")))</f>
        <v/>
      </c>
      <c r="M962" s="3" t="n">
        <v>26</v>
      </c>
      <c r="N962" s="3" t="n">
        <v>100</v>
      </c>
      <c r="O962" s="12" t="n">
        <v>34.15094339622641</v>
      </c>
    </row>
    <row r="963">
      <c r="A963" s="10" t="n">
        <v>46030</v>
      </c>
      <c r="B963" t="inlineStr">
        <is>
          <t>Francielson de Oliveira</t>
        </is>
      </c>
      <c r="C963" s="1" t="inlineStr">
        <is>
          <t>Técnico III</t>
        </is>
      </c>
      <c r="D963" s="3" t="n">
        <v>18</v>
      </c>
      <c r="E963" s="3" t="n">
        <v>15</v>
      </c>
      <c r="F963" s="3" t="n">
        <v>15</v>
      </c>
      <c r="G963" s="3" t="n">
        <v>0</v>
      </c>
      <c r="H963" s="3" t="n">
        <v>0</v>
      </c>
      <c r="I963" s="3">
        <f>E963+G963+H963</f>
        <v/>
      </c>
      <c r="J963" s="3">
        <f>ROUND(MIN(IF(C963="Técnico III",35,IF(C963="Técnico II",28,IF(C963="Técnico I",23,IF(C963="JR",20,IF(C963="Estágio",10,0))))),IF(C963="Técnico III",SUMIFS($D:$D,$A:$A,$A963,$B:$B,"&lt;&gt;Patrícia Karla de Sousa Araújo",$B:$B,"&lt;&gt;Lorena Dias de Araujo",$B:$B,"&lt;&gt;Lucas Luiz Romero")*(35/1083),IF(C963="Técnico II",SUMIFS($D:$D,$A:$A,$A963,$B:$B,"&lt;&gt;Patrícia Karla de Sousa Araújo",$B:$B,"&lt;&gt;Lorena Dias de Araujo",$B:$B,"&lt;&gt;Lucas Luiz Romero")*(28/1083),IF(C963="Técnico I",SUMIFS($D:$D,$A:$A,$A963,$B:$B,"&lt;&gt;Patrícia Karla de Sousa Araújo",$B:$B,"&lt;&gt;Lorena Dias de Araujo",$B:$B,"&lt;&gt;Lucas Luiz Romero")*(23/1083),IF(C963="JR",SUMIFS($D:$D,$A:$A,$A963,$B:$B,"&lt;&gt;Patrícia Karla de Sousa Araújo",$B:$B,"&lt;&gt;Lorena Dias de Araujo",$B:$B,"&lt;&gt;Lucas Luiz Romero")*(20/1083),IF(C963="Estágio",SUMIFS($D:$D,$A:$A,$A963,$B:$B,"&lt;&gt;Patrícia Karla de Sousa Araújo",$B:$B,"&lt;&gt;Lorena Dias de Araujo",$B:$B,"&lt;&gt;Lucas Luiz Romero")*(10/1083),0)))))),0)</f>
        <v/>
      </c>
      <c r="K963" s="3">
        <f>I963-J963</f>
        <v/>
      </c>
      <c r="L963" s="3">
        <f>IF(K963&lt;-5,"CRÍTICO",IF(K963&lt;0,"ATENÇÃO",IF(K963&lt;=5,"BOM","EXCELENTE")))</f>
        <v/>
      </c>
      <c r="M963" s="3" t="n">
        <v>17</v>
      </c>
      <c r="N963" s="3" t="n">
        <v>100</v>
      </c>
      <c r="O963" s="12" t="n">
        <v>32.7313769751693</v>
      </c>
    </row>
    <row r="964">
      <c r="A964" s="10" t="n">
        <v>46030</v>
      </c>
      <c r="B964" t="inlineStr">
        <is>
          <t>Francilene Ferreira de Jesus</t>
        </is>
      </c>
      <c r="C964" s="1" t="inlineStr">
        <is>
          <t>Técnico II</t>
        </is>
      </c>
      <c r="D964" s="3" t="n">
        <v>38</v>
      </c>
      <c r="E964" s="3" t="n">
        <v>33</v>
      </c>
      <c r="F964" s="3" t="n">
        <v>15.26</v>
      </c>
      <c r="G964" s="3" t="n">
        <v>0</v>
      </c>
      <c r="H964" s="3" t="n">
        <v>0</v>
      </c>
      <c r="I964" s="3">
        <f>E964+G964+H964</f>
        <v/>
      </c>
      <c r="J964" s="3">
        <f>ROUND(MIN(IF(C964="Técnico III",35,IF(C964="Técnico II",28,IF(C964="Técnico I",23,IF(C964="JR",20,IF(C964="Estágio",10,0))))),IF(C964="Técnico III",SUMIFS($D:$D,$A:$A,$A964,$B:$B,"&lt;&gt;Patrícia Karla de Sousa Araújo",$B:$B,"&lt;&gt;Lorena Dias de Araujo",$B:$B,"&lt;&gt;Lucas Luiz Romero")*(35/1083),IF(C964="Técnico II",SUMIFS($D:$D,$A:$A,$A964,$B:$B,"&lt;&gt;Patrícia Karla de Sousa Araújo",$B:$B,"&lt;&gt;Lorena Dias de Araujo",$B:$B,"&lt;&gt;Lucas Luiz Romero")*(28/1083),IF(C964="Técnico I",SUMIFS($D:$D,$A:$A,$A964,$B:$B,"&lt;&gt;Patrícia Karla de Sousa Araújo",$B:$B,"&lt;&gt;Lorena Dias de Araujo",$B:$B,"&lt;&gt;Lucas Luiz Romero")*(23/1083),IF(C964="JR",SUMIFS($D:$D,$A:$A,$A964,$B:$B,"&lt;&gt;Patrícia Karla de Sousa Araújo",$B:$B,"&lt;&gt;Lorena Dias de Araujo",$B:$B,"&lt;&gt;Lucas Luiz Romero")*(20/1083),IF(C964="Estágio",SUMIFS($D:$D,$A:$A,$A964,$B:$B,"&lt;&gt;Patrícia Karla de Sousa Araújo",$B:$B,"&lt;&gt;Lorena Dias de Araujo",$B:$B,"&lt;&gt;Lucas Luiz Romero")*(10/1083),0)))))),0)</f>
        <v/>
      </c>
      <c r="K964" s="3">
        <f>I964-J964</f>
        <v/>
      </c>
      <c r="L964" s="3">
        <f>IF(K964&lt;-5,"CRÍTICO",IF(K964&lt;0,"ATENÇÃO",IF(K964&lt;=5,"BOM","EXCELENTE")))</f>
        <v/>
      </c>
      <c r="M964" s="3" t="n">
        <v>32</v>
      </c>
      <c r="N964" s="3" t="n">
        <v>99.31</v>
      </c>
      <c r="O964" s="12" t="n">
        <v>30.96234309623431</v>
      </c>
    </row>
    <row r="965">
      <c r="A965" s="10" t="n">
        <v>46064</v>
      </c>
      <c r="B965" t="inlineStr">
        <is>
          <t>Gabriel Gomes de Andrade</t>
        </is>
      </c>
      <c r="C965" s="1" t="inlineStr">
        <is>
          <t>Técnico I</t>
        </is>
      </c>
      <c r="D965" s="3" t="n">
        <v>2</v>
      </c>
      <c r="E965" s="3" t="n">
        <v>2</v>
      </c>
      <c r="F965" s="3" t="n">
        <v>37.04</v>
      </c>
      <c r="G965" s="3" t="n">
        <v>0</v>
      </c>
      <c r="H965" s="3" t="n">
        <v>0</v>
      </c>
      <c r="I965" s="3">
        <f>E965+G965+H965</f>
        <v/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/>
      </c>
      <c r="K965" s="3">
        <f>I965-J965</f>
        <v/>
      </c>
      <c r="L965" s="3">
        <f>IF(K965&lt;-5,"CRÍTICO",IF(K965&lt;0,"ATENÇÃO",IF(K965&lt;=5,"BOM","EXCELENTE")))</f>
        <v/>
      </c>
      <c r="M965" s="3" t="n">
        <v>28</v>
      </c>
      <c r="N965" s="3" t="n">
        <v>96.67</v>
      </c>
      <c r="O965" s="12" t="n">
        <v>31.45161290322581</v>
      </c>
    </row>
    <row r="966">
      <c r="A966" s="10" t="n">
        <v>46030</v>
      </c>
      <c r="B966" t="inlineStr">
        <is>
          <t>Isabella Borges de Oliveira</t>
        </is>
      </c>
      <c r="C966" s="1" t="inlineStr">
        <is>
          <t>Técnico II</t>
        </is>
      </c>
      <c r="D966" s="3" t="n">
        <v>37</v>
      </c>
      <c r="E966" s="3" t="n">
        <v>36</v>
      </c>
      <c r="F966" s="3" t="n">
        <v>15.06</v>
      </c>
      <c r="G966" s="3" t="n">
        <v>0</v>
      </c>
      <c r="H966" s="3" t="n">
        <v>0</v>
      </c>
      <c r="I966" s="3">
        <f>E966+G966+H966</f>
        <v/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/>
      </c>
      <c r="K966" s="3">
        <f>I966-J966</f>
        <v/>
      </c>
      <c r="L966" s="3">
        <f>IF(K966&lt;-5,"CRÍTICO",IF(K966&lt;0,"ATENÇÃO",IF(K966&lt;=5,"BOM","EXCELENTE")))</f>
        <v/>
      </c>
      <c r="M966" s="3" t="n">
        <v>28</v>
      </c>
      <c r="N966" s="3" t="n">
        <v>100</v>
      </c>
      <c r="O966" s="12" t="n">
        <v>27.67676767676768</v>
      </c>
    </row>
    <row r="967">
      <c r="A967" s="10" t="n">
        <v>46030</v>
      </c>
      <c r="B967" t="inlineStr">
        <is>
          <t>Janaina Lima dos Reis Urany</t>
        </is>
      </c>
      <c r="C967" s="1" t="inlineStr">
        <is>
          <t>Técnico III</t>
        </is>
      </c>
      <c r="D967" s="3" t="n">
        <v>51</v>
      </c>
      <c r="E967" s="3" t="n">
        <v>44</v>
      </c>
      <c r="F967" s="3" t="n">
        <v>11.53</v>
      </c>
      <c r="G967" s="3" t="n">
        <v>0</v>
      </c>
      <c r="H967" s="3" t="n">
        <v>0</v>
      </c>
      <c r="I967" s="3">
        <f>E967+G967+H967</f>
        <v/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/>
      </c>
      <c r="K967" s="3">
        <f>I967-J967</f>
        <v/>
      </c>
      <c r="L967" s="3">
        <f>IF(K967&lt;-5,"CRÍTICO",IF(K967&lt;0,"ATENÇÃO",IF(K967&lt;=5,"BOM","EXCELENTE")))</f>
        <v/>
      </c>
      <c r="M967" s="3" t="n">
        <v>42</v>
      </c>
      <c r="N967" s="3" t="n">
        <v>100</v>
      </c>
      <c r="O967" s="12" t="n">
        <v>31.17723156532988</v>
      </c>
    </row>
    <row r="968">
      <c r="A968" s="10" t="n">
        <v>46030</v>
      </c>
      <c r="B968" t="inlineStr">
        <is>
          <t>Jaqueline Evangelista da Silva Martins</t>
        </is>
      </c>
      <c r="C968" s="1" t="inlineStr">
        <is>
          <t>Técnico III</t>
        </is>
      </c>
      <c r="D968" s="3" t="n">
        <v>22</v>
      </c>
      <c r="E968" s="3" t="n">
        <v>21</v>
      </c>
      <c r="F968" s="3" t="n">
        <v>15.46</v>
      </c>
      <c r="G968" s="3" t="n">
        <v>0</v>
      </c>
      <c r="H968" s="3" t="n">
        <v>0</v>
      </c>
      <c r="I968" s="3">
        <f>E968+G968+H968</f>
        <v/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/>
      </c>
      <c r="K968" s="3">
        <f>I968-J968</f>
        <v/>
      </c>
      <c r="L968" s="3">
        <f>IF(K968&lt;-5,"CRÍTICO",IF(K968&lt;0,"ATENÇÃO",IF(K968&lt;=5,"BOM","EXCELENTE")))</f>
        <v/>
      </c>
      <c r="M968" s="3" t="n">
        <v>16</v>
      </c>
      <c r="N968" s="3" t="n">
        <v>100</v>
      </c>
      <c r="O968" s="12" t="n">
        <v>27.60942760942761</v>
      </c>
    </row>
    <row r="969">
      <c r="A969" s="10" t="n">
        <v>46030</v>
      </c>
      <c r="B969" t="inlineStr">
        <is>
          <t>Jessica Faria da Silveira</t>
        </is>
      </c>
      <c r="C969" s="1" t="inlineStr">
        <is>
          <t>Técnico II</t>
        </is>
      </c>
      <c r="D969" s="3" t="n">
        <v>24</v>
      </c>
      <c r="E969" s="3" t="n">
        <v>22</v>
      </c>
      <c r="F969" s="3" t="n">
        <v>23.45</v>
      </c>
      <c r="G969" s="3" t="n">
        <v>0</v>
      </c>
      <c r="H969" s="3" t="n">
        <v>0</v>
      </c>
      <c r="I969" s="3">
        <f>E969+G969+H969</f>
        <v/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/>
      </c>
      <c r="K969" s="3">
        <f>I969-J969</f>
        <v/>
      </c>
      <c r="L969" s="3">
        <f>IF(K969&lt;-5,"CRÍTICO",IF(K969&lt;0,"ATENÇÃO",IF(K969&lt;=5,"BOM","EXCELENTE")))</f>
        <v/>
      </c>
      <c r="M969" s="3" t="n">
        <v>22</v>
      </c>
      <c r="N969" s="3" t="n">
        <v>96.40000000000001</v>
      </c>
      <c r="O969" s="12" t="n">
        <v>28.76404494382023</v>
      </c>
    </row>
    <row r="970">
      <c r="A970" s="10" t="n">
        <v>46030</v>
      </c>
      <c r="B970" t="inlineStr">
        <is>
          <t>Jéssica Fé Moura</t>
        </is>
      </c>
      <c r="C970" s="1" t="inlineStr">
        <is>
          <t>Técnico III</t>
        </is>
      </c>
      <c r="D970" s="3" t="n">
        <v>0</v>
      </c>
      <c r="E970" s="3" t="n">
        <v>0</v>
      </c>
      <c r="F970" s="3" t="n">
        <v>0</v>
      </c>
      <c r="G970" s="3" t="n">
        <v>0</v>
      </c>
      <c r="H970" s="3" t="n">
        <v>0</v>
      </c>
      <c r="I970" s="3" t="n">
        <v>0</v>
      </c>
      <c r="J970" s="3" t="n">
        <v>0</v>
      </c>
      <c r="K970" s="3" t="n">
        <v>0</v>
      </c>
      <c r="L970" s="3">
        <f>IF(K970&lt;-5,"CRÍTICO",IF(K970&lt;0,"ATENÇÃO",IF(K970&lt;=5,"BOM","EXCELENTE")))</f>
        <v/>
      </c>
      <c r="M970" s="3" t="n">
        <v>25</v>
      </c>
      <c r="N970" s="3" t="n">
        <v>100</v>
      </c>
      <c r="O970" s="12" t="n">
        <v>33.98058252427185</v>
      </c>
    </row>
    <row r="971">
      <c r="A971" s="10" t="n">
        <v>46030</v>
      </c>
      <c r="B971" t="inlineStr">
        <is>
          <t>Karina Gonçalves Martins</t>
        </is>
      </c>
      <c r="C971" s="1" t="inlineStr">
        <is>
          <t>JR</t>
        </is>
      </c>
      <c r="D971" s="3" t="n">
        <v>8</v>
      </c>
      <c r="E971" s="3" t="n">
        <v>8</v>
      </c>
      <c r="F971" s="3" t="n">
        <v>16.42</v>
      </c>
      <c r="G971" s="3" t="n">
        <v>0</v>
      </c>
      <c r="H971" s="3" t="n">
        <v>0</v>
      </c>
      <c r="I971" s="3">
        <f>E971+G971+H971</f>
        <v/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/>
      </c>
      <c r="K971" s="3">
        <f>I971-J971</f>
        <v/>
      </c>
      <c r="L971" s="3">
        <f>IF(K971&lt;-5,"CRÍTICO",IF(K971&lt;0,"ATENÇÃO",IF(K971&lt;=5,"BOM","EXCELENTE")))</f>
        <v/>
      </c>
      <c r="M971" s="3" t="n">
        <v>8</v>
      </c>
      <c r="N971" s="3" t="n">
        <v>97.56</v>
      </c>
      <c r="O971" s="12" t="n">
        <v>32.51533742331289</v>
      </c>
    </row>
    <row r="972">
      <c r="A972" s="10" t="n">
        <v>46030</v>
      </c>
      <c r="B972" t="inlineStr">
        <is>
          <t>Kerollen Cristielly de Jesus Siqueira</t>
        </is>
      </c>
      <c r="C972" s="1" t="inlineStr">
        <is>
          <t>Técnico III</t>
        </is>
      </c>
      <c r="D972" s="3" t="n">
        <v>24</v>
      </c>
      <c r="E972" s="3" t="n">
        <v>22</v>
      </c>
      <c r="F972" s="3" t="n">
        <v>17.37</v>
      </c>
      <c r="G972" s="3" t="n">
        <v>0</v>
      </c>
      <c r="H972" s="3" t="n">
        <v>0</v>
      </c>
      <c r="I972" s="3">
        <f>E972+G972+H972</f>
        <v/>
      </c>
      <c r="J972" s="3">
        <f>ROUND(MIN(IF(C972="Técnico III",35,IF(C972="Técnico II",28,IF(C972="Técnico I",23,IF(C972="JR",20,IF(C972="Estágio",10,0))))),IF(C972="Técnico III",SUMIFS($D:$D,$A:$A,$A972,$B:$B,"&lt;&gt;Patrícia Karla de Sousa Araújo",$B:$B,"&lt;&gt;Lorena Dias de Araujo",$B:$B,"&lt;&gt;Lucas Luiz Romero")*(35/1083),IF(C972="Técnico II",SUMIFS($D:$D,$A:$A,$A972,$B:$B,"&lt;&gt;Patrícia Karla de Sousa Araújo",$B:$B,"&lt;&gt;Lorena Dias de Araujo",$B:$B,"&lt;&gt;Lucas Luiz Romero")*(28/1083),IF(C972="Técnico I",SUMIFS($D:$D,$A:$A,$A972,$B:$B,"&lt;&gt;Patrícia Karla de Sousa Araújo",$B:$B,"&lt;&gt;Lorena Dias de Araujo",$B:$B,"&lt;&gt;Lucas Luiz Romero")*(23/1083),IF(C972="JR",SUMIFS($D:$D,$A:$A,$A972,$B:$B,"&lt;&gt;Patrícia Karla de Sousa Araújo",$B:$B,"&lt;&gt;Lorena Dias de Araujo",$B:$B,"&lt;&gt;Lucas Luiz Romero")*(20/1083),IF(C972="Estágio",SUMIFS($D:$D,$A:$A,$A972,$B:$B,"&lt;&gt;Patrícia Karla de Sousa Araújo",$B:$B,"&lt;&gt;Lorena Dias de Araujo",$B:$B,"&lt;&gt;Lucas Luiz Romero")*(10/1083),0)))))),0)</f>
        <v/>
      </c>
      <c r="K972" s="3">
        <f>I972-J972</f>
        <v/>
      </c>
      <c r="L972" s="3">
        <f>IF(K972&lt;-5,"CRÍTICO",IF(K972&lt;0,"ATENÇÃO",IF(K972&lt;=5,"BOM","EXCELENTE")))</f>
        <v/>
      </c>
      <c r="M972" s="3" t="n">
        <v>21</v>
      </c>
      <c r="N972" s="3" t="n">
        <v>97.11</v>
      </c>
      <c r="O972" s="12" t="n">
        <v>37.40831295843521</v>
      </c>
    </row>
    <row r="973">
      <c r="A973" s="10" t="n">
        <v>46030</v>
      </c>
      <c r="B973" t="inlineStr">
        <is>
          <t>Leandro de Souza Silva</t>
        </is>
      </c>
      <c r="C973" s="1" t="inlineStr">
        <is>
          <t>JR</t>
        </is>
      </c>
      <c r="D973" s="3" t="n">
        <v>0</v>
      </c>
      <c r="E973" s="3" t="n">
        <v>0</v>
      </c>
      <c r="F973" s="3" t="n">
        <v>0</v>
      </c>
      <c r="G973" s="3" t="n">
        <v>0</v>
      </c>
      <c r="H973" s="3" t="n">
        <v>0</v>
      </c>
      <c r="I973" s="3" t="n">
        <v>0</v>
      </c>
      <c r="J973" s="3" t="n">
        <v>0</v>
      </c>
      <c r="K973" s="3" t="n">
        <v>0</v>
      </c>
      <c r="L973" s="3">
        <f>IF(K973&lt;-5,"CRÍTICO",IF(K973&lt;0,"ATENÇÃO",IF(K973&lt;=5,"BOM","EXCELENTE")))</f>
        <v/>
      </c>
      <c r="M973" s="3" t="n">
        <v>0</v>
      </c>
      <c r="N973" s="3" t="n">
        <v>0</v>
      </c>
      <c r="O973" s="12" t="n">
        <v>0</v>
      </c>
    </row>
    <row r="974">
      <c r="A974" s="10" t="n">
        <v>46030</v>
      </c>
      <c r="B974" t="inlineStr">
        <is>
          <t>Leandro Oliveira de Sousa</t>
        </is>
      </c>
      <c r="C974" s="1" t="inlineStr">
        <is>
          <t>Técnico III</t>
        </is>
      </c>
      <c r="D974" s="3" t="n">
        <v>34</v>
      </c>
      <c r="E974" s="3" t="n">
        <v>29</v>
      </c>
      <c r="F974" s="3" t="n">
        <v>14.16</v>
      </c>
      <c r="G974" s="3" t="n">
        <v>0</v>
      </c>
      <c r="H974" s="3" t="n">
        <v>0</v>
      </c>
      <c r="I974" s="3">
        <f>E974+G974+H974</f>
        <v/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/>
      </c>
      <c r="K974" s="3">
        <f>I974-J974</f>
        <v/>
      </c>
      <c r="L974" s="3">
        <f>IF(K974&lt;-5,"CRÍTICO",IF(K974&lt;0,"ATENÇÃO",IF(K974&lt;=5,"BOM","EXCELENTE")))</f>
        <v/>
      </c>
      <c r="M974" s="3" t="n">
        <v>31</v>
      </c>
      <c r="N974" s="3" t="n">
        <v>100</v>
      </c>
      <c r="O974" s="12" t="n">
        <v>30.47034764826176</v>
      </c>
    </row>
    <row r="975">
      <c r="A975" s="10" t="n">
        <v>46030</v>
      </c>
      <c r="B975" t="inlineStr">
        <is>
          <t>Lizandra Gomes Duarte</t>
        </is>
      </c>
      <c r="C975" s="1" t="inlineStr">
        <is>
          <t>Técnico II</t>
        </is>
      </c>
      <c r="D975" s="3" t="n">
        <v>32</v>
      </c>
      <c r="E975" s="3" t="n">
        <v>31</v>
      </c>
      <c r="F975" s="3" t="n">
        <v>19.15</v>
      </c>
      <c r="G975" s="3" t="n">
        <v>0</v>
      </c>
      <c r="H975" s="3" t="n">
        <v>0</v>
      </c>
      <c r="I975" s="3">
        <f>E975+G975+H975</f>
        <v/>
      </c>
      <c r="J975" s="3">
        <f>ROUND(MIN(IF(C975="Técnico III",35,IF(C975="Técnico II",28,IF(C975="Técnico I",23,IF(C975="JR",20,IF(C975="Estágio",10,0))))),IF(C975="Técnico III",SUMIFS($D:$D,$A:$A,$A975,$B:$B,"&lt;&gt;Patrícia Karla de Sousa Araújo",$B:$B,"&lt;&gt;Lorena Dias de Araujo",$B:$B,"&lt;&gt;Lucas Luiz Romero")*(35/1083),IF(C975="Técnico II",SUMIFS($D:$D,$A:$A,$A975,$B:$B,"&lt;&gt;Patrícia Karla de Sousa Araújo",$B:$B,"&lt;&gt;Lorena Dias de Araujo",$B:$B,"&lt;&gt;Lucas Luiz Romero")*(28/1083),IF(C975="Técnico I",SUMIFS($D:$D,$A:$A,$A975,$B:$B,"&lt;&gt;Patrícia Karla de Sousa Araújo",$B:$B,"&lt;&gt;Lorena Dias de Araujo",$B:$B,"&lt;&gt;Lucas Luiz Romero")*(23/1083),IF(C975="JR",SUMIFS($D:$D,$A:$A,$A975,$B:$B,"&lt;&gt;Patrícia Karla de Sousa Araújo",$B:$B,"&lt;&gt;Lorena Dias de Araujo",$B:$B,"&lt;&gt;Lucas Luiz Romero")*(20/1083),IF(C975="Estágio",SUMIFS($D:$D,$A:$A,$A975,$B:$B,"&lt;&gt;Patrícia Karla de Sousa Araújo",$B:$B,"&lt;&gt;Lorena Dias de Araujo",$B:$B,"&lt;&gt;Lucas Luiz Romero")*(10/1083),0)))))),0)</f>
        <v/>
      </c>
      <c r="K975" s="3">
        <f>I975-J975</f>
        <v/>
      </c>
      <c r="L975" s="3">
        <f>IF(K975&lt;-5,"CRÍTICO",IF(K975&lt;0,"ATENÇÃO",IF(K975&lt;=5,"BOM","EXCELENTE")))</f>
        <v/>
      </c>
      <c r="M975" s="3" t="n">
        <v>18</v>
      </c>
      <c r="N975" s="3" t="n">
        <v>100</v>
      </c>
      <c r="O975" s="12" t="n">
        <v>32.37113402061856</v>
      </c>
    </row>
    <row r="976">
      <c r="A976" s="10" t="n">
        <v>46030</v>
      </c>
      <c r="B976" t="inlineStr">
        <is>
          <t>Lorena Dias de Araujo</t>
        </is>
      </c>
      <c r="C976" s="1" t="inlineStr">
        <is>
          <t>Técnico II</t>
        </is>
      </c>
      <c r="D976" s="3" t="n">
        <v>28</v>
      </c>
      <c r="E976" s="3" t="n">
        <v>27</v>
      </c>
      <c r="F976" s="3" t="n">
        <v>20.25</v>
      </c>
      <c r="G976" s="3" t="n">
        <v>0</v>
      </c>
      <c r="H976" s="3" t="n">
        <v>0</v>
      </c>
      <c r="I976" s="3" t="n">
        <v>0</v>
      </c>
      <c r="J976" s="3" t="n">
        <v>0</v>
      </c>
      <c r="K976" s="3" t="n">
        <v>0</v>
      </c>
      <c r="L976" s="3">
        <f>IF(K976&lt;-5,"CRÍTICO",IF(K976&lt;0,"ATENÇÃO",IF(K976&lt;=5,"BOM","EXCELENTE")))</f>
        <v/>
      </c>
      <c r="M976" s="3" t="n">
        <v>20</v>
      </c>
      <c r="N976" s="3" t="n">
        <v>98.31999999999999</v>
      </c>
      <c r="O976" s="12" t="n">
        <v>32.31850117096019</v>
      </c>
    </row>
    <row r="977">
      <c r="A977" s="10" t="n">
        <v>46030</v>
      </c>
      <c r="B977" t="inlineStr">
        <is>
          <t>Lucas Luiz Romero</t>
        </is>
      </c>
      <c r="C977" s="1" t="inlineStr">
        <is>
          <t>Técnico III</t>
        </is>
      </c>
      <c r="D977" s="3" t="n">
        <v>46</v>
      </c>
      <c r="E977" s="3" t="n">
        <v>31</v>
      </c>
      <c r="F977" s="3" t="n">
        <v>8.48</v>
      </c>
      <c r="G977" s="3" t="n">
        <v>0</v>
      </c>
      <c r="H977" s="3" t="n">
        <v>0</v>
      </c>
      <c r="I977" s="3">
        <f>E977+G977+H977</f>
        <v/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/>
      </c>
      <c r="K977" s="3">
        <f>I977-J977</f>
        <v/>
      </c>
      <c r="L977" s="3">
        <f>IF(K977&lt;-5,"CRÍTICO",IF(K977&lt;0,"ATENÇÃO",IF(K977&lt;=5,"BOM","EXCELENTE")))</f>
        <v/>
      </c>
      <c r="M977" s="3" t="n">
        <v>29</v>
      </c>
      <c r="N977" s="3" t="n">
        <v>96.43000000000001</v>
      </c>
      <c r="O977" s="12" t="n">
        <v>27.01525054466231</v>
      </c>
    </row>
    <row r="978">
      <c r="A978" s="10" t="n">
        <v>46030</v>
      </c>
      <c r="B978" t="inlineStr">
        <is>
          <t>Luiz Fernando de Carvalho Junior</t>
        </is>
      </c>
      <c r="C978" s="1" t="inlineStr">
        <is>
          <t>Técnico I</t>
        </is>
      </c>
      <c r="D978" s="3" t="n">
        <v>15</v>
      </c>
      <c r="E978" s="3" t="n">
        <v>14</v>
      </c>
      <c r="F978" s="3" t="n">
        <v>34</v>
      </c>
      <c r="G978" s="3" t="n">
        <v>0</v>
      </c>
      <c r="H978" s="3" t="n">
        <v>0</v>
      </c>
      <c r="I978" s="3">
        <f>E978+G978+H978</f>
        <v/>
      </c>
      <c r="J978" s="3">
        <f>ROUND(MIN(IF(C978="Técnico III",35,IF(C978="Técnico II",28,IF(C978="Técnico I",23,IF(C978="JR",20,IF(C978="Estágio",10,0))))),IF(C978="Técnico III",SUMIFS($D:$D,$A:$A,$A978,$B:$B,"&lt;&gt;Patrícia Karla de Sousa Araújo",$B:$B,"&lt;&gt;Lorena Dias de Araujo",$B:$B,"&lt;&gt;Lucas Luiz Romero")*(35/1083),IF(C978="Técnico II",SUMIFS($D:$D,$A:$A,$A978,$B:$B,"&lt;&gt;Patrícia Karla de Sousa Araújo",$B:$B,"&lt;&gt;Lorena Dias de Araujo",$B:$B,"&lt;&gt;Lucas Luiz Romero")*(28/1083),IF(C978="Técnico I",SUMIFS($D:$D,$A:$A,$A978,$B:$B,"&lt;&gt;Patrícia Karla de Sousa Araújo",$B:$B,"&lt;&gt;Lorena Dias de Araujo",$B:$B,"&lt;&gt;Lucas Luiz Romero")*(23/1083),IF(C978="JR",SUMIFS($D:$D,$A:$A,$A978,$B:$B,"&lt;&gt;Patrícia Karla de Sousa Araújo",$B:$B,"&lt;&gt;Lorena Dias de Araujo",$B:$B,"&lt;&gt;Lucas Luiz Romero")*(20/1083),IF(C978="Estágio",SUMIFS($D:$D,$A:$A,$A978,$B:$B,"&lt;&gt;Patrícia Karla de Sousa Araújo",$B:$B,"&lt;&gt;Lorena Dias de Araujo",$B:$B,"&lt;&gt;Lucas Luiz Romero")*(10/1083),0)))))),0)</f>
        <v/>
      </c>
      <c r="K978" s="3">
        <f>I978-J978</f>
        <v/>
      </c>
      <c r="L978" s="3">
        <f>IF(K978&lt;-5,"CRÍTICO",IF(K978&lt;0,"ATENÇÃO",IF(K978&lt;=5,"BOM","EXCELENTE")))</f>
        <v/>
      </c>
      <c r="M978" s="3" t="n">
        <v>16</v>
      </c>
      <c r="N978" s="3" t="n">
        <v>98.89</v>
      </c>
      <c r="O978" s="12" t="n">
        <v>28.02197802197802</v>
      </c>
    </row>
    <row r="979">
      <c r="A979" s="10" t="n">
        <v>46030</v>
      </c>
      <c r="B979" t="inlineStr">
        <is>
          <t>Maria Eduarda Sousa Costa</t>
        </is>
      </c>
      <c r="C979" s="1" t="inlineStr">
        <is>
          <t>Estágio</t>
        </is>
      </c>
      <c r="D979" s="3" t="n">
        <v>12</v>
      </c>
      <c r="E979" s="3" t="n">
        <v>12</v>
      </c>
      <c r="F979" s="3" t="n">
        <v>51.49</v>
      </c>
      <c r="G979" s="3" t="n">
        <v>0</v>
      </c>
      <c r="H979" s="3" t="n">
        <v>0</v>
      </c>
      <c r="I979" s="3">
        <f>E979+G979+H979</f>
        <v/>
      </c>
      <c r="J979" s="3">
        <f>ROUND(MIN(IF(C979="Técnico III",35,IF(C979="Técnico II",28,IF(C979="Técnico I",23,IF(C979="JR",20,IF(C979="Estágio",10,0))))),IF(C979="Técnico III",SUMIFS($D:$D,$A:$A,$A979,$B:$B,"&lt;&gt;Patrícia Karla de Sousa Araújo",$B:$B,"&lt;&gt;Lorena Dias de Araujo",$B:$B,"&lt;&gt;Lucas Luiz Romero")*(35/1083),IF(C979="Técnico II",SUMIFS($D:$D,$A:$A,$A979,$B:$B,"&lt;&gt;Patrícia Karla de Sousa Araújo",$B:$B,"&lt;&gt;Lorena Dias de Araujo",$B:$B,"&lt;&gt;Lucas Luiz Romero")*(28/1083),IF(C979="Técnico I",SUMIFS($D:$D,$A:$A,$A979,$B:$B,"&lt;&gt;Patrícia Karla de Sousa Araújo",$B:$B,"&lt;&gt;Lorena Dias de Araujo",$B:$B,"&lt;&gt;Lucas Luiz Romero")*(23/1083),IF(C979="JR",SUMIFS($D:$D,$A:$A,$A979,$B:$B,"&lt;&gt;Patrícia Karla de Sousa Araújo",$B:$B,"&lt;&gt;Lorena Dias de Araujo",$B:$B,"&lt;&gt;Lucas Luiz Romero")*(20/1083),IF(C979="Estágio",SUMIFS($D:$D,$A:$A,$A979,$B:$B,"&lt;&gt;Patrícia Karla de Sousa Araújo",$B:$B,"&lt;&gt;Lorena Dias de Araujo",$B:$B,"&lt;&gt;Lucas Luiz Romero")*(10/1083),0)))))),0)</f>
        <v/>
      </c>
      <c r="K979" s="3">
        <f>I979-J979</f>
        <v/>
      </c>
      <c r="L979" s="3">
        <f>IF(K979&lt;-5,"CRÍTICO",IF(K979&lt;0,"ATENÇÃO",IF(K979&lt;=5,"BOM","EXCELENTE")))</f>
        <v/>
      </c>
      <c r="M979" s="3" t="n">
        <v>10</v>
      </c>
      <c r="N979" s="3" t="n">
        <v>100</v>
      </c>
      <c r="O979" s="12" t="n">
        <v>33.33333333333333</v>
      </c>
    </row>
    <row r="980">
      <c r="A980" s="10" t="n">
        <v>46030</v>
      </c>
      <c r="B980" t="inlineStr">
        <is>
          <t>Matheus Farias De Souza</t>
        </is>
      </c>
      <c r="C980" s="1" t="inlineStr">
        <is>
          <t>Técnico III</t>
        </is>
      </c>
      <c r="D980" s="3" t="n">
        <v>0</v>
      </c>
      <c r="E980" s="3" t="n">
        <v>0</v>
      </c>
      <c r="F980" s="3" t="n">
        <v>0</v>
      </c>
      <c r="G980" s="3" t="n">
        <v>0</v>
      </c>
      <c r="H980" s="3" t="n">
        <v>0</v>
      </c>
      <c r="I980" s="3" t="n">
        <v>0</v>
      </c>
      <c r="J980" s="3" t="n">
        <v>0</v>
      </c>
      <c r="K980" s="3" t="n">
        <v>0</v>
      </c>
      <c r="L980" s="3">
        <f>IF(K980&lt;-5,"CRÍTICO",IF(K980&lt;0,"ATENÇÃO",IF(K980&lt;=5,"BOM","EXCELENTE")))</f>
        <v/>
      </c>
      <c r="M980" s="3" t="n">
        <v>0</v>
      </c>
      <c r="N980" s="3" t="n">
        <v>100</v>
      </c>
      <c r="O980" s="12" t="n">
        <v>27.43362831858407</v>
      </c>
    </row>
    <row r="981">
      <c r="A981" s="10" t="n">
        <v>46030</v>
      </c>
      <c r="B981" t="inlineStr">
        <is>
          <t>Maysa Victoria Dias Moura</t>
        </is>
      </c>
      <c r="C981" s="1" t="inlineStr">
        <is>
          <t>Técnico III</t>
        </is>
      </c>
      <c r="D981" s="3" t="n">
        <v>35</v>
      </c>
      <c r="E981" s="3" t="n">
        <v>32</v>
      </c>
      <c r="F981" s="3" t="n">
        <v>16.46</v>
      </c>
      <c r="G981" s="3" t="n">
        <v>0</v>
      </c>
      <c r="H981" s="3" t="n">
        <v>0</v>
      </c>
      <c r="I981" s="3">
        <f>E981+G981+H981</f>
        <v/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/>
      </c>
      <c r="K981" s="3">
        <f>I981-J981</f>
        <v/>
      </c>
      <c r="L981" s="3">
        <f>IF(K981&lt;-5,"CRÍTICO",IF(K981&lt;0,"ATENÇÃO",IF(K981&lt;=5,"BOM","EXCELENTE")))</f>
        <v/>
      </c>
      <c r="M981" s="3" t="n">
        <v>24</v>
      </c>
      <c r="N981" s="3" t="n">
        <v>98.65000000000001</v>
      </c>
      <c r="O981" s="12" t="n">
        <v>30.97826086956522</v>
      </c>
    </row>
    <row r="982">
      <c r="A982" s="10" t="n">
        <v>46030</v>
      </c>
      <c r="B982" t="inlineStr">
        <is>
          <t>Michelle G Santos</t>
        </is>
      </c>
      <c r="C982" s="1" t="inlineStr">
        <is>
          <t>Estágio</t>
        </is>
      </c>
      <c r="D982" s="3" t="n">
        <v>0</v>
      </c>
      <c r="E982" s="3" t="n">
        <v>0</v>
      </c>
      <c r="F982" s="3" t="n">
        <v>0</v>
      </c>
      <c r="G982" s="3" t="n">
        <v>0</v>
      </c>
      <c r="H982" s="3" t="n">
        <v>0</v>
      </c>
      <c r="I982" s="3" t="n">
        <v>0</v>
      </c>
      <c r="J982" s="3" t="n">
        <v>0</v>
      </c>
      <c r="K982" s="3" t="n">
        <v>0</v>
      </c>
      <c r="L982" s="3">
        <f>IF(K982&lt;-5,"CRÍTICO",IF(K982&lt;0,"ATENÇÃO",IF(K982&lt;=5,"BOM","EXCELENTE")))</f>
        <v/>
      </c>
      <c r="M982" s="3" t="n">
        <v>0</v>
      </c>
      <c r="N982" s="3" t="n">
        <v>100</v>
      </c>
      <c r="O982" s="12" t="n">
        <v>12</v>
      </c>
    </row>
    <row r="983">
      <c r="A983" s="10" t="n">
        <v>46030</v>
      </c>
      <c r="B983" t="inlineStr">
        <is>
          <t>Milena Sales</t>
        </is>
      </c>
      <c r="C983" s="1" t="inlineStr">
        <is>
          <t>JR</t>
        </is>
      </c>
      <c r="D983" s="3" t="n">
        <v>0</v>
      </c>
      <c r="E983" s="3" t="n">
        <v>0</v>
      </c>
      <c r="F983" s="3" t="n">
        <v>0</v>
      </c>
      <c r="G983" s="3" t="n">
        <v>0</v>
      </c>
      <c r="H983" s="3" t="n">
        <v>0</v>
      </c>
      <c r="I983" s="3" t="n">
        <v>0</v>
      </c>
      <c r="J983" s="3" t="n">
        <v>0</v>
      </c>
      <c r="K983" s="3" t="n">
        <v>0</v>
      </c>
      <c r="L983" s="3">
        <f>IF(K983&lt;-5,"CRÍTICO",IF(K983&lt;0,"ATENÇÃO",IF(K983&lt;=5,"BOM","EXCELENTE")))</f>
        <v/>
      </c>
      <c r="M983" s="3" t="n">
        <v>0</v>
      </c>
      <c r="N983" s="3" t="n">
        <v>0</v>
      </c>
      <c r="O983" s="12" t="n">
        <v>0</v>
      </c>
    </row>
    <row r="984">
      <c r="A984" s="10" t="n">
        <v>46030</v>
      </c>
      <c r="B984" t="inlineStr">
        <is>
          <t>Patrícia Karla de Sousa Araújo</t>
        </is>
      </c>
      <c r="C984" s="1" t="inlineStr">
        <is>
          <t>Técnico II</t>
        </is>
      </c>
      <c r="D984" s="3" t="n">
        <v>0</v>
      </c>
      <c r="E984" s="3" t="n">
        <v>0</v>
      </c>
      <c r="F984" s="3" t="n">
        <v>0</v>
      </c>
      <c r="G984" s="3" t="n">
        <v>0</v>
      </c>
      <c r="H984" s="3" t="n">
        <v>0</v>
      </c>
      <c r="I984" s="3" t="n">
        <v>0</v>
      </c>
      <c r="J984" s="3" t="n">
        <v>0</v>
      </c>
      <c r="K984" s="3" t="n">
        <v>0</v>
      </c>
      <c r="L984" s="3">
        <f>IF(K984&lt;-5,"CRÍTICO",IF(K984&lt;0,"ATENÇÃO",IF(K984&lt;=5,"BOM","EXCELENTE")))</f>
        <v/>
      </c>
      <c r="M984" s="3" t="n">
        <v>0</v>
      </c>
      <c r="N984" s="3" t="n">
        <v>97.56</v>
      </c>
      <c r="O984" s="12" t="n">
        <v>31.06796116504854</v>
      </c>
    </row>
    <row r="985">
      <c r="A985" s="10" t="n">
        <v>46030</v>
      </c>
      <c r="B985" t="inlineStr">
        <is>
          <t>Paulo Ricardo Santos</t>
        </is>
      </c>
      <c r="C985" s="1" t="inlineStr">
        <is>
          <t>JR</t>
        </is>
      </c>
      <c r="D985" s="3" t="n">
        <v>0</v>
      </c>
      <c r="E985" s="3" t="n">
        <v>0</v>
      </c>
      <c r="F985" s="3" t="n">
        <v>0</v>
      </c>
      <c r="G985" s="3" t="n">
        <v>0</v>
      </c>
      <c r="H985" s="3" t="n">
        <v>0</v>
      </c>
      <c r="I985" s="3" t="n">
        <v>0</v>
      </c>
      <c r="J985" s="3" t="n">
        <v>0</v>
      </c>
      <c r="K985" s="3" t="n">
        <v>0</v>
      </c>
      <c r="L985" s="3">
        <f>IF(K985&lt;-5,"CRÍTICO",IF(K985&lt;0,"ATENÇÃO",IF(K985&lt;=5,"BOM","EXCELENTE")))</f>
        <v/>
      </c>
      <c r="M985" s="3" t="n">
        <v>0</v>
      </c>
      <c r="N985" s="3" t="n">
        <v>0</v>
      </c>
      <c r="O985" s="12" t="n">
        <v>0</v>
      </c>
    </row>
    <row r="986">
      <c r="A986" s="10" t="n">
        <v>46030</v>
      </c>
      <c r="B986" t="inlineStr">
        <is>
          <t>Pedro Luiz Mota Sousa</t>
        </is>
      </c>
      <c r="C986" s="1" t="inlineStr">
        <is>
          <t>JR</t>
        </is>
      </c>
      <c r="D986" s="3" t="n">
        <v>0</v>
      </c>
      <c r="E986" s="3" t="n">
        <v>0</v>
      </c>
      <c r="F986" s="3" t="n">
        <v>0</v>
      </c>
      <c r="G986" s="3" t="n">
        <v>0</v>
      </c>
      <c r="H986" s="3" t="n">
        <v>0</v>
      </c>
      <c r="I986" s="3" t="n">
        <v>0</v>
      </c>
      <c r="J986" s="3" t="n">
        <v>0</v>
      </c>
      <c r="K986" s="3" t="n">
        <v>0</v>
      </c>
      <c r="L986" s="3">
        <f>IF(K986&lt;-5,"CRÍTICO",IF(K986&lt;0,"ATENÇÃO",IF(K986&lt;=5,"BOM","EXCELENTE")))</f>
        <v/>
      </c>
      <c r="M986" s="3" t="n">
        <v>0</v>
      </c>
      <c r="N986" s="3" t="n">
        <v>0</v>
      </c>
      <c r="O986" s="12" t="n">
        <v>0</v>
      </c>
    </row>
    <row r="987">
      <c r="A987" s="10" t="n">
        <v>46030</v>
      </c>
      <c r="B987" t="inlineStr">
        <is>
          <t>Quirino Diogo Leite Torres</t>
        </is>
      </c>
      <c r="C987" s="1" t="inlineStr">
        <is>
          <t>Estágio</t>
        </is>
      </c>
      <c r="D987" s="3" t="n">
        <v>0</v>
      </c>
      <c r="E987" s="3" t="n">
        <v>0</v>
      </c>
      <c r="F987" s="3" t="n">
        <v>0</v>
      </c>
      <c r="G987" s="3" t="n">
        <v>0</v>
      </c>
      <c r="H987" s="3" t="n">
        <v>0</v>
      </c>
      <c r="I987" s="3" t="n">
        <v>0</v>
      </c>
      <c r="J987" s="3" t="n">
        <v>0</v>
      </c>
      <c r="K987" s="3" t="n">
        <v>0</v>
      </c>
      <c r="L987" s="3">
        <f>IF(K987&lt;-5,"CRÍTICO",IF(K987&lt;0,"ATENÇÃO",IF(K987&lt;=5,"BOM","EXCELENTE")))</f>
        <v/>
      </c>
      <c r="M987" s="3" t="n">
        <v>0</v>
      </c>
      <c r="N987" s="3" t="n">
        <v>0</v>
      </c>
      <c r="O987" s="12" t="n">
        <v>0</v>
      </c>
    </row>
    <row r="988">
      <c r="A988" s="10" t="n">
        <v>46030</v>
      </c>
      <c r="B988" t="inlineStr">
        <is>
          <t>Raane Batista Matos</t>
        </is>
      </c>
      <c r="C988" s="1" t="inlineStr">
        <is>
          <t>Técnico I</t>
        </is>
      </c>
      <c r="D988" s="3" t="n">
        <v>0</v>
      </c>
      <c r="E988" s="3" t="n">
        <v>0</v>
      </c>
      <c r="F988" s="3" t="n">
        <v>0</v>
      </c>
      <c r="G988" s="3" t="n">
        <v>0</v>
      </c>
      <c r="H988" s="3" t="n">
        <v>0</v>
      </c>
      <c r="I988" s="3" t="n">
        <v>0</v>
      </c>
      <c r="J988" s="3" t="n">
        <v>0</v>
      </c>
      <c r="K988" s="3" t="n">
        <v>0</v>
      </c>
      <c r="L988" s="3">
        <f>IF(K988&lt;-5,"CRÍTICO",IF(K988&lt;0,"ATENÇÃO",IF(K988&lt;=5,"BOM","EXCELENTE")))</f>
        <v/>
      </c>
      <c r="M988" s="3" t="n">
        <v>0</v>
      </c>
      <c r="N988" s="3" t="n">
        <v>100</v>
      </c>
      <c r="O988" s="12" t="n">
        <v>53.84615384615385</v>
      </c>
    </row>
    <row r="989">
      <c r="A989" s="10" t="n">
        <v>46030</v>
      </c>
      <c r="B989" t="inlineStr">
        <is>
          <t>Rafael Gomes de Morais</t>
        </is>
      </c>
      <c r="C989" s="1" t="inlineStr">
        <is>
          <t>Técnico III</t>
        </is>
      </c>
      <c r="D989" s="3" t="n">
        <v>0</v>
      </c>
      <c r="E989" s="3" t="n">
        <v>0</v>
      </c>
      <c r="F989" s="3" t="n">
        <v>0</v>
      </c>
      <c r="G989" s="3" t="n">
        <v>0</v>
      </c>
      <c r="H989" s="3" t="n">
        <v>0</v>
      </c>
      <c r="I989" s="3" t="n">
        <v>0</v>
      </c>
      <c r="J989" s="3" t="n">
        <v>0</v>
      </c>
      <c r="K989" s="3" t="n">
        <v>0</v>
      </c>
      <c r="L989" s="3">
        <f>IF(K989&lt;-5,"CRÍTICO",IF(K989&lt;0,"ATENÇÃO",IF(K989&lt;=5,"BOM","EXCELENTE")))</f>
        <v/>
      </c>
      <c r="M989" s="3" t="n">
        <v>0</v>
      </c>
      <c r="N989" s="3" t="n">
        <v>100</v>
      </c>
      <c r="O989" s="12" t="n">
        <v>44.05594405594406</v>
      </c>
    </row>
    <row r="990">
      <c r="A990" s="10" t="n">
        <v>46030</v>
      </c>
      <c r="B990" t="inlineStr">
        <is>
          <t>Sara Maria Monteiro Lopes</t>
        </is>
      </c>
      <c r="C990" s="1" t="inlineStr">
        <is>
          <t>Técnico I</t>
        </is>
      </c>
      <c r="D990" s="3" t="n">
        <v>10</v>
      </c>
      <c r="E990" s="3" t="n">
        <v>10</v>
      </c>
      <c r="F990" s="3" t="n">
        <v>42.21</v>
      </c>
      <c r="G990" s="3" t="n">
        <v>0</v>
      </c>
      <c r="H990" s="3" t="n">
        <v>0</v>
      </c>
      <c r="I990" s="3">
        <f>E990+G990+H990</f>
        <v/>
      </c>
      <c r="J990" s="3">
        <f>ROUND(MIN(IF(C990="Técnico III",35,IF(C990="Técnico II",28,IF(C990="Técnico I",23,IF(C990="JR",20,IF(C990="Estágio",10,0))))),IF(C990="Técnico III",SUMIFS($D:$D,$A:$A,$A990,$B:$B,"&lt;&gt;Patrícia Karla de Sousa Araújo",$B:$B,"&lt;&gt;Lorena Dias de Araujo",$B:$B,"&lt;&gt;Lucas Luiz Romero")*(35/1083),IF(C990="Técnico II",SUMIFS($D:$D,$A:$A,$A990,$B:$B,"&lt;&gt;Patrícia Karla de Sousa Araújo",$B:$B,"&lt;&gt;Lorena Dias de Araujo",$B:$B,"&lt;&gt;Lucas Luiz Romero")*(28/1083),IF(C990="Técnico I",SUMIFS($D:$D,$A:$A,$A990,$B:$B,"&lt;&gt;Patrícia Karla de Sousa Araújo",$B:$B,"&lt;&gt;Lorena Dias de Araujo",$B:$B,"&lt;&gt;Lucas Luiz Romero")*(23/1083),IF(C990="JR",SUMIFS($D:$D,$A:$A,$A990,$B:$B,"&lt;&gt;Patrícia Karla de Sousa Araújo",$B:$B,"&lt;&gt;Lorena Dias de Araujo",$B:$B,"&lt;&gt;Lucas Luiz Romero")*(20/1083),IF(C990="Estágio",SUMIFS($D:$D,$A:$A,$A990,$B:$B,"&lt;&gt;Patrícia Karla de Sousa Araújo",$B:$B,"&lt;&gt;Lorena Dias de Araujo",$B:$B,"&lt;&gt;Lucas Luiz Romero")*(10/1083),0)))))),0)</f>
        <v/>
      </c>
      <c r="K990" s="3">
        <f>I990-J990</f>
        <v/>
      </c>
      <c r="L990" s="3">
        <f>IF(K990&lt;-5,"CRÍTICO",IF(K990&lt;0,"ATENÇÃO",IF(K990&lt;=5,"BOM","EXCELENTE")))</f>
        <v/>
      </c>
      <c r="M990" s="3" t="n">
        <v>8</v>
      </c>
      <c r="N990" s="3" t="n">
        <v>100</v>
      </c>
      <c r="O990" s="12" t="n">
        <v>31.87250996015936</v>
      </c>
    </row>
    <row r="991">
      <c r="A991" s="10" t="n">
        <v>46030</v>
      </c>
      <c r="B991" t="inlineStr">
        <is>
          <t>Sarah Steffanie de Lima Borges</t>
        </is>
      </c>
      <c r="C991" s="1" t="inlineStr">
        <is>
          <t>Técnico III</t>
        </is>
      </c>
      <c r="D991" s="3" t="n">
        <v>27</v>
      </c>
      <c r="E991" s="3" t="n">
        <v>26</v>
      </c>
      <c r="F991" s="3" t="n">
        <v>18.43</v>
      </c>
      <c r="G991" s="3" t="n">
        <v>0</v>
      </c>
      <c r="H991" s="3" t="n">
        <v>0</v>
      </c>
      <c r="I991" s="3">
        <f>E991+G991+H991</f>
        <v/>
      </c>
      <c r="J991" s="3">
        <f>ROUND(MIN(IF(C991="Técnico III",35,IF(C991="Técnico II",28,IF(C991="Técnico I",23,IF(C991="JR",20,IF(C991="Estágio",10,0))))),IF(C991="Técnico III",SUMIFS($D:$D,$A:$A,$A991,$B:$B,"&lt;&gt;Patrícia Karla de Sousa Araújo",$B:$B,"&lt;&gt;Lorena Dias de Araujo",$B:$B,"&lt;&gt;Lucas Luiz Romero")*(35/1083),IF(C991="Técnico II",SUMIFS($D:$D,$A:$A,$A991,$B:$B,"&lt;&gt;Patrícia Karla de Sousa Araújo",$B:$B,"&lt;&gt;Lorena Dias de Araujo",$B:$B,"&lt;&gt;Lucas Luiz Romero")*(28/1083),IF(C991="Técnico I",SUMIFS($D:$D,$A:$A,$A991,$B:$B,"&lt;&gt;Patrícia Karla de Sousa Araújo",$B:$B,"&lt;&gt;Lorena Dias de Araujo",$B:$B,"&lt;&gt;Lucas Luiz Romero")*(23/1083),IF(C991="JR",SUMIFS($D:$D,$A:$A,$A991,$B:$B,"&lt;&gt;Patrícia Karla de Sousa Araújo",$B:$B,"&lt;&gt;Lorena Dias de Araujo",$B:$B,"&lt;&gt;Lucas Luiz Romero")*(20/1083),IF(C991="Estágio",SUMIFS($D:$D,$A:$A,$A991,$B:$B,"&lt;&gt;Patrícia Karla de Sousa Araújo",$B:$B,"&lt;&gt;Lorena Dias de Araujo",$B:$B,"&lt;&gt;Lucas Luiz Romero")*(10/1083),0)))))),0)</f>
        <v/>
      </c>
      <c r="K991" s="3">
        <f>I991-J991</f>
        <v/>
      </c>
      <c r="L991" s="3">
        <f>IF(K991&lt;-5,"CRÍTICO",IF(K991&lt;0,"ATENÇÃO",IF(K991&lt;=5,"BOM","EXCELENTE")))</f>
        <v/>
      </c>
      <c r="M991" s="3" t="n">
        <v>24</v>
      </c>
      <c r="N991" s="3" t="n">
        <v>98.41</v>
      </c>
      <c r="O991" s="12" t="n">
        <v>29.22465208747515</v>
      </c>
    </row>
    <row r="992">
      <c r="A992" s="10" t="n">
        <v>46031</v>
      </c>
      <c r="B992" t="inlineStr">
        <is>
          <t>Alisson de Freitas Silva</t>
        </is>
      </c>
      <c r="C992" s="1" t="inlineStr">
        <is>
          <t>Técnico II</t>
        </is>
      </c>
      <c r="D992" s="3" t="n">
        <v>22</v>
      </c>
      <c r="E992" s="3" t="n">
        <v>19</v>
      </c>
      <c r="F992" s="3" t="n">
        <v>22.01</v>
      </c>
      <c r="G992" s="3" t="n">
        <v>0</v>
      </c>
      <c r="H992" s="3" t="n">
        <v>0</v>
      </c>
      <c r="I992" s="3">
        <f>E992+G992+H992</f>
        <v/>
      </c>
      <c r="J992" s="3">
        <f>ROUND(MIN(IF(C992="Técnico III",35,IF(C992="Técnico II",28,IF(C992="Técnico I",23,IF(C992="JR",20,IF(C992="Estágio",10,0))))),IF(C992="Técnico III",SUMIFS($D:$D,$A:$A,$A992,$B:$B,"&lt;&gt;Patrícia Karla de Sousa Araújo",$B:$B,"&lt;&gt;Lorena Dias de Araujo",$B:$B,"&lt;&gt;Lucas Luiz Romero")*(35/1083),IF(C992="Técnico II",SUMIFS($D:$D,$A:$A,$A992,$B:$B,"&lt;&gt;Patrícia Karla de Sousa Araújo",$B:$B,"&lt;&gt;Lorena Dias de Araujo",$B:$B,"&lt;&gt;Lucas Luiz Romero")*(28/1083),IF(C992="Técnico I",SUMIFS($D:$D,$A:$A,$A992,$B:$B,"&lt;&gt;Patrícia Karla de Sousa Araújo",$B:$B,"&lt;&gt;Lorena Dias de Araujo",$B:$B,"&lt;&gt;Lucas Luiz Romero")*(23/1083),IF(C992="JR",SUMIFS($D:$D,$A:$A,$A992,$B:$B,"&lt;&gt;Patrícia Karla de Sousa Araújo",$B:$B,"&lt;&gt;Lorena Dias de Araujo",$B:$B,"&lt;&gt;Lucas Luiz Romero")*(20/1083),IF(C992="Estágio",SUMIFS($D:$D,$A:$A,$A992,$B:$B,"&lt;&gt;Patrícia Karla de Sousa Araújo",$B:$B,"&lt;&gt;Lorena Dias de Araujo",$B:$B,"&lt;&gt;Lucas Luiz Romero")*(10/1083),0)))))),0)</f>
        <v/>
      </c>
      <c r="K992" s="3">
        <f>I992-J992</f>
        <v/>
      </c>
      <c r="L992" s="3">
        <f>IF(K992&lt;-5,"CRÍTICO",IF(K992&lt;0,"ATENÇÃO",IF(K992&lt;=5,"BOM","EXCELENTE")))</f>
        <v/>
      </c>
      <c r="M992" s="3" t="n">
        <v>10</v>
      </c>
      <c r="N992" s="3" t="n">
        <v>96.81</v>
      </c>
      <c r="O992" s="12" t="n">
        <v>27.98053527980535</v>
      </c>
    </row>
    <row r="993">
      <c r="A993" s="10" t="n">
        <v>46031</v>
      </c>
      <c r="B993" t="inlineStr">
        <is>
          <t>Amanda Moura Ferreira</t>
        </is>
      </c>
      <c r="C993" s="1" t="inlineStr">
        <is>
          <t>Técnico III</t>
        </is>
      </c>
      <c r="D993" s="3" t="n">
        <v>0</v>
      </c>
      <c r="E993" s="3" t="n">
        <v>0</v>
      </c>
      <c r="F993" s="3" t="n">
        <v>0</v>
      </c>
      <c r="G993" s="3" t="n">
        <v>0</v>
      </c>
      <c r="H993" s="3" t="n">
        <v>0</v>
      </c>
      <c r="I993" s="3" t="n">
        <v>0</v>
      </c>
      <c r="J993" s="3" t="n">
        <v>0</v>
      </c>
      <c r="K993" s="3" t="n">
        <v>0</v>
      </c>
      <c r="L993" s="3">
        <f>IF(K993&lt;-5,"CRÍTICO",IF(K993&lt;0,"ATENÇÃO",IF(K993&lt;=5,"BOM","EXCELENTE")))</f>
        <v/>
      </c>
      <c r="M993" s="3" t="n">
        <v>28</v>
      </c>
      <c r="N993" s="3" t="n">
        <v>98.73</v>
      </c>
      <c r="O993" s="12" t="n">
        <v>35.75638506876228</v>
      </c>
    </row>
    <row r="994">
      <c r="A994" s="10" t="n">
        <v>46031</v>
      </c>
      <c r="B994" t="inlineStr">
        <is>
          <t>Ana Karollyne Souza Faria</t>
        </is>
      </c>
      <c r="C994" s="1" t="inlineStr">
        <is>
          <t>Técnico I</t>
        </is>
      </c>
      <c r="D994" s="3" t="n">
        <v>27</v>
      </c>
      <c r="E994" s="3" t="n">
        <v>23</v>
      </c>
      <c r="F994" s="3" t="n">
        <v>15.41</v>
      </c>
      <c r="G994" s="3" t="n">
        <v>0</v>
      </c>
      <c r="H994" s="3" t="n">
        <v>0</v>
      </c>
      <c r="I994" s="3">
        <f>E994+G994+H994</f>
        <v/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/>
      </c>
      <c r="K994" s="3">
        <f>I994-J994</f>
        <v/>
      </c>
      <c r="L994" s="3">
        <f>IF(K994&lt;-5,"CRÍTICO",IF(K994&lt;0,"ATENÇÃO",IF(K994&lt;=5,"BOM","EXCELENTE")))</f>
        <v/>
      </c>
      <c r="M994" s="3" t="n">
        <v>25</v>
      </c>
      <c r="N994" s="3" t="n">
        <v>98.31999999999999</v>
      </c>
      <c r="O994" s="12" t="n">
        <v>26.76348547717842</v>
      </c>
    </row>
    <row r="995">
      <c r="A995" s="10" t="n">
        <v>46031</v>
      </c>
      <c r="B995" t="inlineStr">
        <is>
          <t>Ana Paula Da Luz Silva Aleixo</t>
        </is>
      </c>
      <c r="C995" s="1" t="inlineStr">
        <is>
          <t>Técnico III</t>
        </is>
      </c>
      <c r="D995" s="3" t="n">
        <v>27</v>
      </c>
      <c r="E995" s="3" t="n">
        <v>24</v>
      </c>
      <c r="F995" s="3" t="n">
        <v>15.19</v>
      </c>
      <c r="G995" s="3" t="n">
        <v>0</v>
      </c>
      <c r="H995" s="3" t="n">
        <v>0</v>
      </c>
      <c r="I995" s="3">
        <f>E995+G995+H995</f>
        <v/>
      </c>
      <c r="J995" s="3">
        <f>ROUND(MIN(IF(C995="Técnico III",35,IF(C995="Técnico II",28,IF(C995="Técnico I",23,IF(C995="JR",20,IF(C995="Estágio",10,0))))),IF(C995="Técnico III",SUMIFS($D:$D,$A:$A,$A995,$B:$B,"&lt;&gt;Patrícia Karla de Sousa Araújo",$B:$B,"&lt;&gt;Lorena Dias de Araujo",$B:$B,"&lt;&gt;Lucas Luiz Romero")*(35/1083),IF(C995="Técnico II",SUMIFS($D:$D,$A:$A,$A995,$B:$B,"&lt;&gt;Patrícia Karla de Sousa Araújo",$B:$B,"&lt;&gt;Lorena Dias de Araujo",$B:$B,"&lt;&gt;Lucas Luiz Romero")*(28/1083),IF(C995="Técnico I",SUMIFS($D:$D,$A:$A,$A995,$B:$B,"&lt;&gt;Patrícia Karla de Sousa Araújo",$B:$B,"&lt;&gt;Lorena Dias de Araujo",$B:$B,"&lt;&gt;Lucas Luiz Romero")*(23/1083),IF(C995="JR",SUMIFS($D:$D,$A:$A,$A995,$B:$B,"&lt;&gt;Patrícia Karla de Sousa Araújo",$B:$B,"&lt;&gt;Lorena Dias de Araujo",$B:$B,"&lt;&gt;Lucas Luiz Romero")*(20/1083),IF(C995="Estágio",SUMIFS($D:$D,$A:$A,$A995,$B:$B,"&lt;&gt;Patrícia Karla de Sousa Araújo",$B:$B,"&lt;&gt;Lorena Dias de Araujo",$B:$B,"&lt;&gt;Lucas Luiz Romero")*(10/1083),0)))))),0)</f>
        <v/>
      </c>
      <c r="K995" s="3">
        <f>I995-J995</f>
        <v/>
      </c>
      <c r="L995" s="3">
        <f>IF(K995&lt;-5,"CRÍTICO",IF(K995&lt;0,"ATENÇÃO",IF(K995&lt;=5,"BOM","EXCELENTE")))</f>
        <v/>
      </c>
      <c r="M995" s="3" t="n">
        <v>22</v>
      </c>
      <c r="N995" s="3" t="n">
        <v>99.19</v>
      </c>
      <c r="O995" s="12" t="n">
        <v>27.63713080168776</v>
      </c>
    </row>
    <row r="996">
      <c r="A996" s="10" t="n">
        <v>46031</v>
      </c>
      <c r="B996" t="inlineStr">
        <is>
          <t>Anna Luiza Rezende Tavares</t>
        </is>
      </c>
      <c r="C996" s="1" t="inlineStr">
        <is>
          <t>Estágio</t>
        </is>
      </c>
      <c r="D996" s="3" t="n">
        <v>12</v>
      </c>
      <c r="E996" s="3" t="n">
        <v>11</v>
      </c>
      <c r="F996" s="3" t="n">
        <v>30.49</v>
      </c>
      <c r="G996" s="3" t="n">
        <v>0</v>
      </c>
      <c r="H996" s="3" t="n">
        <v>0</v>
      </c>
      <c r="I996" s="3">
        <f>E996+G996+H996</f>
        <v/>
      </c>
      <c r="J996" s="3">
        <f>ROUND(MIN(IF(C996="Técnico III",35,IF(C996="Técnico II",28,IF(C996="Técnico I",23,IF(C996="JR",20,IF(C996="Estágio",10,0))))),IF(C996="Técnico III",SUMIFS($D:$D,$A:$A,$A996,$B:$B,"&lt;&gt;Patrícia Karla de Sousa Araújo",$B:$B,"&lt;&gt;Lorena Dias de Araujo",$B:$B,"&lt;&gt;Lucas Luiz Romero")*(35/1083),IF(C996="Técnico II",SUMIFS($D:$D,$A:$A,$A996,$B:$B,"&lt;&gt;Patrícia Karla de Sousa Araújo",$B:$B,"&lt;&gt;Lorena Dias de Araujo",$B:$B,"&lt;&gt;Lucas Luiz Romero")*(28/1083),IF(C996="Técnico I",SUMIFS($D:$D,$A:$A,$A996,$B:$B,"&lt;&gt;Patrícia Karla de Sousa Araújo",$B:$B,"&lt;&gt;Lorena Dias de Araujo",$B:$B,"&lt;&gt;Lucas Luiz Romero")*(23/1083),IF(C996="JR",SUMIFS($D:$D,$A:$A,$A996,$B:$B,"&lt;&gt;Patrícia Karla de Sousa Araújo",$B:$B,"&lt;&gt;Lorena Dias de Araujo",$B:$B,"&lt;&gt;Lucas Luiz Romero")*(20/1083),IF(C996="Estágio",SUMIFS($D:$D,$A:$A,$A996,$B:$B,"&lt;&gt;Patrícia Karla de Sousa Araújo",$B:$B,"&lt;&gt;Lorena Dias de Araujo",$B:$B,"&lt;&gt;Lucas Luiz Romero")*(10/1083),0)))))),0)</f>
        <v/>
      </c>
      <c r="K996" s="3">
        <f>I996-J996</f>
        <v/>
      </c>
      <c r="L996" s="3">
        <f>IF(K996&lt;-5,"CRÍTICO",IF(K996&lt;0,"ATENÇÃO",IF(K996&lt;=5,"BOM","EXCELENTE")))</f>
        <v/>
      </c>
      <c r="M996" s="3" t="n">
        <v>9</v>
      </c>
      <c r="N996" s="3" t="n">
        <v>100</v>
      </c>
      <c r="O996" s="12" t="n">
        <v>39.56834532374101</v>
      </c>
    </row>
    <row r="997">
      <c r="A997" s="10" t="n">
        <v>46031</v>
      </c>
      <c r="B997" t="inlineStr">
        <is>
          <t>Brenda de Menezes Silva</t>
        </is>
      </c>
      <c r="C997" s="1" t="inlineStr">
        <is>
          <t>Técnico II</t>
        </is>
      </c>
      <c r="D997" s="3" t="n">
        <v>17</v>
      </c>
      <c r="E997" s="3" t="n">
        <v>16</v>
      </c>
      <c r="F997" s="3" t="n">
        <v>18.34</v>
      </c>
      <c r="G997" s="3" t="n">
        <v>0</v>
      </c>
      <c r="H997" s="3" t="n">
        <v>0</v>
      </c>
      <c r="I997" s="3">
        <f>E997+G997+H997</f>
        <v/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/>
      </c>
      <c r="K997" s="3">
        <f>I997-J997</f>
        <v/>
      </c>
      <c r="L997" s="3">
        <f>IF(K997&lt;-5,"CRÍTICO",IF(K997&lt;0,"ATENÇÃO",IF(K997&lt;=5,"BOM","EXCELENTE")))</f>
        <v/>
      </c>
      <c r="M997" s="3" t="n">
        <v>16</v>
      </c>
      <c r="N997" s="3" t="n">
        <v>98.54000000000001</v>
      </c>
      <c r="O997" s="12" t="n">
        <v>28.54477611940299</v>
      </c>
    </row>
    <row r="998">
      <c r="A998" s="10" t="n">
        <v>46031</v>
      </c>
      <c r="B998" t="inlineStr">
        <is>
          <t>Carlos Mateus Cassimiro Nunes</t>
        </is>
      </c>
      <c r="C998" s="1" t="inlineStr">
        <is>
          <t>Técnico II</t>
        </is>
      </c>
      <c r="D998" s="3" t="n">
        <v>18</v>
      </c>
      <c r="E998" s="3" t="n">
        <v>16</v>
      </c>
      <c r="F998" s="3" t="n">
        <v>30.06</v>
      </c>
      <c r="G998" s="3" t="n">
        <v>0</v>
      </c>
      <c r="H998" s="3" t="n">
        <v>0</v>
      </c>
      <c r="I998" s="3">
        <f>E998+G998+H998</f>
        <v/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/>
      </c>
      <c r="K998" s="3">
        <f>I998-J998</f>
        <v/>
      </c>
      <c r="L998" s="3">
        <f>IF(K998&lt;-5,"CRÍTICO",IF(K998&lt;0,"ATENÇÃO",IF(K998&lt;=5,"BOM","EXCELENTE")))</f>
        <v/>
      </c>
      <c r="M998" s="3" t="n">
        <v>16</v>
      </c>
      <c r="N998" s="3" t="n">
        <v>100</v>
      </c>
      <c r="O998" s="12" t="n">
        <v>34.36692506459949</v>
      </c>
    </row>
    <row r="999">
      <c r="A999" s="10" t="n">
        <v>46031</v>
      </c>
      <c r="B999" t="inlineStr">
        <is>
          <t>Claudio de Sousa Velasco Filho</t>
        </is>
      </c>
      <c r="C999" s="1" t="inlineStr">
        <is>
          <t>Estágio</t>
        </is>
      </c>
      <c r="D999" s="3" t="n">
        <v>0</v>
      </c>
      <c r="E999" s="3" t="n">
        <v>0</v>
      </c>
      <c r="F999" s="3" t="n">
        <v>0</v>
      </c>
      <c r="G999" s="3" t="n">
        <v>0</v>
      </c>
      <c r="H999" s="3" t="n">
        <v>0</v>
      </c>
      <c r="I999" s="3" t="n">
        <v>0</v>
      </c>
      <c r="J999" s="3" t="n">
        <v>0</v>
      </c>
      <c r="K999" s="3" t="n">
        <v>0</v>
      </c>
      <c r="L999" s="3">
        <f>IF(K999&lt;-5,"CRÍTICO",IF(K999&lt;0,"ATENÇÃO",IF(K999&lt;=5,"BOM","EXCELENTE")))</f>
        <v/>
      </c>
      <c r="M999" s="3" t="n">
        <v>0</v>
      </c>
      <c r="N999" s="3" t="n">
        <v>0</v>
      </c>
      <c r="O999" s="12" t="n">
        <v>0</v>
      </c>
    </row>
    <row r="1000">
      <c r="A1000" s="10" t="n">
        <v>46031</v>
      </c>
      <c r="B1000" t="inlineStr">
        <is>
          <t>Clessiane Pereira dos Santos</t>
        </is>
      </c>
      <c r="C1000" s="1" t="inlineStr">
        <is>
          <t>Técnico I</t>
        </is>
      </c>
      <c r="D1000" s="3" t="n">
        <v>15</v>
      </c>
      <c r="E1000" s="3" t="n">
        <v>15</v>
      </c>
      <c r="F1000" s="3" t="n">
        <v>37.02</v>
      </c>
      <c r="G1000" s="3" t="n">
        <v>0</v>
      </c>
      <c r="H1000" s="3" t="n">
        <v>0</v>
      </c>
      <c r="I1000" s="3">
        <f>E1000+G1000+H1000</f>
        <v/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/>
      </c>
      <c r="K1000" s="3">
        <f>I1000-J1000</f>
        <v/>
      </c>
      <c r="L1000" s="3">
        <f>IF(K1000&lt;-5,"CRÍTICO",IF(K1000&lt;0,"ATENÇÃO",IF(K1000&lt;=5,"BOM","EXCELENTE")))</f>
        <v/>
      </c>
      <c r="M1000" s="3" t="n">
        <v>14</v>
      </c>
      <c r="N1000" s="3" t="n">
        <v>100</v>
      </c>
      <c r="O1000" s="12" t="n">
        <v>29.51807228915663</v>
      </c>
    </row>
    <row r="1001">
      <c r="A1001" s="10" t="n">
        <v>46031</v>
      </c>
      <c r="B1001" t="inlineStr">
        <is>
          <t>Cristiane Ramos da Silva Rocha</t>
        </is>
      </c>
      <c r="C1001" s="1" t="inlineStr">
        <is>
          <t>Técnico III</t>
        </is>
      </c>
      <c r="D1001" s="3" t="n">
        <v>31</v>
      </c>
      <c r="E1001" s="3" t="n">
        <v>27</v>
      </c>
      <c r="F1001" s="3" t="n">
        <v>11.49</v>
      </c>
      <c r="G1001" s="3" t="n">
        <v>0</v>
      </c>
      <c r="H1001" s="3" t="n">
        <v>0</v>
      </c>
      <c r="I1001" s="3">
        <f>E1001+G1001+H1001</f>
        <v/>
      </c>
      <c r="J1001" s="3">
        <f>ROUND(MIN(IF(C1001="Técnico III",35,IF(C1001="Técnico II",28,IF(C1001="Técnico I",23,IF(C1001="JR",20,IF(C1001="Estágio",10,0))))),IF(C1001="Técnico III",SUMIFS($D:$D,$A:$A,$A1001,$B:$B,"&lt;&gt;Patrícia Karla de Sousa Araújo",$B:$B,"&lt;&gt;Lorena Dias de Araujo",$B:$B,"&lt;&gt;Lucas Luiz Romero")*(35/1083),IF(C1001="Técnico II",SUMIFS($D:$D,$A:$A,$A1001,$B:$B,"&lt;&gt;Patrícia Karla de Sousa Araújo",$B:$B,"&lt;&gt;Lorena Dias de Araujo",$B:$B,"&lt;&gt;Lucas Luiz Romero")*(28/1083),IF(C1001="Técnico I",SUMIFS($D:$D,$A:$A,$A1001,$B:$B,"&lt;&gt;Patrícia Karla de Sousa Araújo",$B:$B,"&lt;&gt;Lorena Dias de Araujo",$B:$B,"&lt;&gt;Lucas Luiz Romero")*(23/1083),IF(C1001="JR",SUMIFS($D:$D,$A:$A,$A1001,$B:$B,"&lt;&gt;Patrícia Karla de Sousa Araújo",$B:$B,"&lt;&gt;Lorena Dias de Araujo",$B:$B,"&lt;&gt;Lucas Luiz Romero")*(20/1083),IF(C1001="Estágio",SUMIFS($D:$D,$A:$A,$A1001,$B:$B,"&lt;&gt;Patrícia Karla de Sousa Araújo",$B:$B,"&lt;&gt;Lorena Dias de Araujo",$B:$B,"&lt;&gt;Lucas Luiz Romero")*(10/1083),0)))))),0)</f>
        <v/>
      </c>
      <c r="K1001" s="3">
        <f>I1001-J1001</f>
        <v/>
      </c>
      <c r="L1001" s="3">
        <f>IF(K1001&lt;-5,"CRÍTICO",IF(K1001&lt;0,"ATENÇÃO",IF(K1001&lt;=5,"BOM","EXCELENTE")))</f>
        <v/>
      </c>
      <c r="M1001" s="3" t="n">
        <v>27</v>
      </c>
      <c r="N1001" s="3" t="n">
        <v>97.45</v>
      </c>
      <c r="O1001" s="12" t="n">
        <v>41.421143847487</v>
      </c>
    </row>
    <row r="1002">
      <c r="A1002" s="10" t="n">
        <v>46031</v>
      </c>
      <c r="B1002" t="inlineStr">
        <is>
          <t>Damyllis Lorraine de Oliveira Gonçalves</t>
        </is>
      </c>
      <c r="C1002" s="1" t="inlineStr">
        <is>
          <t>Técnico II</t>
        </is>
      </c>
      <c r="D1002" s="3" t="n">
        <v>26</v>
      </c>
      <c r="E1002" s="3" t="n">
        <v>18</v>
      </c>
      <c r="F1002" s="3" t="n">
        <v>15.06</v>
      </c>
      <c r="G1002" s="3" t="n">
        <v>0</v>
      </c>
      <c r="H1002" s="3" t="n">
        <v>0</v>
      </c>
      <c r="I1002" s="3" t="n">
        <v>0</v>
      </c>
      <c r="J1002" s="3" t="n">
        <v>0</v>
      </c>
      <c r="K1002" s="3" t="n">
        <v>0</v>
      </c>
      <c r="L1002" s="3">
        <f>IF(K1002&lt;-5,"CRÍTICO",IF(K1002&lt;0,"ATENÇÃO",IF(K1002&lt;=5,"BOM","EXCELENTE")))</f>
        <v/>
      </c>
      <c r="M1002" s="3" t="n">
        <v>15</v>
      </c>
      <c r="N1002" s="3" t="n">
        <v>96.58</v>
      </c>
      <c r="O1002" s="12" t="n">
        <v>30.39647577092511</v>
      </c>
    </row>
    <row r="1003">
      <c r="A1003" s="10" t="n">
        <v>46031</v>
      </c>
      <c r="B1003" t="inlineStr">
        <is>
          <t>Daniel Gomes da Silva</t>
        </is>
      </c>
      <c r="C1003" s="1" t="inlineStr">
        <is>
          <t>Técnico I</t>
        </is>
      </c>
      <c r="D1003" s="3" t="n">
        <v>20</v>
      </c>
      <c r="E1003" s="3" t="n">
        <v>20</v>
      </c>
      <c r="F1003" s="3" t="n">
        <v>25.59</v>
      </c>
      <c r="G1003" s="3" t="n">
        <v>0</v>
      </c>
      <c r="H1003" s="3" t="n">
        <v>0</v>
      </c>
      <c r="I1003" s="3">
        <f>E1003+G1003+H1003</f>
        <v/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/>
      </c>
      <c r="K1003" s="3">
        <f>I1003-J1003</f>
        <v/>
      </c>
      <c r="L1003" s="3">
        <f>IF(K1003&lt;-5,"CRÍTICO",IF(K1003&lt;0,"ATENÇÃO",IF(K1003&lt;=5,"BOM","EXCELENTE")))</f>
        <v/>
      </c>
      <c r="M1003" s="3" t="n">
        <v>22</v>
      </c>
      <c r="N1003" s="3" t="n">
        <v>100</v>
      </c>
      <c r="O1003" s="12" t="n">
        <v>27.44282744282744</v>
      </c>
    </row>
    <row r="1004">
      <c r="A1004" s="10" t="n">
        <v>46031</v>
      </c>
      <c r="B1004" t="inlineStr">
        <is>
          <t>Davylla Rodrigues Freitas Silva</t>
        </is>
      </c>
      <c r="C1004" s="1" t="inlineStr">
        <is>
          <t>Técnico III</t>
        </is>
      </c>
      <c r="D1004" s="3" t="n">
        <v>19</v>
      </c>
      <c r="E1004" s="3" t="n">
        <v>18</v>
      </c>
      <c r="F1004" s="3" t="n">
        <v>25.36</v>
      </c>
      <c r="G1004" s="3" t="n">
        <v>0</v>
      </c>
      <c r="H1004" s="3" t="n">
        <v>0</v>
      </c>
      <c r="I1004" s="3" t="n">
        <v>0</v>
      </c>
      <c r="J1004" s="3" t="n">
        <v>0</v>
      </c>
      <c r="K1004" s="3" t="n">
        <v>0</v>
      </c>
      <c r="L1004" s="3">
        <f>IF(K1004&lt;-5,"CRÍTICO",IF(K1004&lt;0,"ATENÇÃO",IF(K1004&lt;=5,"BOM","EXCELENTE")))</f>
        <v/>
      </c>
      <c r="M1004" s="3" t="n">
        <v>18</v>
      </c>
      <c r="N1004" s="3" t="n">
        <v>99.48999999999999</v>
      </c>
      <c r="O1004" s="12" t="n">
        <v>40.2</v>
      </c>
    </row>
    <row r="1005">
      <c r="A1005" s="10" t="n">
        <v>46031</v>
      </c>
      <c r="B1005" t="inlineStr">
        <is>
          <t>Emilly Caylane Costa</t>
        </is>
      </c>
      <c r="C1005" s="1" t="inlineStr">
        <is>
          <t>Estágio</t>
        </is>
      </c>
      <c r="D1005" s="3" t="n">
        <v>0</v>
      </c>
      <c r="E1005" s="3" t="n">
        <v>0</v>
      </c>
      <c r="F1005" s="3" t="n">
        <v>0</v>
      </c>
      <c r="G1005" s="3" t="n">
        <v>0</v>
      </c>
      <c r="H1005" s="3" t="n">
        <v>0</v>
      </c>
      <c r="I1005" s="3" t="n">
        <v>0</v>
      </c>
      <c r="J1005" s="3" t="n">
        <v>0</v>
      </c>
      <c r="K1005" s="3" t="n">
        <v>0</v>
      </c>
      <c r="L1005" s="3">
        <f>IF(K1005&lt;-5,"CRÍTICO",IF(K1005&lt;0,"ATENÇÃO",IF(K1005&lt;=5,"BOM","EXCELENTE")))</f>
        <v/>
      </c>
      <c r="M1005" s="3" t="n">
        <v>0</v>
      </c>
      <c r="N1005" s="3" t="n">
        <v>100</v>
      </c>
      <c r="O1005" s="12" t="n">
        <v>25</v>
      </c>
    </row>
    <row r="1006">
      <c r="A1006" s="10" t="n">
        <v>46031</v>
      </c>
      <c r="B1006" t="inlineStr">
        <is>
          <t>Emilly Kamilly Medeiros Miranda</t>
        </is>
      </c>
      <c r="C1006" s="1" t="inlineStr">
        <is>
          <t>Técnico II</t>
        </is>
      </c>
      <c r="D1006" s="3" t="n">
        <v>27</v>
      </c>
      <c r="E1006" s="3" t="n">
        <v>24</v>
      </c>
      <c r="F1006" s="3" t="n">
        <v>22.01</v>
      </c>
      <c r="G1006" s="3" t="n">
        <v>0</v>
      </c>
      <c r="H1006" s="3" t="n">
        <v>0</v>
      </c>
      <c r="I1006" s="3">
        <f>E1006+G1006+H1006</f>
        <v/>
      </c>
      <c r="J1006" s="3">
        <f>ROUND(MIN(IF(C1006="Técnico III",35,IF(C1006="Técnico II",28,IF(C1006="Técnico I",23,IF(C1006="JR",20,IF(C1006="Estágio",10,0))))),IF(C1006="Técnico III",SUMIFS($D:$D,$A:$A,$A1006,$B:$B,"&lt;&gt;Patrícia Karla de Sousa Araújo",$B:$B,"&lt;&gt;Lorena Dias de Araujo",$B:$B,"&lt;&gt;Lucas Luiz Romero")*(35/1083),IF(C1006="Técnico II",SUMIFS($D:$D,$A:$A,$A1006,$B:$B,"&lt;&gt;Patrícia Karla de Sousa Araújo",$B:$B,"&lt;&gt;Lorena Dias de Araujo",$B:$B,"&lt;&gt;Lucas Luiz Romero")*(28/1083),IF(C1006="Técnico I",SUMIFS($D:$D,$A:$A,$A1006,$B:$B,"&lt;&gt;Patrícia Karla de Sousa Araújo",$B:$B,"&lt;&gt;Lorena Dias de Araujo",$B:$B,"&lt;&gt;Lucas Luiz Romero")*(23/1083),IF(C1006="JR",SUMIFS($D:$D,$A:$A,$A1006,$B:$B,"&lt;&gt;Patrícia Karla de Sousa Araújo",$B:$B,"&lt;&gt;Lorena Dias de Araujo",$B:$B,"&lt;&gt;Lucas Luiz Romero")*(20/1083),IF(C1006="Estágio",SUMIFS($D:$D,$A:$A,$A1006,$B:$B,"&lt;&gt;Patrícia Karla de Sousa Araújo",$B:$B,"&lt;&gt;Lorena Dias de Araujo",$B:$B,"&lt;&gt;Lucas Luiz Romero")*(10/1083),0)))))),0)</f>
        <v/>
      </c>
      <c r="K1006" s="3">
        <f>I1006-J1006</f>
        <v/>
      </c>
      <c r="L1006" s="3">
        <f>IF(K1006&lt;-5,"CRÍTICO",IF(K1006&lt;0,"ATENÇÃO",IF(K1006&lt;=5,"BOM","EXCELENTE")))</f>
        <v/>
      </c>
      <c r="M1006" s="3" t="n">
        <v>17</v>
      </c>
      <c r="N1006" s="3" t="n">
        <v>100</v>
      </c>
      <c r="O1006" s="12" t="n">
        <v>34.15094339622641</v>
      </c>
    </row>
    <row r="1007">
      <c r="A1007" s="10" t="n">
        <v>46031</v>
      </c>
      <c r="B1007" t="inlineStr">
        <is>
          <t>Francielson de Oliveira</t>
        </is>
      </c>
      <c r="C1007" s="1" t="inlineStr">
        <is>
          <t>Técnico III</t>
        </is>
      </c>
      <c r="D1007" s="3" t="n">
        <v>21</v>
      </c>
      <c r="E1007" s="3" t="n">
        <v>19</v>
      </c>
      <c r="F1007" s="3" t="n">
        <v>16.53</v>
      </c>
      <c r="G1007" s="3" t="n">
        <v>0</v>
      </c>
      <c r="H1007" s="3" t="n">
        <v>0</v>
      </c>
      <c r="I1007" s="3">
        <f>E1007+G1007+H1007</f>
        <v/>
      </c>
      <c r="J1007" s="3">
        <f>ROUND(MIN(IF(C1007="Técnico III",35,IF(C1007="Técnico II",28,IF(C1007="Técnico I",23,IF(C1007="JR",20,IF(C1007="Estágio",10,0))))),IF(C1007="Técnico III",SUMIFS($D:$D,$A:$A,$A1007,$B:$B,"&lt;&gt;Patrícia Karla de Sousa Araújo",$B:$B,"&lt;&gt;Lorena Dias de Araujo",$B:$B,"&lt;&gt;Lucas Luiz Romero")*(35/1083),IF(C1007="Técnico II",SUMIFS($D:$D,$A:$A,$A1007,$B:$B,"&lt;&gt;Patrícia Karla de Sousa Araújo",$B:$B,"&lt;&gt;Lorena Dias de Araujo",$B:$B,"&lt;&gt;Lucas Luiz Romero")*(28/1083),IF(C1007="Técnico I",SUMIFS($D:$D,$A:$A,$A1007,$B:$B,"&lt;&gt;Patrícia Karla de Sousa Araújo",$B:$B,"&lt;&gt;Lorena Dias de Araujo",$B:$B,"&lt;&gt;Lucas Luiz Romero")*(23/1083),IF(C1007="JR",SUMIFS($D:$D,$A:$A,$A1007,$B:$B,"&lt;&gt;Patrícia Karla de Sousa Araújo",$B:$B,"&lt;&gt;Lorena Dias de Araujo",$B:$B,"&lt;&gt;Lucas Luiz Romero")*(20/1083),IF(C1007="Estágio",SUMIFS($D:$D,$A:$A,$A1007,$B:$B,"&lt;&gt;Patrícia Karla de Sousa Araújo",$B:$B,"&lt;&gt;Lorena Dias de Araujo",$B:$B,"&lt;&gt;Lucas Luiz Romero")*(10/1083),0)))))),0)</f>
        <v/>
      </c>
      <c r="K1007" s="3">
        <f>I1007-J1007</f>
        <v/>
      </c>
      <c r="L1007" s="3">
        <f>IF(K1007&lt;-5,"CRÍTICO",IF(K1007&lt;0,"ATENÇÃO",IF(K1007&lt;=5,"BOM","EXCELENTE")))</f>
        <v/>
      </c>
      <c r="M1007" s="3" t="n">
        <v>18</v>
      </c>
      <c r="N1007" s="3" t="n">
        <v>100</v>
      </c>
      <c r="O1007" s="12" t="n">
        <v>32.7313769751693</v>
      </c>
    </row>
    <row r="1008">
      <c r="A1008" s="10" t="n">
        <v>46031</v>
      </c>
      <c r="B1008" t="inlineStr">
        <is>
          <t>Francilene Ferreira de Jesus</t>
        </is>
      </c>
      <c r="C1008" s="1" t="inlineStr">
        <is>
          <t>Técnico II</t>
        </is>
      </c>
      <c r="D1008" s="3" t="n">
        <v>30</v>
      </c>
      <c r="E1008" s="3" t="n">
        <v>25</v>
      </c>
      <c r="F1008" s="3" t="n">
        <v>15.23</v>
      </c>
      <c r="G1008" s="3" t="n">
        <v>0</v>
      </c>
      <c r="H1008" s="3" t="n">
        <v>0</v>
      </c>
      <c r="I1008" s="3">
        <f>E1008+G1008+H1008</f>
        <v/>
      </c>
      <c r="J1008" s="3">
        <f>ROUND(MIN(IF(C1008="Técnico III",35,IF(C1008="Técnico II",28,IF(C1008="Técnico I",23,IF(C1008="JR",20,IF(C1008="Estágio",10,0))))),IF(C1008="Técnico III",SUMIFS($D:$D,$A:$A,$A1008,$B:$B,"&lt;&gt;Patrícia Karla de Sousa Araújo",$B:$B,"&lt;&gt;Lorena Dias de Araujo",$B:$B,"&lt;&gt;Lucas Luiz Romero")*(35/1083),IF(C1008="Técnico II",SUMIFS($D:$D,$A:$A,$A1008,$B:$B,"&lt;&gt;Patrícia Karla de Sousa Araújo",$B:$B,"&lt;&gt;Lorena Dias de Araujo",$B:$B,"&lt;&gt;Lucas Luiz Romero")*(28/1083),IF(C1008="Técnico I",SUMIFS($D:$D,$A:$A,$A1008,$B:$B,"&lt;&gt;Patrícia Karla de Sousa Araújo",$B:$B,"&lt;&gt;Lorena Dias de Araujo",$B:$B,"&lt;&gt;Lucas Luiz Romero")*(23/1083),IF(C1008="JR",SUMIFS($D:$D,$A:$A,$A1008,$B:$B,"&lt;&gt;Patrícia Karla de Sousa Araújo",$B:$B,"&lt;&gt;Lorena Dias de Araujo",$B:$B,"&lt;&gt;Lucas Luiz Romero")*(20/1083),IF(C1008="Estágio",SUMIFS($D:$D,$A:$A,$A1008,$B:$B,"&lt;&gt;Patrícia Karla de Sousa Araújo",$B:$B,"&lt;&gt;Lorena Dias de Araujo",$B:$B,"&lt;&gt;Lucas Luiz Romero")*(10/1083),0)))))),0)</f>
        <v/>
      </c>
      <c r="K1008" s="3">
        <f>I1008-J1008</f>
        <v/>
      </c>
      <c r="L1008" s="3">
        <f>IF(K1008&lt;-5,"CRÍTICO",IF(K1008&lt;0,"ATENÇÃO",IF(K1008&lt;=5,"BOM","EXCELENTE")))</f>
        <v/>
      </c>
      <c r="M1008" s="3" t="n">
        <v>24</v>
      </c>
      <c r="N1008" s="3" t="n">
        <v>99.31</v>
      </c>
      <c r="O1008" s="12" t="n">
        <v>30.96234309623431</v>
      </c>
    </row>
    <row r="1009">
      <c r="A1009" s="10" t="n">
        <v>46065</v>
      </c>
      <c r="B1009" t="inlineStr">
        <is>
          <t>Gabriel Gomes de Andrade</t>
        </is>
      </c>
      <c r="C1009" s="1" t="inlineStr">
        <is>
          <t>Técnico I</t>
        </is>
      </c>
      <c r="D1009" s="3" t="n">
        <v>5</v>
      </c>
      <c r="E1009" s="3" t="n">
        <v>5</v>
      </c>
      <c r="F1009" s="3" t="n">
        <v>30.56</v>
      </c>
      <c r="G1009" s="3" t="n">
        <v>0</v>
      </c>
      <c r="H1009" s="3" t="n">
        <v>0</v>
      </c>
      <c r="I1009" s="3">
        <f>E1009+G1009+H1009</f>
        <v/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/>
      </c>
      <c r="K1009" s="3">
        <f>I1009-J1009</f>
        <v/>
      </c>
      <c r="L1009" s="3">
        <f>IF(K1009&lt;-5,"CRÍTICO",IF(K1009&lt;0,"ATENÇÃO",IF(K1009&lt;=5,"BOM","EXCELENTE")))</f>
        <v/>
      </c>
      <c r="M1009" s="3" t="n">
        <v>22</v>
      </c>
      <c r="N1009" s="3" t="n">
        <v>96.67</v>
      </c>
      <c r="O1009" s="12" t="n">
        <v>31.45161290322581</v>
      </c>
    </row>
    <row r="1010">
      <c r="A1010" s="10" t="n">
        <v>46031</v>
      </c>
      <c r="B1010" t="inlineStr">
        <is>
          <t>Isabella Borges de Oliveira</t>
        </is>
      </c>
      <c r="C1010" s="1" t="inlineStr">
        <is>
          <t>Técnico II</t>
        </is>
      </c>
      <c r="D1010" s="3" t="n">
        <v>29</v>
      </c>
      <c r="E1010" s="3" t="n">
        <v>26</v>
      </c>
      <c r="F1010" s="3" t="n">
        <v>15.04</v>
      </c>
      <c r="G1010" s="3" t="n">
        <v>0</v>
      </c>
      <c r="H1010" s="3" t="n">
        <v>0</v>
      </c>
      <c r="I1010" s="3">
        <f>E1010+G1010+H1010</f>
        <v/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/>
      </c>
      <c r="K1010" s="3">
        <f>I1010-J1010</f>
        <v/>
      </c>
      <c r="L1010" s="3">
        <f>IF(K1010&lt;-5,"CRÍTICO",IF(K1010&lt;0,"ATENÇÃO",IF(K1010&lt;=5,"BOM","EXCELENTE")))</f>
        <v/>
      </c>
      <c r="M1010" s="3" t="n">
        <v>23</v>
      </c>
      <c r="N1010" s="3" t="n">
        <v>100</v>
      </c>
      <c r="O1010" s="12" t="n">
        <v>27.67676767676768</v>
      </c>
    </row>
    <row r="1011">
      <c r="A1011" s="10" t="n">
        <v>46031</v>
      </c>
      <c r="B1011" t="inlineStr">
        <is>
          <t>Janaina Lima dos Reis Urany</t>
        </is>
      </c>
      <c r="C1011" s="1" t="inlineStr">
        <is>
          <t>Técnico III</t>
        </is>
      </c>
      <c r="D1011" s="3" t="n">
        <v>29</v>
      </c>
      <c r="E1011" s="3" t="n">
        <v>27</v>
      </c>
      <c r="F1011" s="3" t="n">
        <v>17.24</v>
      </c>
      <c r="G1011" s="3" t="n">
        <v>0</v>
      </c>
      <c r="H1011" s="3" t="n">
        <v>0</v>
      </c>
      <c r="I1011" s="3">
        <f>E1011+G1011+H1011</f>
        <v/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/>
      </c>
      <c r="K1011" s="3">
        <f>I1011-J1011</f>
        <v/>
      </c>
      <c r="L1011" s="3">
        <f>IF(K1011&lt;-5,"CRÍTICO",IF(K1011&lt;0,"ATENÇÃO",IF(K1011&lt;=5,"BOM","EXCELENTE")))</f>
        <v/>
      </c>
      <c r="M1011" s="3" t="n">
        <v>28</v>
      </c>
      <c r="N1011" s="3" t="n">
        <v>100</v>
      </c>
      <c r="O1011" s="12" t="n">
        <v>31.17723156532988</v>
      </c>
    </row>
    <row r="1012">
      <c r="A1012" s="10" t="n">
        <v>46031</v>
      </c>
      <c r="B1012" t="inlineStr">
        <is>
          <t>Jaqueline Evangelista da Silva Martins</t>
        </is>
      </c>
      <c r="C1012" s="1" t="inlineStr">
        <is>
          <t>Técnico III</t>
        </is>
      </c>
      <c r="D1012" s="3" t="n">
        <v>22</v>
      </c>
      <c r="E1012" s="3" t="n">
        <v>21</v>
      </c>
      <c r="F1012" s="3" t="n">
        <v>12.38</v>
      </c>
      <c r="G1012" s="3" t="n">
        <v>0</v>
      </c>
      <c r="H1012" s="3" t="n">
        <v>0</v>
      </c>
      <c r="I1012" s="3">
        <f>E1012+G1012+H1012</f>
        <v/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/>
      </c>
      <c r="K1012" s="3">
        <f>I1012-J1012</f>
        <v/>
      </c>
      <c r="L1012" s="3">
        <f>IF(K1012&lt;-5,"CRÍTICO",IF(K1012&lt;0,"ATENÇÃO",IF(K1012&lt;=5,"BOM","EXCELENTE")))</f>
        <v/>
      </c>
      <c r="M1012" s="3" t="n">
        <v>21</v>
      </c>
      <c r="N1012" s="3" t="n">
        <v>100</v>
      </c>
      <c r="O1012" s="12" t="n">
        <v>27.60942760942761</v>
      </c>
    </row>
    <row r="1013">
      <c r="A1013" s="10" t="n">
        <v>46031</v>
      </c>
      <c r="B1013" t="inlineStr">
        <is>
          <t>Jessica Faria da Silveira</t>
        </is>
      </c>
      <c r="C1013" s="1" t="inlineStr">
        <is>
          <t>Técnico II</t>
        </is>
      </c>
      <c r="D1013" s="3" t="n">
        <v>25</v>
      </c>
      <c r="E1013" s="3" t="n">
        <v>19</v>
      </c>
      <c r="F1013" s="3" t="n">
        <v>17.03</v>
      </c>
      <c r="G1013" s="3" t="n">
        <v>0</v>
      </c>
      <c r="H1013" s="3" t="n">
        <v>0</v>
      </c>
      <c r="I1013" s="3">
        <f>E1013+G1013+H1013</f>
        <v/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/>
      </c>
      <c r="K1013" s="3">
        <f>I1013-J1013</f>
        <v/>
      </c>
      <c r="L1013" s="3">
        <f>IF(K1013&lt;-5,"CRÍTICO",IF(K1013&lt;0,"ATENÇÃO",IF(K1013&lt;=5,"BOM","EXCELENTE")))</f>
        <v/>
      </c>
      <c r="M1013" s="3" t="n">
        <v>19</v>
      </c>
      <c r="N1013" s="3" t="n">
        <v>96.40000000000001</v>
      </c>
      <c r="O1013" s="12" t="n">
        <v>28.76404494382023</v>
      </c>
    </row>
    <row r="1014">
      <c r="A1014" s="10" t="n">
        <v>46031</v>
      </c>
      <c r="B1014" t="inlineStr">
        <is>
          <t>Jéssica Fé Moura</t>
        </is>
      </c>
      <c r="C1014" s="1" t="inlineStr">
        <is>
          <t>Técnico III</t>
        </is>
      </c>
      <c r="D1014" s="3" t="n">
        <v>0</v>
      </c>
      <c r="E1014" s="3" t="n">
        <v>0</v>
      </c>
      <c r="F1014" s="3" t="n">
        <v>0</v>
      </c>
      <c r="G1014" s="3" t="n">
        <v>0</v>
      </c>
      <c r="H1014" s="3" t="n">
        <v>0</v>
      </c>
      <c r="I1014" s="3" t="n">
        <v>0</v>
      </c>
      <c r="J1014" s="3" t="n">
        <v>0</v>
      </c>
      <c r="K1014" s="3" t="n">
        <v>0</v>
      </c>
      <c r="L1014" s="3">
        <f>IF(K1014&lt;-5,"CRÍTICO",IF(K1014&lt;0,"ATENÇÃO",IF(K1014&lt;=5,"BOM","EXCELENTE")))</f>
        <v/>
      </c>
      <c r="M1014" s="3" t="n">
        <v>15</v>
      </c>
      <c r="N1014" s="3" t="n">
        <v>100</v>
      </c>
      <c r="O1014" s="12" t="n">
        <v>33.98058252427185</v>
      </c>
    </row>
    <row r="1015">
      <c r="A1015" s="10" t="n">
        <v>46031</v>
      </c>
      <c r="B1015" t="inlineStr">
        <is>
          <t>Karina Gonçalves Martins</t>
        </is>
      </c>
      <c r="C1015" s="1" t="inlineStr">
        <is>
          <t>JR</t>
        </is>
      </c>
      <c r="D1015" s="3" t="n">
        <v>8</v>
      </c>
      <c r="E1015" s="3" t="n">
        <v>8</v>
      </c>
      <c r="F1015" s="3" t="n">
        <v>26.49</v>
      </c>
      <c r="G1015" s="3" t="n">
        <v>0</v>
      </c>
      <c r="H1015" s="3" t="n">
        <v>0</v>
      </c>
      <c r="I1015" s="3">
        <f>E1015+G1015+H1015</f>
        <v/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/>
      </c>
      <c r="K1015" s="3">
        <f>I1015-J1015</f>
        <v/>
      </c>
      <c r="L1015" s="3">
        <f>IF(K1015&lt;-5,"CRÍTICO",IF(K1015&lt;0,"ATENÇÃO",IF(K1015&lt;=5,"BOM","EXCELENTE")))</f>
        <v/>
      </c>
      <c r="M1015" s="3" t="n">
        <v>8</v>
      </c>
      <c r="N1015" s="3" t="n">
        <v>97.56</v>
      </c>
      <c r="O1015" s="12" t="n">
        <v>32.51533742331289</v>
      </c>
    </row>
    <row r="1016">
      <c r="A1016" s="10" t="n">
        <v>46031</v>
      </c>
      <c r="B1016" t="inlineStr">
        <is>
          <t>Kerollen Cristielly de Jesus Siqueira</t>
        </is>
      </c>
      <c r="C1016" s="1" t="inlineStr">
        <is>
          <t>Técnico III</t>
        </is>
      </c>
      <c r="D1016" s="3" t="n">
        <v>21</v>
      </c>
      <c r="E1016" s="3" t="n">
        <v>19</v>
      </c>
      <c r="F1016" s="3" t="n">
        <v>15.59</v>
      </c>
      <c r="G1016" s="3" t="n">
        <v>0</v>
      </c>
      <c r="H1016" s="3" t="n">
        <v>0</v>
      </c>
      <c r="I1016" s="3">
        <f>E1016+G1016+H1016</f>
        <v/>
      </c>
      <c r="J1016" s="3">
        <f>ROUND(MIN(IF(C1016="Técnico III",35,IF(C1016="Técnico II",28,IF(C1016="Técnico I",23,IF(C1016="JR",20,IF(C1016="Estágio",10,0))))),IF(C1016="Técnico III",SUMIFS($D:$D,$A:$A,$A1016,$B:$B,"&lt;&gt;Patrícia Karla de Sousa Araújo",$B:$B,"&lt;&gt;Lorena Dias de Araujo",$B:$B,"&lt;&gt;Lucas Luiz Romero")*(35/1083),IF(C1016="Técnico II",SUMIFS($D:$D,$A:$A,$A1016,$B:$B,"&lt;&gt;Patrícia Karla de Sousa Araújo",$B:$B,"&lt;&gt;Lorena Dias de Araujo",$B:$B,"&lt;&gt;Lucas Luiz Romero")*(28/1083),IF(C1016="Técnico I",SUMIFS($D:$D,$A:$A,$A1016,$B:$B,"&lt;&gt;Patrícia Karla de Sousa Araújo",$B:$B,"&lt;&gt;Lorena Dias de Araujo",$B:$B,"&lt;&gt;Lucas Luiz Romero")*(23/1083),IF(C1016="JR",SUMIFS($D:$D,$A:$A,$A1016,$B:$B,"&lt;&gt;Patrícia Karla de Sousa Araújo",$B:$B,"&lt;&gt;Lorena Dias de Araujo",$B:$B,"&lt;&gt;Lucas Luiz Romero")*(20/1083),IF(C1016="Estágio",SUMIFS($D:$D,$A:$A,$A1016,$B:$B,"&lt;&gt;Patrícia Karla de Sousa Araújo",$B:$B,"&lt;&gt;Lorena Dias de Araujo",$B:$B,"&lt;&gt;Lucas Luiz Romero")*(10/1083),0)))))),0)</f>
        <v/>
      </c>
      <c r="K1016" s="3">
        <f>I1016-J1016</f>
        <v/>
      </c>
      <c r="L1016" s="3">
        <f>IF(K1016&lt;-5,"CRÍTICO",IF(K1016&lt;0,"ATENÇÃO",IF(K1016&lt;=5,"BOM","EXCELENTE")))</f>
        <v/>
      </c>
      <c r="M1016" s="3" t="n">
        <v>18</v>
      </c>
      <c r="N1016" s="3" t="n">
        <v>97.11</v>
      </c>
      <c r="O1016" s="12" t="n">
        <v>37.40831295843521</v>
      </c>
    </row>
    <row r="1017">
      <c r="A1017" s="10" t="n">
        <v>46031</v>
      </c>
      <c r="B1017" t="inlineStr">
        <is>
          <t>Leandro de Souza Silva</t>
        </is>
      </c>
      <c r="C1017" s="1" t="inlineStr">
        <is>
          <t>JR</t>
        </is>
      </c>
      <c r="D1017" s="3" t="n">
        <v>0</v>
      </c>
      <c r="E1017" s="3" t="n">
        <v>0</v>
      </c>
      <c r="F1017" s="3" t="n">
        <v>0</v>
      </c>
      <c r="G1017" s="3" t="n">
        <v>0</v>
      </c>
      <c r="H1017" s="3" t="n">
        <v>0</v>
      </c>
      <c r="I1017" s="3" t="n">
        <v>0</v>
      </c>
      <c r="J1017" s="3" t="n">
        <v>0</v>
      </c>
      <c r="K1017" s="3" t="n">
        <v>0</v>
      </c>
      <c r="L1017" s="3">
        <f>IF(K1017&lt;-5,"CRÍTICO",IF(K1017&lt;0,"ATENÇÃO",IF(K1017&lt;=5,"BOM","EXCELENTE")))</f>
        <v/>
      </c>
      <c r="M1017" s="3" t="n">
        <v>0</v>
      </c>
      <c r="N1017" s="3" t="n">
        <v>0</v>
      </c>
      <c r="O1017" s="12" t="n">
        <v>0</v>
      </c>
    </row>
    <row r="1018">
      <c r="A1018" s="10" t="n">
        <v>46031</v>
      </c>
      <c r="B1018" t="inlineStr">
        <is>
          <t>Leandro Oliveira de Sousa</t>
        </is>
      </c>
      <c r="C1018" s="1" t="inlineStr">
        <is>
          <t>Técnico III</t>
        </is>
      </c>
      <c r="D1018" s="3" t="n">
        <v>28</v>
      </c>
      <c r="E1018" s="3" t="n">
        <v>24</v>
      </c>
      <c r="F1018" s="3" t="n">
        <v>15.43</v>
      </c>
      <c r="G1018" s="3" t="n">
        <v>0</v>
      </c>
      <c r="H1018" s="3" t="n">
        <v>0</v>
      </c>
      <c r="I1018" s="3">
        <f>E1018+G1018+H1018</f>
        <v/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/>
      </c>
      <c r="K1018" s="3">
        <f>I1018-J1018</f>
        <v/>
      </c>
      <c r="L1018" s="3">
        <f>IF(K1018&lt;-5,"CRÍTICO",IF(K1018&lt;0,"ATENÇÃO",IF(K1018&lt;=5,"BOM","EXCELENTE")))</f>
        <v/>
      </c>
      <c r="M1018" s="3" t="n">
        <v>26</v>
      </c>
      <c r="N1018" s="3" t="n">
        <v>100</v>
      </c>
      <c r="O1018" s="12" t="n">
        <v>30.47034764826176</v>
      </c>
    </row>
    <row r="1019">
      <c r="A1019" s="10" t="n">
        <v>46031</v>
      </c>
      <c r="B1019" t="inlineStr">
        <is>
          <t>Lizandra Gomes Duarte</t>
        </is>
      </c>
      <c r="C1019" s="1" t="inlineStr">
        <is>
          <t>Técnico II</t>
        </is>
      </c>
      <c r="D1019" s="3" t="n">
        <v>30</v>
      </c>
      <c r="E1019" s="3" t="n">
        <v>28</v>
      </c>
      <c r="F1019" s="3" t="n">
        <v>18.45</v>
      </c>
      <c r="G1019" s="3" t="n">
        <v>0</v>
      </c>
      <c r="H1019" s="3" t="n">
        <v>0</v>
      </c>
      <c r="I1019" s="3">
        <f>E1019+G1019+H1019</f>
        <v/>
      </c>
      <c r="J1019" s="3">
        <f>ROUND(MIN(IF(C1019="Técnico III",35,IF(C1019="Técnico II",28,IF(C1019="Técnico I",23,IF(C1019="JR",20,IF(C1019="Estágio",10,0))))),IF(C1019="Técnico III",SUMIFS($D:$D,$A:$A,$A1019,$B:$B,"&lt;&gt;Patrícia Karla de Sousa Araújo",$B:$B,"&lt;&gt;Lorena Dias de Araujo",$B:$B,"&lt;&gt;Lucas Luiz Romero")*(35/1083),IF(C1019="Técnico II",SUMIFS($D:$D,$A:$A,$A1019,$B:$B,"&lt;&gt;Patrícia Karla de Sousa Araújo",$B:$B,"&lt;&gt;Lorena Dias de Araujo",$B:$B,"&lt;&gt;Lucas Luiz Romero")*(28/1083),IF(C1019="Técnico I",SUMIFS($D:$D,$A:$A,$A1019,$B:$B,"&lt;&gt;Patrícia Karla de Sousa Araújo",$B:$B,"&lt;&gt;Lorena Dias de Araujo",$B:$B,"&lt;&gt;Lucas Luiz Romero")*(23/1083),IF(C1019="JR",SUMIFS($D:$D,$A:$A,$A1019,$B:$B,"&lt;&gt;Patrícia Karla de Sousa Araújo",$B:$B,"&lt;&gt;Lorena Dias de Araujo",$B:$B,"&lt;&gt;Lucas Luiz Romero")*(20/1083),IF(C1019="Estágio",SUMIFS($D:$D,$A:$A,$A1019,$B:$B,"&lt;&gt;Patrícia Karla de Sousa Araújo",$B:$B,"&lt;&gt;Lorena Dias de Araujo",$B:$B,"&lt;&gt;Lucas Luiz Romero")*(10/1083),0)))))),0)</f>
        <v/>
      </c>
      <c r="K1019" s="3">
        <f>I1019-J1019</f>
        <v/>
      </c>
      <c r="L1019" s="3">
        <f>IF(K1019&lt;-5,"CRÍTICO",IF(K1019&lt;0,"ATENÇÃO",IF(K1019&lt;=5,"BOM","EXCELENTE")))</f>
        <v/>
      </c>
      <c r="M1019" s="3" t="n">
        <v>24</v>
      </c>
      <c r="N1019" s="3" t="n">
        <v>100</v>
      </c>
      <c r="O1019" s="12" t="n">
        <v>32.37113402061856</v>
      </c>
    </row>
    <row r="1020">
      <c r="A1020" s="10" t="n">
        <v>46031</v>
      </c>
      <c r="B1020" t="inlineStr">
        <is>
          <t>Lorena Dias de Araujo</t>
        </is>
      </c>
      <c r="C1020" s="1" t="inlineStr">
        <is>
          <t>Técnico II</t>
        </is>
      </c>
      <c r="D1020" s="3" t="n">
        <v>21</v>
      </c>
      <c r="E1020" s="3" t="n">
        <v>17</v>
      </c>
      <c r="F1020" s="3" t="n">
        <v>17.12</v>
      </c>
      <c r="G1020" s="3" t="n">
        <v>0</v>
      </c>
      <c r="H1020" s="3" t="n">
        <v>0</v>
      </c>
      <c r="I1020" s="3" t="n">
        <v>0</v>
      </c>
      <c r="J1020" s="3" t="n">
        <v>0</v>
      </c>
      <c r="K1020" s="3" t="n">
        <v>0</v>
      </c>
      <c r="L1020" s="3">
        <f>IF(K1020&lt;-5,"CRÍTICO",IF(K1020&lt;0,"ATENÇÃO",IF(K1020&lt;=5,"BOM","EXCELENTE")))</f>
        <v/>
      </c>
      <c r="M1020" s="3" t="n">
        <v>16</v>
      </c>
      <c r="N1020" s="3" t="n">
        <v>98.31999999999999</v>
      </c>
      <c r="O1020" s="12" t="n">
        <v>32.31850117096019</v>
      </c>
    </row>
    <row r="1021">
      <c r="A1021" s="10" t="n">
        <v>46031</v>
      </c>
      <c r="B1021" t="inlineStr">
        <is>
          <t>Lucas Luiz Romero</t>
        </is>
      </c>
      <c r="C1021" s="1" t="inlineStr">
        <is>
          <t>Técnico III</t>
        </is>
      </c>
      <c r="D1021" s="3" t="n">
        <v>44</v>
      </c>
      <c r="E1021" s="3" t="n">
        <v>34</v>
      </c>
      <c r="F1021" s="3" t="n">
        <v>12.04</v>
      </c>
      <c r="G1021" s="3" t="n">
        <v>0</v>
      </c>
      <c r="H1021" s="3" t="n">
        <v>0</v>
      </c>
      <c r="I1021" s="3">
        <f>E1021+G1021+H1021</f>
        <v/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/>
      </c>
      <c r="K1021" s="3">
        <f>I1021-J1021</f>
        <v/>
      </c>
      <c r="L1021" s="3">
        <f>IF(K1021&lt;-5,"CRÍTICO",IF(K1021&lt;0,"ATENÇÃO",IF(K1021&lt;=5,"BOM","EXCELENTE")))</f>
        <v/>
      </c>
      <c r="M1021" s="3" t="n">
        <v>29</v>
      </c>
      <c r="N1021" s="3" t="n">
        <v>96.43000000000001</v>
      </c>
      <c r="O1021" s="12" t="n">
        <v>27.01525054466231</v>
      </c>
    </row>
    <row r="1022">
      <c r="A1022" s="10" t="n">
        <v>46031</v>
      </c>
      <c r="B1022" t="inlineStr">
        <is>
          <t>Luiz Fernando de Carvalho Junior</t>
        </is>
      </c>
      <c r="C1022" s="1" t="inlineStr">
        <is>
          <t>Técnico I</t>
        </is>
      </c>
      <c r="D1022" s="3" t="n">
        <v>14</v>
      </c>
      <c r="E1022" s="3" t="n">
        <v>14</v>
      </c>
      <c r="F1022" s="3" t="n">
        <v>30.13</v>
      </c>
      <c r="G1022" s="3" t="n">
        <v>0</v>
      </c>
      <c r="H1022" s="3" t="n">
        <v>0</v>
      </c>
      <c r="I1022" s="3">
        <f>E1022+G1022+H1022</f>
        <v/>
      </c>
      <c r="J1022" s="3">
        <f>ROUND(MIN(IF(C1022="Técnico III",35,IF(C1022="Técnico II",28,IF(C1022="Técnico I",23,IF(C1022="JR",20,IF(C1022="Estágio",10,0))))),IF(C1022="Técnico III",SUMIFS($D:$D,$A:$A,$A1022,$B:$B,"&lt;&gt;Patrícia Karla de Sousa Araújo",$B:$B,"&lt;&gt;Lorena Dias de Araujo",$B:$B,"&lt;&gt;Lucas Luiz Romero")*(35/1083),IF(C1022="Técnico II",SUMIFS($D:$D,$A:$A,$A1022,$B:$B,"&lt;&gt;Patrícia Karla de Sousa Araújo",$B:$B,"&lt;&gt;Lorena Dias de Araujo",$B:$B,"&lt;&gt;Lucas Luiz Romero")*(28/1083),IF(C1022="Técnico I",SUMIFS($D:$D,$A:$A,$A1022,$B:$B,"&lt;&gt;Patrícia Karla de Sousa Araújo",$B:$B,"&lt;&gt;Lorena Dias de Araujo",$B:$B,"&lt;&gt;Lucas Luiz Romero")*(23/1083),IF(C1022="JR",SUMIFS($D:$D,$A:$A,$A1022,$B:$B,"&lt;&gt;Patrícia Karla de Sousa Araújo",$B:$B,"&lt;&gt;Lorena Dias de Araujo",$B:$B,"&lt;&gt;Lucas Luiz Romero")*(20/1083),IF(C1022="Estágio",SUMIFS($D:$D,$A:$A,$A1022,$B:$B,"&lt;&gt;Patrícia Karla de Sousa Araújo",$B:$B,"&lt;&gt;Lorena Dias de Araujo",$B:$B,"&lt;&gt;Lucas Luiz Romero")*(10/1083),0)))))),0)</f>
        <v/>
      </c>
      <c r="K1022" s="3">
        <f>I1022-J1022</f>
        <v/>
      </c>
      <c r="L1022" s="3">
        <f>IF(K1022&lt;-5,"CRÍTICO",IF(K1022&lt;0,"ATENÇÃO",IF(K1022&lt;=5,"BOM","EXCELENTE")))</f>
        <v/>
      </c>
      <c r="M1022" s="3" t="n">
        <v>12</v>
      </c>
      <c r="N1022" s="3" t="n">
        <v>98.89</v>
      </c>
      <c r="O1022" s="12" t="n">
        <v>28.02197802197802</v>
      </c>
    </row>
    <row r="1023">
      <c r="A1023" s="10" t="n">
        <v>46031</v>
      </c>
      <c r="B1023" t="inlineStr">
        <is>
          <t>Maria Eduarda Sousa Costa</t>
        </is>
      </c>
      <c r="C1023" s="1" t="inlineStr">
        <is>
          <t>Estágio</t>
        </is>
      </c>
      <c r="D1023" s="3" t="n">
        <v>12</v>
      </c>
      <c r="E1023" s="3" t="n">
        <v>10</v>
      </c>
      <c r="F1023" s="3" t="n">
        <v>21.46</v>
      </c>
      <c r="G1023" s="3" t="n">
        <v>0</v>
      </c>
      <c r="H1023" s="3" t="n">
        <v>0</v>
      </c>
      <c r="I1023" s="3">
        <f>E1023+G1023+H1023</f>
        <v/>
      </c>
      <c r="J1023" s="3">
        <f>ROUND(MIN(IF(C1023="Técnico III",35,IF(C1023="Técnico II",28,IF(C1023="Técnico I",23,IF(C1023="JR",20,IF(C1023="Estágio",10,0))))),IF(C1023="Técnico III",SUMIFS($D:$D,$A:$A,$A1023,$B:$B,"&lt;&gt;Patrícia Karla de Sousa Araújo",$B:$B,"&lt;&gt;Lorena Dias de Araujo",$B:$B,"&lt;&gt;Lucas Luiz Romero")*(35/1083),IF(C1023="Técnico II",SUMIFS($D:$D,$A:$A,$A1023,$B:$B,"&lt;&gt;Patrícia Karla de Sousa Araújo",$B:$B,"&lt;&gt;Lorena Dias de Araujo",$B:$B,"&lt;&gt;Lucas Luiz Romero")*(28/1083),IF(C1023="Técnico I",SUMIFS($D:$D,$A:$A,$A1023,$B:$B,"&lt;&gt;Patrícia Karla de Sousa Araújo",$B:$B,"&lt;&gt;Lorena Dias de Araujo",$B:$B,"&lt;&gt;Lucas Luiz Romero")*(23/1083),IF(C1023="JR",SUMIFS($D:$D,$A:$A,$A1023,$B:$B,"&lt;&gt;Patrícia Karla de Sousa Araújo",$B:$B,"&lt;&gt;Lorena Dias de Araujo",$B:$B,"&lt;&gt;Lucas Luiz Romero")*(20/1083),IF(C1023="Estágio",SUMIFS($D:$D,$A:$A,$A1023,$B:$B,"&lt;&gt;Patrícia Karla de Sousa Araújo",$B:$B,"&lt;&gt;Lorena Dias de Araujo",$B:$B,"&lt;&gt;Lucas Luiz Romero")*(10/1083),0)))))),0)</f>
        <v/>
      </c>
      <c r="K1023" s="3">
        <f>I1023-J1023</f>
        <v/>
      </c>
      <c r="L1023" s="3">
        <f>IF(K1023&lt;-5,"CRÍTICO",IF(K1023&lt;0,"ATENÇÃO",IF(K1023&lt;=5,"BOM","EXCELENTE")))</f>
        <v/>
      </c>
      <c r="M1023" s="3" t="n">
        <v>8</v>
      </c>
      <c r="N1023" s="3" t="n">
        <v>100</v>
      </c>
      <c r="O1023" s="12" t="n">
        <v>33.33333333333333</v>
      </c>
    </row>
    <row r="1024">
      <c r="A1024" s="10" t="n">
        <v>46031</v>
      </c>
      <c r="B1024" t="inlineStr">
        <is>
          <t>Matheus Farias De Souza</t>
        </is>
      </c>
      <c r="C1024" s="1" t="inlineStr">
        <is>
          <t>Técnico III</t>
        </is>
      </c>
      <c r="D1024" s="3" t="n">
        <v>0</v>
      </c>
      <c r="E1024" s="3" t="n">
        <v>0</v>
      </c>
      <c r="F1024" s="3" t="n">
        <v>0</v>
      </c>
      <c r="G1024" s="3" t="n">
        <v>0</v>
      </c>
      <c r="H1024" s="3" t="n">
        <v>0</v>
      </c>
      <c r="I1024" s="3" t="n">
        <v>0</v>
      </c>
      <c r="J1024" s="3" t="n">
        <v>0</v>
      </c>
      <c r="K1024" s="3" t="n">
        <v>0</v>
      </c>
      <c r="L1024" s="3">
        <f>IF(K1024&lt;-5,"CRÍTICO",IF(K1024&lt;0,"ATENÇÃO",IF(K1024&lt;=5,"BOM","EXCELENTE")))</f>
        <v/>
      </c>
      <c r="M1024" s="3" t="n">
        <v>0</v>
      </c>
      <c r="N1024" s="3" t="n">
        <v>100</v>
      </c>
      <c r="O1024" s="12" t="n">
        <v>27.43362831858407</v>
      </c>
    </row>
    <row r="1025">
      <c r="A1025" s="10" t="n">
        <v>46031</v>
      </c>
      <c r="B1025" t="inlineStr">
        <is>
          <t>Maysa Victoria Dias Moura</t>
        </is>
      </c>
      <c r="C1025" s="1" t="inlineStr">
        <is>
          <t>Técnico III</t>
        </is>
      </c>
      <c r="D1025" s="3" t="n">
        <v>37</v>
      </c>
      <c r="E1025" s="3" t="n">
        <v>29</v>
      </c>
      <c r="F1025" s="3" t="n">
        <v>8.359999999999999</v>
      </c>
      <c r="G1025" s="3" t="n">
        <v>0</v>
      </c>
      <c r="H1025" s="3" t="n">
        <v>0</v>
      </c>
      <c r="I1025" s="3">
        <f>E1025+G1025+H1025</f>
        <v/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/>
      </c>
      <c r="K1025" s="3">
        <f>I1025-J1025</f>
        <v/>
      </c>
      <c r="L1025" s="3">
        <f>IF(K1025&lt;-5,"CRÍTICO",IF(K1025&lt;0,"ATENÇÃO",IF(K1025&lt;=5,"BOM","EXCELENTE")))</f>
        <v/>
      </c>
      <c r="M1025" s="3" t="n">
        <v>24</v>
      </c>
      <c r="N1025" s="3" t="n">
        <v>98.65000000000001</v>
      </c>
      <c r="O1025" s="12" t="n">
        <v>30.97826086956522</v>
      </c>
    </row>
    <row r="1026">
      <c r="A1026" s="10" t="n">
        <v>46031</v>
      </c>
      <c r="B1026" t="inlineStr">
        <is>
          <t>Michelle G Santos</t>
        </is>
      </c>
      <c r="C1026" s="1" t="inlineStr">
        <is>
          <t>Estágio</t>
        </is>
      </c>
      <c r="D1026" s="3" t="n">
        <v>0</v>
      </c>
      <c r="E1026" s="3" t="n">
        <v>0</v>
      </c>
      <c r="F1026" s="3" t="n">
        <v>0</v>
      </c>
      <c r="G1026" s="3" t="n">
        <v>0</v>
      </c>
      <c r="H1026" s="3" t="n">
        <v>0</v>
      </c>
      <c r="I1026" s="3" t="n">
        <v>0</v>
      </c>
      <c r="J1026" s="3" t="n">
        <v>0</v>
      </c>
      <c r="K1026" s="3" t="n">
        <v>0</v>
      </c>
      <c r="L1026" s="3">
        <f>IF(K1026&lt;-5,"CRÍTICO",IF(K1026&lt;0,"ATENÇÃO",IF(K1026&lt;=5,"BOM","EXCELENTE")))</f>
        <v/>
      </c>
      <c r="M1026" s="3" t="n">
        <v>0</v>
      </c>
      <c r="N1026" s="3" t="n">
        <v>100</v>
      </c>
      <c r="O1026" s="12" t="n">
        <v>12</v>
      </c>
    </row>
    <row r="1027">
      <c r="A1027" s="10" t="n">
        <v>46031</v>
      </c>
      <c r="B1027" t="inlineStr">
        <is>
          <t>Milena Sales</t>
        </is>
      </c>
      <c r="C1027" s="1" t="inlineStr">
        <is>
          <t>JR</t>
        </is>
      </c>
      <c r="D1027" s="3" t="n">
        <v>0</v>
      </c>
      <c r="E1027" s="3" t="n">
        <v>0</v>
      </c>
      <c r="F1027" s="3" t="n">
        <v>0</v>
      </c>
      <c r="G1027" s="3" t="n">
        <v>0</v>
      </c>
      <c r="H1027" s="3" t="n">
        <v>0</v>
      </c>
      <c r="I1027" s="3" t="n">
        <v>0</v>
      </c>
      <c r="J1027" s="3" t="n">
        <v>0</v>
      </c>
      <c r="K1027" s="3" t="n">
        <v>0</v>
      </c>
      <c r="L1027" s="3">
        <f>IF(K1027&lt;-5,"CRÍTICO",IF(K1027&lt;0,"ATENÇÃO",IF(K1027&lt;=5,"BOM","EXCELENTE")))</f>
        <v/>
      </c>
      <c r="M1027" s="3" t="n">
        <v>0</v>
      </c>
      <c r="N1027" s="3" t="n">
        <v>0</v>
      </c>
      <c r="O1027" s="12" t="n">
        <v>0</v>
      </c>
    </row>
    <row r="1028">
      <c r="A1028" s="10" t="n">
        <v>46031</v>
      </c>
      <c r="B1028" t="inlineStr">
        <is>
          <t>Patrícia Karla de Sousa Araújo</t>
        </is>
      </c>
      <c r="C1028" s="1" t="inlineStr">
        <is>
          <t>Técnico II</t>
        </is>
      </c>
      <c r="D1028" s="3" t="n">
        <v>24</v>
      </c>
      <c r="E1028" s="3" t="n">
        <v>20</v>
      </c>
      <c r="F1028" s="3" t="n">
        <v>12.24</v>
      </c>
      <c r="G1028" s="3" t="n">
        <v>0</v>
      </c>
      <c r="H1028" s="3" t="n">
        <v>0</v>
      </c>
      <c r="I1028" s="3">
        <f>E1028+G1028+H1028</f>
        <v/>
      </c>
      <c r="J1028" s="3">
        <f>ROUND(MIN(IF(C1028="Técnico III",35,IF(C1028="Técnico II",28,IF(C1028="Técnico I",23,IF(C1028="JR",20,IF(C1028="Estágio",10,0))))),IF(C1028="Técnico III",SUMIFS($D:$D,$A:$A,$A1028,$B:$B,"&lt;&gt;Patrícia Karla de Sousa Araújo",$B:$B,"&lt;&gt;Lorena Dias de Araujo",$B:$B,"&lt;&gt;Lucas Luiz Romero")*(35/1083),IF(C1028="Técnico II",SUMIFS($D:$D,$A:$A,$A1028,$B:$B,"&lt;&gt;Patrícia Karla de Sousa Araújo",$B:$B,"&lt;&gt;Lorena Dias de Araujo",$B:$B,"&lt;&gt;Lucas Luiz Romero")*(28/1083),IF(C1028="Técnico I",SUMIFS($D:$D,$A:$A,$A1028,$B:$B,"&lt;&gt;Patrícia Karla de Sousa Araújo",$B:$B,"&lt;&gt;Lorena Dias de Araujo",$B:$B,"&lt;&gt;Lucas Luiz Romero")*(23/1083),IF(C1028="JR",SUMIFS($D:$D,$A:$A,$A1028,$B:$B,"&lt;&gt;Patrícia Karla de Sousa Araújo",$B:$B,"&lt;&gt;Lorena Dias de Araujo",$B:$B,"&lt;&gt;Lucas Luiz Romero")*(20/1083),IF(C1028="Estágio",SUMIFS($D:$D,$A:$A,$A1028,$B:$B,"&lt;&gt;Patrícia Karla de Sousa Araújo",$B:$B,"&lt;&gt;Lorena Dias de Araujo",$B:$B,"&lt;&gt;Lucas Luiz Romero")*(10/1083),0)))))),0)</f>
        <v/>
      </c>
      <c r="K1028" s="3">
        <f>I1028-J1028</f>
        <v/>
      </c>
      <c r="L1028" s="3">
        <f>IF(K1028&lt;-5,"CRÍTICO",IF(K1028&lt;0,"ATENÇÃO",IF(K1028&lt;=5,"BOM","EXCELENTE")))</f>
        <v/>
      </c>
      <c r="M1028" s="3" t="n">
        <v>15</v>
      </c>
      <c r="N1028" s="3" t="n">
        <v>97.56</v>
      </c>
      <c r="O1028" s="12" t="n">
        <v>31.06796116504854</v>
      </c>
    </row>
    <row r="1029">
      <c r="A1029" s="10" t="n">
        <v>46031</v>
      </c>
      <c r="B1029" t="inlineStr">
        <is>
          <t>Paulo Ricardo Santos</t>
        </is>
      </c>
      <c r="C1029" s="1" t="inlineStr">
        <is>
          <t>JR</t>
        </is>
      </c>
      <c r="D1029" s="3" t="n">
        <v>0</v>
      </c>
      <c r="E1029" s="3" t="n">
        <v>0</v>
      </c>
      <c r="F1029" s="3" t="n">
        <v>0</v>
      </c>
      <c r="G1029" s="3" t="n">
        <v>0</v>
      </c>
      <c r="H1029" s="3" t="n">
        <v>0</v>
      </c>
      <c r="I1029" s="3" t="n">
        <v>0</v>
      </c>
      <c r="J1029" s="3" t="n">
        <v>0</v>
      </c>
      <c r="K1029" s="3" t="n">
        <v>0</v>
      </c>
      <c r="L1029" s="3">
        <f>IF(K1029&lt;-5,"CRÍTICO",IF(K1029&lt;0,"ATENÇÃO",IF(K1029&lt;=5,"BOM","EXCELENTE")))</f>
        <v/>
      </c>
      <c r="M1029" s="3" t="n">
        <v>0</v>
      </c>
      <c r="N1029" s="3" t="n">
        <v>0</v>
      </c>
      <c r="O1029" s="12" t="n">
        <v>0</v>
      </c>
    </row>
    <row r="1030">
      <c r="A1030" s="10" t="n">
        <v>46031</v>
      </c>
      <c r="B1030" t="inlineStr">
        <is>
          <t>Pedro Luiz Mota Sousa</t>
        </is>
      </c>
      <c r="C1030" s="1" t="inlineStr">
        <is>
          <t>JR</t>
        </is>
      </c>
      <c r="D1030" s="3" t="n">
        <v>0</v>
      </c>
      <c r="E1030" s="3" t="n">
        <v>0</v>
      </c>
      <c r="F1030" s="3" t="n">
        <v>0</v>
      </c>
      <c r="G1030" s="3" t="n">
        <v>0</v>
      </c>
      <c r="H1030" s="3" t="n">
        <v>0</v>
      </c>
      <c r="I1030" s="3" t="n">
        <v>0</v>
      </c>
      <c r="J1030" s="3" t="n">
        <v>0</v>
      </c>
      <c r="K1030" s="3" t="n">
        <v>0</v>
      </c>
      <c r="L1030" s="3">
        <f>IF(K1030&lt;-5,"CRÍTICO",IF(K1030&lt;0,"ATENÇÃO",IF(K1030&lt;=5,"BOM","EXCELENTE")))</f>
        <v/>
      </c>
      <c r="M1030" s="3" t="n">
        <v>0</v>
      </c>
      <c r="N1030" s="3" t="n">
        <v>0</v>
      </c>
      <c r="O1030" s="12" t="n">
        <v>0</v>
      </c>
    </row>
    <row r="1031">
      <c r="A1031" s="10" t="n">
        <v>46031</v>
      </c>
      <c r="B1031" t="inlineStr">
        <is>
          <t>Quirino Diogo Leite Torres</t>
        </is>
      </c>
      <c r="C1031" s="1" t="inlineStr">
        <is>
          <t>Estágio</t>
        </is>
      </c>
      <c r="D1031" s="3" t="n">
        <v>0</v>
      </c>
      <c r="E1031" s="3" t="n">
        <v>0</v>
      </c>
      <c r="F1031" s="3" t="n">
        <v>0</v>
      </c>
      <c r="G1031" s="3" t="n">
        <v>0</v>
      </c>
      <c r="H1031" s="3" t="n">
        <v>0</v>
      </c>
      <c r="I1031" s="3" t="n">
        <v>0</v>
      </c>
      <c r="J1031" s="3" t="n">
        <v>0</v>
      </c>
      <c r="K1031" s="3" t="n">
        <v>0</v>
      </c>
      <c r="L1031" s="3">
        <f>IF(K1031&lt;-5,"CRÍTICO",IF(K1031&lt;0,"ATENÇÃO",IF(K1031&lt;=5,"BOM","EXCELENTE")))</f>
        <v/>
      </c>
      <c r="M1031" s="3" t="n">
        <v>0</v>
      </c>
      <c r="N1031" s="3" t="n">
        <v>0</v>
      </c>
      <c r="O1031" s="12" t="n">
        <v>0</v>
      </c>
    </row>
    <row r="1032">
      <c r="A1032" s="10" t="n">
        <v>46031</v>
      </c>
      <c r="B1032" t="inlineStr">
        <is>
          <t>Raane Batista Matos</t>
        </is>
      </c>
      <c r="C1032" s="1" t="inlineStr">
        <is>
          <t>Técnico I</t>
        </is>
      </c>
      <c r="D1032" s="3" t="n">
        <v>0</v>
      </c>
      <c r="E1032" s="3" t="n">
        <v>0</v>
      </c>
      <c r="F1032" s="3" t="n">
        <v>0</v>
      </c>
      <c r="G1032" s="3" t="n">
        <v>0</v>
      </c>
      <c r="H1032" s="3" t="n">
        <v>0</v>
      </c>
      <c r="I1032" s="3" t="n">
        <v>0</v>
      </c>
      <c r="J1032" s="3" t="n">
        <v>0</v>
      </c>
      <c r="K1032" s="3" t="n">
        <v>0</v>
      </c>
      <c r="L1032" s="3">
        <f>IF(K1032&lt;-5,"CRÍTICO",IF(K1032&lt;0,"ATENÇÃO",IF(K1032&lt;=5,"BOM","EXCELENTE")))</f>
        <v/>
      </c>
      <c r="M1032" s="3" t="n">
        <v>0</v>
      </c>
      <c r="N1032" s="3" t="n">
        <v>100</v>
      </c>
      <c r="O1032" s="12" t="n">
        <v>53.84615384615385</v>
      </c>
    </row>
    <row r="1033">
      <c r="A1033" s="10" t="n">
        <v>46031</v>
      </c>
      <c r="B1033" t="inlineStr">
        <is>
          <t>Rafael Gomes de Morais</t>
        </is>
      </c>
      <c r="C1033" s="1" t="inlineStr">
        <is>
          <t>Técnico III</t>
        </is>
      </c>
      <c r="D1033" s="3" t="n">
        <v>0</v>
      </c>
      <c r="E1033" s="3" t="n">
        <v>0</v>
      </c>
      <c r="F1033" s="3" t="n">
        <v>0</v>
      </c>
      <c r="G1033" s="3" t="n">
        <v>0</v>
      </c>
      <c r="H1033" s="3" t="n">
        <v>0</v>
      </c>
      <c r="I1033" s="3" t="n">
        <v>0</v>
      </c>
      <c r="J1033" s="3" t="n">
        <v>0</v>
      </c>
      <c r="K1033" s="3" t="n">
        <v>0</v>
      </c>
      <c r="L1033" s="3">
        <f>IF(K1033&lt;-5,"CRÍTICO",IF(K1033&lt;0,"ATENÇÃO",IF(K1033&lt;=5,"BOM","EXCELENTE")))</f>
        <v/>
      </c>
      <c r="M1033" s="3" t="n">
        <v>0</v>
      </c>
      <c r="N1033" s="3" t="n">
        <v>100</v>
      </c>
      <c r="O1033" s="12" t="n">
        <v>44.05594405594406</v>
      </c>
    </row>
    <row r="1034">
      <c r="A1034" s="10" t="n">
        <v>46031</v>
      </c>
      <c r="B1034" t="inlineStr">
        <is>
          <t>Sara Maria Monteiro Lopes</t>
        </is>
      </c>
      <c r="C1034" s="1" t="inlineStr">
        <is>
          <t>Técnico I</t>
        </is>
      </c>
      <c r="D1034" s="3" t="n">
        <v>17</v>
      </c>
      <c r="E1034" s="3" t="n">
        <v>16</v>
      </c>
      <c r="F1034" s="3" t="n">
        <v>24.06</v>
      </c>
      <c r="G1034" s="3" t="n">
        <v>0</v>
      </c>
      <c r="H1034" s="3" t="n">
        <v>0</v>
      </c>
      <c r="I1034" s="3">
        <f>E1034+G1034+H1034</f>
        <v/>
      </c>
      <c r="J1034" s="3">
        <f>ROUND(MIN(IF(C1034="Técnico III",35,IF(C1034="Técnico II",28,IF(C1034="Técnico I",23,IF(C1034="JR",20,IF(C1034="Estágio",10,0))))),IF(C1034="Técnico III",SUMIFS($D:$D,$A:$A,$A1034,$B:$B,"&lt;&gt;Patrícia Karla de Sousa Araújo",$B:$B,"&lt;&gt;Lorena Dias de Araujo",$B:$B,"&lt;&gt;Lucas Luiz Romero")*(35/1083),IF(C1034="Técnico II",SUMIFS($D:$D,$A:$A,$A1034,$B:$B,"&lt;&gt;Patrícia Karla de Sousa Araújo",$B:$B,"&lt;&gt;Lorena Dias de Araujo",$B:$B,"&lt;&gt;Lucas Luiz Romero")*(28/1083),IF(C1034="Técnico I",SUMIFS($D:$D,$A:$A,$A1034,$B:$B,"&lt;&gt;Patrícia Karla de Sousa Araújo",$B:$B,"&lt;&gt;Lorena Dias de Araujo",$B:$B,"&lt;&gt;Lucas Luiz Romero")*(23/1083),IF(C1034="JR",SUMIFS($D:$D,$A:$A,$A1034,$B:$B,"&lt;&gt;Patrícia Karla de Sousa Araújo",$B:$B,"&lt;&gt;Lorena Dias de Araujo",$B:$B,"&lt;&gt;Lucas Luiz Romero")*(20/1083),IF(C1034="Estágio",SUMIFS($D:$D,$A:$A,$A1034,$B:$B,"&lt;&gt;Patrícia Karla de Sousa Araújo",$B:$B,"&lt;&gt;Lorena Dias de Araujo",$B:$B,"&lt;&gt;Lucas Luiz Romero")*(10/1083),0)))))),0)</f>
        <v/>
      </c>
      <c r="K1034" s="3">
        <f>I1034-J1034</f>
        <v/>
      </c>
      <c r="L1034" s="3">
        <f>IF(K1034&lt;-5,"CRÍTICO",IF(K1034&lt;0,"ATENÇÃO",IF(K1034&lt;=5,"BOM","EXCELENTE")))</f>
        <v/>
      </c>
      <c r="M1034" s="3" t="n">
        <v>16</v>
      </c>
      <c r="N1034" s="3" t="n">
        <v>100</v>
      </c>
      <c r="O1034" s="12" t="n">
        <v>31.87250996015936</v>
      </c>
    </row>
    <row r="1035">
      <c r="A1035" s="10" t="n">
        <v>46031</v>
      </c>
      <c r="B1035" t="inlineStr">
        <is>
          <t>Sarah Steffanie de Lima Borges</t>
        </is>
      </c>
      <c r="C1035" s="1" t="inlineStr">
        <is>
          <t>Técnico III</t>
        </is>
      </c>
      <c r="D1035" s="3" t="n">
        <v>27</v>
      </c>
      <c r="E1035" s="3" t="n">
        <v>27</v>
      </c>
      <c r="F1035" s="3" t="n">
        <v>16.42</v>
      </c>
      <c r="G1035" s="3" t="n">
        <v>0</v>
      </c>
      <c r="H1035" s="3" t="n">
        <v>0</v>
      </c>
      <c r="I1035" s="3">
        <f>E1035+G1035+H1035</f>
        <v/>
      </c>
      <c r="J1035" s="3">
        <f>ROUND(MIN(IF(C1035="Técnico III",35,IF(C1035="Técnico II",28,IF(C1035="Técnico I",23,IF(C1035="JR",20,IF(C1035="Estágio",10,0))))),IF(C1035="Técnico III",SUMIFS($D:$D,$A:$A,$A1035,$B:$B,"&lt;&gt;Patrícia Karla de Sousa Araújo",$B:$B,"&lt;&gt;Lorena Dias de Araujo",$B:$B,"&lt;&gt;Lucas Luiz Romero")*(35/1083),IF(C1035="Técnico II",SUMIFS($D:$D,$A:$A,$A1035,$B:$B,"&lt;&gt;Patrícia Karla de Sousa Araújo",$B:$B,"&lt;&gt;Lorena Dias de Araujo",$B:$B,"&lt;&gt;Lucas Luiz Romero")*(28/1083),IF(C1035="Técnico I",SUMIFS($D:$D,$A:$A,$A1035,$B:$B,"&lt;&gt;Patrícia Karla de Sousa Araújo",$B:$B,"&lt;&gt;Lorena Dias de Araujo",$B:$B,"&lt;&gt;Lucas Luiz Romero")*(23/1083),IF(C1035="JR",SUMIFS($D:$D,$A:$A,$A1035,$B:$B,"&lt;&gt;Patrícia Karla de Sousa Araújo",$B:$B,"&lt;&gt;Lorena Dias de Araujo",$B:$B,"&lt;&gt;Lucas Luiz Romero")*(20/1083),IF(C1035="Estágio",SUMIFS($D:$D,$A:$A,$A1035,$B:$B,"&lt;&gt;Patrícia Karla de Sousa Araújo",$B:$B,"&lt;&gt;Lorena Dias de Araujo",$B:$B,"&lt;&gt;Lucas Luiz Romero")*(10/1083),0)))))),0)</f>
        <v/>
      </c>
      <c r="K1035" s="3">
        <f>I1035-J1035</f>
        <v/>
      </c>
      <c r="L1035" s="3">
        <f>IF(K1035&lt;-5,"CRÍTICO",IF(K1035&lt;0,"ATENÇÃO",IF(K1035&lt;=5,"BOM","EXCELENTE")))</f>
        <v/>
      </c>
      <c r="M1035" s="3" t="n">
        <v>24</v>
      </c>
      <c r="N1035" s="3" t="n">
        <v>98.41</v>
      </c>
      <c r="O1035" s="12" t="n">
        <v>29.22465208747515</v>
      </c>
    </row>
    <row r="1036">
      <c r="A1036" s="10" t="n">
        <v>46034</v>
      </c>
      <c r="B1036" t="inlineStr">
        <is>
          <t>Alisson de Freitas Silva</t>
        </is>
      </c>
      <c r="C1036" s="1" t="inlineStr">
        <is>
          <t>Técnico II</t>
        </is>
      </c>
      <c r="D1036" s="3" t="n">
        <v>23</v>
      </c>
      <c r="E1036" s="3" t="n">
        <v>19</v>
      </c>
      <c r="F1036" s="3" t="n">
        <v>19.11</v>
      </c>
      <c r="G1036" s="3" t="n">
        <v>0</v>
      </c>
      <c r="H1036" s="3" t="n">
        <v>0</v>
      </c>
      <c r="I1036" s="3">
        <f>E1036+G1036+H1036</f>
        <v/>
      </c>
      <c r="J1036" s="3">
        <f>ROUND(MIN(IF(C1036="Técnico III",35,IF(C1036="Técnico II",28,IF(C1036="Técnico I",23,IF(C1036="JR",20,IF(C1036="Estágio",10,0))))),IF(C1036="Técnico III",SUMIFS($D:$D,$A:$A,$A1036,$B:$B,"&lt;&gt;Patrícia Karla de Sousa Araújo",$B:$B,"&lt;&gt;Lorena Dias de Araujo",$B:$B,"&lt;&gt;Lucas Luiz Romero")*(35/1083),IF(C1036="Técnico II",SUMIFS($D:$D,$A:$A,$A1036,$B:$B,"&lt;&gt;Patrícia Karla de Sousa Araújo",$B:$B,"&lt;&gt;Lorena Dias de Araujo",$B:$B,"&lt;&gt;Lucas Luiz Romero")*(28/1083),IF(C1036="Técnico I",SUMIFS($D:$D,$A:$A,$A1036,$B:$B,"&lt;&gt;Patrícia Karla de Sousa Araújo",$B:$B,"&lt;&gt;Lorena Dias de Araujo",$B:$B,"&lt;&gt;Lucas Luiz Romero")*(23/1083),IF(C1036="JR",SUMIFS($D:$D,$A:$A,$A1036,$B:$B,"&lt;&gt;Patrícia Karla de Sousa Araújo",$B:$B,"&lt;&gt;Lorena Dias de Araujo",$B:$B,"&lt;&gt;Lucas Luiz Romero")*(20/1083),IF(C1036="Estágio",SUMIFS($D:$D,$A:$A,$A1036,$B:$B,"&lt;&gt;Patrícia Karla de Sousa Araújo",$B:$B,"&lt;&gt;Lorena Dias de Araujo",$B:$B,"&lt;&gt;Lucas Luiz Romero")*(10/1083),0)))))),0)</f>
        <v/>
      </c>
      <c r="K1036" s="3">
        <f>I1036-J1036</f>
        <v/>
      </c>
      <c r="L1036" s="3">
        <f>IF(K1036&lt;-5,"CRÍTICO",IF(K1036&lt;0,"ATENÇÃO",IF(K1036&lt;=5,"BOM","EXCELENTE")))</f>
        <v/>
      </c>
      <c r="M1036" s="3" t="n">
        <v>16</v>
      </c>
      <c r="N1036" s="3" t="n">
        <v>96.81</v>
      </c>
      <c r="O1036" s="12" t="n">
        <v>27.98053527980535</v>
      </c>
    </row>
    <row r="1037">
      <c r="A1037" s="10" t="n">
        <v>46034</v>
      </c>
      <c r="B1037" t="inlineStr">
        <is>
          <t>Amanda Moura Ferreira</t>
        </is>
      </c>
      <c r="C1037" s="1" t="inlineStr">
        <is>
          <t>Técnico III</t>
        </is>
      </c>
      <c r="D1037" s="3" t="n">
        <v>0</v>
      </c>
      <c r="E1037" s="3" t="n">
        <v>0</v>
      </c>
      <c r="F1037" s="3" t="n">
        <v>0</v>
      </c>
      <c r="G1037" s="3" t="n">
        <v>0</v>
      </c>
      <c r="H1037" s="3" t="n">
        <v>0</v>
      </c>
      <c r="I1037" s="3" t="n">
        <v>0</v>
      </c>
      <c r="J1037" s="3" t="n">
        <v>0</v>
      </c>
      <c r="K1037" s="3" t="n">
        <v>0</v>
      </c>
      <c r="L1037" s="3">
        <f>IF(K1037&lt;-5,"CRÍTICO",IF(K1037&lt;0,"ATENÇÃO",IF(K1037&lt;=5,"BOM","EXCELENTE")))</f>
        <v/>
      </c>
      <c r="M1037" s="3" t="n">
        <v>23</v>
      </c>
      <c r="N1037" s="3" t="n">
        <v>98.73</v>
      </c>
      <c r="O1037" s="12" t="n">
        <v>35.75638506876228</v>
      </c>
    </row>
    <row r="1038">
      <c r="A1038" s="10" t="n">
        <v>46034</v>
      </c>
      <c r="B1038" t="inlineStr">
        <is>
          <t>Ana Karollyne Souza Faria</t>
        </is>
      </c>
      <c r="C1038" s="1" t="inlineStr">
        <is>
          <t>Técnico I</t>
        </is>
      </c>
      <c r="D1038" s="3" t="n">
        <v>29</v>
      </c>
      <c r="E1038" s="3" t="n">
        <v>28</v>
      </c>
      <c r="F1038" s="3" t="n">
        <v>22.38</v>
      </c>
      <c r="G1038" s="3" t="n">
        <v>0</v>
      </c>
      <c r="H1038" s="3" t="n">
        <v>0</v>
      </c>
      <c r="I1038" s="3">
        <f>E1038+G1038+H1038</f>
        <v/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/>
      </c>
      <c r="K1038" s="3">
        <f>I1038-J1038</f>
        <v/>
      </c>
      <c r="L1038" s="3">
        <f>IF(K1038&lt;-5,"CRÍTICO",IF(K1038&lt;0,"ATENÇÃO",IF(K1038&lt;=5,"BOM","EXCELENTE")))</f>
        <v/>
      </c>
      <c r="M1038" s="3" t="n">
        <v>20</v>
      </c>
      <c r="N1038" s="3" t="n">
        <v>98.31999999999999</v>
      </c>
      <c r="O1038" s="12" t="n">
        <v>26.76348547717842</v>
      </c>
    </row>
    <row r="1039">
      <c r="A1039" s="10" t="n">
        <v>46034</v>
      </c>
      <c r="B1039" t="inlineStr">
        <is>
          <t>Ana Paula Da Luz Silva Aleixo</t>
        </is>
      </c>
      <c r="C1039" s="1" t="inlineStr">
        <is>
          <t>Técnico III</t>
        </is>
      </c>
      <c r="D1039" s="3" t="n">
        <v>33</v>
      </c>
      <c r="E1039" s="3" t="n">
        <v>30</v>
      </c>
      <c r="F1039" s="3" t="n">
        <v>16.41</v>
      </c>
      <c r="G1039" s="3" t="n">
        <v>0</v>
      </c>
      <c r="H1039" s="3" t="n">
        <v>0</v>
      </c>
      <c r="I1039" s="3">
        <f>E1039+G1039+H1039</f>
        <v/>
      </c>
      <c r="J1039" s="3">
        <f>ROUND(MIN(IF(C1039="Técnico III",35,IF(C1039="Técnico II",28,IF(C1039="Técnico I",23,IF(C1039="JR",20,IF(C1039="Estágio",10,0))))),IF(C1039="Técnico III",SUMIFS($D:$D,$A:$A,$A1039,$B:$B,"&lt;&gt;Patrícia Karla de Sousa Araújo",$B:$B,"&lt;&gt;Lorena Dias de Araujo",$B:$B,"&lt;&gt;Lucas Luiz Romero")*(35/1083),IF(C1039="Técnico II",SUMIFS($D:$D,$A:$A,$A1039,$B:$B,"&lt;&gt;Patrícia Karla de Sousa Araújo",$B:$B,"&lt;&gt;Lorena Dias de Araujo",$B:$B,"&lt;&gt;Lucas Luiz Romero")*(28/1083),IF(C1039="Técnico I",SUMIFS($D:$D,$A:$A,$A1039,$B:$B,"&lt;&gt;Patrícia Karla de Sousa Araújo",$B:$B,"&lt;&gt;Lorena Dias de Araujo",$B:$B,"&lt;&gt;Lucas Luiz Romero")*(23/1083),IF(C1039="JR",SUMIFS($D:$D,$A:$A,$A1039,$B:$B,"&lt;&gt;Patrícia Karla de Sousa Araújo",$B:$B,"&lt;&gt;Lorena Dias de Araujo",$B:$B,"&lt;&gt;Lucas Luiz Romero")*(20/1083),IF(C1039="Estágio",SUMIFS($D:$D,$A:$A,$A1039,$B:$B,"&lt;&gt;Patrícia Karla de Sousa Araújo",$B:$B,"&lt;&gt;Lorena Dias de Araujo",$B:$B,"&lt;&gt;Lucas Luiz Romero")*(10/1083),0)))))),0)</f>
        <v/>
      </c>
      <c r="K1039" s="3">
        <f>I1039-J1039</f>
        <v/>
      </c>
      <c r="L1039" s="3">
        <f>IF(K1039&lt;-5,"CRÍTICO",IF(K1039&lt;0,"ATENÇÃO",IF(K1039&lt;=5,"BOM","EXCELENTE")))</f>
        <v/>
      </c>
      <c r="M1039" s="3" t="n">
        <v>24</v>
      </c>
      <c r="N1039" s="3" t="n">
        <v>99.19</v>
      </c>
      <c r="O1039" s="12" t="n">
        <v>27.63713080168776</v>
      </c>
    </row>
    <row r="1040">
      <c r="A1040" s="10" t="n">
        <v>46034</v>
      </c>
      <c r="B1040" t="inlineStr">
        <is>
          <t>Anna Luiza Rezende Tavares</t>
        </is>
      </c>
      <c r="C1040" s="1" t="inlineStr">
        <is>
          <t>Estágio</t>
        </is>
      </c>
      <c r="D1040" s="3" t="n">
        <v>7</v>
      </c>
      <c r="E1040" s="3" t="n">
        <v>7</v>
      </c>
      <c r="F1040" s="3" t="n">
        <v>41.4</v>
      </c>
      <c r="G1040" s="3" t="n">
        <v>0</v>
      </c>
      <c r="H1040" s="3" t="n">
        <v>0</v>
      </c>
      <c r="I1040" s="3">
        <f>E1040+G1040+H1040</f>
        <v/>
      </c>
      <c r="J1040" s="3">
        <f>ROUND(MIN(IF(C1040="Técnico III",35,IF(C1040="Técnico II",28,IF(C1040="Técnico I",23,IF(C1040="JR",20,IF(C1040="Estágio",10,0))))),IF(C1040="Técnico III",SUMIFS($D:$D,$A:$A,$A1040,$B:$B,"&lt;&gt;Patrícia Karla de Sousa Araújo",$B:$B,"&lt;&gt;Lorena Dias de Araujo",$B:$B,"&lt;&gt;Lucas Luiz Romero")*(35/1083),IF(C1040="Técnico II",SUMIFS($D:$D,$A:$A,$A1040,$B:$B,"&lt;&gt;Patrícia Karla de Sousa Araújo",$B:$B,"&lt;&gt;Lorena Dias de Araujo",$B:$B,"&lt;&gt;Lucas Luiz Romero")*(28/1083),IF(C1040="Técnico I",SUMIFS($D:$D,$A:$A,$A1040,$B:$B,"&lt;&gt;Patrícia Karla de Sousa Araújo",$B:$B,"&lt;&gt;Lorena Dias de Araujo",$B:$B,"&lt;&gt;Lucas Luiz Romero")*(23/1083),IF(C1040="JR",SUMIFS($D:$D,$A:$A,$A1040,$B:$B,"&lt;&gt;Patrícia Karla de Sousa Araújo",$B:$B,"&lt;&gt;Lorena Dias de Araujo",$B:$B,"&lt;&gt;Lucas Luiz Romero")*(20/1083),IF(C1040="Estágio",SUMIFS($D:$D,$A:$A,$A1040,$B:$B,"&lt;&gt;Patrícia Karla de Sousa Araújo",$B:$B,"&lt;&gt;Lorena Dias de Araujo",$B:$B,"&lt;&gt;Lucas Luiz Romero")*(10/1083),0)))))),0)</f>
        <v/>
      </c>
      <c r="K1040" s="3">
        <f>I1040-J1040</f>
        <v/>
      </c>
      <c r="L1040" s="3">
        <f>IF(K1040&lt;-5,"CRÍTICO",IF(K1040&lt;0,"ATENÇÃO",IF(K1040&lt;=5,"BOM","EXCELENTE")))</f>
        <v/>
      </c>
      <c r="M1040" s="3" t="n">
        <v>5</v>
      </c>
      <c r="N1040" s="3" t="n">
        <v>100</v>
      </c>
      <c r="O1040" s="12" t="n">
        <v>39.56834532374101</v>
      </c>
    </row>
    <row r="1041">
      <c r="A1041" s="10" t="n">
        <v>46034</v>
      </c>
      <c r="B1041" t="inlineStr">
        <is>
          <t>Brenda de Menezes Silva</t>
        </is>
      </c>
      <c r="C1041" s="1" t="inlineStr">
        <is>
          <t>Técnico II</t>
        </is>
      </c>
      <c r="D1041" s="3" t="n">
        <v>38</v>
      </c>
      <c r="E1041" s="3" t="n">
        <v>30</v>
      </c>
      <c r="F1041" s="3" t="n">
        <v>15.37</v>
      </c>
      <c r="G1041" s="3" t="n">
        <v>0</v>
      </c>
      <c r="H1041" s="3" t="n">
        <v>0</v>
      </c>
      <c r="I1041" s="3">
        <f>E1041+G1041+H1041</f>
        <v/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/>
      </c>
      <c r="K1041" s="3">
        <f>I1041-J1041</f>
        <v/>
      </c>
      <c r="L1041" s="3">
        <f>IF(K1041&lt;-5,"CRÍTICO",IF(K1041&lt;0,"ATENÇÃO",IF(K1041&lt;=5,"BOM","EXCELENTE")))</f>
        <v/>
      </c>
      <c r="M1041" s="3" t="n">
        <v>32</v>
      </c>
      <c r="N1041" s="3" t="n">
        <v>98.54000000000001</v>
      </c>
      <c r="O1041" s="12" t="n">
        <v>28.54477611940299</v>
      </c>
    </row>
    <row r="1042">
      <c r="A1042" s="10" t="n">
        <v>46034</v>
      </c>
      <c r="B1042" t="inlineStr">
        <is>
          <t>Carlos Mateus Cassimiro Nunes</t>
        </is>
      </c>
      <c r="C1042" s="1" t="inlineStr">
        <is>
          <t>Técnico II</t>
        </is>
      </c>
      <c r="D1042" s="3" t="n">
        <v>11</v>
      </c>
      <c r="E1042" s="3" t="n">
        <v>11</v>
      </c>
      <c r="F1042" s="3" t="n">
        <v>58.32</v>
      </c>
      <c r="G1042" s="3" t="n">
        <v>0</v>
      </c>
      <c r="H1042" s="3" t="n">
        <v>0</v>
      </c>
      <c r="I1042" s="3">
        <f>E1042+G1042+H1042</f>
        <v/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/>
      </c>
      <c r="K1042" s="3">
        <f>I1042-J1042</f>
        <v/>
      </c>
      <c r="L1042" s="3">
        <f>IF(K1042&lt;-5,"CRÍTICO",IF(K1042&lt;0,"ATENÇÃO",IF(K1042&lt;=5,"BOM","EXCELENTE")))</f>
        <v/>
      </c>
      <c r="M1042" s="3" t="n">
        <v>12</v>
      </c>
      <c r="N1042" s="3" t="n">
        <v>100</v>
      </c>
      <c r="O1042" s="12" t="n">
        <v>34.36692506459949</v>
      </c>
    </row>
    <row r="1043">
      <c r="A1043" s="10" t="n">
        <v>46034</v>
      </c>
      <c r="B1043" t="inlineStr">
        <is>
          <t>Claudio de Sousa Velasco Filho</t>
        </is>
      </c>
      <c r="C1043" s="1" t="inlineStr">
        <is>
          <t>Estágio</t>
        </is>
      </c>
      <c r="D1043" s="3" t="n">
        <v>0</v>
      </c>
      <c r="E1043" s="3" t="n">
        <v>0</v>
      </c>
      <c r="F1043" s="3" t="n">
        <v>0</v>
      </c>
      <c r="G1043" s="3" t="n">
        <v>0</v>
      </c>
      <c r="H1043" s="3" t="n">
        <v>0</v>
      </c>
      <c r="I1043" s="3" t="n">
        <v>0</v>
      </c>
      <c r="J1043" s="3" t="n">
        <v>0</v>
      </c>
      <c r="K1043" s="3" t="n">
        <v>0</v>
      </c>
      <c r="L1043" s="3">
        <f>IF(K1043&lt;-5,"CRÍTICO",IF(K1043&lt;0,"ATENÇÃO",IF(K1043&lt;=5,"BOM","EXCELENTE")))</f>
        <v/>
      </c>
      <c r="M1043" s="3" t="n">
        <v>0</v>
      </c>
      <c r="N1043" s="3" t="n">
        <v>0</v>
      </c>
      <c r="O1043" s="12" t="n">
        <v>0</v>
      </c>
    </row>
    <row r="1044">
      <c r="A1044" s="10" t="n">
        <v>46034</v>
      </c>
      <c r="B1044" t="inlineStr">
        <is>
          <t>Clessiane Pereira dos Santos</t>
        </is>
      </c>
      <c r="C1044" s="1" t="inlineStr">
        <is>
          <t>Técnico I</t>
        </is>
      </c>
      <c r="D1044" s="3" t="n">
        <v>21</v>
      </c>
      <c r="E1044" s="3" t="n">
        <v>19</v>
      </c>
      <c r="F1044" s="3" t="n">
        <v>30.21</v>
      </c>
      <c r="G1044" s="3" t="n">
        <v>0</v>
      </c>
      <c r="H1044" s="3" t="n">
        <v>0</v>
      </c>
      <c r="I1044" s="3">
        <f>E1044+G1044+H1044</f>
        <v/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/>
      </c>
      <c r="K1044" s="3">
        <f>I1044-J1044</f>
        <v/>
      </c>
      <c r="L1044" s="3">
        <f>IF(K1044&lt;-5,"CRÍTICO",IF(K1044&lt;0,"ATENÇÃO",IF(K1044&lt;=5,"BOM","EXCELENTE")))</f>
        <v/>
      </c>
      <c r="M1044" s="3" t="n">
        <v>15</v>
      </c>
      <c r="N1044" s="3" t="n">
        <v>100</v>
      </c>
      <c r="O1044" s="12" t="n">
        <v>29.51807228915663</v>
      </c>
    </row>
    <row r="1045">
      <c r="A1045" s="10" t="n">
        <v>46034</v>
      </c>
      <c r="B1045" t="inlineStr">
        <is>
          <t>Cristiane Ramos da Silva Rocha</t>
        </is>
      </c>
      <c r="C1045" s="1" t="inlineStr">
        <is>
          <t>Técnico III</t>
        </is>
      </c>
      <c r="D1045" s="3" t="n">
        <v>35</v>
      </c>
      <c r="E1045" s="3" t="n">
        <v>28</v>
      </c>
      <c r="F1045" s="3" t="n">
        <v>10.58</v>
      </c>
      <c r="G1045" s="3" t="n">
        <v>0</v>
      </c>
      <c r="H1045" s="3" t="n">
        <v>0</v>
      </c>
      <c r="I1045" s="3">
        <f>E1045+G1045+H1045</f>
        <v/>
      </c>
      <c r="J1045" s="3">
        <f>ROUND(MIN(IF(C1045="Técnico III",35,IF(C1045="Técnico II",28,IF(C1045="Técnico I",23,IF(C1045="JR",20,IF(C1045="Estágio",10,0))))),IF(C1045="Técnico III",SUMIFS($D:$D,$A:$A,$A1045,$B:$B,"&lt;&gt;Patrícia Karla de Sousa Araújo",$B:$B,"&lt;&gt;Lorena Dias de Araujo",$B:$B,"&lt;&gt;Lucas Luiz Romero")*(35/1083),IF(C1045="Técnico II",SUMIFS($D:$D,$A:$A,$A1045,$B:$B,"&lt;&gt;Patrícia Karla de Sousa Araújo",$B:$B,"&lt;&gt;Lorena Dias de Araujo",$B:$B,"&lt;&gt;Lucas Luiz Romero")*(28/1083),IF(C1045="Técnico I",SUMIFS($D:$D,$A:$A,$A1045,$B:$B,"&lt;&gt;Patrícia Karla de Sousa Araújo",$B:$B,"&lt;&gt;Lorena Dias de Araujo",$B:$B,"&lt;&gt;Lucas Luiz Romero")*(23/1083),IF(C1045="JR",SUMIFS($D:$D,$A:$A,$A1045,$B:$B,"&lt;&gt;Patrícia Karla de Sousa Araújo",$B:$B,"&lt;&gt;Lorena Dias de Araujo",$B:$B,"&lt;&gt;Lucas Luiz Romero")*(20/1083),IF(C1045="Estágio",SUMIFS($D:$D,$A:$A,$A1045,$B:$B,"&lt;&gt;Patrícia Karla de Sousa Araújo",$B:$B,"&lt;&gt;Lorena Dias de Araujo",$B:$B,"&lt;&gt;Lucas Luiz Romero")*(10/1083),0)))))),0)</f>
        <v/>
      </c>
      <c r="K1045" s="3">
        <f>I1045-J1045</f>
        <v/>
      </c>
      <c r="L1045" s="3">
        <f>IF(K1045&lt;-5,"CRÍTICO",IF(K1045&lt;0,"ATENÇÃO",IF(K1045&lt;=5,"BOM","EXCELENTE")))</f>
        <v/>
      </c>
      <c r="M1045" s="3" t="n">
        <v>27</v>
      </c>
      <c r="N1045" s="3" t="n">
        <v>97.45</v>
      </c>
      <c r="O1045" s="12" t="n">
        <v>41.421143847487</v>
      </c>
    </row>
    <row r="1046">
      <c r="A1046" s="10" t="n">
        <v>46034</v>
      </c>
      <c r="B1046" t="inlineStr">
        <is>
          <t>Damyllis Lorraine de Oliveira Gonçalves</t>
        </is>
      </c>
      <c r="C1046" s="1" t="inlineStr">
        <is>
          <t>Técnico II</t>
        </is>
      </c>
      <c r="D1046" s="3" t="n">
        <v>31</v>
      </c>
      <c r="E1046" s="3" t="n">
        <v>20</v>
      </c>
      <c r="F1046" s="3" t="n">
        <v>15.46</v>
      </c>
      <c r="G1046" s="3" t="n">
        <v>0</v>
      </c>
      <c r="H1046" s="3" t="n">
        <v>0</v>
      </c>
      <c r="I1046" s="3" t="n">
        <v>0</v>
      </c>
      <c r="J1046" s="3" t="n">
        <v>0</v>
      </c>
      <c r="K1046" s="3" t="n">
        <v>0</v>
      </c>
      <c r="L1046" s="3">
        <f>IF(K1046&lt;-5,"CRÍTICO",IF(K1046&lt;0,"ATENÇÃO",IF(K1046&lt;=5,"BOM","EXCELENTE")))</f>
        <v/>
      </c>
      <c r="M1046" s="3" t="n">
        <v>21</v>
      </c>
      <c r="N1046" s="3" t="n">
        <v>96.58</v>
      </c>
      <c r="O1046" s="12" t="n">
        <v>30.39647577092511</v>
      </c>
    </row>
    <row r="1047">
      <c r="A1047" s="10" t="n">
        <v>46034</v>
      </c>
      <c r="B1047" t="inlineStr">
        <is>
          <t>Daniel Gomes da Silva</t>
        </is>
      </c>
      <c r="C1047" s="1" t="inlineStr">
        <is>
          <t>Técnico I</t>
        </is>
      </c>
      <c r="D1047" s="3" t="n">
        <v>32</v>
      </c>
      <c r="E1047" s="3" t="n">
        <v>32</v>
      </c>
      <c r="F1047" s="3" t="n">
        <v>16.51</v>
      </c>
      <c r="G1047" s="3" t="n">
        <v>0</v>
      </c>
      <c r="H1047" s="3" t="n">
        <v>0</v>
      </c>
      <c r="I1047" s="3">
        <f>E1047+G1047+H1047</f>
        <v/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/>
      </c>
      <c r="K1047" s="3">
        <f>I1047-J1047</f>
        <v/>
      </c>
      <c r="L1047" s="3">
        <f>IF(K1047&lt;-5,"CRÍTICO",IF(K1047&lt;0,"ATENÇÃO",IF(K1047&lt;=5,"BOM","EXCELENTE")))</f>
        <v/>
      </c>
      <c r="M1047" s="3" t="n">
        <v>38</v>
      </c>
      <c r="N1047" s="3" t="n">
        <v>100</v>
      </c>
      <c r="O1047" s="12" t="n">
        <v>27.44282744282744</v>
      </c>
    </row>
    <row r="1048">
      <c r="A1048" s="10" t="n">
        <v>46034</v>
      </c>
      <c r="B1048" t="inlineStr">
        <is>
          <t>Davylla Rodrigues Freitas Silva</t>
        </is>
      </c>
      <c r="C1048" s="1" t="inlineStr">
        <is>
          <t>Técnico III</t>
        </is>
      </c>
      <c r="D1048" s="3" t="n">
        <v>19</v>
      </c>
      <c r="E1048" s="3" t="n">
        <v>17</v>
      </c>
      <c r="F1048" s="3" t="n">
        <v>30.09</v>
      </c>
      <c r="G1048" s="3" t="n">
        <v>0</v>
      </c>
      <c r="H1048" s="3" t="n">
        <v>0</v>
      </c>
      <c r="I1048" s="3" t="n">
        <v>0</v>
      </c>
      <c r="J1048" s="3" t="n">
        <v>0</v>
      </c>
      <c r="K1048" s="3" t="n">
        <v>0</v>
      </c>
      <c r="L1048" s="3">
        <f>IF(K1048&lt;-5,"CRÍTICO",IF(K1048&lt;0,"ATENÇÃO",IF(K1048&lt;=5,"BOM","EXCELENTE")))</f>
        <v/>
      </c>
      <c r="M1048" s="3" t="n">
        <v>18</v>
      </c>
      <c r="N1048" s="3" t="n">
        <v>99.48999999999999</v>
      </c>
      <c r="O1048" s="12" t="n">
        <v>40.2</v>
      </c>
    </row>
    <row r="1049">
      <c r="A1049" s="10" t="n">
        <v>46034</v>
      </c>
      <c r="B1049" t="inlineStr">
        <is>
          <t>Emilly Caylane Costa</t>
        </is>
      </c>
      <c r="C1049" s="1" t="inlineStr">
        <is>
          <t>Estágio</t>
        </is>
      </c>
      <c r="D1049" s="3" t="n">
        <v>0</v>
      </c>
      <c r="E1049" s="3" t="n">
        <v>0</v>
      </c>
      <c r="F1049" s="3" t="n">
        <v>0</v>
      </c>
      <c r="G1049" s="3" t="n">
        <v>0</v>
      </c>
      <c r="H1049" s="3" t="n">
        <v>0</v>
      </c>
      <c r="I1049" s="3" t="n">
        <v>0</v>
      </c>
      <c r="J1049" s="3" t="n">
        <v>0</v>
      </c>
      <c r="K1049" s="3" t="n">
        <v>0</v>
      </c>
      <c r="L1049" s="3">
        <f>IF(K1049&lt;-5,"CRÍTICO",IF(K1049&lt;0,"ATENÇÃO",IF(K1049&lt;=5,"BOM","EXCELENTE")))</f>
        <v/>
      </c>
      <c r="M1049" s="3" t="n">
        <v>0</v>
      </c>
      <c r="N1049" s="3" t="n">
        <v>100</v>
      </c>
      <c r="O1049" s="12" t="n">
        <v>25</v>
      </c>
    </row>
    <row r="1050">
      <c r="A1050" s="10" t="n">
        <v>46034</v>
      </c>
      <c r="B1050" t="inlineStr">
        <is>
          <t>Emilly Kamilly Medeiros Miranda</t>
        </is>
      </c>
      <c r="C1050" s="1" t="inlineStr">
        <is>
          <t>Técnico II</t>
        </is>
      </c>
      <c r="D1050" s="3" t="n">
        <v>28</v>
      </c>
      <c r="E1050" s="3" t="n">
        <v>28</v>
      </c>
      <c r="F1050" s="3" t="n">
        <v>17.05</v>
      </c>
      <c r="G1050" s="3" t="n">
        <v>0</v>
      </c>
      <c r="H1050" s="3" t="n">
        <v>0</v>
      </c>
      <c r="I1050" s="3">
        <f>E1050+G1050+H1050</f>
        <v/>
      </c>
      <c r="J1050" s="3">
        <f>ROUND(MIN(IF(C1050="Técnico III",35,IF(C1050="Técnico II",28,IF(C1050="Técnico I",23,IF(C1050="JR",20,IF(C1050="Estágio",10,0))))),IF(C1050="Técnico III",SUMIFS($D:$D,$A:$A,$A1050,$B:$B,"&lt;&gt;Patrícia Karla de Sousa Araújo",$B:$B,"&lt;&gt;Lorena Dias de Araujo",$B:$B,"&lt;&gt;Lucas Luiz Romero")*(35/1083),IF(C1050="Técnico II",SUMIFS($D:$D,$A:$A,$A1050,$B:$B,"&lt;&gt;Patrícia Karla de Sousa Araújo",$B:$B,"&lt;&gt;Lorena Dias de Araujo",$B:$B,"&lt;&gt;Lucas Luiz Romero")*(28/1083),IF(C1050="Técnico I",SUMIFS($D:$D,$A:$A,$A1050,$B:$B,"&lt;&gt;Patrícia Karla de Sousa Araújo",$B:$B,"&lt;&gt;Lorena Dias de Araujo",$B:$B,"&lt;&gt;Lucas Luiz Romero")*(23/1083),IF(C1050="JR",SUMIFS($D:$D,$A:$A,$A1050,$B:$B,"&lt;&gt;Patrícia Karla de Sousa Araújo",$B:$B,"&lt;&gt;Lorena Dias de Araujo",$B:$B,"&lt;&gt;Lucas Luiz Romero")*(20/1083),IF(C1050="Estágio",SUMIFS($D:$D,$A:$A,$A1050,$B:$B,"&lt;&gt;Patrícia Karla de Sousa Araújo",$B:$B,"&lt;&gt;Lorena Dias de Araujo",$B:$B,"&lt;&gt;Lucas Luiz Romero")*(10/1083),0)))))),0)</f>
        <v/>
      </c>
      <c r="K1050" s="3">
        <f>I1050-J1050</f>
        <v/>
      </c>
      <c r="L1050" s="3">
        <f>IF(K1050&lt;-5,"CRÍTICO",IF(K1050&lt;0,"ATENÇÃO",IF(K1050&lt;=5,"BOM","EXCELENTE")))</f>
        <v/>
      </c>
      <c r="M1050" s="3" t="n">
        <v>25</v>
      </c>
      <c r="N1050" s="3" t="n">
        <v>100</v>
      </c>
      <c r="O1050" s="12" t="n">
        <v>34.15094339622641</v>
      </c>
    </row>
    <row r="1051">
      <c r="A1051" s="10" t="n">
        <v>46034</v>
      </c>
      <c r="B1051" t="inlineStr">
        <is>
          <t>Francielson de Oliveira</t>
        </is>
      </c>
      <c r="C1051" s="1" t="inlineStr">
        <is>
          <t>Técnico III</t>
        </is>
      </c>
      <c r="D1051" s="3" t="n">
        <v>19</v>
      </c>
      <c r="E1051" s="3" t="n">
        <v>16</v>
      </c>
      <c r="F1051" s="3" t="n">
        <v>15.49</v>
      </c>
      <c r="G1051" s="3" t="n">
        <v>0</v>
      </c>
      <c r="H1051" s="3" t="n">
        <v>0</v>
      </c>
      <c r="I1051" s="3">
        <f>E1051+G1051+H1051</f>
        <v/>
      </c>
      <c r="J1051" s="3">
        <f>ROUND(MIN(IF(C1051="Técnico III",35,IF(C1051="Técnico II",28,IF(C1051="Técnico I",23,IF(C1051="JR",20,IF(C1051="Estágio",10,0))))),IF(C1051="Técnico III",SUMIFS($D:$D,$A:$A,$A1051,$B:$B,"&lt;&gt;Patrícia Karla de Sousa Araújo",$B:$B,"&lt;&gt;Lorena Dias de Araujo",$B:$B,"&lt;&gt;Lucas Luiz Romero")*(35/1083),IF(C1051="Técnico II",SUMIFS($D:$D,$A:$A,$A1051,$B:$B,"&lt;&gt;Patrícia Karla de Sousa Araújo",$B:$B,"&lt;&gt;Lorena Dias de Araujo",$B:$B,"&lt;&gt;Lucas Luiz Romero")*(28/1083),IF(C1051="Técnico I",SUMIFS($D:$D,$A:$A,$A1051,$B:$B,"&lt;&gt;Patrícia Karla de Sousa Araújo",$B:$B,"&lt;&gt;Lorena Dias de Araujo",$B:$B,"&lt;&gt;Lucas Luiz Romero")*(23/1083),IF(C1051="JR",SUMIFS($D:$D,$A:$A,$A1051,$B:$B,"&lt;&gt;Patrícia Karla de Sousa Araújo",$B:$B,"&lt;&gt;Lorena Dias de Araujo",$B:$B,"&lt;&gt;Lucas Luiz Romero")*(20/1083),IF(C1051="Estágio",SUMIFS($D:$D,$A:$A,$A1051,$B:$B,"&lt;&gt;Patrícia Karla de Sousa Araújo",$B:$B,"&lt;&gt;Lorena Dias de Araujo",$B:$B,"&lt;&gt;Lucas Luiz Romero")*(10/1083),0)))))),0)</f>
        <v/>
      </c>
      <c r="K1051" s="3">
        <f>I1051-J1051</f>
        <v/>
      </c>
      <c r="L1051" s="3">
        <f>IF(K1051&lt;-5,"CRÍTICO",IF(K1051&lt;0,"ATENÇÃO",IF(K1051&lt;=5,"BOM","EXCELENTE")))</f>
        <v/>
      </c>
      <c r="M1051" s="3" t="n">
        <v>17</v>
      </c>
      <c r="N1051" s="3" t="n">
        <v>100</v>
      </c>
      <c r="O1051" s="12" t="n">
        <v>32.7313769751693</v>
      </c>
    </row>
    <row r="1052">
      <c r="A1052" s="10" t="n">
        <v>46034</v>
      </c>
      <c r="B1052" t="inlineStr">
        <is>
          <t>Francilene Ferreira de Jesus</t>
        </is>
      </c>
      <c r="C1052" s="1" t="inlineStr">
        <is>
          <t>Técnico II</t>
        </is>
      </c>
      <c r="D1052" s="3" t="n">
        <v>21</v>
      </c>
      <c r="E1052" s="3" t="n">
        <v>21</v>
      </c>
      <c r="F1052" s="3" t="n">
        <v>33.55</v>
      </c>
      <c r="G1052" s="3" t="n">
        <v>0</v>
      </c>
      <c r="H1052" s="3" t="n">
        <v>0</v>
      </c>
      <c r="I1052" s="3">
        <f>E1052+G1052+H1052</f>
        <v/>
      </c>
      <c r="J1052" s="3">
        <f>ROUND(MIN(IF(C1052="Técnico III",35,IF(C1052="Técnico II",28,IF(C1052="Técnico I",23,IF(C1052="JR",20,IF(C1052="Estágio",10,0))))),IF(C1052="Técnico III",SUMIFS($D:$D,$A:$A,$A1052,$B:$B,"&lt;&gt;Patrícia Karla de Sousa Araújo",$B:$B,"&lt;&gt;Lorena Dias de Araujo",$B:$B,"&lt;&gt;Lucas Luiz Romero")*(35/1083),IF(C1052="Técnico II",SUMIFS($D:$D,$A:$A,$A1052,$B:$B,"&lt;&gt;Patrícia Karla de Sousa Araújo",$B:$B,"&lt;&gt;Lorena Dias de Araujo",$B:$B,"&lt;&gt;Lucas Luiz Romero")*(28/1083),IF(C1052="Técnico I",SUMIFS($D:$D,$A:$A,$A1052,$B:$B,"&lt;&gt;Patrícia Karla de Sousa Araújo",$B:$B,"&lt;&gt;Lorena Dias de Araujo",$B:$B,"&lt;&gt;Lucas Luiz Romero")*(23/1083),IF(C1052="JR",SUMIFS($D:$D,$A:$A,$A1052,$B:$B,"&lt;&gt;Patrícia Karla de Sousa Araújo",$B:$B,"&lt;&gt;Lorena Dias de Araujo",$B:$B,"&lt;&gt;Lucas Luiz Romero")*(20/1083),IF(C1052="Estágio",SUMIFS($D:$D,$A:$A,$A1052,$B:$B,"&lt;&gt;Patrícia Karla de Sousa Araújo",$B:$B,"&lt;&gt;Lorena Dias de Araujo",$B:$B,"&lt;&gt;Lucas Luiz Romero")*(10/1083),0)))))),0)</f>
        <v/>
      </c>
      <c r="K1052" s="3">
        <f>I1052-J1052</f>
        <v/>
      </c>
      <c r="L1052" s="3">
        <f>IF(K1052&lt;-5,"CRÍTICO",IF(K1052&lt;0,"ATENÇÃO",IF(K1052&lt;=5,"BOM","EXCELENTE")))</f>
        <v/>
      </c>
      <c r="M1052" s="3" t="n">
        <v>16</v>
      </c>
      <c r="N1052" s="3" t="n">
        <v>99.31</v>
      </c>
      <c r="O1052" s="12" t="n">
        <v>30.96234309623431</v>
      </c>
    </row>
    <row r="1053">
      <c r="A1053" s="10" t="n">
        <v>46066</v>
      </c>
      <c r="B1053" t="inlineStr">
        <is>
          <t>Gabriel Gomes de Andrade</t>
        </is>
      </c>
      <c r="C1053" s="1" t="inlineStr">
        <is>
          <t>Técnico I</t>
        </is>
      </c>
      <c r="D1053" s="3" t="n">
        <v>1</v>
      </c>
      <c r="E1053" s="3" t="n">
        <v>1</v>
      </c>
      <c r="F1053" s="3" t="n">
        <v>40.4</v>
      </c>
      <c r="G1053" s="3" t="n">
        <v>0</v>
      </c>
      <c r="H1053" s="3" t="n">
        <v>0</v>
      </c>
      <c r="I1053" s="3">
        <f>E1053+G1053+H1053</f>
        <v/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/>
      </c>
      <c r="K1053" s="3">
        <f>I1053-J1053</f>
        <v/>
      </c>
      <c r="L1053" s="3">
        <f>IF(K1053&lt;-5,"CRÍTICO",IF(K1053&lt;0,"ATENÇÃO",IF(K1053&lt;=5,"BOM","EXCELENTE")))</f>
        <v/>
      </c>
      <c r="M1053" s="3" t="n">
        <v>14</v>
      </c>
      <c r="N1053" s="3" t="n">
        <v>96.67</v>
      </c>
      <c r="O1053" s="12" t="n">
        <v>31.45161290322581</v>
      </c>
    </row>
    <row r="1054">
      <c r="A1054" s="10" t="n">
        <v>46034</v>
      </c>
      <c r="B1054" t="inlineStr">
        <is>
          <t>Isabella Borges de Oliveira</t>
        </is>
      </c>
      <c r="C1054" s="1" t="inlineStr">
        <is>
          <t>Técnico II</t>
        </is>
      </c>
      <c r="D1054" s="3" t="n">
        <v>26</v>
      </c>
      <c r="E1054" s="3" t="n">
        <v>25</v>
      </c>
      <c r="F1054" s="3" t="n">
        <v>17.17</v>
      </c>
      <c r="G1054" s="3" t="n">
        <v>0</v>
      </c>
      <c r="H1054" s="3" t="n">
        <v>0</v>
      </c>
      <c r="I1054" s="3">
        <f>E1054+G1054+H1054</f>
        <v/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/>
      </c>
      <c r="K1054" s="3">
        <f>I1054-J1054</f>
        <v/>
      </c>
      <c r="L1054" s="3">
        <f>IF(K1054&lt;-5,"CRÍTICO",IF(K1054&lt;0,"ATENÇÃO",IF(K1054&lt;=5,"BOM","EXCELENTE")))</f>
        <v/>
      </c>
      <c r="M1054" s="3" t="n">
        <v>19</v>
      </c>
      <c r="N1054" s="3" t="n">
        <v>100</v>
      </c>
      <c r="O1054" s="12" t="n">
        <v>27.67676767676768</v>
      </c>
    </row>
    <row r="1055">
      <c r="A1055" s="10" t="n">
        <v>46034</v>
      </c>
      <c r="B1055" t="inlineStr">
        <is>
          <t>Janaina Lima dos Reis Urany</t>
        </is>
      </c>
      <c r="C1055" s="1" t="inlineStr">
        <is>
          <t>Técnico III</t>
        </is>
      </c>
      <c r="D1055" s="3" t="n">
        <v>37</v>
      </c>
      <c r="E1055" s="3" t="n">
        <v>34</v>
      </c>
      <c r="F1055" s="3" t="n">
        <v>17.27</v>
      </c>
      <c r="G1055" s="3" t="n">
        <v>0</v>
      </c>
      <c r="H1055" s="3" t="n">
        <v>0</v>
      </c>
      <c r="I1055" s="3">
        <f>E1055+G1055+H1055</f>
        <v/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/>
      </c>
      <c r="K1055" s="3">
        <f>I1055-J1055</f>
        <v/>
      </c>
      <c r="L1055" s="3">
        <f>IF(K1055&lt;-5,"CRÍTICO",IF(K1055&lt;0,"ATENÇÃO",IF(K1055&lt;=5,"BOM","EXCELENTE")))</f>
        <v/>
      </c>
      <c r="M1055" s="3" t="n">
        <v>33</v>
      </c>
      <c r="N1055" s="3" t="n">
        <v>100</v>
      </c>
      <c r="O1055" s="12" t="n">
        <v>31.17723156532988</v>
      </c>
    </row>
    <row r="1056">
      <c r="A1056" s="10" t="n">
        <v>46034</v>
      </c>
      <c r="B1056" t="inlineStr">
        <is>
          <t>Jaqueline Evangelista da Silva Martins</t>
        </is>
      </c>
      <c r="C1056" s="1" t="inlineStr">
        <is>
          <t>Técnico III</t>
        </is>
      </c>
      <c r="D1056" s="3" t="n">
        <v>1</v>
      </c>
      <c r="E1056" s="3" t="n">
        <v>1</v>
      </c>
      <c r="F1056" s="3" t="n">
        <v>31.49</v>
      </c>
      <c r="G1056" s="3" t="n">
        <v>0</v>
      </c>
      <c r="H1056" s="3" t="n">
        <v>0</v>
      </c>
      <c r="I1056" s="3">
        <f>E1056+G1056+H1056</f>
        <v/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/>
      </c>
      <c r="K1056" s="3">
        <f>I1056-J1056</f>
        <v/>
      </c>
      <c r="L1056" s="3">
        <f>IF(K1056&lt;-5,"CRÍTICO",IF(K1056&lt;0,"ATENÇÃO",IF(K1056&lt;=5,"BOM","EXCELENTE")))</f>
        <v/>
      </c>
      <c r="M1056" s="3" t="n">
        <v>1</v>
      </c>
      <c r="N1056" s="3" t="n">
        <v>100</v>
      </c>
      <c r="O1056" s="12" t="n">
        <v>27.60942760942761</v>
      </c>
    </row>
    <row r="1057">
      <c r="A1057" s="10" t="n">
        <v>46034</v>
      </c>
      <c r="B1057" t="inlineStr">
        <is>
          <t>Jessica Faria da Silveira</t>
        </is>
      </c>
      <c r="C1057" s="1" t="inlineStr">
        <is>
          <t>Técnico II</t>
        </is>
      </c>
      <c r="D1057" s="3" t="n">
        <v>34</v>
      </c>
      <c r="E1057" s="3" t="n">
        <v>24</v>
      </c>
      <c r="F1057" s="3" t="n">
        <v>16.5</v>
      </c>
      <c r="G1057" s="3" t="n">
        <v>0</v>
      </c>
      <c r="H1057" s="3" t="n">
        <v>0</v>
      </c>
      <c r="I1057" s="3">
        <f>E1057+G1057+H1057</f>
        <v/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/>
      </c>
      <c r="K1057" s="3">
        <f>I1057-J1057</f>
        <v/>
      </c>
      <c r="L1057" s="3">
        <f>IF(K1057&lt;-5,"CRÍTICO",IF(K1057&lt;0,"ATENÇÃO",IF(K1057&lt;=5,"BOM","EXCELENTE")))</f>
        <v/>
      </c>
      <c r="M1057" s="3" t="n">
        <v>21</v>
      </c>
      <c r="N1057" s="3" t="n">
        <v>96.40000000000001</v>
      </c>
      <c r="O1057" s="12" t="n">
        <v>28.76404494382023</v>
      </c>
    </row>
    <row r="1058">
      <c r="A1058" s="10" t="n">
        <v>46034</v>
      </c>
      <c r="B1058" t="inlineStr">
        <is>
          <t>Jéssica Fé Moura</t>
        </is>
      </c>
      <c r="C1058" s="1" t="inlineStr">
        <is>
          <t>Técnico III</t>
        </is>
      </c>
      <c r="D1058" s="3" t="n">
        <v>0</v>
      </c>
      <c r="E1058" s="3" t="n">
        <v>0</v>
      </c>
      <c r="F1058" s="3" t="n">
        <v>0</v>
      </c>
      <c r="G1058" s="3" t="n">
        <v>0</v>
      </c>
      <c r="H1058" s="3" t="n">
        <v>0</v>
      </c>
      <c r="I1058" s="3" t="n">
        <v>0</v>
      </c>
      <c r="J1058" s="3" t="n">
        <v>0</v>
      </c>
      <c r="K1058" s="3" t="n">
        <v>0</v>
      </c>
      <c r="L1058" s="3">
        <f>IF(K1058&lt;-5,"CRÍTICO",IF(K1058&lt;0,"ATENÇÃO",IF(K1058&lt;=5,"BOM","EXCELENTE")))</f>
        <v/>
      </c>
      <c r="M1058" s="3" t="n">
        <v>14</v>
      </c>
      <c r="N1058" s="3" t="n">
        <v>100</v>
      </c>
      <c r="O1058" s="12" t="n">
        <v>33.98058252427185</v>
      </c>
    </row>
    <row r="1059">
      <c r="A1059" s="10" t="n">
        <v>46034</v>
      </c>
      <c r="B1059" t="inlineStr">
        <is>
          <t>Karina Gonçalves Martins</t>
        </is>
      </c>
      <c r="C1059" s="1" t="inlineStr">
        <is>
          <t>JR</t>
        </is>
      </c>
      <c r="D1059" s="3" t="n">
        <v>11</v>
      </c>
      <c r="E1059" s="3" t="n">
        <v>11</v>
      </c>
      <c r="F1059" s="3" t="n">
        <v>17.1</v>
      </c>
      <c r="G1059" s="3" t="n">
        <v>0</v>
      </c>
      <c r="H1059" s="3" t="n">
        <v>0</v>
      </c>
      <c r="I1059" s="3">
        <f>E1059+G1059+H1059</f>
        <v/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/>
      </c>
      <c r="K1059" s="3">
        <f>I1059-J1059</f>
        <v/>
      </c>
      <c r="L1059" s="3">
        <f>IF(K1059&lt;-5,"CRÍTICO",IF(K1059&lt;0,"ATENÇÃO",IF(K1059&lt;=5,"BOM","EXCELENTE")))</f>
        <v/>
      </c>
      <c r="M1059" s="3" t="n">
        <v>11</v>
      </c>
      <c r="N1059" s="3" t="n">
        <v>97.56</v>
      </c>
      <c r="O1059" s="12" t="n">
        <v>32.51533742331289</v>
      </c>
    </row>
    <row r="1060">
      <c r="A1060" s="10" t="n">
        <v>46034</v>
      </c>
      <c r="B1060" t="inlineStr">
        <is>
          <t>Kerollen Cristielly de Jesus Siqueira</t>
        </is>
      </c>
      <c r="C1060" s="1" t="inlineStr">
        <is>
          <t>Técnico III</t>
        </is>
      </c>
      <c r="D1060" s="3" t="n">
        <v>1</v>
      </c>
      <c r="E1060" s="3" t="n">
        <v>1</v>
      </c>
      <c r="F1060" s="3" t="n">
        <v>15.48</v>
      </c>
      <c r="G1060" s="3" t="n">
        <v>0</v>
      </c>
      <c r="H1060" s="3" t="n">
        <v>0</v>
      </c>
      <c r="I1060" s="3">
        <f>E1060+G1060+H1060</f>
        <v/>
      </c>
      <c r="J1060" s="3">
        <f>ROUND(MIN(IF(C1060="Técnico III",35,IF(C1060="Técnico II",28,IF(C1060="Técnico I",23,IF(C1060="JR",20,IF(C1060="Estágio",10,0))))),IF(C1060="Técnico III",SUMIFS($D:$D,$A:$A,$A1060,$B:$B,"&lt;&gt;Patrícia Karla de Sousa Araújo",$B:$B,"&lt;&gt;Lorena Dias de Araujo",$B:$B,"&lt;&gt;Lucas Luiz Romero")*(35/1083),IF(C1060="Técnico II",SUMIFS($D:$D,$A:$A,$A1060,$B:$B,"&lt;&gt;Patrícia Karla de Sousa Araújo",$B:$B,"&lt;&gt;Lorena Dias de Araujo",$B:$B,"&lt;&gt;Lucas Luiz Romero")*(28/1083),IF(C1060="Técnico I",SUMIFS($D:$D,$A:$A,$A1060,$B:$B,"&lt;&gt;Patrícia Karla de Sousa Araújo",$B:$B,"&lt;&gt;Lorena Dias de Araujo",$B:$B,"&lt;&gt;Lucas Luiz Romero")*(23/1083),IF(C1060="JR",SUMIFS($D:$D,$A:$A,$A1060,$B:$B,"&lt;&gt;Patrícia Karla de Sousa Araújo",$B:$B,"&lt;&gt;Lorena Dias de Araujo",$B:$B,"&lt;&gt;Lucas Luiz Romero")*(20/1083),IF(C1060="Estágio",SUMIFS($D:$D,$A:$A,$A1060,$B:$B,"&lt;&gt;Patrícia Karla de Sousa Araújo",$B:$B,"&lt;&gt;Lorena Dias de Araujo",$B:$B,"&lt;&gt;Lucas Luiz Romero")*(10/1083),0)))))),0)</f>
        <v/>
      </c>
      <c r="K1060" s="3">
        <f>I1060-J1060</f>
        <v/>
      </c>
      <c r="L1060" s="3">
        <f>IF(K1060&lt;-5,"CRÍTICO",IF(K1060&lt;0,"ATENÇÃO",IF(K1060&lt;=5,"BOM","EXCELENTE")))</f>
        <v/>
      </c>
      <c r="M1060" s="3" t="n">
        <v>29</v>
      </c>
      <c r="N1060" s="3" t="n">
        <v>97.11</v>
      </c>
      <c r="O1060" s="12" t="n">
        <v>37.40831295843521</v>
      </c>
    </row>
    <row r="1061">
      <c r="A1061" s="10" t="n">
        <v>46034</v>
      </c>
      <c r="B1061" t="inlineStr">
        <is>
          <t>Leandro de Souza Silva</t>
        </is>
      </c>
      <c r="C1061" s="1" t="inlineStr">
        <is>
          <t>JR</t>
        </is>
      </c>
      <c r="D1061" s="3" t="n">
        <v>0</v>
      </c>
      <c r="E1061" s="3" t="n">
        <v>0</v>
      </c>
      <c r="F1061" s="3" t="n">
        <v>0</v>
      </c>
      <c r="G1061" s="3" t="n">
        <v>0</v>
      </c>
      <c r="H1061" s="3" t="n">
        <v>0</v>
      </c>
      <c r="I1061" s="3" t="n">
        <v>0</v>
      </c>
      <c r="J1061" s="3" t="n">
        <v>0</v>
      </c>
      <c r="K1061" s="3" t="n">
        <v>0</v>
      </c>
      <c r="L1061" s="3">
        <f>IF(K1061&lt;-5,"CRÍTICO",IF(K1061&lt;0,"ATENÇÃO",IF(K1061&lt;=5,"BOM","EXCELENTE")))</f>
        <v/>
      </c>
      <c r="M1061" s="3" t="n">
        <v>0</v>
      </c>
      <c r="N1061" s="3" t="n">
        <v>0</v>
      </c>
      <c r="O1061" s="12" t="n">
        <v>0</v>
      </c>
    </row>
    <row r="1062">
      <c r="A1062" s="10" t="n">
        <v>46034</v>
      </c>
      <c r="B1062" t="inlineStr">
        <is>
          <t>Leandro Oliveira de Sousa</t>
        </is>
      </c>
      <c r="C1062" s="1" t="inlineStr">
        <is>
          <t>Técnico III</t>
        </is>
      </c>
      <c r="D1062" s="3" t="n">
        <v>29</v>
      </c>
      <c r="E1062" s="3" t="n">
        <v>26</v>
      </c>
      <c r="F1062" s="3" t="n">
        <v>13.35</v>
      </c>
      <c r="G1062" s="3" t="n">
        <v>0</v>
      </c>
      <c r="H1062" s="3" t="n">
        <v>0</v>
      </c>
      <c r="I1062" s="3">
        <f>E1062+G1062+H1062</f>
        <v/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/>
      </c>
      <c r="K1062" s="3">
        <f>I1062-J1062</f>
        <v/>
      </c>
      <c r="L1062" s="3">
        <f>IF(K1062&lt;-5,"CRÍTICO",IF(K1062&lt;0,"ATENÇÃO",IF(K1062&lt;=5,"BOM","EXCELENTE")))</f>
        <v/>
      </c>
      <c r="M1062" s="3" t="n">
        <v>28</v>
      </c>
      <c r="N1062" s="3" t="n">
        <v>100</v>
      </c>
      <c r="O1062" s="12" t="n">
        <v>30.47034764826176</v>
      </c>
    </row>
    <row r="1063">
      <c r="A1063" s="10" t="n">
        <v>46034</v>
      </c>
      <c r="B1063" t="inlineStr">
        <is>
          <t>Lizandra Gomes Duarte</t>
        </is>
      </c>
      <c r="C1063" s="1" t="inlineStr">
        <is>
          <t>Técnico II</t>
        </is>
      </c>
      <c r="D1063" s="3" t="n">
        <v>26</v>
      </c>
      <c r="E1063" s="3" t="n">
        <v>25</v>
      </c>
      <c r="F1063" s="3" t="n">
        <v>20.58</v>
      </c>
      <c r="G1063" s="3" t="n">
        <v>0</v>
      </c>
      <c r="H1063" s="3" t="n">
        <v>0</v>
      </c>
      <c r="I1063" s="3">
        <f>E1063+G1063+H1063</f>
        <v/>
      </c>
      <c r="J1063" s="3">
        <f>ROUND(MIN(IF(C1063="Técnico III",35,IF(C1063="Técnico II",28,IF(C1063="Técnico I",23,IF(C1063="JR",20,IF(C1063="Estágio",10,0))))),IF(C1063="Técnico III",SUMIFS($D:$D,$A:$A,$A1063,$B:$B,"&lt;&gt;Patrícia Karla de Sousa Araújo",$B:$B,"&lt;&gt;Lorena Dias de Araujo",$B:$B,"&lt;&gt;Lucas Luiz Romero")*(35/1083),IF(C1063="Técnico II",SUMIFS($D:$D,$A:$A,$A1063,$B:$B,"&lt;&gt;Patrícia Karla de Sousa Araújo",$B:$B,"&lt;&gt;Lorena Dias de Araujo",$B:$B,"&lt;&gt;Lucas Luiz Romero")*(28/1083),IF(C1063="Técnico I",SUMIFS($D:$D,$A:$A,$A1063,$B:$B,"&lt;&gt;Patrícia Karla de Sousa Araújo",$B:$B,"&lt;&gt;Lorena Dias de Araujo",$B:$B,"&lt;&gt;Lucas Luiz Romero")*(23/1083),IF(C1063="JR",SUMIFS($D:$D,$A:$A,$A1063,$B:$B,"&lt;&gt;Patrícia Karla de Sousa Araújo",$B:$B,"&lt;&gt;Lorena Dias de Araujo",$B:$B,"&lt;&gt;Lucas Luiz Romero")*(20/1083),IF(C1063="Estágio",SUMIFS($D:$D,$A:$A,$A1063,$B:$B,"&lt;&gt;Patrícia Karla de Sousa Araújo",$B:$B,"&lt;&gt;Lorena Dias de Araujo",$B:$B,"&lt;&gt;Lucas Luiz Romero")*(10/1083),0)))))),0)</f>
        <v/>
      </c>
      <c r="K1063" s="3">
        <f>I1063-J1063</f>
        <v/>
      </c>
      <c r="L1063" s="3">
        <f>IF(K1063&lt;-5,"CRÍTICO",IF(K1063&lt;0,"ATENÇÃO",IF(K1063&lt;=5,"BOM","EXCELENTE")))</f>
        <v/>
      </c>
      <c r="M1063" s="3" t="n">
        <v>22</v>
      </c>
      <c r="N1063" s="3" t="n">
        <v>100</v>
      </c>
      <c r="O1063" s="12" t="n">
        <v>32.37113402061856</v>
      </c>
    </row>
    <row r="1064">
      <c r="A1064" s="10" t="n">
        <v>46034</v>
      </c>
      <c r="B1064" t="inlineStr">
        <is>
          <t>Lorena Dias de Araujo</t>
        </is>
      </c>
      <c r="C1064" s="1" t="inlineStr">
        <is>
          <t>Técnico II</t>
        </is>
      </c>
      <c r="D1064" s="3" t="n">
        <v>14</v>
      </c>
      <c r="E1064" s="3" t="n">
        <v>14</v>
      </c>
      <c r="F1064" s="3" t="n">
        <v>25.14</v>
      </c>
      <c r="G1064" s="3" t="n">
        <v>0</v>
      </c>
      <c r="H1064" s="3" t="n">
        <v>0</v>
      </c>
      <c r="I1064" s="3" t="n">
        <v>0</v>
      </c>
      <c r="J1064" s="3" t="n">
        <v>0</v>
      </c>
      <c r="K1064" s="3" t="n">
        <v>0</v>
      </c>
      <c r="L1064" s="3">
        <f>IF(K1064&lt;-5,"CRÍTICO",IF(K1064&lt;0,"ATENÇÃO",IF(K1064&lt;=5,"BOM","EXCELENTE")))</f>
        <v/>
      </c>
      <c r="M1064" s="3" t="n">
        <v>14</v>
      </c>
      <c r="N1064" s="3" t="n">
        <v>98.31999999999999</v>
      </c>
      <c r="O1064" s="12" t="n">
        <v>32.31850117096019</v>
      </c>
    </row>
    <row r="1065">
      <c r="A1065" s="10" t="n">
        <v>46034</v>
      </c>
      <c r="B1065" t="inlineStr">
        <is>
          <t>Lucas Luiz Romero</t>
        </is>
      </c>
      <c r="C1065" s="1" t="inlineStr">
        <is>
          <t>Técnico III</t>
        </is>
      </c>
      <c r="D1065" s="3" t="n">
        <v>37</v>
      </c>
      <c r="E1065" s="3" t="n">
        <v>27</v>
      </c>
      <c r="F1065" s="3" t="n">
        <v>10.15</v>
      </c>
      <c r="G1065" s="3" t="n">
        <v>0</v>
      </c>
      <c r="H1065" s="3" t="n">
        <v>0</v>
      </c>
      <c r="I1065" s="3">
        <f>E1065+G1065+H1065</f>
        <v/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/>
      </c>
      <c r="K1065" s="3">
        <f>I1065-J1065</f>
        <v/>
      </c>
      <c r="L1065" s="3">
        <f>IF(K1065&lt;-5,"CRÍTICO",IF(K1065&lt;0,"ATENÇÃO",IF(K1065&lt;=5,"BOM","EXCELENTE")))</f>
        <v/>
      </c>
      <c r="M1065" s="3" t="n">
        <v>25</v>
      </c>
      <c r="N1065" s="3" t="n">
        <v>96.43000000000001</v>
      </c>
      <c r="O1065" s="12" t="n">
        <v>27.01525054466231</v>
      </c>
    </row>
    <row r="1066">
      <c r="A1066" s="10" t="n">
        <v>46034</v>
      </c>
      <c r="B1066" t="inlineStr">
        <is>
          <t>Luiz Fernando de Carvalho Junior</t>
        </is>
      </c>
      <c r="C1066" s="1" t="inlineStr">
        <is>
          <t>Técnico I</t>
        </is>
      </c>
      <c r="D1066" s="3" t="n">
        <v>20</v>
      </c>
      <c r="E1066" s="3" t="n">
        <v>19</v>
      </c>
      <c r="F1066" s="3" t="n">
        <v>18.59</v>
      </c>
      <c r="G1066" s="3" t="n">
        <v>0</v>
      </c>
      <c r="H1066" s="3" t="n">
        <v>0</v>
      </c>
      <c r="I1066" s="3">
        <f>E1066+G1066+H1066</f>
        <v/>
      </c>
      <c r="J1066" s="3">
        <f>ROUND(MIN(IF(C1066="Técnico III",35,IF(C1066="Técnico II",28,IF(C1066="Técnico I",23,IF(C1066="JR",20,IF(C1066="Estágio",10,0))))),IF(C1066="Técnico III",SUMIFS($D:$D,$A:$A,$A1066,$B:$B,"&lt;&gt;Patrícia Karla de Sousa Araújo",$B:$B,"&lt;&gt;Lorena Dias de Araujo",$B:$B,"&lt;&gt;Lucas Luiz Romero")*(35/1083),IF(C1066="Técnico II",SUMIFS($D:$D,$A:$A,$A1066,$B:$B,"&lt;&gt;Patrícia Karla de Sousa Araújo",$B:$B,"&lt;&gt;Lorena Dias de Araujo",$B:$B,"&lt;&gt;Lucas Luiz Romero")*(28/1083),IF(C1066="Técnico I",SUMIFS($D:$D,$A:$A,$A1066,$B:$B,"&lt;&gt;Patrícia Karla de Sousa Araújo",$B:$B,"&lt;&gt;Lorena Dias de Araujo",$B:$B,"&lt;&gt;Lucas Luiz Romero")*(23/1083),IF(C1066="JR",SUMIFS($D:$D,$A:$A,$A1066,$B:$B,"&lt;&gt;Patrícia Karla de Sousa Araújo",$B:$B,"&lt;&gt;Lorena Dias de Araujo",$B:$B,"&lt;&gt;Lucas Luiz Romero")*(20/1083),IF(C1066="Estágio",SUMIFS($D:$D,$A:$A,$A1066,$B:$B,"&lt;&gt;Patrícia Karla de Sousa Araújo",$B:$B,"&lt;&gt;Lorena Dias de Araujo",$B:$B,"&lt;&gt;Lucas Luiz Romero")*(10/1083),0)))))),0)</f>
        <v/>
      </c>
      <c r="K1066" s="3">
        <f>I1066-J1066</f>
        <v/>
      </c>
      <c r="L1066" s="3">
        <f>IF(K1066&lt;-5,"CRÍTICO",IF(K1066&lt;0,"ATENÇÃO",IF(K1066&lt;=5,"BOM","EXCELENTE")))</f>
        <v/>
      </c>
      <c r="M1066" s="3" t="n">
        <v>18</v>
      </c>
      <c r="N1066" s="3" t="n">
        <v>98.89</v>
      </c>
      <c r="O1066" s="12" t="n">
        <v>28.02197802197802</v>
      </c>
    </row>
    <row r="1067">
      <c r="A1067" s="10" t="n">
        <v>46034</v>
      </c>
      <c r="B1067" t="inlineStr">
        <is>
          <t>Maria Eduarda Sousa Costa</t>
        </is>
      </c>
      <c r="C1067" s="1" t="inlineStr">
        <is>
          <t>Estágio</t>
        </is>
      </c>
      <c r="D1067" s="3" t="n">
        <v>4</v>
      </c>
      <c r="E1067" s="3" t="n">
        <v>4</v>
      </c>
      <c r="F1067" s="3" t="n">
        <v>96.56</v>
      </c>
      <c r="G1067" s="3" t="n">
        <v>0</v>
      </c>
      <c r="H1067" s="3" t="n">
        <v>0</v>
      </c>
      <c r="I1067" s="3">
        <f>E1067+G1067+H1067</f>
        <v/>
      </c>
      <c r="J1067" s="3">
        <f>ROUND(MIN(IF(C1067="Técnico III",35,IF(C1067="Técnico II",28,IF(C1067="Técnico I",23,IF(C1067="JR",20,IF(C1067="Estágio",10,0))))),IF(C1067="Técnico III",SUMIFS($D:$D,$A:$A,$A1067,$B:$B,"&lt;&gt;Patrícia Karla de Sousa Araújo",$B:$B,"&lt;&gt;Lorena Dias de Araujo",$B:$B,"&lt;&gt;Lucas Luiz Romero")*(35/1083),IF(C1067="Técnico II",SUMIFS($D:$D,$A:$A,$A1067,$B:$B,"&lt;&gt;Patrícia Karla de Sousa Araújo",$B:$B,"&lt;&gt;Lorena Dias de Araujo",$B:$B,"&lt;&gt;Lucas Luiz Romero")*(28/1083),IF(C1067="Técnico I",SUMIFS($D:$D,$A:$A,$A1067,$B:$B,"&lt;&gt;Patrícia Karla de Sousa Araújo",$B:$B,"&lt;&gt;Lorena Dias de Araujo",$B:$B,"&lt;&gt;Lucas Luiz Romero")*(23/1083),IF(C1067="JR",SUMIFS($D:$D,$A:$A,$A1067,$B:$B,"&lt;&gt;Patrícia Karla de Sousa Araújo",$B:$B,"&lt;&gt;Lorena Dias de Araujo",$B:$B,"&lt;&gt;Lucas Luiz Romero")*(20/1083),IF(C1067="Estágio",SUMIFS($D:$D,$A:$A,$A1067,$B:$B,"&lt;&gt;Patrícia Karla de Sousa Araújo",$B:$B,"&lt;&gt;Lorena Dias de Araujo",$B:$B,"&lt;&gt;Lucas Luiz Romero")*(10/1083),0)))))),0)</f>
        <v/>
      </c>
      <c r="K1067" s="3">
        <f>I1067-J1067</f>
        <v/>
      </c>
      <c r="L1067" s="3">
        <f>IF(K1067&lt;-5,"CRÍTICO",IF(K1067&lt;0,"ATENÇÃO",IF(K1067&lt;=5,"BOM","EXCELENTE")))</f>
        <v/>
      </c>
      <c r="M1067" s="3" t="n">
        <v>4</v>
      </c>
      <c r="N1067" s="3" t="n">
        <v>100</v>
      </c>
      <c r="O1067" s="12" t="n">
        <v>33.33333333333333</v>
      </c>
    </row>
    <row r="1068">
      <c r="A1068" s="10" t="n">
        <v>46034</v>
      </c>
      <c r="B1068" t="inlineStr">
        <is>
          <t>Matheus Farias De Souza</t>
        </is>
      </c>
      <c r="C1068" s="1" t="inlineStr">
        <is>
          <t>Técnico III</t>
        </is>
      </c>
      <c r="D1068" s="3" t="n">
        <v>0</v>
      </c>
      <c r="E1068" s="3" t="n">
        <v>0</v>
      </c>
      <c r="F1068" s="3" t="n">
        <v>0</v>
      </c>
      <c r="G1068" s="3" t="n">
        <v>0</v>
      </c>
      <c r="H1068" s="3" t="n">
        <v>0</v>
      </c>
      <c r="I1068" s="3" t="n">
        <v>0</v>
      </c>
      <c r="J1068" s="3" t="n">
        <v>0</v>
      </c>
      <c r="K1068" s="3" t="n">
        <v>0</v>
      </c>
      <c r="L1068" s="3">
        <f>IF(K1068&lt;-5,"CRÍTICO",IF(K1068&lt;0,"ATENÇÃO",IF(K1068&lt;=5,"BOM","EXCELENTE")))</f>
        <v/>
      </c>
      <c r="M1068" s="3" t="n">
        <v>0</v>
      </c>
      <c r="N1068" s="3" t="n">
        <v>100</v>
      </c>
      <c r="O1068" s="12" t="n">
        <v>27.43362831858407</v>
      </c>
    </row>
    <row r="1069">
      <c r="A1069" s="10" t="n">
        <v>46034</v>
      </c>
      <c r="B1069" t="inlineStr">
        <is>
          <t>Maysa Victoria Dias Moura</t>
        </is>
      </c>
      <c r="C1069" s="1" t="inlineStr">
        <is>
          <t>Técnico III</t>
        </is>
      </c>
      <c r="D1069" s="3" t="n">
        <v>35</v>
      </c>
      <c r="E1069" s="3" t="n">
        <v>30</v>
      </c>
      <c r="F1069" s="3" t="n">
        <v>15.19</v>
      </c>
      <c r="G1069" s="3" t="n">
        <v>0</v>
      </c>
      <c r="H1069" s="3" t="n">
        <v>0</v>
      </c>
      <c r="I1069" s="3">
        <f>E1069+G1069+H1069</f>
        <v/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/>
      </c>
      <c r="K1069" s="3">
        <f>I1069-J1069</f>
        <v/>
      </c>
      <c r="L1069" s="3">
        <f>IF(K1069&lt;-5,"CRÍTICO",IF(K1069&lt;0,"ATENÇÃO",IF(K1069&lt;=5,"BOM","EXCELENTE")))</f>
        <v/>
      </c>
      <c r="M1069" s="3" t="n">
        <v>30</v>
      </c>
      <c r="N1069" s="3" t="n">
        <v>98.65000000000001</v>
      </c>
      <c r="O1069" s="12" t="n">
        <v>30.97826086956522</v>
      </c>
    </row>
    <row r="1070">
      <c r="A1070" s="10" t="n">
        <v>46034</v>
      </c>
      <c r="B1070" t="inlineStr">
        <is>
          <t>Michelle G Santos</t>
        </is>
      </c>
      <c r="C1070" s="1" t="inlineStr">
        <is>
          <t>Estágio</t>
        </is>
      </c>
      <c r="D1070" s="3" t="n">
        <v>0</v>
      </c>
      <c r="E1070" s="3" t="n">
        <v>0</v>
      </c>
      <c r="F1070" s="3" t="n">
        <v>0</v>
      </c>
      <c r="G1070" s="3" t="n">
        <v>0</v>
      </c>
      <c r="H1070" s="3" t="n">
        <v>0</v>
      </c>
      <c r="I1070" s="3" t="n">
        <v>0</v>
      </c>
      <c r="J1070" s="3" t="n">
        <v>0</v>
      </c>
      <c r="K1070" s="3" t="n">
        <v>0</v>
      </c>
      <c r="L1070" s="3">
        <f>IF(K1070&lt;-5,"CRÍTICO",IF(K1070&lt;0,"ATENÇÃO",IF(K1070&lt;=5,"BOM","EXCELENTE")))</f>
        <v/>
      </c>
      <c r="M1070" s="3" t="n">
        <v>0</v>
      </c>
      <c r="N1070" s="3" t="n">
        <v>100</v>
      </c>
      <c r="O1070" s="12" t="n">
        <v>12</v>
      </c>
    </row>
    <row r="1071">
      <c r="A1071" s="10" t="n">
        <v>46034</v>
      </c>
      <c r="B1071" t="inlineStr">
        <is>
          <t>Milena Sales</t>
        </is>
      </c>
      <c r="C1071" s="1" t="inlineStr">
        <is>
          <t>JR</t>
        </is>
      </c>
      <c r="D1071" s="3" t="n">
        <v>0</v>
      </c>
      <c r="E1071" s="3" t="n">
        <v>0</v>
      </c>
      <c r="F1071" s="3" t="n">
        <v>0</v>
      </c>
      <c r="G1071" s="3" t="n">
        <v>0</v>
      </c>
      <c r="H1071" s="3" t="n">
        <v>0</v>
      </c>
      <c r="I1071" s="3" t="n">
        <v>0</v>
      </c>
      <c r="J1071" s="3" t="n">
        <v>0</v>
      </c>
      <c r="K1071" s="3" t="n">
        <v>0</v>
      </c>
      <c r="L1071" s="3">
        <f>IF(K1071&lt;-5,"CRÍTICO",IF(K1071&lt;0,"ATENÇÃO",IF(K1071&lt;=5,"BOM","EXCELENTE")))</f>
        <v/>
      </c>
      <c r="M1071" s="3" t="n">
        <v>0</v>
      </c>
      <c r="N1071" s="3" t="n">
        <v>0</v>
      </c>
      <c r="O1071" s="12" t="n">
        <v>0</v>
      </c>
    </row>
    <row r="1072">
      <c r="A1072" s="10" t="n">
        <v>46034</v>
      </c>
      <c r="B1072" t="inlineStr">
        <is>
          <t>Patrícia Karla de Sousa Araújo</t>
        </is>
      </c>
      <c r="C1072" s="1" t="inlineStr">
        <is>
          <t>Técnico II</t>
        </is>
      </c>
      <c r="D1072" s="3" t="n">
        <v>0</v>
      </c>
      <c r="E1072" s="3" t="n">
        <v>0</v>
      </c>
      <c r="F1072" s="3" t="n">
        <v>0</v>
      </c>
      <c r="G1072" s="3" t="n">
        <v>0</v>
      </c>
      <c r="H1072" s="3" t="n">
        <v>0</v>
      </c>
      <c r="I1072" s="3" t="n">
        <v>0</v>
      </c>
      <c r="J1072" s="3" t="n">
        <v>0</v>
      </c>
      <c r="K1072" s="3" t="n">
        <v>0</v>
      </c>
      <c r="L1072" s="3">
        <f>IF(K1072&lt;-5,"CRÍTICO",IF(K1072&lt;0,"ATENÇÃO",IF(K1072&lt;=5,"BOM","EXCELENTE")))</f>
        <v/>
      </c>
      <c r="M1072" s="3" t="n">
        <v>0</v>
      </c>
      <c r="N1072" s="3" t="n">
        <v>97.56</v>
      </c>
      <c r="O1072" s="12" t="n">
        <v>31.06796116504854</v>
      </c>
    </row>
    <row r="1073">
      <c r="A1073" s="10" t="n">
        <v>46034</v>
      </c>
      <c r="B1073" t="inlineStr">
        <is>
          <t>Paulo Ricardo Santos</t>
        </is>
      </c>
      <c r="C1073" s="1" t="inlineStr">
        <is>
          <t>JR</t>
        </is>
      </c>
      <c r="D1073" s="3" t="n">
        <v>0</v>
      </c>
      <c r="E1073" s="3" t="n">
        <v>0</v>
      </c>
      <c r="F1073" s="3" t="n">
        <v>0</v>
      </c>
      <c r="G1073" s="3" t="n">
        <v>0</v>
      </c>
      <c r="H1073" s="3" t="n">
        <v>0</v>
      </c>
      <c r="I1073" s="3" t="n">
        <v>0</v>
      </c>
      <c r="J1073" s="3" t="n">
        <v>0</v>
      </c>
      <c r="K1073" s="3" t="n">
        <v>0</v>
      </c>
      <c r="L1073" s="3">
        <f>IF(K1073&lt;-5,"CRÍTICO",IF(K1073&lt;0,"ATENÇÃO",IF(K1073&lt;=5,"BOM","EXCELENTE")))</f>
        <v/>
      </c>
      <c r="M1073" s="3" t="n">
        <v>0</v>
      </c>
      <c r="N1073" s="3" t="n">
        <v>0</v>
      </c>
      <c r="O1073" s="12" t="n">
        <v>0</v>
      </c>
    </row>
    <row r="1074">
      <c r="A1074" s="10" t="n">
        <v>46034</v>
      </c>
      <c r="B1074" t="inlineStr">
        <is>
          <t>Pedro Luiz Mota Sousa</t>
        </is>
      </c>
      <c r="C1074" s="1" t="inlineStr">
        <is>
          <t>JR</t>
        </is>
      </c>
      <c r="D1074" s="3" t="n">
        <v>0</v>
      </c>
      <c r="E1074" s="3" t="n">
        <v>0</v>
      </c>
      <c r="F1074" s="3" t="n">
        <v>0</v>
      </c>
      <c r="G1074" s="3" t="n">
        <v>0</v>
      </c>
      <c r="H1074" s="3" t="n">
        <v>0</v>
      </c>
      <c r="I1074" s="3" t="n">
        <v>0</v>
      </c>
      <c r="J1074" s="3" t="n">
        <v>0</v>
      </c>
      <c r="K1074" s="3" t="n">
        <v>0</v>
      </c>
      <c r="L1074" s="3">
        <f>IF(K1074&lt;-5,"CRÍTICO",IF(K1074&lt;0,"ATENÇÃO",IF(K1074&lt;=5,"BOM","EXCELENTE")))</f>
        <v/>
      </c>
      <c r="M1074" s="3" t="n">
        <v>0</v>
      </c>
      <c r="N1074" s="3" t="n">
        <v>0</v>
      </c>
      <c r="O1074" s="12" t="n">
        <v>0</v>
      </c>
    </row>
    <row r="1075">
      <c r="A1075" s="10" t="n">
        <v>46034</v>
      </c>
      <c r="B1075" t="inlineStr">
        <is>
          <t>Quirino Diogo Leite Torres</t>
        </is>
      </c>
      <c r="C1075" s="1" t="inlineStr">
        <is>
          <t>Estágio</t>
        </is>
      </c>
      <c r="D1075" s="3" t="n">
        <v>0</v>
      </c>
      <c r="E1075" s="3" t="n">
        <v>0</v>
      </c>
      <c r="F1075" s="3" t="n">
        <v>0</v>
      </c>
      <c r="G1075" s="3" t="n">
        <v>0</v>
      </c>
      <c r="H1075" s="3" t="n">
        <v>0</v>
      </c>
      <c r="I1075" s="3" t="n">
        <v>0</v>
      </c>
      <c r="J1075" s="3" t="n">
        <v>0</v>
      </c>
      <c r="K1075" s="3" t="n">
        <v>0</v>
      </c>
      <c r="L1075" s="3">
        <f>IF(K1075&lt;-5,"CRÍTICO",IF(K1075&lt;0,"ATENÇÃO",IF(K1075&lt;=5,"BOM","EXCELENTE")))</f>
        <v/>
      </c>
      <c r="M1075" s="3" t="n">
        <v>0</v>
      </c>
      <c r="N1075" s="3" t="n">
        <v>0</v>
      </c>
      <c r="O1075" s="12" t="n">
        <v>0</v>
      </c>
    </row>
    <row r="1076">
      <c r="A1076" s="10" t="n">
        <v>46034</v>
      </c>
      <c r="B1076" t="inlineStr">
        <is>
          <t>Raane Batista Matos</t>
        </is>
      </c>
      <c r="C1076" s="1" t="inlineStr">
        <is>
          <t>Técnico I</t>
        </is>
      </c>
      <c r="D1076" s="3" t="n">
        <v>0</v>
      </c>
      <c r="E1076" s="3" t="n">
        <v>0</v>
      </c>
      <c r="F1076" s="3" t="n">
        <v>0</v>
      </c>
      <c r="G1076" s="3" t="n">
        <v>0</v>
      </c>
      <c r="H1076" s="3" t="n">
        <v>0</v>
      </c>
      <c r="I1076" s="3" t="n">
        <v>0</v>
      </c>
      <c r="J1076" s="3" t="n">
        <v>0</v>
      </c>
      <c r="K1076" s="3" t="n">
        <v>0</v>
      </c>
      <c r="L1076" s="3">
        <f>IF(K1076&lt;-5,"CRÍTICO",IF(K1076&lt;0,"ATENÇÃO",IF(K1076&lt;=5,"BOM","EXCELENTE")))</f>
        <v/>
      </c>
      <c r="M1076" s="3" t="n">
        <v>0</v>
      </c>
      <c r="N1076" s="3" t="n">
        <v>100</v>
      </c>
      <c r="O1076" s="12" t="n">
        <v>53.84615384615385</v>
      </c>
    </row>
    <row r="1077">
      <c r="A1077" s="10" t="n">
        <v>46034</v>
      </c>
      <c r="B1077" t="inlineStr">
        <is>
          <t>Rafael Gomes de Morais</t>
        </is>
      </c>
      <c r="C1077" s="1" t="inlineStr">
        <is>
          <t>Técnico III</t>
        </is>
      </c>
      <c r="D1077" s="3" t="n">
        <v>0</v>
      </c>
      <c r="E1077" s="3" t="n">
        <v>0</v>
      </c>
      <c r="F1077" s="3" t="n">
        <v>0</v>
      </c>
      <c r="G1077" s="3" t="n">
        <v>0</v>
      </c>
      <c r="H1077" s="3" t="n">
        <v>0</v>
      </c>
      <c r="I1077" s="3" t="n">
        <v>0</v>
      </c>
      <c r="J1077" s="3" t="n">
        <v>0</v>
      </c>
      <c r="K1077" s="3" t="n">
        <v>0</v>
      </c>
      <c r="L1077" s="3">
        <f>IF(K1077&lt;-5,"CRÍTICO",IF(K1077&lt;0,"ATENÇÃO",IF(K1077&lt;=5,"BOM","EXCELENTE")))</f>
        <v/>
      </c>
      <c r="M1077" s="3" t="n">
        <v>0</v>
      </c>
      <c r="N1077" s="3" t="n">
        <v>100</v>
      </c>
      <c r="O1077" s="12" t="n">
        <v>44.05594405594406</v>
      </c>
    </row>
    <row r="1078">
      <c r="A1078" s="10" t="n">
        <v>46034</v>
      </c>
      <c r="B1078" t="inlineStr">
        <is>
          <t>Sara Maria Monteiro Lopes</t>
        </is>
      </c>
      <c r="C1078" s="1" t="inlineStr">
        <is>
          <t>Técnico I</t>
        </is>
      </c>
      <c r="D1078" s="3" t="n">
        <v>17</v>
      </c>
      <c r="E1078" s="3" t="n">
        <v>16</v>
      </c>
      <c r="F1078" s="3" t="n">
        <v>27.23</v>
      </c>
      <c r="G1078" s="3" t="n">
        <v>0</v>
      </c>
      <c r="H1078" s="3" t="n">
        <v>0</v>
      </c>
      <c r="I1078" s="3">
        <f>E1078+G1078+H1078</f>
        <v/>
      </c>
      <c r="J1078" s="3">
        <f>ROUND(MIN(IF(C1078="Técnico III",35,IF(C1078="Técnico II",28,IF(C1078="Técnico I",23,IF(C1078="JR",20,IF(C1078="Estágio",10,0))))),IF(C1078="Técnico III",SUMIFS($D:$D,$A:$A,$A1078,$B:$B,"&lt;&gt;Patrícia Karla de Sousa Araújo",$B:$B,"&lt;&gt;Lorena Dias de Araujo",$B:$B,"&lt;&gt;Lucas Luiz Romero")*(35/1083),IF(C1078="Técnico II",SUMIFS($D:$D,$A:$A,$A1078,$B:$B,"&lt;&gt;Patrícia Karla de Sousa Araújo",$B:$B,"&lt;&gt;Lorena Dias de Araujo",$B:$B,"&lt;&gt;Lucas Luiz Romero")*(28/1083),IF(C1078="Técnico I",SUMIFS($D:$D,$A:$A,$A1078,$B:$B,"&lt;&gt;Patrícia Karla de Sousa Araújo",$B:$B,"&lt;&gt;Lorena Dias de Araujo",$B:$B,"&lt;&gt;Lucas Luiz Romero")*(23/1083),IF(C1078="JR",SUMIFS($D:$D,$A:$A,$A1078,$B:$B,"&lt;&gt;Patrícia Karla de Sousa Araújo",$B:$B,"&lt;&gt;Lorena Dias de Araujo",$B:$B,"&lt;&gt;Lucas Luiz Romero")*(20/1083),IF(C1078="Estágio",SUMIFS($D:$D,$A:$A,$A1078,$B:$B,"&lt;&gt;Patrícia Karla de Sousa Araújo",$B:$B,"&lt;&gt;Lorena Dias de Araujo",$B:$B,"&lt;&gt;Lucas Luiz Romero")*(10/1083),0)))))),0)</f>
        <v/>
      </c>
      <c r="K1078" s="3">
        <f>I1078-J1078</f>
        <v/>
      </c>
      <c r="L1078" s="3">
        <f>IF(K1078&lt;-5,"CRÍTICO",IF(K1078&lt;0,"ATENÇÃO",IF(K1078&lt;=5,"BOM","EXCELENTE")))</f>
        <v/>
      </c>
      <c r="M1078" s="3" t="n">
        <v>13</v>
      </c>
      <c r="N1078" s="3" t="n">
        <v>100</v>
      </c>
      <c r="O1078" s="12" t="n">
        <v>31.87250996015936</v>
      </c>
    </row>
    <row r="1079">
      <c r="A1079" s="10" t="n">
        <v>46034</v>
      </c>
      <c r="B1079" t="inlineStr">
        <is>
          <t>Sarah Steffanie de Lima Borges</t>
        </is>
      </c>
      <c r="C1079" s="1" t="inlineStr">
        <is>
          <t>Técnico III</t>
        </is>
      </c>
      <c r="D1079" s="3" t="n">
        <v>20</v>
      </c>
      <c r="E1079" s="3" t="n">
        <v>20</v>
      </c>
      <c r="F1079" s="3" t="n">
        <v>23.24</v>
      </c>
      <c r="G1079" s="3" t="n">
        <v>0</v>
      </c>
      <c r="H1079" s="3" t="n">
        <v>0</v>
      </c>
      <c r="I1079" s="3">
        <f>E1079+G1079+H1079</f>
        <v/>
      </c>
      <c r="J1079" s="3">
        <f>ROUND(MIN(IF(C1079="Técnico III",35,IF(C1079="Técnico II",28,IF(C1079="Técnico I",23,IF(C1079="JR",20,IF(C1079="Estágio",10,0))))),IF(C1079="Técnico III",SUMIFS($D:$D,$A:$A,$A1079,$B:$B,"&lt;&gt;Patrícia Karla de Sousa Araújo",$B:$B,"&lt;&gt;Lorena Dias de Araujo",$B:$B,"&lt;&gt;Lucas Luiz Romero")*(35/1083),IF(C1079="Técnico II",SUMIFS($D:$D,$A:$A,$A1079,$B:$B,"&lt;&gt;Patrícia Karla de Sousa Araújo",$B:$B,"&lt;&gt;Lorena Dias de Araujo",$B:$B,"&lt;&gt;Lucas Luiz Romero")*(28/1083),IF(C1079="Técnico I",SUMIFS($D:$D,$A:$A,$A1079,$B:$B,"&lt;&gt;Patrícia Karla de Sousa Araújo",$B:$B,"&lt;&gt;Lorena Dias de Araujo",$B:$B,"&lt;&gt;Lucas Luiz Romero")*(23/1083),IF(C1079="JR",SUMIFS($D:$D,$A:$A,$A1079,$B:$B,"&lt;&gt;Patrícia Karla de Sousa Araújo",$B:$B,"&lt;&gt;Lorena Dias de Araujo",$B:$B,"&lt;&gt;Lucas Luiz Romero")*(20/1083),IF(C1079="Estágio",SUMIFS($D:$D,$A:$A,$A1079,$B:$B,"&lt;&gt;Patrícia Karla de Sousa Araújo",$B:$B,"&lt;&gt;Lorena Dias de Araujo",$B:$B,"&lt;&gt;Lucas Luiz Romero")*(10/1083),0)))))),0)</f>
        <v/>
      </c>
      <c r="K1079" s="3">
        <f>I1079-J1079</f>
        <v/>
      </c>
      <c r="L1079" s="3">
        <f>IF(K1079&lt;-5,"CRÍTICO",IF(K1079&lt;0,"ATENÇÃO",IF(K1079&lt;=5,"BOM","EXCELENTE")))</f>
        <v/>
      </c>
      <c r="M1079" s="3" t="n">
        <v>20</v>
      </c>
      <c r="N1079" s="3" t="n">
        <v>98.41</v>
      </c>
      <c r="O1079" s="12" t="n">
        <v>29.22465208747515</v>
      </c>
    </row>
    <row r="1080">
      <c r="A1080" s="10" t="n">
        <v>46035</v>
      </c>
      <c r="B1080" t="inlineStr">
        <is>
          <t>Alisson de Freitas Silva</t>
        </is>
      </c>
      <c r="C1080" s="1" t="inlineStr">
        <is>
          <t>Técnico II</t>
        </is>
      </c>
      <c r="D1080" s="3" t="n">
        <v>29</v>
      </c>
      <c r="E1080" s="3" t="n">
        <v>26</v>
      </c>
      <c r="F1080" s="3" t="n">
        <v>23.34</v>
      </c>
      <c r="G1080" s="3" t="n">
        <v>0</v>
      </c>
      <c r="H1080" s="3" t="n">
        <v>0</v>
      </c>
      <c r="I1080" s="3">
        <f>E1080+G1080+H1080</f>
        <v/>
      </c>
      <c r="J1080" s="3">
        <f>ROUND(MIN(IF(C1080="Técnico III",35,IF(C1080="Técnico II",28,IF(C1080="Técnico I",23,IF(C1080="JR",20,IF(C1080="Estágio",10,0))))),IF(C1080="Técnico III",SUMIFS($D:$D,$A:$A,$A1080,$B:$B,"&lt;&gt;Patrícia Karla de Sousa Araújo",$B:$B,"&lt;&gt;Lorena Dias de Araujo",$B:$B,"&lt;&gt;Lucas Luiz Romero")*(35/1083),IF(C1080="Técnico II",SUMIFS($D:$D,$A:$A,$A1080,$B:$B,"&lt;&gt;Patrícia Karla de Sousa Araújo",$B:$B,"&lt;&gt;Lorena Dias de Araujo",$B:$B,"&lt;&gt;Lucas Luiz Romero")*(28/1083),IF(C1080="Técnico I",SUMIFS($D:$D,$A:$A,$A1080,$B:$B,"&lt;&gt;Patrícia Karla de Sousa Araújo",$B:$B,"&lt;&gt;Lorena Dias de Araujo",$B:$B,"&lt;&gt;Lucas Luiz Romero")*(23/1083),IF(C1080="JR",SUMIFS($D:$D,$A:$A,$A1080,$B:$B,"&lt;&gt;Patrícia Karla de Sousa Araújo",$B:$B,"&lt;&gt;Lorena Dias de Araujo",$B:$B,"&lt;&gt;Lucas Luiz Romero")*(20/1083),IF(C1080="Estágio",SUMIFS($D:$D,$A:$A,$A1080,$B:$B,"&lt;&gt;Patrícia Karla de Sousa Araújo",$B:$B,"&lt;&gt;Lorena Dias de Araujo",$B:$B,"&lt;&gt;Lucas Luiz Romero")*(10/1083),0)))))),0)</f>
        <v/>
      </c>
      <c r="K1080" s="3">
        <f>I1080-J1080</f>
        <v/>
      </c>
      <c r="L1080" s="3">
        <f>IF(K1080&lt;-5,"CRÍTICO",IF(K1080&lt;0,"ATENÇÃO",IF(K1080&lt;=5,"BOM","EXCELENTE")))</f>
        <v/>
      </c>
      <c r="M1080" s="3" t="n">
        <v>20</v>
      </c>
      <c r="N1080" s="3" t="n">
        <v>96.81</v>
      </c>
      <c r="O1080" s="12" t="n">
        <v>27.98053527980535</v>
      </c>
    </row>
    <row r="1081">
      <c r="A1081" s="10" t="n">
        <v>46035</v>
      </c>
      <c r="B1081" t="inlineStr">
        <is>
          <t>Amanda Moura Ferreira</t>
        </is>
      </c>
      <c r="C1081" s="1" t="inlineStr">
        <is>
          <t>Técnico III</t>
        </is>
      </c>
      <c r="D1081" s="3" t="n">
        <v>0</v>
      </c>
      <c r="E1081" s="3" t="n">
        <v>0</v>
      </c>
      <c r="F1081" s="3" t="n">
        <v>0</v>
      </c>
      <c r="G1081" s="3" t="n">
        <v>0</v>
      </c>
      <c r="H1081" s="3" t="n">
        <v>0</v>
      </c>
      <c r="I1081" s="3" t="n">
        <v>0</v>
      </c>
      <c r="J1081" s="3" t="n">
        <v>0</v>
      </c>
      <c r="K1081" s="3" t="n">
        <v>0</v>
      </c>
      <c r="L1081" s="3">
        <f>IF(K1081&lt;-5,"CRÍTICO",IF(K1081&lt;0,"ATENÇÃO",IF(K1081&lt;=5,"BOM","EXCELENTE")))</f>
        <v/>
      </c>
      <c r="M1081" s="3" t="n">
        <v>15</v>
      </c>
      <c r="N1081" s="3" t="n">
        <v>98.73</v>
      </c>
      <c r="O1081" s="12" t="n">
        <v>35.75638506876228</v>
      </c>
    </row>
    <row r="1082">
      <c r="A1082" s="10" t="n">
        <v>46035</v>
      </c>
      <c r="B1082" t="inlineStr">
        <is>
          <t>Ana Karollyne Souza Faria</t>
        </is>
      </c>
      <c r="C1082" s="1" t="inlineStr">
        <is>
          <t>Técnico I</t>
        </is>
      </c>
      <c r="D1082" s="3" t="n">
        <v>26</v>
      </c>
      <c r="E1082" s="3" t="n">
        <v>21</v>
      </c>
      <c r="F1082" s="3" t="n">
        <v>19.16</v>
      </c>
      <c r="G1082" s="3" t="n">
        <v>0</v>
      </c>
      <c r="H1082" s="3" t="n">
        <v>0</v>
      </c>
      <c r="I1082" s="3">
        <f>E1082+G1082+H1082</f>
        <v/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/>
      </c>
      <c r="K1082" s="3">
        <f>I1082-J1082</f>
        <v/>
      </c>
      <c r="L1082" s="3">
        <f>IF(K1082&lt;-5,"CRÍTICO",IF(K1082&lt;0,"ATENÇÃO",IF(K1082&lt;=5,"BOM","EXCELENTE")))</f>
        <v/>
      </c>
      <c r="M1082" s="3" t="n">
        <v>22</v>
      </c>
      <c r="N1082" s="3" t="n">
        <v>98.31999999999999</v>
      </c>
      <c r="O1082" s="12" t="n">
        <v>26.76348547717842</v>
      </c>
    </row>
    <row r="1083">
      <c r="A1083" s="10" t="n">
        <v>46035</v>
      </c>
      <c r="B1083" t="inlineStr">
        <is>
          <t>Ana Paula Da Luz Silva Aleixo</t>
        </is>
      </c>
      <c r="C1083" s="1" t="inlineStr">
        <is>
          <t>Técnico III</t>
        </is>
      </c>
      <c r="D1083" s="3" t="n">
        <v>22</v>
      </c>
      <c r="E1083" s="3" t="n">
        <v>19</v>
      </c>
      <c r="F1083" s="3" t="n">
        <v>22.28</v>
      </c>
      <c r="G1083" s="3" t="n">
        <v>0</v>
      </c>
      <c r="H1083" s="3" t="n">
        <v>0</v>
      </c>
      <c r="I1083" s="3">
        <f>E1083+G1083+H1083</f>
        <v/>
      </c>
      <c r="J1083" s="3">
        <f>ROUND(MIN(IF(C1083="Técnico III",35,IF(C1083="Técnico II",28,IF(C1083="Técnico I",23,IF(C1083="JR",20,IF(C1083="Estágio",10,0))))),IF(C1083="Técnico III",SUMIFS($D:$D,$A:$A,$A1083,$B:$B,"&lt;&gt;Patrícia Karla de Sousa Araújo",$B:$B,"&lt;&gt;Lorena Dias de Araujo",$B:$B,"&lt;&gt;Lucas Luiz Romero")*(35/1083),IF(C1083="Técnico II",SUMIFS($D:$D,$A:$A,$A1083,$B:$B,"&lt;&gt;Patrícia Karla de Sousa Araújo",$B:$B,"&lt;&gt;Lorena Dias de Araujo",$B:$B,"&lt;&gt;Lucas Luiz Romero")*(28/1083),IF(C1083="Técnico I",SUMIFS($D:$D,$A:$A,$A1083,$B:$B,"&lt;&gt;Patrícia Karla de Sousa Araújo",$B:$B,"&lt;&gt;Lorena Dias de Araujo",$B:$B,"&lt;&gt;Lucas Luiz Romero")*(23/1083),IF(C1083="JR",SUMIFS($D:$D,$A:$A,$A1083,$B:$B,"&lt;&gt;Patrícia Karla de Sousa Araújo",$B:$B,"&lt;&gt;Lorena Dias de Araujo",$B:$B,"&lt;&gt;Lucas Luiz Romero")*(20/1083),IF(C1083="Estágio",SUMIFS($D:$D,$A:$A,$A1083,$B:$B,"&lt;&gt;Patrícia Karla de Sousa Araújo",$B:$B,"&lt;&gt;Lorena Dias de Araujo",$B:$B,"&lt;&gt;Lucas Luiz Romero")*(10/1083),0)))))),0)</f>
        <v/>
      </c>
      <c r="K1083" s="3">
        <f>I1083-J1083</f>
        <v/>
      </c>
      <c r="L1083" s="3">
        <f>IF(K1083&lt;-5,"CRÍTICO",IF(K1083&lt;0,"ATENÇÃO",IF(K1083&lt;=5,"BOM","EXCELENTE")))</f>
        <v/>
      </c>
      <c r="M1083" s="3" t="n">
        <v>16</v>
      </c>
      <c r="N1083" s="3" t="n">
        <v>99.19</v>
      </c>
      <c r="O1083" s="12" t="n">
        <v>27.63713080168776</v>
      </c>
    </row>
    <row r="1084">
      <c r="A1084" s="10" t="n">
        <v>46035</v>
      </c>
      <c r="B1084" t="inlineStr">
        <is>
          <t>Anna Luiza Rezende Tavares</t>
        </is>
      </c>
      <c r="C1084" s="1" t="inlineStr">
        <is>
          <t>Estágio</t>
        </is>
      </c>
      <c r="D1084" s="3" t="n">
        <v>0</v>
      </c>
      <c r="E1084" s="3" t="n">
        <v>0</v>
      </c>
      <c r="F1084" s="3" t="n">
        <v>0</v>
      </c>
      <c r="G1084" s="3" t="n">
        <v>0</v>
      </c>
      <c r="H1084" s="3" t="n">
        <v>0</v>
      </c>
      <c r="I1084" s="3" t="n">
        <v>0</v>
      </c>
      <c r="J1084" s="3" t="n">
        <v>0</v>
      </c>
      <c r="K1084" s="3" t="n">
        <v>0</v>
      </c>
      <c r="L1084" s="3">
        <f>IF(K1084&lt;-5,"CRÍTICO",IF(K1084&lt;0,"ATENÇÃO",IF(K1084&lt;=5,"BOM","EXCELENTE")))</f>
        <v/>
      </c>
      <c r="M1084" s="3" t="n">
        <v>0</v>
      </c>
      <c r="N1084" s="3" t="n">
        <v>100</v>
      </c>
      <c r="O1084" s="12" t="n">
        <v>39.56834532374101</v>
      </c>
    </row>
    <row r="1085">
      <c r="A1085" s="10" t="n">
        <v>46035</v>
      </c>
      <c r="B1085" t="inlineStr">
        <is>
          <t>Brenda de Menezes Silva</t>
        </is>
      </c>
      <c r="C1085" s="1" t="inlineStr">
        <is>
          <t>Técnico II</t>
        </is>
      </c>
      <c r="D1085" s="3" t="n">
        <v>30</v>
      </c>
      <c r="E1085" s="3" t="n">
        <v>26</v>
      </c>
      <c r="F1085" s="3" t="n">
        <v>17.39</v>
      </c>
      <c r="G1085" s="3" t="n">
        <v>0</v>
      </c>
      <c r="H1085" s="3" t="n">
        <v>0</v>
      </c>
      <c r="I1085" s="3">
        <f>E1085+G1085+H1085</f>
        <v/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/>
      </c>
      <c r="K1085" s="3">
        <f>I1085-J1085</f>
        <v/>
      </c>
      <c r="L1085" s="3">
        <f>IF(K1085&lt;-5,"CRÍTICO",IF(K1085&lt;0,"ATENÇÃO",IF(K1085&lt;=5,"BOM","EXCELENTE")))</f>
        <v/>
      </c>
      <c r="M1085" s="3" t="n">
        <v>25</v>
      </c>
      <c r="N1085" s="3" t="n">
        <v>98.54000000000001</v>
      </c>
      <c r="O1085" s="12" t="n">
        <v>28.54477611940299</v>
      </c>
    </row>
    <row r="1086">
      <c r="A1086" s="10" t="n">
        <v>46035</v>
      </c>
      <c r="B1086" t="inlineStr">
        <is>
          <t>Carlos Mateus Cassimiro Nunes</t>
        </is>
      </c>
      <c r="C1086" s="1" t="inlineStr">
        <is>
          <t>Técnico II</t>
        </is>
      </c>
      <c r="D1086" s="3" t="n">
        <v>25</v>
      </c>
      <c r="E1086" s="3" t="n">
        <v>24</v>
      </c>
      <c r="F1086" s="3" t="n">
        <v>25.12</v>
      </c>
      <c r="G1086" s="3" t="n">
        <v>0</v>
      </c>
      <c r="H1086" s="3" t="n">
        <v>0</v>
      </c>
      <c r="I1086" s="3">
        <f>E1086+G1086+H1086</f>
        <v/>
      </c>
      <c r="J1086" s="3">
        <f>ROUND(MIN(IF(C1086="Técnico III",35,IF(C1086="Técnico II",28,IF(C1086="Técnico I",23,IF(C1086="JR",20,IF(C1086="Estágio",10,0))))),IF(C1086="Técnico III",SUMIFS($D:$D,$A:$A,$A1086,$B:$B,"&lt;&gt;Patrícia Karla de Sousa Araújo",$B:$B,"&lt;&gt;Lorena Dias de Araujo",$B:$B,"&lt;&gt;Lucas Luiz Romero")*(35/1083),IF(C1086="Técnico II",SUMIFS($D:$D,$A:$A,$A1086,$B:$B,"&lt;&gt;Patrícia Karla de Sousa Araújo",$B:$B,"&lt;&gt;Lorena Dias de Araujo",$B:$B,"&lt;&gt;Lucas Luiz Romero")*(28/1083),IF(C1086="Técnico I",SUMIFS($D:$D,$A:$A,$A1086,$B:$B,"&lt;&gt;Patrícia Karla de Sousa Araújo",$B:$B,"&lt;&gt;Lorena Dias de Araujo",$B:$B,"&lt;&gt;Lucas Luiz Romero")*(23/1083),IF(C1086="JR",SUMIFS($D:$D,$A:$A,$A1086,$B:$B,"&lt;&gt;Patrícia Karla de Sousa Araújo",$B:$B,"&lt;&gt;Lorena Dias de Araujo",$B:$B,"&lt;&gt;Lucas Luiz Romero")*(20/1083),IF(C1086="Estágio",SUMIFS($D:$D,$A:$A,$A1086,$B:$B,"&lt;&gt;Patrícia Karla de Sousa Araújo",$B:$B,"&lt;&gt;Lorena Dias de Araujo",$B:$B,"&lt;&gt;Lucas Luiz Romero")*(10/1083),0)))))),0)</f>
        <v/>
      </c>
      <c r="K1086" s="3">
        <f>I1086-J1086</f>
        <v/>
      </c>
      <c r="L1086" s="3">
        <f>IF(K1086&lt;-5,"CRÍTICO",IF(K1086&lt;0,"ATENÇÃO",IF(K1086&lt;=5,"BOM","EXCELENTE")))</f>
        <v/>
      </c>
      <c r="M1086" s="3" t="n">
        <v>23</v>
      </c>
      <c r="N1086" s="3" t="n">
        <v>100</v>
      </c>
      <c r="O1086" s="12" t="n">
        <v>34.36692506459949</v>
      </c>
    </row>
    <row r="1087">
      <c r="A1087" s="10" t="n">
        <v>46035</v>
      </c>
      <c r="B1087" t="inlineStr">
        <is>
          <t>Claudio de Sousa Velasco Filho</t>
        </is>
      </c>
      <c r="C1087" s="1" t="inlineStr">
        <is>
          <t>Estágio</t>
        </is>
      </c>
      <c r="D1087" s="3" t="n">
        <v>0</v>
      </c>
      <c r="E1087" s="3" t="n">
        <v>0</v>
      </c>
      <c r="F1087" s="3" t="n">
        <v>0</v>
      </c>
      <c r="G1087" s="3" t="n">
        <v>0</v>
      </c>
      <c r="H1087" s="3" t="n">
        <v>0</v>
      </c>
      <c r="I1087" s="3" t="n">
        <v>0</v>
      </c>
      <c r="J1087" s="3" t="n">
        <v>0</v>
      </c>
      <c r="K1087" s="3" t="n">
        <v>0</v>
      </c>
      <c r="L1087" s="3">
        <f>IF(K1087&lt;-5,"CRÍTICO",IF(K1087&lt;0,"ATENÇÃO",IF(K1087&lt;=5,"BOM","EXCELENTE")))</f>
        <v/>
      </c>
      <c r="M1087" s="3" t="n">
        <v>0</v>
      </c>
      <c r="N1087" s="3" t="n">
        <v>0</v>
      </c>
      <c r="O1087" s="12" t="n">
        <v>0</v>
      </c>
    </row>
    <row r="1088">
      <c r="A1088" s="10" t="n">
        <v>46035</v>
      </c>
      <c r="B1088" t="inlineStr">
        <is>
          <t>Clessiane Pereira dos Santos</t>
        </is>
      </c>
      <c r="C1088" s="1" t="inlineStr">
        <is>
          <t>Técnico I</t>
        </is>
      </c>
      <c r="D1088" s="3" t="n">
        <v>17</v>
      </c>
      <c r="E1088" s="3" t="n">
        <v>17</v>
      </c>
      <c r="F1088" s="3" t="n">
        <v>27.32</v>
      </c>
      <c r="G1088" s="3" t="n">
        <v>0</v>
      </c>
      <c r="H1088" s="3" t="n">
        <v>0</v>
      </c>
      <c r="I1088" s="3">
        <f>E1088+G1088+H1088</f>
        <v/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/>
      </c>
      <c r="K1088" s="3">
        <f>I1088-J1088</f>
        <v/>
      </c>
      <c r="L1088" s="3">
        <f>IF(K1088&lt;-5,"CRÍTICO",IF(K1088&lt;0,"ATENÇÃO",IF(K1088&lt;=5,"BOM","EXCELENTE")))</f>
        <v/>
      </c>
      <c r="M1088" s="3" t="n">
        <v>13</v>
      </c>
      <c r="N1088" s="3" t="n">
        <v>100</v>
      </c>
      <c r="O1088" s="12" t="n">
        <v>29.51807228915663</v>
      </c>
    </row>
    <row r="1089">
      <c r="A1089" s="10" t="n">
        <v>46035</v>
      </c>
      <c r="B1089" t="inlineStr">
        <is>
          <t>Cristiane Ramos da Silva Rocha</t>
        </is>
      </c>
      <c r="C1089" s="1" t="inlineStr">
        <is>
          <t>Técnico III</t>
        </is>
      </c>
      <c r="D1089" s="3" t="n">
        <v>36</v>
      </c>
      <c r="E1089" s="3" t="n">
        <v>35</v>
      </c>
      <c r="F1089" s="3" t="n">
        <v>15.3</v>
      </c>
      <c r="G1089" s="3" t="n">
        <v>0</v>
      </c>
      <c r="H1089" s="3" t="n">
        <v>0</v>
      </c>
      <c r="I1089" s="3">
        <f>E1089+G1089+H1089</f>
        <v/>
      </c>
      <c r="J1089" s="3">
        <f>ROUND(MIN(IF(C1089="Técnico III",35,IF(C1089="Técnico II",28,IF(C1089="Técnico I",23,IF(C1089="JR",20,IF(C1089="Estágio",10,0))))),IF(C1089="Técnico III",SUMIFS($D:$D,$A:$A,$A1089,$B:$B,"&lt;&gt;Patrícia Karla de Sousa Araújo",$B:$B,"&lt;&gt;Lorena Dias de Araujo",$B:$B,"&lt;&gt;Lucas Luiz Romero")*(35/1083),IF(C1089="Técnico II",SUMIFS($D:$D,$A:$A,$A1089,$B:$B,"&lt;&gt;Patrícia Karla de Sousa Araújo",$B:$B,"&lt;&gt;Lorena Dias de Araujo",$B:$B,"&lt;&gt;Lucas Luiz Romero")*(28/1083),IF(C1089="Técnico I",SUMIFS($D:$D,$A:$A,$A1089,$B:$B,"&lt;&gt;Patrícia Karla de Sousa Araújo",$B:$B,"&lt;&gt;Lorena Dias de Araujo",$B:$B,"&lt;&gt;Lucas Luiz Romero")*(23/1083),IF(C1089="JR",SUMIFS($D:$D,$A:$A,$A1089,$B:$B,"&lt;&gt;Patrícia Karla de Sousa Araújo",$B:$B,"&lt;&gt;Lorena Dias de Araujo",$B:$B,"&lt;&gt;Lucas Luiz Romero")*(20/1083),IF(C1089="Estágio",SUMIFS($D:$D,$A:$A,$A1089,$B:$B,"&lt;&gt;Patrícia Karla de Sousa Araújo",$B:$B,"&lt;&gt;Lorena Dias de Araujo",$B:$B,"&lt;&gt;Lucas Luiz Romero")*(10/1083),0)))))),0)</f>
        <v/>
      </c>
      <c r="K1089" s="3">
        <f>I1089-J1089</f>
        <v/>
      </c>
      <c r="L1089" s="3">
        <f>IF(K1089&lt;-5,"CRÍTICO",IF(K1089&lt;0,"ATENÇÃO",IF(K1089&lt;=5,"BOM","EXCELENTE")))</f>
        <v/>
      </c>
      <c r="M1089" s="3" t="n">
        <v>28</v>
      </c>
      <c r="N1089" s="3" t="n">
        <v>97.45</v>
      </c>
      <c r="O1089" s="12" t="n">
        <v>41.421143847487</v>
      </c>
    </row>
    <row r="1090">
      <c r="A1090" s="10" t="n">
        <v>46035</v>
      </c>
      <c r="B1090" t="inlineStr">
        <is>
          <t>Damyllis Lorraine de Oliveira Gonçalves</t>
        </is>
      </c>
      <c r="C1090" s="1" t="inlineStr">
        <is>
          <t>Técnico II</t>
        </is>
      </c>
      <c r="D1090" s="3" t="n">
        <v>30</v>
      </c>
      <c r="E1090" s="3" t="n">
        <v>24</v>
      </c>
      <c r="F1090" s="3" t="n">
        <v>17.15</v>
      </c>
      <c r="G1090" s="3" t="n">
        <v>0</v>
      </c>
      <c r="H1090" s="3" t="n">
        <v>0</v>
      </c>
      <c r="I1090" s="3" t="n">
        <v>0</v>
      </c>
      <c r="J1090" s="3" t="n">
        <v>0</v>
      </c>
      <c r="K1090" s="3" t="n">
        <v>0</v>
      </c>
      <c r="L1090" s="3">
        <f>IF(K1090&lt;-5,"CRÍTICO",IF(K1090&lt;0,"ATENÇÃO",IF(K1090&lt;=5,"BOM","EXCELENTE")))</f>
        <v/>
      </c>
      <c r="M1090" s="3" t="n">
        <v>17</v>
      </c>
      <c r="N1090" s="3" t="n">
        <v>96.58</v>
      </c>
      <c r="O1090" s="12" t="n">
        <v>30.39647577092511</v>
      </c>
    </row>
    <row r="1091">
      <c r="A1091" s="10" t="n">
        <v>46035</v>
      </c>
      <c r="B1091" t="inlineStr">
        <is>
          <t>Daniel Gomes da Silva</t>
        </is>
      </c>
      <c r="C1091" s="1" t="inlineStr">
        <is>
          <t>Técnico I</t>
        </is>
      </c>
      <c r="D1091" s="3" t="n">
        <v>25</v>
      </c>
      <c r="E1091" s="3" t="n">
        <v>25</v>
      </c>
      <c r="F1091" s="3" t="n">
        <v>21.5</v>
      </c>
      <c r="G1091" s="3" t="n">
        <v>0</v>
      </c>
      <c r="H1091" s="3" t="n">
        <v>0</v>
      </c>
      <c r="I1091" s="3">
        <f>E1091+G1091+H1091</f>
        <v/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/>
      </c>
      <c r="K1091" s="3">
        <f>I1091-J1091</f>
        <v/>
      </c>
      <c r="L1091" s="3">
        <f>IF(K1091&lt;-5,"CRÍTICO",IF(K1091&lt;0,"ATENÇÃO",IF(K1091&lt;=5,"BOM","EXCELENTE")))</f>
        <v/>
      </c>
      <c r="M1091" s="3" t="n">
        <v>26</v>
      </c>
      <c r="N1091" s="3" t="n">
        <v>100</v>
      </c>
      <c r="O1091" s="12" t="n">
        <v>27.44282744282744</v>
      </c>
    </row>
    <row r="1092">
      <c r="A1092" s="10" t="n">
        <v>46035</v>
      </c>
      <c r="B1092" t="inlineStr">
        <is>
          <t>Davylla Rodrigues Freitas Silva</t>
        </is>
      </c>
      <c r="C1092" s="1" t="inlineStr">
        <is>
          <t>Técnico III</t>
        </is>
      </c>
      <c r="D1092" s="3" t="n">
        <v>29</v>
      </c>
      <c r="E1092" s="3" t="n">
        <v>29</v>
      </c>
      <c r="F1092" s="3" t="n">
        <v>23.57</v>
      </c>
      <c r="G1092" s="3" t="n">
        <v>0</v>
      </c>
      <c r="H1092" s="3" t="n">
        <v>0</v>
      </c>
      <c r="I1092" s="3" t="n">
        <v>0</v>
      </c>
      <c r="J1092" s="3" t="n">
        <v>0</v>
      </c>
      <c r="K1092" s="3" t="n">
        <v>0</v>
      </c>
      <c r="L1092" s="3">
        <f>IF(K1092&lt;-5,"CRÍTICO",IF(K1092&lt;0,"ATENÇÃO",IF(K1092&lt;=5,"BOM","EXCELENTE")))</f>
        <v/>
      </c>
      <c r="M1092" s="3" t="n">
        <v>29</v>
      </c>
      <c r="N1092" s="3" t="n">
        <v>99.48999999999999</v>
      </c>
      <c r="O1092" s="12" t="n">
        <v>40.2</v>
      </c>
    </row>
    <row r="1093">
      <c r="A1093" s="10" t="n">
        <v>46035</v>
      </c>
      <c r="B1093" t="inlineStr">
        <is>
          <t>Emilly Caylane Costa</t>
        </is>
      </c>
      <c r="C1093" s="1" t="inlineStr">
        <is>
          <t>Estágio</t>
        </is>
      </c>
      <c r="D1093" s="3" t="n">
        <v>0</v>
      </c>
      <c r="E1093" s="3" t="n">
        <v>0</v>
      </c>
      <c r="F1093" s="3" t="n">
        <v>0</v>
      </c>
      <c r="G1093" s="3" t="n">
        <v>0</v>
      </c>
      <c r="H1093" s="3" t="n">
        <v>0</v>
      </c>
      <c r="I1093" s="3" t="n">
        <v>0</v>
      </c>
      <c r="J1093" s="3" t="n">
        <v>0</v>
      </c>
      <c r="K1093" s="3" t="n">
        <v>0</v>
      </c>
      <c r="L1093" s="3">
        <f>IF(K1093&lt;-5,"CRÍTICO",IF(K1093&lt;0,"ATENÇÃO",IF(K1093&lt;=5,"BOM","EXCELENTE")))</f>
        <v/>
      </c>
      <c r="M1093" s="3" t="n">
        <v>0</v>
      </c>
      <c r="N1093" s="3" t="n">
        <v>100</v>
      </c>
      <c r="O1093" s="12" t="n">
        <v>25</v>
      </c>
    </row>
    <row r="1094">
      <c r="A1094" s="10" t="n">
        <v>46035</v>
      </c>
      <c r="B1094" t="inlineStr">
        <is>
          <t>Emilly Kamilly Medeiros Miranda</t>
        </is>
      </c>
      <c r="C1094" s="1" t="inlineStr">
        <is>
          <t>Técnico II</t>
        </is>
      </c>
      <c r="D1094" s="3" t="n">
        <v>39</v>
      </c>
      <c r="E1094" s="3" t="n">
        <v>35</v>
      </c>
      <c r="F1094" s="3" t="n">
        <v>17.18</v>
      </c>
      <c r="G1094" s="3" t="n">
        <v>0</v>
      </c>
      <c r="H1094" s="3" t="n">
        <v>0</v>
      </c>
      <c r="I1094" s="3">
        <f>E1094+G1094+H1094</f>
        <v/>
      </c>
      <c r="J1094" s="3">
        <f>ROUND(MIN(IF(C1094="Técnico III",35,IF(C1094="Técnico II",28,IF(C1094="Técnico I",23,IF(C1094="JR",20,IF(C1094="Estágio",10,0))))),IF(C1094="Técnico III",SUMIFS($D:$D,$A:$A,$A1094,$B:$B,"&lt;&gt;Patrícia Karla de Sousa Araújo",$B:$B,"&lt;&gt;Lorena Dias de Araujo",$B:$B,"&lt;&gt;Lucas Luiz Romero")*(35/1083),IF(C1094="Técnico II",SUMIFS($D:$D,$A:$A,$A1094,$B:$B,"&lt;&gt;Patrícia Karla de Sousa Araújo",$B:$B,"&lt;&gt;Lorena Dias de Araujo",$B:$B,"&lt;&gt;Lucas Luiz Romero")*(28/1083),IF(C1094="Técnico I",SUMIFS($D:$D,$A:$A,$A1094,$B:$B,"&lt;&gt;Patrícia Karla de Sousa Araújo",$B:$B,"&lt;&gt;Lorena Dias de Araujo",$B:$B,"&lt;&gt;Lucas Luiz Romero")*(23/1083),IF(C1094="JR",SUMIFS($D:$D,$A:$A,$A1094,$B:$B,"&lt;&gt;Patrícia Karla de Sousa Araújo",$B:$B,"&lt;&gt;Lorena Dias de Araujo",$B:$B,"&lt;&gt;Lucas Luiz Romero")*(20/1083),IF(C1094="Estágio",SUMIFS($D:$D,$A:$A,$A1094,$B:$B,"&lt;&gt;Patrícia Karla de Sousa Araújo",$B:$B,"&lt;&gt;Lorena Dias de Araujo",$B:$B,"&lt;&gt;Lucas Luiz Romero")*(10/1083),0)))))),0)</f>
        <v/>
      </c>
      <c r="K1094" s="3">
        <f>I1094-J1094</f>
        <v/>
      </c>
      <c r="L1094" s="3">
        <f>IF(K1094&lt;-5,"CRÍTICO",IF(K1094&lt;0,"ATENÇÃO",IF(K1094&lt;=5,"BOM","EXCELENTE")))</f>
        <v/>
      </c>
      <c r="M1094" s="3" t="n">
        <v>32</v>
      </c>
      <c r="N1094" s="3" t="n">
        <v>100</v>
      </c>
      <c r="O1094" s="12" t="n">
        <v>34.15094339622641</v>
      </c>
    </row>
    <row r="1095">
      <c r="A1095" s="10" t="n">
        <v>46035</v>
      </c>
      <c r="B1095" t="inlineStr">
        <is>
          <t>Francielson de Oliveira</t>
        </is>
      </c>
      <c r="C1095" s="1" t="inlineStr">
        <is>
          <t>Técnico III</t>
        </is>
      </c>
      <c r="D1095" s="3" t="n">
        <v>22</v>
      </c>
      <c r="E1095" s="3" t="n">
        <v>21</v>
      </c>
      <c r="F1095" s="3" t="n">
        <v>18.4</v>
      </c>
      <c r="G1095" s="3" t="n">
        <v>0</v>
      </c>
      <c r="H1095" s="3" t="n">
        <v>0</v>
      </c>
      <c r="I1095" s="3">
        <f>E1095+G1095+H1095</f>
        <v/>
      </c>
      <c r="J1095" s="3">
        <f>ROUND(MIN(IF(C1095="Técnico III",35,IF(C1095="Técnico II",28,IF(C1095="Técnico I",23,IF(C1095="JR",20,IF(C1095="Estágio",10,0))))),IF(C1095="Técnico III",SUMIFS($D:$D,$A:$A,$A1095,$B:$B,"&lt;&gt;Patrícia Karla de Sousa Araújo",$B:$B,"&lt;&gt;Lorena Dias de Araujo",$B:$B,"&lt;&gt;Lucas Luiz Romero")*(35/1083),IF(C1095="Técnico II",SUMIFS($D:$D,$A:$A,$A1095,$B:$B,"&lt;&gt;Patrícia Karla de Sousa Araújo",$B:$B,"&lt;&gt;Lorena Dias de Araujo",$B:$B,"&lt;&gt;Lucas Luiz Romero")*(28/1083),IF(C1095="Técnico I",SUMIFS($D:$D,$A:$A,$A1095,$B:$B,"&lt;&gt;Patrícia Karla de Sousa Araújo",$B:$B,"&lt;&gt;Lorena Dias de Araujo",$B:$B,"&lt;&gt;Lucas Luiz Romero")*(23/1083),IF(C1095="JR",SUMIFS($D:$D,$A:$A,$A1095,$B:$B,"&lt;&gt;Patrícia Karla de Sousa Araújo",$B:$B,"&lt;&gt;Lorena Dias de Araujo",$B:$B,"&lt;&gt;Lucas Luiz Romero")*(20/1083),IF(C1095="Estágio",SUMIFS($D:$D,$A:$A,$A1095,$B:$B,"&lt;&gt;Patrícia Karla de Sousa Araújo",$B:$B,"&lt;&gt;Lorena Dias de Araujo",$B:$B,"&lt;&gt;Lucas Luiz Romero")*(10/1083),0)))))),0)</f>
        <v/>
      </c>
      <c r="K1095" s="3">
        <f>I1095-J1095</f>
        <v/>
      </c>
      <c r="L1095" s="3">
        <f>IF(K1095&lt;-5,"CRÍTICO",IF(K1095&lt;0,"ATENÇÃO",IF(K1095&lt;=5,"BOM","EXCELENTE")))</f>
        <v/>
      </c>
      <c r="M1095" s="3" t="n">
        <v>19</v>
      </c>
      <c r="N1095" s="3" t="n">
        <v>100</v>
      </c>
      <c r="O1095" s="12" t="n">
        <v>32.7313769751693</v>
      </c>
    </row>
    <row r="1096">
      <c r="A1096" s="10" t="n">
        <v>46035</v>
      </c>
      <c r="B1096" t="inlineStr">
        <is>
          <t>Francilene Ferreira de Jesus</t>
        </is>
      </c>
      <c r="C1096" s="1" t="inlineStr">
        <is>
          <t>Técnico II</t>
        </is>
      </c>
      <c r="D1096" s="3" t="n">
        <v>31</v>
      </c>
      <c r="E1096" s="3" t="n">
        <v>30</v>
      </c>
      <c r="F1096" s="3" t="n">
        <v>22.04</v>
      </c>
      <c r="G1096" s="3" t="n">
        <v>0</v>
      </c>
      <c r="H1096" s="3" t="n">
        <v>0</v>
      </c>
      <c r="I1096" s="3">
        <f>E1096+G1096+H1096</f>
        <v/>
      </c>
      <c r="J1096" s="3">
        <f>ROUND(MIN(IF(C1096="Técnico III",35,IF(C1096="Técnico II",28,IF(C1096="Técnico I",23,IF(C1096="JR",20,IF(C1096="Estágio",10,0))))),IF(C1096="Técnico III",SUMIFS($D:$D,$A:$A,$A1096,$B:$B,"&lt;&gt;Patrícia Karla de Sousa Araújo",$B:$B,"&lt;&gt;Lorena Dias de Araujo",$B:$B,"&lt;&gt;Lucas Luiz Romero")*(35/1083),IF(C1096="Técnico II",SUMIFS($D:$D,$A:$A,$A1096,$B:$B,"&lt;&gt;Patrícia Karla de Sousa Araújo",$B:$B,"&lt;&gt;Lorena Dias de Araujo",$B:$B,"&lt;&gt;Lucas Luiz Romero")*(28/1083),IF(C1096="Técnico I",SUMIFS($D:$D,$A:$A,$A1096,$B:$B,"&lt;&gt;Patrícia Karla de Sousa Araújo",$B:$B,"&lt;&gt;Lorena Dias de Araujo",$B:$B,"&lt;&gt;Lucas Luiz Romero")*(23/1083),IF(C1096="JR",SUMIFS($D:$D,$A:$A,$A1096,$B:$B,"&lt;&gt;Patrícia Karla de Sousa Araújo",$B:$B,"&lt;&gt;Lorena Dias de Araujo",$B:$B,"&lt;&gt;Lucas Luiz Romero")*(20/1083),IF(C1096="Estágio",SUMIFS($D:$D,$A:$A,$A1096,$B:$B,"&lt;&gt;Patrícia Karla de Sousa Araújo",$B:$B,"&lt;&gt;Lorena Dias de Araujo",$B:$B,"&lt;&gt;Lucas Luiz Romero")*(10/1083),0)))))),0)</f>
        <v/>
      </c>
      <c r="K1096" s="3">
        <f>I1096-J1096</f>
        <v/>
      </c>
      <c r="L1096" s="3">
        <f>IF(K1096&lt;-5,"CRÍTICO",IF(K1096&lt;0,"ATENÇÃO",IF(K1096&lt;=5,"BOM","EXCELENTE")))</f>
        <v/>
      </c>
      <c r="M1096" s="3" t="n">
        <v>25</v>
      </c>
      <c r="N1096" s="3" t="n">
        <v>99.31</v>
      </c>
      <c r="O1096" s="12" t="n">
        <v>30.96234309623431</v>
      </c>
    </row>
    <row r="1097">
      <c r="A1097" s="10" t="n">
        <v>46069</v>
      </c>
      <c r="B1097" t="inlineStr">
        <is>
          <t>Gabriel Gomes de Andrade</t>
        </is>
      </c>
      <c r="C1097" s="1" t="inlineStr">
        <is>
          <t>Técnico I</t>
        </is>
      </c>
      <c r="D1097" s="3" t="n">
        <v>6</v>
      </c>
      <c r="E1097" s="3" t="n">
        <v>5</v>
      </c>
      <c r="F1097" s="3" t="n">
        <v>27.03</v>
      </c>
      <c r="G1097" s="3" t="n">
        <v>0</v>
      </c>
      <c r="H1097" s="3" t="n">
        <v>0</v>
      </c>
      <c r="I1097" s="3">
        <f>E1097+G1097+H1097</f>
        <v/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/>
      </c>
      <c r="K1097" s="3">
        <f>I1097-J1097</f>
        <v/>
      </c>
      <c r="L1097" s="3">
        <f>IF(K1097&lt;-5,"CRÍTICO",IF(K1097&lt;0,"ATENÇÃO",IF(K1097&lt;=5,"BOM","EXCELENTE")))</f>
        <v/>
      </c>
      <c r="M1097" s="3" t="n">
        <v>5</v>
      </c>
      <c r="N1097" s="3" t="n">
        <v>96.67</v>
      </c>
      <c r="O1097" s="12" t="n">
        <v>31.45161290322581</v>
      </c>
    </row>
    <row r="1098">
      <c r="A1098" s="10" t="n">
        <v>46035</v>
      </c>
      <c r="B1098" t="inlineStr">
        <is>
          <t>Isabella Borges de Oliveira</t>
        </is>
      </c>
      <c r="C1098" s="1" t="inlineStr">
        <is>
          <t>Técnico II</t>
        </is>
      </c>
      <c r="D1098" s="3" t="n">
        <v>32</v>
      </c>
      <c r="E1098" s="3" t="n">
        <v>32</v>
      </c>
      <c r="F1098" s="3" t="n">
        <v>20.41</v>
      </c>
      <c r="G1098" s="3" t="n">
        <v>0</v>
      </c>
      <c r="H1098" s="3" t="n">
        <v>0</v>
      </c>
      <c r="I1098" s="3">
        <f>E1098+G1098+H1098</f>
        <v/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/>
      </c>
      <c r="K1098" s="3">
        <f>I1098-J1098</f>
        <v/>
      </c>
      <c r="L1098" s="3">
        <f>IF(K1098&lt;-5,"CRÍTICO",IF(K1098&lt;0,"ATENÇÃO",IF(K1098&lt;=5,"BOM","EXCELENTE")))</f>
        <v/>
      </c>
      <c r="M1098" s="3" t="n">
        <v>29</v>
      </c>
      <c r="N1098" s="3" t="n">
        <v>100</v>
      </c>
      <c r="O1098" s="12" t="n">
        <v>27.67676767676768</v>
      </c>
    </row>
    <row r="1099">
      <c r="A1099" s="10" t="n">
        <v>46035</v>
      </c>
      <c r="B1099" t="inlineStr">
        <is>
          <t>Janaina Lima dos Reis Urany</t>
        </is>
      </c>
      <c r="C1099" s="1" t="inlineStr">
        <is>
          <t>Técnico III</t>
        </is>
      </c>
      <c r="D1099" s="3" t="n">
        <v>47</v>
      </c>
      <c r="E1099" s="3" t="n">
        <v>44</v>
      </c>
      <c r="F1099" s="3" t="n">
        <v>15.07</v>
      </c>
      <c r="G1099" s="3" t="n">
        <v>0</v>
      </c>
      <c r="H1099" s="3" t="n">
        <v>0</v>
      </c>
      <c r="I1099" s="3">
        <f>E1099+G1099+H1099</f>
        <v/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/>
      </c>
      <c r="K1099" s="3">
        <f>I1099-J1099</f>
        <v/>
      </c>
      <c r="L1099" s="3">
        <f>IF(K1099&lt;-5,"CRÍTICO",IF(K1099&lt;0,"ATENÇÃO",IF(K1099&lt;=5,"BOM","EXCELENTE")))</f>
        <v/>
      </c>
      <c r="M1099" s="3" t="n">
        <v>43</v>
      </c>
      <c r="N1099" s="3" t="n">
        <v>100</v>
      </c>
      <c r="O1099" s="12" t="n">
        <v>31.17723156532988</v>
      </c>
    </row>
    <row r="1100">
      <c r="A1100" s="10" t="n">
        <v>46035</v>
      </c>
      <c r="B1100" t="inlineStr">
        <is>
          <t>Jaqueline Evangelista da Silva Martins</t>
        </is>
      </c>
      <c r="C1100" s="1" t="inlineStr">
        <is>
          <t>Técnico III</t>
        </is>
      </c>
      <c r="D1100" s="3" t="n">
        <v>21</v>
      </c>
      <c r="E1100" s="3" t="n">
        <v>20</v>
      </c>
      <c r="F1100" s="3" t="n">
        <v>13.52</v>
      </c>
      <c r="G1100" s="3" t="n">
        <v>0</v>
      </c>
      <c r="H1100" s="3" t="n">
        <v>0</v>
      </c>
      <c r="I1100" s="3">
        <f>E1100+G1100+H1100</f>
        <v/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/>
      </c>
      <c r="K1100" s="3">
        <f>I1100-J1100</f>
        <v/>
      </c>
      <c r="L1100" s="3">
        <f>IF(K1100&lt;-5,"CRÍTICO",IF(K1100&lt;0,"ATENÇÃO",IF(K1100&lt;=5,"BOM","EXCELENTE")))</f>
        <v/>
      </c>
      <c r="M1100" s="3" t="n">
        <v>18</v>
      </c>
      <c r="N1100" s="3" t="n">
        <v>100</v>
      </c>
      <c r="O1100" s="12" t="n">
        <v>27.60942760942761</v>
      </c>
    </row>
    <row r="1101">
      <c r="A1101" s="10" t="n">
        <v>46035</v>
      </c>
      <c r="B1101" t="inlineStr">
        <is>
          <t>Jessica Faria da Silveira</t>
        </is>
      </c>
      <c r="C1101" s="1" t="inlineStr">
        <is>
          <t>Técnico II</t>
        </is>
      </c>
      <c r="D1101" s="3" t="n">
        <v>28</v>
      </c>
      <c r="E1101" s="3" t="n">
        <v>21</v>
      </c>
      <c r="F1101" s="3" t="n">
        <v>10.59</v>
      </c>
      <c r="G1101" s="3" t="n">
        <v>0</v>
      </c>
      <c r="H1101" s="3" t="n">
        <v>0</v>
      </c>
      <c r="I1101" s="3">
        <f>E1101+G1101+H1101</f>
        <v/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/>
      </c>
      <c r="K1101" s="3">
        <f>I1101-J1101</f>
        <v/>
      </c>
      <c r="L1101" s="3">
        <f>IF(K1101&lt;-5,"CRÍTICO",IF(K1101&lt;0,"ATENÇÃO",IF(K1101&lt;=5,"BOM","EXCELENTE")))</f>
        <v/>
      </c>
      <c r="M1101" s="3" t="n">
        <v>21</v>
      </c>
      <c r="N1101" s="3" t="n">
        <v>96.40000000000001</v>
      </c>
      <c r="O1101" s="12" t="n">
        <v>28.76404494382023</v>
      </c>
    </row>
    <row r="1102">
      <c r="A1102" s="10" t="n">
        <v>46035</v>
      </c>
      <c r="B1102" t="inlineStr">
        <is>
          <t>Jéssica Fé Moura</t>
        </is>
      </c>
      <c r="C1102" s="1" t="inlineStr">
        <is>
          <t>Técnico III</t>
        </is>
      </c>
      <c r="D1102" s="3" t="n">
        <v>0</v>
      </c>
      <c r="E1102" s="3" t="n">
        <v>0</v>
      </c>
      <c r="F1102" s="3" t="n">
        <v>0</v>
      </c>
      <c r="G1102" s="3" t="n">
        <v>0</v>
      </c>
      <c r="H1102" s="3" t="n">
        <v>0</v>
      </c>
      <c r="I1102" s="3" t="n">
        <v>0</v>
      </c>
      <c r="J1102" s="3" t="n">
        <v>0</v>
      </c>
      <c r="K1102" s="3" t="n">
        <v>0</v>
      </c>
      <c r="L1102" s="3">
        <f>IF(K1102&lt;-5,"CRÍTICO",IF(K1102&lt;0,"ATENÇÃO",IF(K1102&lt;=5,"BOM","EXCELENTE")))</f>
        <v/>
      </c>
      <c r="M1102" s="3" t="n">
        <v>13</v>
      </c>
      <c r="N1102" s="3" t="n">
        <v>100</v>
      </c>
      <c r="O1102" s="12" t="n">
        <v>33.98058252427185</v>
      </c>
    </row>
    <row r="1103">
      <c r="A1103" s="10" t="n">
        <v>46035</v>
      </c>
      <c r="B1103" t="inlineStr">
        <is>
          <t>Karina Gonçalves Martins</t>
        </is>
      </c>
      <c r="C1103" s="1" t="inlineStr">
        <is>
          <t>JR</t>
        </is>
      </c>
      <c r="D1103" s="3" t="n">
        <v>5</v>
      </c>
      <c r="E1103" s="3" t="n">
        <v>5</v>
      </c>
      <c r="F1103" s="3" t="n">
        <v>55.15</v>
      </c>
      <c r="G1103" s="3" t="n">
        <v>0</v>
      </c>
      <c r="H1103" s="3" t="n">
        <v>0</v>
      </c>
      <c r="I1103" s="3">
        <f>E1103+G1103+H1103</f>
        <v/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/>
      </c>
      <c r="K1103" s="3">
        <f>I1103-J1103</f>
        <v/>
      </c>
      <c r="L1103" s="3">
        <f>IF(K1103&lt;-5,"CRÍTICO",IF(K1103&lt;0,"ATENÇÃO",IF(K1103&lt;=5,"BOM","EXCELENTE")))</f>
        <v/>
      </c>
      <c r="M1103" s="3" t="n">
        <v>5</v>
      </c>
      <c r="N1103" s="3" t="n">
        <v>97.56</v>
      </c>
      <c r="O1103" s="12" t="n">
        <v>32.51533742331289</v>
      </c>
    </row>
    <row r="1104">
      <c r="A1104" s="10" t="n">
        <v>46035</v>
      </c>
      <c r="B1104" t="inlineStr">
        <is>
          <t>Kerollen Cristielly de Jesus Siqueira</t>
        </is>
      </c>
      <c r="C1104" s="1" t="inlineStr">
        <is>
          <t>Técnico III</t>
        </is>
      </c>
      <c r="D1104" s="3" t="n">
        <v>23</v>
      </c>
      <c r="E1104" s="3" t="n">
        <v>23</v>
      </c>
      <c r="F1104" s="3" t="n">
        <v>22.39</v>
      </c>
      <c r="G1104" s="3" t="n">
        <v>0</v>
      </c>
      <c r="H1104" s="3" t="n">
        <v>0</v>
      </c>
      <c r="I1104" s="3">
        <f>E1104+G1104+H1104</f>
        <v/>
      </c>
      <c r="J1104" s="3">
        <f>ROUND(MIN(IF(C1104="Técnico III",35,IF(C1104="Técnico II",28,IF(C1104="Técnico I",23,IF(C1104="JR",20,IF(C1104="Estágio",10,0))))),IF(C1104="Técnico III",SUMIFS($D:$D,$A:$A,$A1104,$B:$B,"&lt;&gt;Patrícia Karla de Sousa Araújo",$B:$B,"&lt;&gt;Lorena Dias de Araujo",$B:$B,"&lt;&gt;Lucas Luiz Romero")*(35/1083),IF(C1104="Técnico II",SUMIFS($D:$D,$A:$A,$A1104,$B:$B,"&lt;&gt;Patrícia Karla de Sousa Araújo",$B:$B,"&lt;&gt;Lorena Dias de Araujo",$B:$B,"&lt;&gt;Lucas Luiz Romero")*(28/1083),IF(C1104="Técnico I",SUMIFS($D:$D,$A:$A,$A1104,$B:$B,"&lt;&gt;Patrícia Karla de Sousa Araújo",$B:$B,"&lt;&gt;Lorena Dias de Araujo",$B:$B,"&lt;&gt;Lucas Luiz Romero")*(23/1083),IF(C1104="JR",SUMIFS($D:$D,$A:$A,$A1104,$B:$B,"&lt;&gt;Patrícia Karla de Sousa Araújo",$B:$B,"&lt;&gt;Lorena Dias de Araujo",$B:$B,"&lt;&gt;Lucas Luiz Romero")*(20/1083),IF(C1104="Estágio",SUMIFS($D:$D,$A:$A,$A1104,$B:$B,"&lt;&gt;Patrícia Karla de Sousa Araújo",$B:$B,"&lt;&gt;Lorena Dias de Araujo",$B:$B,"&lt;&gt;Lucas Luiz Romero")*(10/1083),0)))))),0)</f>
        <v/>
      </c>
      <c r="K1104" s="3">
        <f>I1104-J1104</f>
        <v/>
      </c>
      <c r="L1104" s="3">
        <f>IF(K1104&lt;-5,"CRÍTICO",IF(K1104&lt;0,"ATENÇÃO",IF(K1104&lt;=5,"BOM","EXCELENTE")))</f>
        <v/>
      </c>
      <c r="M1104" s="3" t="n">
        <v>18</v>
      </c>
      <c r="N1104" s="3" t="n">
        <v>97.11</v>
      </c>
      <c r="O1104" s="12" t="n">
        <v>37.40831295843521</v>
      </c>
    </row>
    <row r="1105">
      <c r="A1105" s="10" t="n">
        <v>46035</v>
      </c>
      <c r="B1105" t="inlineStr">
        <is>
          <t>Leandro de Souza Silva</t>
        </is>
      </c>
      <c r="C1105" s="1" t="inlineStr">
        <is>
          <t>JR</t>
        </is>
      </c>
      <c r="D1105" s="3" t="n">
        <v>0</v>
      </c>
      <c r="E1105" s="3" t="n">
        <v>0</v>
      </c>
      <c r="F1105" s="3" t="n">
        <v>0</v>
      </c>
      <c r="G1105" s="3" t="n">
        <v>0</v>
      </c>
      <c r="H1105" s="3" t="n">
        <v>0</v>
      </c>
      <c r="I1105" s="3" t="n">
        <v>0</v>
      </c>
      <c r="J1105" s="3" t="n">
        <v>0</v>
      </c>
      <c r="K1105" s="3" t="n">
        <v>0</v>
      </c>
      <c r="L1105" s="3">
        <f>IF(K1105&lt;-5,"CRÍTICO",IF(K1105&lt;0,"ATENÇÃO",IF(K1105&lt;=5,"BOM","EXCELENTE")))</f>
        <v/>
      </c>
      <c r="M1105" s="3" t="n">
        <v>0</v>
      </c>
      <c r="N1105" s="3" t="n">
        <v>0</v>
      </c>
      <c r="O1105" s="12" t="n">
        <v>0</v>
      </c>
    </row>
    <row r="1106">
      <c r="A1106" s="10" t="n">
        <v>46035</v>
      </c>
      <c r="B1106" t="inlineStr">
        <is>
          <t>Leandro Oliveira de Sousa</t>
        </is>
      </c>
      <c r="C1106" s="1" t="inlineStr">
        <is>
          <t>Técnico III</t>
        </is>
      </c>
      <c r="D1106" s="3" t="n">
        <v>26</v>
      </c>
      <c r="E1106" s="3" t="n">
        <v>25</v>
      </c>
      <c r="F1106" s="3" t="n">
        <v>20.39</v>
      </c>
      <c r="G1106" s="3" t="n">
        <v>0</v>
      </c>
      <c r="H1106" s="3" t="n">
        <v>0</v>
      </c>
      <c r="I1106" s="3">
        <f>E1106+G1106+H1106</f>
        <v/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/>
      </c>
      <c r="K1106" s="3">
        <f>I1106-J1106</f>
        <v/>
      </c>
      <c r="L1106" s="3">
        <f>IF(K1106&lt;-5,"CRÍTICO",IF(K1106&lt;0,"ATENÇÃO",IF(K1106&lt;=5,"BOM","EXCELENTE")))</f>
        <v/>
      </c>
      <c r="M1106" s="3" t="n">
        <v>20</v>
      </c>
      <c r="N1106" s="3" t="n">
        <v>100</v>
      </c>
      <c r="O1106" s="12" t="n">
        <v>30.47034764826176</v>
      </c>
    </row>
    <row r="1107">
      <c r="A1107" s="10" t="n">
        <v>46035</v>
      </c>
      <c r="B1107" t="inlineStr">
        <is>
          <t>Lizandra Gomes Duarte</t>
        </is>
      </c>
      <c r="C1107" s="1" t="inlineStr">
        <is>
          <t>Técnico II</t>
        </is>
      </c>
      <c r="D1107" s="3" t="n">
        <v>15</v>
      </c>
      <c r="E1107" s="3" t="n">
        <v>15</v>
      </c>
      <c r="F1107" s="3" t="n">
        <v>18.41</v>
      </c>
      <c r="G1107" s="3" t="n">
        <v>0</v>
      </c>
      <c r="H1107" s="3" t="n">
        <v>0</v>
      </c>
      <c r="I1107" s="3">
        <f>E1107+G1107+H1107</f>
        <v/>
      </c>
      <c r="J1107" s="3">
        <f>ROUND(MIN(IF(C1107="Técnico III",35,IF(C1107="Técnico II",28,IF(C1107="Técnico I",23,IF(C1107="JR",20,IF(C1107="Estágio",10,0))))),IF(C1107="Técnico III",SUMIFS($D:$D,$A:$A,$A1107,$B:$B,"&lt;&gt;Patrícia Karla de Sousa Araújo",$B:$B,"&lt;&gt;Lorena Dias de Araujo",$B:$B,"&lt;&gt;Lucas Luiz Romero")*(35/1083),IF(C1107="Técnico II",SUMIFS($D:$D,$A:$A,$A1107,$B:$B,"&lt;&gt;Patrícia Karla de Sousa Araújo",$B:$B,"&lt;&gt;Lorena Dias de Araujo",$B:$B,"&lt;&gt;Lucas Luiz Romero")*(28/1083),IF(C1107="Técnico I",SUMIFS($D:$D,$A:$A,$A1107,$B:$B,"&lt;&gt;Patrícia Karla de Sousa Araújo",$B:$B,"&lt;&gt;Lorena Dias de Araujo",$B:$B,"&lt;&gt;Lucas Luiz Romero")*(23/1083),IF(C1107="JR",SUMIFS($D:$D,$A:$A,$A1107,$B:$B,"&lt;&gt;Patrícia Karla de Sousa Araújo",$B:$B,"&lt;&gt;Lorena Dias de Araujo",$B:$B,"&lt;&gt;Lucas Luiz Romero")*(20/1083),IF(C1107="Estágio",SUMIFS($D:$D,$A:$A,$A1107,$B:$B,"&lt;&gt;Patrícia Karla de Sousa Araújo",$B:$B,"&lt;&gt;Lorena Dias de Araujo",$B:$B,"&lt;&gt;Lucas Luiz Romero")*(10/1083),0)))))),0)</f>
        <v/>
      </c>
      <c r="K1107" s="3">
        <f>I1107-J1107</f>
        <v/>
      </c>
      <c r="L1107" s="3">
        <f>IF(K1107&lt;-5,"CRÍTICO",IF(K1107&lt;0,"ATENÇÃO",IF(K1107&lt;=5,"BOM","EXCELENTE")))</f>
        <v/>
      </c>
      <c r="M1107" s="3" t="n">
        <v>10</v>
      </c>
      <c r="N1107" s="3" t="n">
        <v>100</v>
      </c>
      <c r="O1107" s="12" t="n">
        <v>32.37113402061856</v>
      </c>
    </row>
    <row r="1108">
      <c r="A1108" s="10" t="n">
        <v>46035</v>
      </c>
      <c r="B1108" t="inlineStr">
        <is>
          <t>Lorena Dias de Araujo</t>
        </is>
      </c>
      <c r="C1108" s="1" t="inlineStr">
        <is>
          <t>Técnico II</t>
        </is>
      </c>
      <c r="D1108" s="3" t="n">
        <v>23</v>
      </c>
      <c r="E1108" s="3" t="n">
        <v>20</v>
      </c>
      <c r="F1108" s="3" t="n">
        <v>20.24</v>
      </c>
      <c r="G1108" s="3" t="n">
        <v>0</v>
      </c>
      <c r="H1108" s="3" t="n">
        <v>0</v>
      </c>
      <c r="I1108" s="3" t="n">
        <v>0</v>
      </c>
      <c r="J1108" s="3" t="n">
        <v>0</v>
      </c>
      <c r="K1108" s="3" t="n">
        <v>0</v>
      </c>
      <c r="L1108" s="3">
        <f>IF(K1108&lt;-5,"CRÍTICO",IF(K1108&lt;0,"ATENÇÃO",IF(K1108&lt;=5,"BOM","EXCELENTE")))</f>
        <v/>
      </c>
      <c r="M1108" s="3" t="n">
        <v>18</v>
      </c>
      <c r="N1108" s="3" t="n">
        <v>98.31999999999999</v>
      </c>
      <c r="O1108" s="12" t="n">
        <v>32.31850117096019</v>
      </c>
    </row>
    <row r="1109">
      <c r="A1109" s="10" t="n">
        <v>46035</v>
      </c>
      <c r="B1109" t="inlineStr">
        <is>
          <t>Lucas Luiz Romero</t>
        </is>
      </c>
      <c r="C1109" s="1" t="inlineStr">
        <is>
          <t>Técnico III</t>
        </is>
      </c>
      <c r="D1109" s="3" t="n">
        <v>35</v>
      </c>
      <c r="E1109" s="3" t="n">
        <v>29</v>
      </c>
      <c r="F1109" s="3" t="n">
        <v>16.43</v>
      </c>
      <c r="G1109" s="3" t="n">
        <v>0</v>
      </c>
      <c r="H1109" s="3" t="n">
        <v>0</v>
      </c>
      <c r="I1109" s="3">
        <f>E1109+G1109+H1109</f>
        <v/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/>
      </c>
      <c r="K1109" s="3">
        <f>I1109-J1109</f>
        <v/>
      </c>
      <c r="L1109" s="3">
        <f>IF(K1109&lt;-5,"CRÍTICO",IF(K1109&lt;0,"ATENÇÃO",IF(K1109&lt;=5,"BOM","EXCELENTE")))</f>
        <v/>
      </c>
      <c r="M1109" s="3" t="n">
        <v>18</v>
      </c>
      <c r="N1109" s="3" t="n">
        <v>96.43000000000001</v>
      </c>
      <c r="O1109" s="12" t="n">
        <v>27.01525054466231</v>
      </c>
    </row>
    <row r="1110">
      <c r="A1110" s="10" t="n">
        <v>46035</v>
      </c>
      <c r="B1110" t="inlineStr">
        <is>
          <t>Luiz Fernando de Carvalho Junior</t>
        </is>
      </c>
      <c r="C1110" s="1" t="inlineStr">
        <is>
          <t>Técnico I</t>
        </is>
      </c>
      <c r="D1110" s="3" t="n">
        <v>14</v>
      </c>
      <c r="E1110" s="3" t="n">
        <v>13</v>
      </c>
      <c r="F1110" s="3" t="n">
        <v>33.42</v>
      </c>
      <c r="G1110" s="3" t="n">
        <v>0</v>
      </c>
      <c r="H1110" s="3" t="n">
        <v>0</v>
      </c>
      <c r="I1110" s="3">
        <f>E1110+G1110+H1110</f>
        <v/>
      </c>
      <c r="J1110" s="3">
        <f>ROUND(MIN(IF(C1110="Técnico III",35,IF(C1110="Técnico II",28,IF(C1110="Técnico I",23,IF(C1110="JR",20,IF(C1110="Estágio",10,0))))),IF(C1110="Técnico III",SUMIFS($D:$D,$A:$A,$A1110,$B:$B,"&lt;&gt;Patrícia Karla de Sousa Araújo",$B:$B,"&lt;&gt;Lorena Dias de Araujo",$B:$B,"&lt;&gt;Lucas Luiz Romero")*(35/1083),IF(C1110="Técnico II",SUMIFS($D:$D,$A:$A,$A1110,$B:$B,"&lt;&gt;Patrícia Karla de Sousa Araújo",$B:$B,"&lt;&gt;Lorena Dias de Araujo",$B:$B,"&lt;&gt;Lucas Luiz Romero")*(28/1083),IF(C1110="Técnico I",SUMIFS($D:$D,$A:$A,$A1110,$B:$B,"&lt;&gt;Patrícia Karla de Sousa Araújo",$B:$B,"&lt;&gt;Lorena Dias de Araujo",$B:$B,"&lt;&gt;Lucas Luiz Romero")*(23/1083),IF(C1110="JR",SUMIFS($D:$D,$A:$A,$A1110,$B:$B,"&lt;&gt;Patrícia Karla de Sousa Araújo",$B:$B,"&lt;&gt;Lorena Dias de Araujo",$B:$B,"&lt;&gt;Lucas Luiz Romero")*(20/1083),IF(C1110="Estágio",SUMIFS($D:$D,$A:$A,$A1110,$B:$B,"&lt;&gt;Patrícia Karla de Sousa Araújo",$B:$B,"&lt;&gt;Lorena Dias de Araujo",$B:$B,"&lt;&gt;Lucas Luiz Romero")*(10/1083),0)))))),0)</f>
        <v/>
      </c>
      <c r="K1110" s="3">
        <f>I1110-J1110</f>
        <v/>
      </c>
      <c r="L1110" s="3">
        <f>IF(K1110&lt;-5,"CRÍTICO",IF(K1110&lt;0,"ATENÇÃO",IF(K1110&lt;=5,"BOM","EXCELENTE")))</f>
        <v/>
      </c>
      <c r="M1110" s="3" t="n">
        <v>12</v>
      </c>
      <c r="N1110" s="3" t="n">
        <v>98.89</v>
      </c>
      <c r="O1110" s="12" t="n">
        <v>28.02197802197802</v>
      </c>
    </row>
    <row r="1111">
      <c r="A1111" s="10" t="n">
        <v>46035</v>
      </c>
      <c r="B1111" t="inlineStr">
        <is>
          <t>Maria Eduarda Sousa Costa</t>
        </is>
      </c>
      <c r="C1111" s="1" t="inlineStr">
        <is>
          <t>Estágio</t>
        </is>
      </c>
      <c r="D1111" s="3" t="n">
        <v>7</v>
      </c>
      <c r="E1111" s="3" t="n">
        <v>6</v>
      </c>
      <c r="F1111" s="3" t="n">
        <v>42.32</v>
      </c>
      <c r="G1111" s="3" t="n">
        <v>0</v>
      </c>
      <c r="H1111" s="3" t="n">
        <v>0</v>
      </c>
      <c r="I1111" s="3">
        <f>E1111+G1111+H1111</f>
        <v/>
      </c>
      <c r="J1111" s="3">
        <f>ROUND(MIN(IF(C1111="Técnico III",35,IF(C1111="Técnico II",28,IF(C1111="Técnico I",23,IF(C1111="JR",20,IF(C1111="Estágio",10,0))))),IF(C1111="Técnico III",SUMIFS($D:$D,$A:$A,$A1111,$B:$B,"&lt;&gt;Patrícia Karla de Sousa Araújo",$B:$B,"&lt;&gt;Lorena Dias de Araujo",$B:$B,"&lt;&gt;Lucas Luiz Romero")*(35/1083),IF(C1111="Técnico II",SUMIFS($D:$D,$A:$A,$A1111,$B:$B,"&lt;&gt;Patrícia Karla de Sousa Araújo",$B:$B,"&lt;&gt;Lorena Dias de Araujo",$B:$B,"&lt;&gt;Lucas Luiz Romero")*(28/1083),IF(C1111="Técnico I",SUMIFS($D:$D,$A:$A,$A1111,$B:$B,"&lt;&gt;Patrícia Karla de Sousa Araújo",$B:$B,"&lt;&gt;Lorena Dias de Araujo",$B:$B,"&lt;&gt;Lucas Luiz Romero")*(23/1083),IF(C1111="JR",SUMIFS($D:$D,$A:$A,$A1111,$B:$B,"&lt;&gt;Patrícia Karla de Sousa Araújo",$B:$B,"&lt;&gt;Lorena Dias de Araujo",$B:$B,"&lt;&gt;Lucas Luiz Romero")*(20/1083),IF(C1111="Estágio",SUMIFS($D:$D,$A:$A,$A1111,$B:$B,"&lt;&gt;Patrícia Karla de Sousa Araújo",$B:$B,"&lt;&gt;Lorena Dias de Araujo",$B:$B,"&lt;&gt;Lucas Luiz Romero")*(10/1083),0)))))),0)</f>
        <v/>
      </c>
      <c r="K1111" s="3">
        <f>I1111-J1111</f>
        <v/>
      </c>
      <c r="L1111" s="3">
        <f>IF(K1111&lt;-5,"CRÍTICO",IF(K1111&lt;0,"ATENÇÃO",IF(K1111&lt;=5,"BOM","EXCELENTE")))</f>
        <v/>
      </c>
      <c r="M1111" s="3" t="n">
        <v>3</v>
      </c>
      <c r="N1111" s="3" t="n">
        <v>100</v>
      </c>
      <c r="O1111" s="12" t="n">
        <v>33.33333333333333</v>
      </c>
    </row>
    <row r="1112">
      <c r="A1112" s="10" t="n">
        <v>46035</v>
      </c>
      <c r="B1112" t="inlineStr">
        <is>
          <t>Matheus Farias De Souza</t>
        </is>
      </c>
      <c r="C1112" s="1" t="inlineStr">
        <is>
          <t>Técnico III</t>
        </is>
      </c>
      <c r="D1112" s="3" t="n">
        <v>0</v>
      </c>
      <c r="E1112" s="3" t="n">
        <v>0</v>
      </c>
      <c r="F1112" s="3" t="n">
        <v>0</v>
      </c>
      <c r="G1112" s="3" t="n">
        <v>0</v>
      </c>
      <c r="H1112" s="3" t="n">
        <v>0</v>
      </c>
      <c r="I1112" s="3" t="n">
        <v>0</v>
      </c>
      <c r="J1112" s="3" t="n">
        <v>0</v>
      </c>
      <c r="K1112" s="3" t="n">
        <v>0</v>
      </c>
      <c r="L1112" s="3">
        <f>IF(K1112&lt;-5,"CRÍTICO",IF(K1112&lt;0,"ATENÇÃO",IF(K1112&lt;=5,"BOM","EXCELENTE")))</f>
        <v/>
      </c>
      <c r="M1112" s="3" t="n">
        <v>0</v>
      </c>
      <c r="N1112" s="3" t="n">
        <v>100</v>
      </c>
      <c r="O1112" s="12" t="n">
        <v>27.43362831858407</v>
      </c>
    </row>
    <row r="1113">
      <c r="A1113" s="10" t="n">
        <v>46035</v>
      </c>
      <c r="B1113" t="inlineStr">
        <is>
          <t>Maysa Victoria Dias Moura</t>
        </is>
      </c>
      <c r="C1113" s="1" t="inlineStr">
        <is>
          <t>Técnico III</t>
        </is>
      </c>
      <c r="D1113" s="3" t="n">
        <v>35</v>
      </c>
      <c r="E1113" s="3" t="n">
        <v>32</v>
      </c>
      <c r="F1113" s="3" t="n">
        <v>10.59</v>
      </c>
      <c r="G1113" s="3" t="n">
        <v>0</v>
      </c>
      <c r="H1113" s="3" t="n">
        <v>0</v>
      </c>
      <c r="I1113" s="3">
        <f>E1113+G1113+H1113</f>
        <v/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/>
      </c>
      <c r="K1113" s="3">
        <f>I1113-J1113</f>
        <v/>
      </c>
      <c r="L1113" s="3">
        <f>IF(K1113&lt;-5,"CRÍTICO",IF(K1113&lt;0,"ATENÇÃO",IF(K1113&lt;=5,"BOM","EXCELENTE")))</f>
        <v/>
      </c>
      <c r="M1113" s="3" t="n">
        <v>29</v>
      </c>
      <c r="N1113" s="3" t="n">
        <v>98.65000000000001</v>
      </c>
      <c r="O1113" s="12" t="n">
        <v>30.97826086956522</v>
      </c>
    </row>
    <row r="1114">
      <c r="A1114" s="10" t="n">
        <v>46035</v>
      </c>
      <c r="B1114" t="inlineStr">
        <is>
          <t>Michelle G Santos</t>
        </is>
      </c>
      <c r="C1114" s="1" t="inlineStr">
        <is>
          <t>Estágio</t>
        </is>
      </c>
      <c r="D1114" s="3" t="n">
        <v>0</v>
      </c>
      <c r="E1114" s="3" t="n">
        <v>0</v>
      </c>
      <c r="F1114" s="3" t="n">
        <v>0</v>
      </c>
      <c r="G1114" s="3" t="n">
        <v>0</v>
      </c>
      <c r="H1114" s="3" t="n">
        <v>0</v>
      </c>
      <c r="I1114" s="3" t="n">
        <v>0</v>
      </c>
      <c r="J1114" s="3" t="n">
        <v>0</v>
      </c>
      <c r="K1114" s="3" t="n">
        <v>0</v>
      </c>
      <c r="L1114" s="3">
        <f>IF(K1114&lt;-5,"CRÍTICO",IF(K1114&lt;0,"ATENÇÃO",IF(K1114&lt;=5,"BOM","EXCELENTE")))</f>
        <v/>
      </c>
      <c r="M1114" s="3" t="n">
        <v>0</v>
      </c>
      <c r="N1114" s="3" t="n">
        <v>100</v>
      </c>
      <c r="O1114" s="12" t="n">
        <v>12</v>
      </c>
    </row>
    <row r="1115">
      <c r="A1115" s="10" t="n">
        <v>46035</v>
      </c>
      <c r="B1115" t="inlineStr">
        <is>
          <t>Milena Sales</t>
        </is>
      </c>
      <c r="C1115" s="1" t="inlineStr">
        <is>
          <t>JR</t>
        </is>
      </c>
      <c r="D1115" s="3" t="n">
        <v>0</v>
      </c>
      <c r="E1115" s="3" t="n">
        <v>0</v>
      </c>
      <c r="F1115" s="3" t="n">
        <v>0</v>
      </c>
      <c r="G1115" s="3" t="n">
        <v>0</v>
      </c>
      <c r="H1115" s="3" t="n">
        <v>0</v>
      </c>
      <c r="I1115" s="3" t="n">
        <v>0</v>
      </c>
      <c r="J1115" s="3" t="n">
        <v>0</v>
      </c>
      <c r="K1115" s="3" t="n">
        <v>0</v>
      </c>
      <c r="L1115" s="3">
        <f>IF(K1115&lt;-5,"CRÍTICO",IF(K1115&lt;0,"ATENÇÃO",IF(K1115&lt;=5,"BOM","EXCELENTE")))</f>
        <v/>
      </c>
      <c r="M1115" s="3" t="n">
        <v>0</v>
      </c>
      <c r="N1115" s="3" t="n">
        <v>0</v>
      </c>
      <c r="O1115" s="12" t="n">
        <v>0</v>
      </c>
    </row>
    <row r="1116">
      <c r="A1116" s="10" t="n">
        <v>46035</v>
      </c>
      <c r="B1116" t="inlineStr">
        <is>
          <t>Patrícia Karla de Sousa Araújo</t>
        </is>
      </c>
      <c r="C1116" s="1" t="inlineStr">
        <is>
          <t>Técnico II</t>
        </is>
      </c>
      <c r="D1116" s="3" t="n">
        <v>0</v>
      </c>
      <c r="E1116" s="3" t="n">
        <v>0</v>
      </c>
      <c r="F1116" s="3" t="n">
        <v>0</v>
      </c>
      <c r="G1116" s="3" t="n">
        <v>0</v>
      </c>
      <c r="H1116" s="3" t="n">
        <v>0</v>
      </c>
      <c r="I1116" s="3" t="n">
        <v>0</v>
      </c>
      <c r="J1116" s="3" t="n">
        <v>0</v>
      </c>
      <c r="K1116" s="3" t="n">
        <v>0</v>
      </c>
      <c r="L1116" s="3">
        <f>IF(K1116&lt;-5,"CRÍTICO",IF(K1116&lt;0,"ATENÇÃO",IF(K1116&lt;=5,"BOM","EXCELENTE")))</f>
        <v/>
      </c>
      <c r="M1116" s="3" t="n">
        <v>0</v>
      </c>
      <c r="N1116" s="3" t="n">
        <v>97.56</v>
      </c>
      <c r="O1116" s="12" t="n">
        <v>31.06796116504854</v>
      </c>
    </row>
    <row r="1117">
      <c r="A1117" s="10" t="n">
        <v>46035</v>
      </c>
      <c r="B1117" t="inlineStr">
        <is>
          <t>Paulo Ricardo Santos</t>
        </is>
      </c>
      <c r="C1117" s="1" t="inlineStr">
        <is>
          <t>JR</t>
        </is>
      </c>
      <c r="D1117" s="3" t="n">
        <v>0</v>
      </c>
      <c r="E1117" s="3" t="n">
        <v>0</v>
      </c>
      <c r="F1117" s="3" t="n">
        <v>0</v>
      </c>
      <c r="G1117" s="3" t="n">
        <v>0</v>
      </c>
      <c r="H1117" s="3" t="n">
        <v>0</v>
      </c>
      <c r="I1117" s="3" t="n">
        <v>0</v>
      </c>
      <c r="J1117" s="3" t="n">
        <v>0</v>
      </c>
      <c r="K1117" s="3" t="n">
        <v>0</v>
      </c>
      <c r="L1117" s="3">
        <f>IF(K1117&lt;-5,"CRÍTICO",IF(K1117&lt;0,"ATENÇÃO",IF(K1117&lt;=5,"BOM","EXCELENTE")))</f>
        <v/>
      </c>
      <c r="M1117" s="3" t="n">
        <v>0</v>
      </c>
      <c r="N1117" s="3" t="n">
        <v>0</v>
      </c>
      <c r="O1117" s="12" t="n">
        <v>0</v>
      </c>
    </row>
    <row r="1118">
      <c r="A1118" s="10" t="n">
        <v>46035</v>
      </c>
      <c r="B1118" t="inlineStr">
        <is>
          <t>Pedro Luiz Mota Sousa</t>
        </is>
      </c>
      <c r="C1118" s="1" t="inlineStr">
        <is>
          <t>JR</t>
        </is>
      </c>
      <c r="D1118" s="3" t="n">
        <v>0</v>
      </c>
      <c r="E1118" s="3" t="n">
        <v>0</v>
      </c>
      <c r="F1118" s="3" t="n">
        <v>0</v>
      </c>
      <c r="G1118" s="3" t="n">
        <v>0</v>
      </c>
      <c r="H1118" s="3" t="n">
        <v>0</v>
      </c>
      <c r="I1118" s="3" t="n">
        <v>0</v>
      </c>
      <c r="J1118" s="3" t="n">
        <v>0</v>
      </c>
      <c r="K1118" s="3" t="n">
        <v>0</v>
      </c>
      <c r="L1118" s="3">
        <f>IF(K1118&lt;-5,"CRÍTICO",IF(K1118&lt;0,"ATENÇÃO",IF(K1118&lt;=5,"BOM","EXCELENTE")))</f>
        <v/>
      </c>
      <c r="M1118" s="3" t="n">
        <v>0</v>
      </c>
      <c r="N1118" s="3" t="n">
        <v>0</v>
      </c>
      <c r="O1118" s="12" t="n">
        <v>0</v>
      </c>
    </row>
    <row r="1119">
      <c r="A1119" s="10" t="n">
        <v>46035</v>
      </c>
      <c r="B1119" t="inlineStr">
        <is>
          <t>Quirino Diogo Leite Torres</t>
        </is>
      </c>
      <c r="C1119" s="1" t="inlineStr">
        <is>
          <t>Estágio</t>
        </is>
      </c>
      <c r="D1119" s="3" t="n">
        <v>0</v>
      </c>
      <c r="E1119" s="3" t="n">
        <v>0</v>
      </c>
      <c r="F1119" s="3" t="n">
        <v>0</v>
      </c>
      <c r="G1119" s="3" t="n">
        <v>0</v>
      </c>
      <c r="H1119" s="3" t="n">
        <v>0</v>
      </c>
      <c r="I1119" s="3" t="n">
        <v>0</v>
      </c>
      <c r="J1119" s="3" t="n">
        <v>0</v>
      </c>
      <c r="K1119" s="3" t="n">
        <v>0</v>
      </c>
      <c r="L1119" s="3">
        <f>IF(K1119&lt;-5,"CRÍTICO",IF(K1119&lt;0,"ATENÇÃO",IF(K1119&lt;=5,"BOM","EXCELENTE")))</f>
        <v/>
      </c>
      <c r="M1119" s="3" t="n">
        <v>0</v>
      </c>
      <c r="N1119" s="3" t="n">
        <v>0</v>
      </c>
      <c r="O1119" s="12" t="n">
        <v>0</v>
      </c>
    </row>
    <row r="1120">
      <c r="A1120" s="10" t="n">
        <v>46035</v>
      </c>
      <c r="B1120" t="inlineStr">
        <is>
          <t>Raane Batista Matos</t>
        </is>
      </c>
      <c r="C1120" s="1" t="inlineStr">
        <is>
          <t>Técnico I</t>
        </is>
      </c>
      <c r="D1120" s="3" t="n">
        <v>0</v>
      </c>
      <c r="E1120" s="3" t="n">
        <v>0</v>
      </c>
      <c r="F1120" s="3" t="n">
        <v>0</v>
      </c>
      <c r="G1120" s="3" t="n">
        <v>0</v>
      </c>
      <c r="H1120" s="3" t="n">
        <v>0</v>
      </c>
      <c r="I1120" s="3" t="n">
        <v>0</v>
      </c>
      <c r="J1120" s="3" t="n">
        <v>0</v>
      </c>
      <c r="K1120" s="3" t="n">
        <v>0</v>
      </c>
      <c r="L1120" s="3">
        <f>IF(K1120&lt;-5,"CRÍTICO",IF(K1120&lt;0,"ATENÇÃO",IF(K1120&lt;=5,"BOM","EXCELENTE")))</f>
        <v/>
      </c>
      <c r="M1120" s="3" t="n">
        <v>0</v>
      </c>
      <c r="N1120" s="3" t="n">
        <v>100</v>
      </c>
      <c r="O1120" s="12" t="n">
        <v>53.84615384615385</v>
      </c>
    </row>
    <row r="1121">
      <c r="A1121" s="10" t="n">
        <v>46035</v>
      </c>
      <c r="B1121" t="inlineStr">
        <is>
          <t>Rafael Gomes de Morais</t>
        </is>
      </c>
      <c r="C1121" s="1" t="inlineStr">
        <is>
          <t>Técnico III</t>
        </is>
      </c>
      <c r="D1121" s="3" t="n">
        <v>0</v>
      </c>
      <c r="E1121" s="3" t="n">
        <v>0</v>
      </c>
      <c r="F1121" s="3" t="n">
        <v>0</v>
      </c>
      <c r="G1121" s="3" t="n">
        <v>0</v>
      </c>
      <c r="H1121" s="3" t="n">
        <v>0</v>
      </c>
      <c r="I1121" s="3" t="n">
        <v>0</v>
      </c>
      <c r="J1121" s="3" t="n">
        <v>0</v>
      </c>
      <c r="K1121" s="3" t="n">
        <v>0</v>
      </c>
      <c r="L1121" s="3">
        <f>IF(K1121&lt;-5,"CRÍTICO",IF(K1121&lt;0,"ATENÇÃO",IF(K1121&lt;=5,"BOM","EXCELENTE")))</f>
        <v/>
      </c>
      <c r="M1121" s="3" t="n">
        <v>0</v>
      </c>
      <c r="N1121" s="3" t="n">
        <v>100</v>
      </c>
      <c r="O1121" s="12" t="n">
        <v>44.05594405594406</v>
      </c>
    </row>
    <row r="1122">
      <c r="A1122" s="10" t="n">
        <v>46035</v>
      </c>
      <c r="B1122" t="inlineStr">
        <is>
          <t>Sara Maria Monteiro Lopes</t>
        </is>
      </c>
      <c r="C1122" s="1" t="inlineStr">
        <is>
          <t>Técnico I</t>
        </is>
      </c>
      <c r="D1122" s="3" t="n">
        <v>9</v>
      </c>
      <c r="E1122" s="3" t="n">
        <v>9</v>
      </c>
      <c r="F1122" s="3" t="n">
        <v>69.09999999999999</v>
      </c>
      <c r="G1122" s="3" t="n">
        <v>0</v>
      </c>
      <c r="H1122" s="3" t="n">
        <v>0</v>
      </c>
      <c r="I1122" s="3">
        <f>E1122+G1122+H1122</f>
        <v/>
      </c>
      <c r="J1122" s="3">
        <f>ROUND(MIN(IF(C1122="Técnico III",35,IF(C1122="Técnico II",28,IF(C1122="Técnico I",23,IF(C1122="JR",20,IF(C1122="Estágio",10,0))))),IF(C1122="Técnico III",SUMIFS($D:$D,$A:$A,$A1122,$B:$B,"&lt;&gt;Patrícia Karla de Sousa Araújo",$B:$B,"&lt;&gt;Lorena Dias de Araujo",$B:$B,"&lt;&gt;Lucas Luiz Romero")*(35/1083),IF(C1122="Técnico II",SUMIFS($D:$D,$A:$A,$A1122,$B:$B,"&lt;&gt;Patrícia Karla de Sousa Araújo",$B:$B,"&lt;&gt;Lorena Dias de Araujo",$B:$B,"&lt;&gt;Lucas Luiz Romero")*(28/1083),IF(C1122="Técnico I",SUMIFS($D:$D,$A:$A,$A1122,$B:$B,"&lt;&gt;Patrícia Karla de Sousa Araújo",$B:$B,"&lt;&gt;Lorena Dias de Araujo",$B:$B,"&lt;&gt;Lucas Luiz Romero")*(23/1083),IF(C1122="JR",SUMIFS($D:$D,$A:$A,$A1122,$B:$B,"&lt;&gt;Patrícia Karla de Sousa Araújo",$B:$B,"&lt;&gt;Lorena Dias de Araujo",$B:$B,"&lt;&gt;Lucas Luiz Romero")*(20/1083),IF(C1122="Estágio",SUMIFS($D:$D,$A:$A,$A1122,$B:$B,"&lt;&gt;Patrícia Karla de Sousa Araújo",$B:$B,"&lt;&gt;Lorena Dias de Araujo",$B:$B,"&lt;&gt;Lucas Luiz Romero")*(10/1083),0)))))),0)</f>
        <v/>
      </c>
      <c r="K1122" s="3">
        <f>I1122-J1122</f>
        <v/>
      </c>
      <c r="L1122" s="3">
        <f>IF(K1122&lt;-5,"CRÍTICO",IF(K1122&lt;0,"ATENÇÃO",IF(K1122&lt;=5,"BOM","EXCELENTE")))</f>
        <v/>
      </c>
      <c r="M1122" s="3" t="n">
        <v>8</v>
      </c>
      <c r="N1122" s="3" t="n">
        <v>100</v>
      </c>
      <c r="O1122" s="12" t="n">
        <v>31.87250996015936</v>
      </c>
    </row>
    <row r="1123">
      <c r="A1123" s="10" t="n">
        <v>46035</v>
      </c>
      <c r="B1123" t="inlineStr">
        <is>
          <t>Sarah Steffanie de Lima Borges</t>
        </is>
      </c>
      <c r="C1123" s="1" t="inlineStr">
        <is>
          <t>Técnico III</t>
        </is>
      </c>
      <c r="D1123" s="3" t="n">
        <v>28</v>
      </c>
      <c r="E1123" s="3" t="n">
        <v>25</v>
      </c>
      <c r="F1123" s="3" t="n">
        <v>14.14</v>
      </c>
      <c r="G1123" s="3" t="n">
        <v>0</v>
      </c>
      <c r="H1123" s="3" t="n">
        <v>0</v>
      </c>
      <c r="I1123" s="3">
        <f>E1123+G1123+H1123</f>
        <v/>
      </c>
      <c r="J1123" s="3">
        <f>ROUND(MIN(IF(C1123="Técnico III",35,IF(C1123="Técnico II",28,IF(C1123="Técnico I",23,IF(C1123="JR",20,IF(C1123="Estágio",10,0))))),IF(C1123="Técnico III",SUMIFS($D:$D,$A:$A,$A1123,$B:$B,"&lt;&gt;Patrícia Karla de Sousa Araújo",$B:$B,"&lt;&gt;Lorena Dias de Araujo",$B:$B,"&lt;&gt;Lucas Luiz Romero")*(35/1083),IF(C1123="Técnico II",SUMIFS($D:$D,$A:$A,$A1123,$B:$B,"&lt;&gt;Patrícia Karla de Sousa Araújo",$B:$B,"&lt;&gt;Lorena Dias de Araujo",$B:$B,"&lt;&gt;Lucas Luiz Romero")*(28/1083),IF(C1123="Técnico I",SUMIFS($D:$D,$A:$A,$A1123,$B:$B,"&lt;&gt;Patrícia Karla de Sousa Araújo",$B:$B,"&lt;&gt;Lorena Dias de Araujo",$B:$B,"&lt;&gt;Lucas Luiz Romero")*(23/1083),IF(C1123="JR",SUMIFS($D:$D,$A:$A,$A1123,$B:$B,"&lt;&gt;Patrícia Karla de Sousa Araújo",$B:$B,"&lt;&gt;Lorena Dias de Araujo",$B:$B,"&lt;&gt;Lucas Luiz Romero")*(20/1083),IF(C1123="Estágio",SUMIFS($D:$D,$A:$A,$A1123,$B:$B,"&lt;&gt;Patrícia Karla de Sousa Araújo",$B:$B,"&lt;&gt;Lorena Dias de Araujo",$B:$B,"&lt;&gt;Lucas Luiz Romero")*(10/1083),0)))))),0)</f>
        <v/>
      </c>
      <c r="K1123" s="3">
        <f>I1123-J1123</f>
        <v/>
      </c>
      <c r="L1123" s="3">
        <f>IF(K1123&lt;-5,"CRÍTICO",IF(K1123&lt;0,"ATENÇÃO",IF(K1123&lt;=5,"BOM","EXCELENTE")))</f>
        <v/>
      </c>
      <c r="M1123" s="3" t="n">
        <v>19</v>
      </c>
      <c r="N1123" s="3" t="n">
        <v>98.41</v>
      </c>
      <c r="O1123" s="12" t="n">
        <v>29.22465208747515</v>
      </c>
    </row>
    <row r="1124">
      <c r="A1124" s="10" t="n">
        <v>46036</v>
      </c>
      <c r="B1124" t="inlineStr">
        <is>
          <t>Alisson de Freitas Silva</t>
        </is>
      </c>
      <c r="C1124" s="1" t="inlineStr">
        <is>
          <t>Técnico II</t>
        </is>
      </c>
      <c r="D1124" s="3" t="n">
        <v>18</v>
      </c>
      <c r="E1124" s="3" t="n">
        <v>15</v>
      </c>
      <c r="F1124" s="3" t="n">
        <v>27.01</v>
      </c>
      <c r="G1124" s="3" t="n">
        <v>0</v>
      </c>
      <c r="H1124" s="3" t="n">
        <v>0</v>
      </c>
      <c r="I1124" s="3">
        <f>E1124+G1124+H1124</f>
        <v/>
      </c>
      <c r="J1124" s="3">
        <f>ROUND(MIN(IF(C1124="Técnico III",35,IF(C1124="Técnico II",28,IF(C1124="Técnico I",23,IF(C1124="JR",20,IF(C1124="Estágio",10,0))))),IF(C1124="Técnico III",SUMIFS($D:$D,$A:$A,$A1124,$B:$B,"&lt;&gt;Patrícia Karla de Sousa Araújo",$B:$B,"&lt;&gt;Lorena Dias de Araujo",$B:$B,"&lt;&gt;Lucas Luiz Romero")*(35/1083),IF(C1124="Técnico II",SUMIFS($D:$D,$A:$A,$A1124,$B:$B,"&lt;&gt;Patrícia Karla de Sousa Araújo",$B:$B,"&lt;&gt;Lorena Dias de Araujo",$B:$B,"&lt;&gt;Lucas Luiz Romero")*(28/1083),IF(C1124="Técnico I",SUMIFS($D:$D,$A:$A,$A1124,$B:$B,"&lt;&gt;Patrícia Karla de Sousa Araújo",$B:$B,"&lt;&gt;Lorena Dias de Araujo",$B:$B,"&lt;&gt;Lucas Luiz Romero")*(23/1083),IF(C1124="JR",SUMIFS($D:$D,$A:$A,$A1124,$B:$B,"&lt;&gt;Patrícia Karla de Sousa Araújo",$B:$B,"&lt;&gt;Lorena Dias de Araujo",$B:$B,"&lt;&gt;Lucas Luiz Romero")*(20/1083),IF(C1124="Estágio",SUMIFS($D:$D,$A:$A,$A1124,$B:$B,"&lt;&gt;Patrícia Karla de Sousa Araújo",$B:$B,"&lt;&gt;Lorena Dias de Araujo",$B:$B,"&lt;&gt;Lucas Luiz Romero")*(10/1083),0)))))),0)</f>
        <v/>
      </c>
      <c r="K1124" s="3">
        <f>I1124-J1124</f>
        <v/>
      </c>
      <c r="L1124" s="3">
        <f>IF(K1124&lt;-5,"CRÍTICO",IF(K1124&lt;0,"ATENÇÃO",IF(K1124&lt;=5,"BOM","EXCELENTE")))</f>
        <v/>
      </c>
      <c r="M1124" s="3" t="n">
        <v>17</v>
      </c>
      <c r="N1124" s="3" t="n">
        <v>96.81</v>
      </c>
      <c r="O1124" s="12" t="n">
        <v>27.98053527980535</v>
      </c>
    </row>
    <row r="1125">
      <c r="A1125" s="10" t="n">
        <v>46036</v>
      </c>
      <c r="B1125" t="inlineStr">
        <is>
          <t>Amanda Moura Ferreira</t>
        </is>
      </c>
      <c r="C1125" s="1" t="inlineStr">
        <is>
          <t>Técnico III</t>
        </is>
      </c>
      <c r="D1125" s="3" t="n">
        <v>0</v>
      </c>
      <c r="E1125" s="3" t="n">
        <v>0</v>
      </c>
      <c r="F1125" s="3" t="n">
        <v>0</v>
      </c>
      <c r="G1125" s="3" t="n">
        <v>0</v>
      </c>
      <c r="H1125" s="3" t="n">
        <v>0</v>
      </c>
      <c r="I1125" s="3" t="n">
        <v>0</v>
      </c>
      <c r="J1125" s="3" t="n">
        <v>0</v>
      </c>
      <c r="K1125" s="3" t="n">
        <v>0</v>
      </c>
      <c r="L1125" s="3">
        <f>IF(K1125&lt;-5,"CRÍTICO",IF(K1125&lt;0,"ATENÇÃO",IF(K1125&lt;=5,"BOM","EXCELENTE")))</f>
        <v/>
      </c>
      <c r="M1125" s="3" t="n">
        <v>20</v>
      </c>
      <c r="N1125" s="3" t="n">
        <v>98.73</v>
      </c>
      <c r="O1125" s="12" t="n">
        <v>35.75638506876228</v>
      </c>
    </row>
    <row r="1126">
      <c r="A1126" s="10" t="n">
        <v>46036</v>
      </c>
      <c r="B1126" t="inlineStr">
        <is>
          <t>Ana Karollyne Souza Faria</t>
        </is>
      </c>
      <c r="C1126" s="1" t="inlineStr">
        <is>
          <t>Técnico I</t>
        </is>
      </c>
      <c r="D1126" s="3" t="n">
        <v>21</v>
      </c>
      <c r="E1126" s="3" t="n">
        <v>20</v>
      </c>
      <c r="F1126" s="3" t="n">
        <v>30.51</v>
      </c>
      <c r="G1126" s="3" t="n">
        <v>0</v>
      </c>
      <c r="H1126" s="3" t="n">
        <v>0</v>
      </c>
      <c r="I1126" s="3">
        <f>E1126+G1126+H1126</f>
        <v/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/>
      </c>
      <c r="K1126" s="3">
        <f>I1126-J1126</f>
        <v/>
      </c>
      <c r="L1126" s="3">
        <f>IF(K1126&lt;-5,"CRÍTICO",IF(K1126&lt;0,"ATENÇÃO",IF(K1126&lt;=5,"BOM","EXCELENTE")))</f>
        <v/>
      </c>
      <c r="M1126" s="3" t="n">
        <v>19</v>
      </c>
      <c r="N1126" s="3" t="n">
        <v>98.31999999999999</v>
      </c>
      <c r="O1126" s="12" t="n">
        <v>26.76348547717842</v>
      </c>
    </row>
    <row r="1127">
      <c r="A1127" s="10" t="n">
        <v>46036</v>
      </c>
      <c r="B1127" t="inlineStr">
        <is>
          <t>Ana Paula Da Luz Silva Aleixo</t>
        </is>
      </c>
      <c r="C1127" s="1" t="inlineStr">
        <is>
          <t>Técnico III</t>
        </is>
      </c>
      <c r="D1127" s="3" t="n">
        <v>6</v>
      </c>
      <c r="E1127" s="3" t="n">
        <v>6</v>
      </c>
      <c r="F1127" s="3" t="n">
        <v>23.54</v>
      </c>
      <c r="G1127" s="3" t="n">
        <v>0</v>
      </c>
      <c r="H1127" s="3" t="n">
        <v>0</v>
      </c>
      <c r="I1127" s="3">
        <f>E1127+G1127+H1127</f>
        <v/>
      </c>
      <c r="J1127" s="3">
        <f>ROUND(MIN(IF(C1127="Técnico III",35,IF(C1127="Técnico II",28,IF(C1127="Técnico I",23,IF(C1127="JR",20,IF(C1127="Estágio",10,0))))),IF(C1127="Técnico III",SUMIFS($D:$D,$A:$A,$A1127,$B:$B,"&lt;&gt;Patrícia Karla de Sousa Araújo",$B:$B,"&lt;&gt;Lorena Dias de Araujo",$B:$B,"&lt;&gt;Lucas Luiz Romero")*(35/1083),IF(C1127="Técnico II",SUMIFS($D:$D,$A:$A,$A1127,$B:$B,"&lt;&gt;Patrícia Karla de Sousa Araújo",$B:$B,"&lt;&gt;Lorena Dias de Araujo",$B:$B,"&lt;&gt;Lucas Luiz Romero")*(28/1083),IF(C1127="Técnico I",SUMIFS($D:$D,$A:$A,$A1127,$B:$B,"&lt;&gt;Patrícia Karla de Sousa Araújo",$B:$B,"&lt;&gt;Lorena Dias de Araujo",$B:$B,"&lt;&gt;Lucas Luiz Romero")*(23/1083),IF(C1127="JR",SUMIFS($D:$D,$A:$A,$A1127,$B:$B,"&lt;&gt;Patrícia Karla de Sousa Araújo",$B:$B,"&lt;&gt;Lorena Dias de Araujo",$B:$B,"&lt;&gt;Lucas Luiz Romero")*(20/1083),IF(C1127="Estágio",SUMIFS($D:$D,$A:$A,$A1127,$B:$B,"&lt;&gt;Patrícia Karla de Sousa Araújo",$B:$B,"&lt;&gt;Lorena Dias de Araujo",$B:$B,"&lt;&gt;Lucas Luiz Romero")*(10/1083),0)))))),0)</f>
        <v/>
      </c>
      <c r="K1127" s="3">
        <f>I1127-J1127</f>
        <v/>
      </c>
      <c r="L1127" s="3">
        <f>IF(K1127&lt;-5,"CRÍTICO",IF(K1127&lt;0,"ATENÇÃO",IF(K1127&lt;=5,"BOM","EXCELENTE")))</f>
        <v/>
      </c>
      <c r="M1127" s="3" t="n">
        <v>4</v>
      </c>
      <c r="N1127" s="3" t="n">
        <v>99.19</v>
      </c>
      <c r="O1127" s="12" t="n">
        <v>27.63713080168776</v>
      </c>
    </row>
    <row r="1128">
      <c r="A1128" s="10" t="n">
        <v>46036</v>
      </c>
      <c r="B1128" t="inlineStr">
        <is>
          <t>Anna Luiza Rezende Tavares</t>
        </is>
      </c>
      <c r="C1128" s="1" t="inlineStr">
        <is>
          <t>Estágio</t>
        </is>
      </c>
      <c r="D1128" s="3" t="n">
        <v>9</v>
      </c>
      <c r="E1128" s="3" t="n">
        <v>9</v>
      </c>
      <c r="F1128" s="3" t="n">
        <v>49.18</v>
      </c>
      <c r="G1128" s="3" t="n">
        <v>0</v>
      </c>
      <c r="H1128" s="3" t="n">
        <v>0</v>
      </c>
      <c r="I1128" s="3">
        <f>E1128+G1128+H1128</f>
        <v/>
      </c>
      <c r="J1128" s="3">
        <f>ROUND(MIN(IF(C1128="Técnico III",35,IF(C1128="Técnico II",28,IF(C1128="Técnico I",23,IF(C1128="JR",20,IF(C1128="Estágio",10,0))))),IF(C1128="Técnico III",SUMIFS($D:$D,$A:$A,$A1128,$B:$B,"&lt;&gt;Patrícia Karla de Sousa Araújo",$B:$B,"&lt;&gt;Lorena Dias de Araujo",$B:$B,"&lt;&gt;Lucas Luiz Romero")*(35/1083),IF(C1128="Técnico II",SUMIFS($D:$D,$A:$A,$A1128,$B:$B,"&lt;&gt;Patrícia Karla de Sousa Araújo",$B:$B,"&lt;&gt;Lorena Dias de Araujo",$B:$B,"&lt;&gt;Lucas Luiz Romero")*(28/1083),IF(C1128="Técnico I",SUMIFS($D:$D,$A:$A,$A1128,$B:$B,"&lt;&gt;Patrícia Karla de Sousa Araújo",$B:$B,"&lt;&gt;Lorena Dias de Araujo",$B:$B,"&lt;&gt;Lucas Luiz Romero")*(23/1083),IF(C1128="JR",SUMIFS($D:$D,$A:$A,$A1128,$B:$B,"&lt;&gt;Patrícia Karla de Sousa Araújo",$B:$B,"&lt;&gt;Lorena Dias de Araujo",$B:$B,"&lt;&gt;Lucas Luiz Romero")*(20/1083),IF(C1128="Estágio",SUMIFS($D:$D,$A:$A,$A1128,$B:$B,"&lt;&gt;Patrícia Karla de Sousa Araújo",$B:$B,"&lt;&gt;Lorena Dias de Araujo",$B:$B,"&lt;&gt;Lucas Luiz Romero")*(10/1083),0)))))),0)</f>
        <v/>
      </c>
      <c r="K1128" s="3">
        <f>I1128-J1128</f>
        <v/>
      </c>
      <c r="L1128" s="3">
        <f>IF(K1128&lt;-5,"CRÍTICO",IF(K1128&lt;0,"ATENÇÃO",IF(K1128&lt;=5,"BOM","EXCELENTE")))</f>
        <v/>
      </c>
      <c r="M1128" s="3" t="n">
        <v>7</v>
      </c>
      <c r="N1128" s="3" t="n">
        <v>100</v>
      </c>
      <c r="O1128" s="12" t="n">
        <v>39.56834532374101</v>
      </c>
    </row>
    <row r="1129">
      <c r="A1129" s="10" t="n">
        <v>46036</v>
      </c>
      <c r="B1129" t="inlineStr">
        <is>
          <t>Brenda de Menezes Silva</t>
        </is>
      </c>
      <c r="C1129" s="1" t="inlineStr">
        <is>
          <t>Técnico II</t>
        </is>
      </c>
      <c r="D1129" s="3" t="n">
        <v>30</v>
      </c>
      <c r="E1129" s="3" t="n">
        <v>27</v>
      </c>
      <c r="F1129" s="3" t="n">
        <v>20.06</v>
      </c>
      <c r="G1129" s="3" t="n">
        <v>0</v>
      </c>
      <c r="H1129" s="3" t="n">
        <v>0</v>
      </c>
      <c r="I1129" s="3">
        <f>E1129+G1129+H1129</f>
        <v/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/>
      </c>
      <c r="K1129" s="3">
        <f>I1129-J1129</f>
        <v/>
      </c>
      <c r="L1129" s="3">
        <f>IF(K1129&lt;-5,"CRÍTICO",IF(K1129&lt;0,"ATENÇÃO",IF(K1129&lt;=5,"BOM","EXCELENTE")))</f>
        <v/>
      </c>
      <c r="M1129" s="3" t="n">
        <v>26</v>
      </c>
      <c r="N1129" s="3" t="n">
        <v>98.54000000000001</v>
      </c>
      <c r="O1129" s="12" t="n">
        <v>28.54477611940299</v>
      </c>
    </row>
    <row r="1130">
      <c r="A1130" s="10" t="n">
        <v>46036</v>
      </c>
      <c r="B1130" t="inlineStr">
        <is>
          <t>Carlos Mateus Cassimiro Nunes</t>
        </is>
      </c>
      <c r="C1130" s="1" t="inlineStr">
        <is>
          <t>Técnico II</t>
        </is>
      </c>
      <c r="D1130" s="3" t="n">
        <v>25</v>
      </c>
      <c r="E1130" s="3" t="n">
        <v>23</v>
      </c>
      <c r="F1130" s="3" t="n">
        <v>22.36</v>
      </c>
      <c r="G1130" s="3" t="n">
        <v>0</v>
      </c>
      <c r="H1130" s="3" t="n">
        <v>0</v>
      </c>
      <c r="I1130" s="3">
        <f>E1130+G1130+H1130</f>
        <v/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/>
      </c>
      <c r="K1130" s="3">
        <f>I1130-J1130</f>
        <v/>
      </c>
      <c r="L1130" s="3">
        <f>IF(K1130&lt;-5,"CRÍTICO",IF(K1130&lt;0,"ATENÇÃO",IF(K1130&lt;=5,"BOM","EXCELENTE")))</f>
        <v/>
      </c>
      <c r="M1130" s="3" t="n">
        <v>24</v>
      </c>
      <c r="N1130" s="3" t="n">
        <v>100</v>
      </c>
      <c r="O1130" s="12" t="n">
        <v>34.36692506459949</v>
      </c>
    </row>
    <row r="1131">
      <c r="A1131" s="10" t="n">
        <v>46036</v>
      </c>
      <c r="B1131" t="inlineStr">
        <is>
          <t>Claudio de Sousa Velasco Filho</t>
        </is>
      </c>
      <c r="C1131" s="1" t="inlineStr">
        <is>
          <t>Estágio</t>
        </is>
      </c>
      <c r="D1131" s="3" t="n">
        <v>0</v>
      </c>
      <c r="E1131" s="3" t="n">
        <v>0</v>
      </c>
      <c r="F1131" s="3" t="n">
        <v>0</v>
      </c>
      <c r="G1131" s="3" t="n">
        <v>0</v>
      </c>
      <c r="H1131" s="3" t="n">
        <v>0</v>
      </c>
      <c r="I1131" s="3" t="n">
        <v>0</v>
      </c>
      <c r="J1131" s="3" t="n">
        <v>0</v>
      </c>
      <c r="K1131" s="3" t="n">
        <v>0</v>
      </c>
      <c r="L1131" s="3">
        <f>IF(K1131&lt;-5,"CRÍTICO",IF(K1131&lt;0,"ATENÇÃO",IF(K1131&lt;=5,"BOM","EXCELENTE")))</f>
        <v/>
      </c>
      <c r="M1131" s="3" t="n">
        <v>0</v>
      </c>
      <c r="N1131" s="3" t="n">
        <v>0</v>
      </c>
      <c r="O1131" s="12" t="n">
        <v>0</v>
      </c>
    </row>
    <row r="1132">
      <c r="A1132" s="10" t="n">
        <v>46036</v>
      </c>
      <c r="B1132" t="inlineStr">
        <is>
          <t>Clessiane Pereira dos Santos</t>
        </is>
      </c>
      <c r="C1132" s="1" t="inlineStr">
        <is>
          <t>Técnico I</t>
        </is>
      </c>
      <c r="D1132" s="3" t="n">
        <v>16</v>
      </c>
      <c r="E1132" s="3" t="n">
        <v>16</v>
      </c>
      <c r="F1132" s="3" t="n">
        <v>29.13</v>
      </c>
      <c r="G1132" s="3" t="n">
        <v>0</v>
      </c>
      <c r="H1132" s="3" t="n">
        <v>0</v>
      </c>
      <c r="I1132" s="3">
        <f>E1132+G1132+H1132</f>
        <v/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/>
      </c>
      <c r="K1132" s="3">
        <f>I1132-J1132</f>
        <v/>
      </c>
      <c r="L1132" s="3">
        <f>IF(K1132&lt;-5,"CRÍTICO",IF(K1132&lt;0,"ATENÇÃO",IF(K1132&lt;=5,"BOM","EXCELENTE")))</f>
        <v/>
      </c>
      <c r="M1132" s="3" t="n">
        <v>14</v>
      </c>
      <c r="N1132" s="3" t="n">
        <v>100</v>
      </c>
      <c r="O1132" s="12" t="n">
        <v>29.51807228915663</v>
      </c>
    </row>
    <row r="1133">
      <c r="A1133" s="10" t="n">
        <v>46036</v>
      </c>
      <c r="B1133" t="inlineStr">
        <is>
          <t>Cristiane Ramos da Silva Rocha</t>
        </is>
      </c>
      <c r="C1133" s="1" t="inlineStr">
        <is>
          <t>Técnico III</t>
        </is>
      </c>
      <c r="D1133" s="3" t="n">
        <v>35</v>
      </c>
      <c r="E1133" s="3" t="n">
        <v>32</v>
      </c>
      <c r="F1133" s="3" t="n">
        <v>15.37</v>
      </c>
      <c r="G1133" s="3" t="n">
        <v>0</v>
      </c>
      <c r="H1133" s="3" t="n">
        <v>0</v>
      </c>
      <c r="I1133" s="3">
        <f>E1133+G1133+H1133</f>
        <v/>
      </c>
      <c r="J1133" s="3">
        <f>ROUND(MIN(IF(C1133="Técnico III",35,IF(C1133="Técnico II",28,IF(C1133="Técnico I",23,IF(C1133="JR",20,IF(C1133="Estágio",10,0))))),IF(C1133="Técnico III",SUMIFS($D:$D,$A:$A,$A1133,$B:$B,"&lt;&gt;Patrícia Karla de Sousa Araújo",$B:$B,"&lt;&gt;Lorena Dias de Araujo",$B:$B,"&lt;&gt;Lucas Luiz Romero")*(35/1083),IF(C1133="Técnico II",SUMIFS($D:$D,$A:$A,$A1133,$B:$B,"&lt;&gt;Patrícia Karla de Sousa Araújo",$B:$B,"&lt;&gt;Lorena Dias de Araujo",$B:$B,"&lt;&gt;Lucas Luiz Romero")*(28/1083),IF(C1133="Técnico I",SUMIFS($D:$D,$A:$A,$A1133,$B:$B,"&lt;&gt;Patrícia Karla de Sousa Araújo",$B:$B,"&lt;&gt;Lorena Dias de Araujo",$B:$B,"&lt;&gt;Lucas Luiz Romero")*(23/1083),IF(C1133="JR",SUMIFS($D:$D,$A:$A,$A1133,$B:$B,"&lt;&gt;Patrícia Karla de Sousa Araújo",$B:$B,"&lt;&gt;Lorena Dias de Araujo",$B:$B,"&lt;&gt;Lucas Luiz Romero")*(20/1083),IF(C1133="Estágio",SUMIFS($D:$D,$A:$A,$A1133,$B:$B,"&lt;&gt;Patrícia Karla de Sousa Araújo",$B:$B,"&lt;&gt;Lorena Dias de Araujo",$B:$B,"&lt;&gt;Lucas Luiz Romero")*(10/1083),0)))))),0)</f>
        <v/>
      </c>
      <c r="K1133" s="3">
        <f>I1133-J1133</f>
        <v/>
      </c>
      <c r="L1133" s="3">
        <f>IF(K1133&lt;-5,"CRÍTICO",IF(K1133&lt;0,"ATENÇÃO",IF(K1133&lt;=5,"BOM","EXCELENTE")))</f>
        <v/>
      </c>
      <c r="M1133" s="3" t="n">
        <v>28</v>
      </c>
      <c r="N1133" s="3" t="n">
        <v>97.45</v>
      </c>
      <c r="O1133" s="12" t="n">
        <v>41.421143847487</v>
      </c>
    </row>
    <row r="1134">
      <c r="A1134" s="10" t="n">
        <v>46036</v>
      </c>
      <c r="B1134" t="inlineStr">
        <is>
          <t>Damyllis Lorraine de Oliveira Gonçalves</t>
        </is>
      </c>
      <c r="C1134" s="1" t="inlineStr">
        <is>
          <t>Técnico II</t>
        </is>
      </c>
      <c r="D1134" s="3" t="n">
        <v>20</v>
      </c>
      <c r="E1134" s="3" t="n">
        <v>13</v>
      </c>
      <c r="F1134" s="3" t="n">
        <v>27.1</v>
      </c>
      <c r="G1134" s="3" t="n">
        <v>0</v>
      </c>
      <c r="H1134" s="3" t="n">
        <v>0</v>
      </c>
      <c r="I1134" s="3" t="n">
        <v>0</v>
      </c>
      <c r="J1134" s="3" t="n">
        <v>0</v>
      </c>
      <c r="K1134" s="3" t="n">
        <v>0</v>
      </c>
      <c r="L1134" s="3">
        <f>IF(K1134&lt;-5,"CRÍTICO",IF(K1134&lt;0,"ATENÇÃO",IF(K1134&lt;=5,"BOM","EXCELENTE")))</f>
        <v/>
      </c>
      <c r="M1134" s="3" t="n">
        <v>12</v>
      </c>
      <c r="N1134" s="3" t="n">
        <v>96.58</v>
      </c>
      <c r="O1134" s="12" t="n">
        <v>30.39647577092511</v>
      </c>
    </row>
    <row r="1135">
      <c r="A1135" s="10" t="n">
        <v>46036</v>
      </c>
      <c r="B1135" t="inlineStr">
        <is>
          <t>Daniel Gomes da Silva</t>
        </is>
      </c>
      <c r="C1135" s="1" t="inlineStr">
        <is>
          <t>Técnico I</t>
        </is>
      </c>
      <c r="D1135" s="3" t="n">
        <v>22</v>
      </c>
      <c r="E1135" s="3" t="n">
        <v>22</v>
      </c>
      <c r="F1135" s="3" t="n">
        <v>18.22</v>
      </c>
      <c r="G1135" s="3" t="n">
        <v>0</v>
      </c>
      <c r="H1135" s="3" t="n">
        <v>0</v>
      </c>
      <c r="I1135" s="3">
        <f>E1135+G1135+H1135</f>
        <v/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/>
      </c>
      <c r="K1135" s="3">
        <f>I1135-J1135</f>
        <v/>
      </c>
      <c r="L1135" s="3">
        <f>IF(K1135&lt;-5,"CRÍTICO",IF(K1135&lt;0,"ATENÇÃO",IF(K1135&lt;=5,"BOM","EXCELENTE")))</f>
        <v/>
      </c>
      <c r="M1135" s="3" t="n">
        <v>28</v>
      </c>
      <c r="N1135" s="3" t="n">
        <v>100</v>
      </c>
      <c r="O1135" s="12" t="n">
        <v>27.44282744282744</v>
      </c>
    </row>
    <row r="1136">
      <c r="A1136" s="10" t="n">
        <v>46036</v>
      </c>
      <c r="B1136" t="inlineStr">
        <is>
          <t>Davylla Rodrigues Freitas Silva</t>
        </is>
      </c>
      <c r="C1136" s="1" t="inlineStr">
        <is>
          <t>Técnico III</t>
        </is>
      </c>
      <c r="D1136" s="3" t="n">
        <v>28</v>
      </c>
      <c r="E1136" s="3" t="n">
        <v>28</v>
      </c>
      <c r="F1136" s="3" t="n">
        <v>22.34</v>
      </c>
      <c r="G1136" s="3" t="n">
        <v>0</v>
      </c>
      <c r="H1136" s="3" t="n">
        <v>0</v>
      </c>
      <c r="I1136" s="3" t="n">
        <v>0</v>
      </c>
      <c r="J1136" s="3" t="n">
        <v>0</v>
      </c>
      <c r="K1136" s="3" t="n">
        <v>0</v>
      </c>
      <c r="L1136" s="3">
        <f>IF(K1136&lt;-5,"CRÍTICO",IF(K1136&lt;0,"ATENÇÃO",IF(K1136&lt;=5,"BOM","EXCELENTE")))</f>
        <v/>
      </c>
      <c r="M1136" s="3" t="n">
        <v>27</v>
      </c>
      <c r="N1136" s="3" t="n">
        <v>99.48999999999999</v>
      </c>
      <c r="O1136" s="12" t="n">
        <v>40.2</v>
      </c>
    </row>
    <row r="1137">
      <c r="A1137" s="10" t="n">
        <v>46036</v>
      </c>
      <c r="B1137" t="inlineStr">
        <is>
          <t>Emilly Caylane Costa</t>
        </is>
      </c>
      <c r="C1137" s="1" t="inlineStr">
        <is>
          <t>Estágio</t>
        </is>
      </c>
      <c r="D1137" s="3" t="n">
        <v>0</v>
      </c>
      <c r="E1137" s="3" t="n">
        <v>0</v>
      </c>
      <c r="F1137" s="3" t="n">
        <v>0</v>
      </c>
      <c r="G1137" s="3" t="n">
        <v>0</v>
      </c>
      <c r="H1137" s="3" t="n">
        <v>0</v>
      </c>
      <c r="I1137" s="3" t="n">
        <v>0</v>
      </c>
      <c r="J1137" s="3" t="n">
        <v>0</v>
      </c>
      <c r="K1137" s="3" t="n">
        <v>0</v>
      </c>
      <c r="L1137" s="3">
        <f>IF(K1137&lt;-5,"CRÍTICO",IF(K1137&lt;0,"ATENÇÃO",IF(K1137&lt;=5,"BOM","EXCELENTE")))</f>
        <v/>
      </c>
      <c r="M1137" s="3" t="n">
        <v>0</v>
      </c>
      <c r="N1137" s="3" t="n">
        <v>100</v>
      </c>
      <c r="O1137" s="12" t="n">
        <v>25</v>
      </c>
    </row>
    <row r="1138">
      <c r="A1138" s="10" t="n">
        <v>46036</v>
      </c>
      <c r="B1138" t="inlineStr">
        <is>
          <t>Emilly Kamilly Medeiros Miranda</t>
        </is>
      </c>
      <c r="C1138" s="1" t="inlineStr">
        <is>
          <t>Técnico II</t>
        </is>
      </c>
      <c r="D1138" s="3" t="n">
        <v>24</v>
      </c>
      <c r="E1138" s="3" t="n">
        <v>21</v>
      </c>
      <c r="F1138" s="3" t="n">
        <v>20.02</v>
      </c>
      <c r="G1138" s="3" t="n">
        <v>0</v>
      </c>
      <c r="H1138" s="3" t="n">
        <v>0</v>
      </c>
      <c r="I1138" s="3">
        <f>E1138+G1138+H1138</f>
        <v/>
      </c>
      <c r="J1138" s="3">
        <f>ROUND(MIN(IF(C1138="Técnico III",35,IF(C1138="Técnico II",28,IF(C1138="Técnico I",23,IF(C1138="JR",20,IF(C1138="Estágio",10,0))))),IF(C1138="Técnico III",SUMIFS($D:$D,$A:$A,$A1138,$B:$B,"&lt;&gt;Patrícia Karla de Sousa Araújo",$B:$B,"&lt;&gt;Lorena Dias de Araujo",$B:$B,"&lt;&gt;Lucas Luiz Romero")*(35/1083),IF(C1138="Técnico II",SUMIFS($D:$D,$A:$A,$A1138,$B:$B,"&lt;&gt;Patrícia Karla de Sousa Araújo",$B:$B,"&lt;&gt;Lorena Dias de Araujo",$B:$B,"&lt;&gt;Lucas Luiz Romero")*(28/1083),IF(C1138="Técnico I",SUMIFS($D:$D,$A:$A,$A1138,$B:$B,"&lt;&gt;Patrícia Karla de Sousa Araújo",$B:$B,"&lt;&gt;Lorena Dias de Araujo",$B:$B,"&lt;&gt;Lucas Luiz Romero")*(23/1083),IF(C1138="JR",SUMIFS($D:$D,$A:$A,$A1138,$B:$B,"&lt;&gt;Patrícia Karla de Sousa Araújo",$B:$B,"&lt;&gt;Lorena Dias de Araujo",$B:$B,"&lt;&gt;Lucas Luiz Romero")*(20/1083),IF(C1138="Estágio",SUMIFS($D:$D,$A:$A,$A1138,$B:$B,"&lt;&gt;Patrícia Karla de Sousa Araújo",$B:$B,"&lt;&gt;Lorena Dias de Araujo",$B:$B,"&lt;&gt;Lucas Luiz Romero")*(10/1083),0)))))),0)</f>
        <v/>
      </c>
      <c r="K1138" s="3">
        <f>I1138-J1138</f>
        <v/>
      </c>
      <c r="L1138" s="3">
        <f>IF(K1138&lt;-5,"CRÍTICO",IF(K1138&lt;0,"ATENÇÃO",IF(K1138&lt;=5,"BOM","EXCELENTE")))</f>
        <v/>
      </c>
      <c r="M1138" s="3" t="n">
        <v>22</v>
      </c>
      <c r="N1138" s="3" t="n">
        <v>100</v>
      </c>
      <c r="O1138" s="12" t="n">
        <v>34.15094339622641</v>
      </c>
    </row>
    <row r="1139">
      <c r="A1139" s="10" t="n">
        <v>46036</v>
      </c>
      <c r="B1139" t="inlineStr">
        <is>
          <t>Francielson de Oliveira</t>
        </is>
      </c>
      <c r="C1139" s="1" t="inlineStr">
        <is>
          <t>Técnico III</t>
        </is>
      </c>
      <c r="D1139" s="3" t="n">
        <v>15</v>
      </c>
      <c r="E1139" s="3" t="n">
        <v>13</v>
      </c>
      <c r="F1139" s="3" t="n">
        <v>18.46</v>
      </c>
      <c r="G1139" s="3" t="n">
        <v>0</v>
      </c>
      <c r="H1139" s="3" t="n">
        <v>0</v>
      </c>
      <c r="I1139" s="3">
        <f>E1139+G1139+H1139</f>
        <v/>
      </c>
      <c r="J1139" s="3">
        <f>ROUND(MIN(IF(C1139="Técnico III",35,IF(C1139="Técnico II",28,IF(C1139="Técnico I",23,IF(C1139="JR",20,IF(C1139="Estágio",10,0))))),IF(C1139="Técnico III",SUMIFS($D:$D,$A:$A,$A1139,$B:$B,"&lt;&gt;Patrícia Karla de Sousa Araújo",$B:$B,"&lt;&gt;Lorena Dias de Araujo",$B:$B,"&lt;&gt;Lucas Luiz Romero")*(35/1083),IF(C1139="Técnico II",SUMIFS($D:$D,$A:$A,$A1139,$B:$B,"&lt;&gt;Patrícia Karla de Sousa Araújo",$B:$B,"&lt;&gt;Lorena Dias de Araujo",$B:$B,"&lt;&gt;Lucas Luiz Romero")*(28/1083),IF(C1139="Técnico I",SUMIFS($D:$D,$A:$A,$A1139,$B:$B,"&lt;&gt;Patrícia Karla de Sousa Araújo",$B:$B,"&lt;&gt;Lorena Dias de Araujo",$B:$B,"&lt;&gt;Lucas Luiz Romero")*(23/1083),IF(C1139="JR",SUMIFS($D:$D,$A:$A,$A1139,$B:$B,"&lt;&gt;Patrícia Karla de Sousa Araújo",$B:$B,"&lt;&gt;Lorena Dias de Araujo",$B:$B,"&lt;&gt;Lucas Luiz Romero")*(20/1083),IF(C1139="Estágio",SUMIFS($D:$D,$A:$A,$A1139,$B:$B,"&lt;&gt;Patrícia Karla de Sousa Araújo",$B:$B,"&lt;&gt;Lorena Dias de Araujo",$B:$B,"&lt;&gt;Lucas Luiz Romero")*(10/1083),0)))))),0)</f>
        <v/>
      </c>
      <c r="K1139" s="3">
        <f>I1139-J1139</f>
        <v/>
      </c>
      <c r="L1139" s="3">
        <f>IF(K1139&lt;-5,"CRÍTICO",IF(K1139&lt;0,"ATENÇÃO",IF(K1139&lt;=5,"BOM","EXCELENTE")))</f>
        <v/>
      </c>
      <c r="M1139" s="3" t="n">
        <v>10</v>
      </c>
      <c r="N1139" s="3" t="n">
        <v>100</v>
      </c>
      <c r="O1139" s="12" t="n">
        <v>32.7313769751693</v>
      </c>
    </row>
    <row r="1140">
      <c r="A1140" s="10" t="n">
        <v>46036</v>
      </c>
      <c r="B1140" t="inlineStr">
        <is>
          <t>Francilene Ferreira de Jesus</t>
        </is>
      </c>
      <c r="C1140" s="1" t="inlineStr">
        <is>
          <t>Técnico II</t>
        </is>
      </c>
      <c r="D1140" s="3" t="n">
        <v>18</v>
      </c>
      <c r="E1140" s="3" t="n">
        <v>18</v>
      </c>
      <c r="F1140" s="3" t="n">
        <v>25.05</v>
      </c>
      <c r="G1140" s="3" t="n">
        <v>0</v>
      </c>
      <c r="H1140" s="3" t="n">
        <v>0</v>
      </c>
      <c r="I1140" s="3">
        <f>E1140+G1140+H1140</f>
        <v/>
      </c>
      <c r="J1140" s="3">
        <f>ROUND(MIN(IF(C1140="Técnico III",35,IF(C1140="Técnico II",28,IF(C1140="Técnico I",23,IF(C1140="JR",20,IF(C1140="Estágio",10,0))))),IF(C1140="Técnico III",SUMIFS($D:$D,$A:$A,$A1140,$B:$B,"&lt;&gt;Patrícia Karla de Sousa Araújo",$B:$B,"&lt;&gt;Lorena Dias de Araujo",$B:$B,"&lt;&gt;Lucas Luiz Romero")*(35/1083),IF(C1140="Técnico II",SUMIFS($D:$D,$A:$A,$A1140,$B:$B,"&lt;&gt;Patrícia Karla de Sousa Araújo",$B:$B,"&lt;&gt;Lorena Dias de Araujo",$B:$B,"&lt;&gt;Lucas Luiz Romero")*(28/1083),IF(C1140="Técnico I",SUMIFS($D:$D,$A:$A,$A1140,$B:$B,"&lt;&gt;Patrícia Karla de Sousa Araújo",$B:$B,"&lt;&gt;Lorena Dias de Araujo",$B:$B,"&lt;&gt;Lucas Luiz Romero")*(23/1083),IF(C1140="JR",SUMIFS($D:$D,$A:$A,$A1140,$B:$B,"&lt;&gt;Patrícia Karla de Sousa Araújo",$B:$B,"&lt;&gt;Lorena Dias de Araujo",$B:$B,"&lt;&gt;Lucas Luiz Romero")*(20/1083),IF(C1140="Estágio",SUMIFS($D:$D,$A:$A,$A1140,$B:$B,"&lt;&gt;Patrícia Karla de Sousa Araújo",$B:$B,"&lt;&gt;Lorena Dias de Araujo",$B:$B,"&lt;&gt;Lucas Luiz Romero")*(10/1083),0)))))),0)</f>
        <v/>
      </c>
      <c r="K1140" s="3">
        <f>I1140-J1140</f>
        <v/>
      </c>
      <c r="L1140" s="3">
        <f>IF(K1140&lt;-5,"CRÍTICO",IF(K1140&lt;0,"ATENÇÃO",IF(K1140&lt;=5,"BOM","EXCELENTE")))</f>
        <v/>
      </c>
      <c r="M1140" s="3" t="n">
        <v>16</v>
      </c>
      <c r="N1140" s="3" t="n">
        <v>99.31</v>
      </c>
      <c r="O1140" s="12" t="n">
        <v>30.96234309623431</v>
      </c>
    </row>
    <row r="1141">
      <c r="A1141" s="10" t="n">
        <v>46070</v>
      </c>
      <c r="B1141" t="inlineStr">
        <is>
          <t>Gabriel Gomes de Andrade</t>
        </is>
      </c>
      <c r="C1141" s="1" t="inlineStr">
        <is>
          <t>Técnico I</t>
        </is>
      </c>
      <c r="D1141" s="3" t="n">
        <v>0</v>
      </c>
      <c r="E1141" s="3" t="n">
        <v>0</v>
      </c>
      <c r="F1141" s="3" t="n">
        <v>0</v>
      </c>
      <c r="G1141" s="3" t="n">
        <v>0</v>
      </c>
      <c r="H1141" s="3" t="n">
        <v>0</v>
      </c>
      <c r="I1141" s="3" t="n">
        <v>0</v>
      </c>
      <c r="J1141" s="3" t="n">
        <v>0</v>
      </c>
      <c r="K1141" s="3" t="n">
        <v>0</v>
      </c>
      <c r="L1141" s="3">
        <f>IF(K1141&lt;-5,"CRÍTICO",IF(K1141&lt;0,"ATENÇÃO",IF(K1141&lt;=5,"BOM","EXCELENTE")))</f>
        <v/>
      </c>
      <c r="M1141" s="3" t="n">
        <v>0</v>
      </c>
      <c r="N1141" s="3" t="n">
        <v>96.67</v>
      </c>
      <c r="O1141" s="12" t="n">
        <v>31.45161290322581</v>
      </c>
    </row>
    <row r="1142">
      <c r="A1142" s="10" t="n">
        <v>46036</v>
      </c>
      <c r="B1142" t="inlineStr">
        <is>
          <t>Isabella Borges de Oliveira</t>
        </is>
      </c>
      <c r="C1142" s="1" t="inlineStr">
        <is>
          <t>Técnico II</t>
        </is>
      </c>
      <c r="D1142" s="3" t="n">
        <v>31</v>
      </c>
      <c r="E1142" s="3" t="n">
        <v>29</v>
      </c>
      <c r="F1142" s="3" t="n">
        <v>20.33</v>
      </c>
      <c r="G1142" s="3" t="n">
        <v>0</v>
      </c>
      <c r="H1142" s="3" t="n">
        <v>0</v>
      </c>
      <c r="I1142" s="3">
        <f>E1142+G1142+H1142</f>
        <v/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/>
      </c>
      <c r="K1142" s="3">
        <f>I1142-J1142</f>
        <v/>
      </c>
      <c r="L1142" s="3">
        <f>IF(K1142&lt;-5,"CRÍTICO",IF(K1142&lt;0,"ATENÇÃO",IF(K1142&lt;=5,"BOM","EXCELENTE")))</f>
        <v/>
      </c>
      <c r="M1142" s="3" t="n">
        <v>22</v>
      </c>
      <c r="N1142" s="3" t="n">
        <v>100</v>
      </c>
      <c r="O1142" s="12" t="n">
        <v>27.67676767676768</v>
      </c>
    </row>
    <row r="1143">
      <c r="A1143" s="10" t="n">
        <v>46036</v>
      </c>
      <c r="B1143" t="inlineStr">
        <is>
          <t>Janaina Lima dos Reis Urany</t>
        </is>
      </c>
      <c r="C1143" s="1" t="inlineStr">
        <is>
          <t>Técnico III</t>
        </is>
      </c>
      <c r="D1143" s="3" t="n">
        <v>37</v>
      </c>
      <c r="E1143" s="3" t="n">
        <v>33</v>
      </c>
      <c r="F1143" s="3" t="n">
        <v>18.26</v>
      </c>
      <c r="G1143" s="3" t="n">
        <v>0</v>
      </c>
      <c r="H1143" s="3" t="n">
        <v>0</v>
      </c>
      <c r="I1143" s="3">
        <f>E1143+G1143+H1143</f>
        <v/>
      </c>
      <c r="J1143" s="3">
        <f>ROUND(MIN(IF(C1143="Técnico III",35,IF(C1143="Técnico II",28,IF(C1143="Técnico I",23,IF(C1143="JR",20,IF(C1143="Estágio",10,0))))),IF(C1143="Técnico III",SUMIFS($D:$D,$A:$A,$A1143,$B:$B,"&lt;&gt;Patrícia Karla de Sousa Araújo",$B:$B,"&lt;&gt;Lorena Dias de Araujo",$B:$B,"&lt;&gt;Lucas Luiz Romero")*(35/1083),IF(C1143="Técnico II",SUMIFS($D:$D,$A:$A,$A1143,$B:$B,"&lt;&gt;Patrícia Karla de Sousa Araújo",$B:$B,"&lt;&gt;Lorena Dias de Araujo",$B:$B,"&lt;&gt;Lucas Luiz Romero")*(28/1083),IF(C1143="Técnico I",SUMIFS($D:$D,$A:$A,$A1143,$B:$B,"&lt;&gt;Patrícia Karla de Sousa Araújo",$B:$B,"&lt;&gt;Lorena Dias de Araujo",$B:$B,"&lt;&gt;Lucas Luiz Romero")*(23/1083),IF(C1143="JR",SUMIFS($D:$D,$A:$A,$A1143,$B:$B,"&lt;&gt;Patrícia Karla de Sousa Araújo",$B:$B,"&lt;&gt;Lorena Dias de Araujo",$B:$B,"&lt;&gt;Lucas Luiz Romero")*(20/1083),IF(C1143="Estágio",SUMIFS($D:$D,$A:$A,$A1143,$B:$B,"&lt;&gt;Patrícia Karla de Sousa Araújo",$B:$B,"&lt;&gt;Lorena Dias de Araujo",$B:$B,"&lt;&gt;Lucas Luiz Romero")*(10/1083),0)))))),0)</f>
        <v/>
      </c>
      <c r="K1143" s="3">
        <f>I1143-J1143</f>
        <v/>
      </c>
      <c r="L1143" s="3">
        <f>IF(K1143&lt;-5,"CRÍTICO",IF(K1143&lt;0,"ATENÇÃO",IF(K1143&lt;=5,"BOM","EXCELENTE")))</f>
        <v/>
      </c>
      <c r="M1143" s="3" t="n">
        <v>32</v>
      </c>
      <c r="N1143" s="3" t="n">
        <v>100</v>
      </c>
      <c r="O1143" s="12" t="n">
        <v>31.17723156532988</v>
      </c>
    </row>
    <row r="1144">
      <c r="A1144" s="10" t="n">
        <v>46036</v>
      </c>
      <c r="B1144" t="inlineStr">
        <is>
          <t>Jaqueline Evangelista da Silva Martins</t>
        </is>
      </c>
      <c r="C1144" s="1" t="inlineStr">
        <is>
          <t>Técnico III</t>
        </is>
      </c>
      <c r="D1144" s="3" t="n">
        <v>21</v>
      </c>
      <c r="E1144" s="3" t="n">
        <v>17</v>
      </c>
      <c r="F1144" s="3" t="n">
        <v>8.35</v>
      </c>
      <c r="G1144" s="3" t="n">
        <v>0</v>
      </c>
      <c r="H1144" s="3" t="n">
        <v>0</v>
      </c>
      <c r="I1144" s="3">
        <f>E1144+G1144+H1144</f>
        <v/>
      </c>
      <c r="J1144" s="3">
        <f>ROUND(MIN(IF(C1144="Técnico III",35,IF(C1144="Técnico II",28,IF(C1144="Técnico I",23,IF(C1144="JR",20,IF(C1144="Estágio",10,0))))),IF(C1144="Técnico III",SUMIFS($D:$D,$A:$A,$A1144,$B:$B,"&lt;&gt;Patrícia Karla de Sousa Araújo",$B:$B,"&lt;&gt;Lorena Dias de Araujo",$B:$B,"&lt;&gt;Lucas Luiz Romero")*(35/1083),IF(C1144="Técnico II",SUMIFS($D:$D,$A:$A,$A1144,$B:$B,"&lt;&gt;Patrícia Karla de Sousa Araújo",$B:$B,"&lt;&gt;Lorena Dias de Araujo",$B:$B,"&lt;&gt;Lucas Luiz Romero")*(28/1083),IF(C1144="Técnico I",SUMIFS($D:$D,$A:$A,$A1144,$B:$B,"&lt;&gt;Patrícia Karla de Sousa Araújo",$B:$B,"&lt;&gt;Lorena Dias de Araujo",$B:$B,"&lt;&gt;Lucas Luiz Romero")*(23/1083),IF(C1144="JR",SUMIFS($D:$D,$A:$A,$A1144,$B:$B,"&lt;&gt;Patrícia Karla de Sousa Araújo",$B:$B,"&lt;&gt;Lorena Dias de Araujo",$B:$B,"&lt;&gt;Lucas Luiz Romero")*(20/1083),IF(C1144="Estágio",SUMIFS($D:$D,$A:$A,$A1144,$B:$B,"&lt;&gt;Patrícia Karla de Sousa Araújo",$B:$B,"&lt;&gt;Lorena Dias de Araujo",$B:$B,"&lt;&gt;Lucas Luiz Romero")*(10/1083),0)))))),0)</f>
        <v/>
      </c>
      <c r="K1144" s="3">
        <f>I1144-J1144</f>
        <v/>
      </c>
      <c r="L1144" s="3">
        <f>IF(K1144&lt;-5,"CRÍTICO",IF(K1144&lt;0,"ATENÇÃO",IF(K1144&lt;=5,"BOM","EXCELENTE")))</f>
        <v/>
      </c>
      <c r="M1144" s="3" t="n">
        <v>16</v>
      </c>
      <c r="N1144" s="3" t="n">
        <v>100</v>
      </c>
      <c r="O1144" s="12" t="n">
        <v>27.60942760942761</v>
      </c>
    </row>
    <row r="1145">
      <c r="A1145" s="10" t="n">
        <v>46036</v>
      </c>
      <c r="B1145" t="inlineStr">
        <is>
          <t>Jessica Faria da Silveira</t>
        </is>
      </c>
      <c r="C1145" s="1" t="inlineStr">
        <is>
          <t>Técnico II</t>
        </is>
      </c>
      <c r="D1145" s="3" t="n">
        <v>30</v>
      </c>
      <c r="E1145" s="3" t="n">
        <v>24</v>
      </c>
      <c r="F1145" s="3" t="n">
        <v>13.22</v>
      </c>
      <c r="G1145" s="3" t="n">
        <v>0</v>
      </c>
      <c r="H1145" s="3" t="n">
        <v>0</v>
      </c>
      <c r="I1145" s="3">
        <f>E1145+G1145+H1145</f>
        <v/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/>
      </c>
      <c r="K1145" s="3">
        <f>I1145-J1145</f>
        <v/>
      </c>
      <c r="L1145" s="3">
        <f>IF(K1145&lt;-5,"CRÍTICO",IF(K1145&lt;0,"ATENÇÃO",IF(K1145&lt;=5,"BOM","EXCELENTE")))</f>
        <v/>
      </c>
      <c r="M1145" s="3" t="n">
        <v>23</v>
      </c>
      <c r="N1145" s="3" t="n">
        <v>96.40000000000001</v>
      </c>
      <c r="O1145" s="12" t="n">
        <v>28.76404494382023</v>
      </c>
    </row>
    <row r="1146">
      <c r="A1146" s="10" t="n">
        <v>46036</v>
      </c>
      <c r="B1146" t="inlineStr">
        <is>
          <t>Jéssica Fé Moura</t>
        </is>
      </c>
      <c r="C1146" s="1" t="inlineStr">
        <is>
          <t>Técnico III</t>
        </is>
      </c>
      <c r="D1146" s="3" t="n">
        <v>0</v>
      </c>
      <c r="E1146" s="3" t="n">
        <v>0</v>
      </c>
      <c r="F1146" s="3" t="n">
        <v>0</v>
      </c>
      <c r="G1146" s="3" t="n">
        <v>0</v>
      </c>
      <c r="H1146" s="3" t="n">
        <v>0</v>
      </c>
      <c r="I1146" s="3" t="n">
        <v>0</v>
      </c>
      <c r="J1146" s="3" t="n">
        <v>0</v>
      </c>
      <c r="K1146" s="3" t="n">
        <v>0</v>
      </c>
      <c r="L1146" s="3">
        <f>IF(K1146&lt;-5,"CRÍTICO",IF(K1146&lt;0,"ATENÇÃO",IF(K1146&lt;=5,"BOM","EXCELENTE")))</f>
        <v/>
      </c>
      <c r="M1146" s="3" t="n">
        <v>20</v>
      </c>
      <c r="N1146" s="3" t="n">
        <v>100</v>
      </c>
      <c r="O1146" s="12" t="n">
        <v>33.98058252427185</v>
      </c>
    </row>
    <row r="1147">
      <c r="A1147" s="10" t="n">
        <v>46036</v>
      </c>
      <c r="B1147" t="inlineStr">
        <is>
          <t>Karina Gonçalves Martins</t>
        </is>
      </c>
      <c r="C1147" s="1" t="inlineStr">
        <is>
          <t>JR</t>
        </is>
      </c>
      <c r="D1147" s="3" t="n">
        <v>4</v>
      </c>
      <c r="E1147" s="3" t="n">
        <v>4</v>
      </c>
      <c r="F1147" s="3" t="n">
        <v>87.34</v>
      </c>
      <c r="G1147" s="3" t="n">
        <v>0</v>
      </c>
      <c r="H1147" s="3" t="n">
        <v>0</v>
      </c>
      <c r="I1147" s="3">
        <f>E1147+G1147+H1147</f>
        <v/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/>
      </c>
      <c r="K1147" s="3">
        <f>I1147-J1147</f>
        <v/>
      </c>
      <c r="L1147" s="3">
        <f>IF(K1147&lt;-5,"CRÍTICO",IF(K1147&lt;0,"ATENÇÃO",IF(K1147&lt;=5,"BOM","EXCELENTE")))</f>
        <v/>
      </c>
      <c r="M1147" s="3" t="n">
        <v>3</v>
      </c>
      <c r="N1147" s="3" t="n">
        <v>97.56</v>
      </c>
      <c r="O1147" s="12" t="n">
        <v>32.51533742331289</v>
      </c>
    </row>
    <row r="1148">
      <c r="A1148" s="10" t="n">
        <v>46036</v>
      </c>
      <c r="B1148" t="inlineStr">
        <is>
          <t>Kerollen Cristielly de Jesus Siqueira</t>
        </is>
      </c>
      <c r="C1148" s="1" t="inlineStr">
        <is>
          <t>Técnico III</t>
        </is>
      </c>
      <c r="D1148" s="3" t="n">
        <v>18</v>
      </c>
      <c r="E1148" s="3" t="n">
        <v>17</v>
      </c>
      <c r="F1148" s="3" t="n">
        <v>27.03</v>
      </c>
      <c r="G1148" s="3" t="n">
        <v>0</v>
      </c>
      <c r="H1148" s="3" t="n">
        <v>0</v>
      </c>
      <c r="I1148" s="3">
        <f>E1148+G1148+H1148</f>
        <v/>
      </c>
      <c r="J1148" s="3">
        <f>ROUND(MIN(IF(C1148="Técnico III",35,IF(C1148="Técnico II",28,IF(C1148="Técnico I",23,IF(C1148="JR",20,IF(C1148="Estágio",10,0))))),IF(C1148="Técnico III",SUMIFS($D:$D,$A:$A,$A1148,$B:$B,"&lt;&gt;Patrícia Karla de Sousa Araújo",$B:$B,"&lt;&gt;Lorena Dias de Araujo",$B:$B,"&lt;&gt;Lucas Luiz Romero")*(35/1083),IF(C1148="Técnico II",SUMIFS($D:$D,$A:$A,$A1148,$B:$B,"&lt;&gt;Patrícia Karla de Sousa Araújo",$B:$B,"&lt;&gt;Lorena Dias de Araujo",$B:$B,"&lt;&gt;Lucas Luiz Romero")*(28/1083),IF(C1148="Técnico I",SUMIFS($D:$D,$A:$A,$A1148,$B:$B,"&lt;&gt;Patrícia Karla de Sousa Araújo",$B:$B,"&lt;&gt;Lorena Dias de Araujo",$B:$B,"&lt;&gt;Lucas Luiz Romero")*(23/1083),IF(C1148="JR",SUMIFS($D:$D,$A:$A,$A1148,$B:$B,"&lt;&gt;Patrícia Karla de Sousa Araújo",$B:$B,"&lt;&gt;Lorena Dias de Araujo",$B:$B,"&lt;&gt;Lucas Luiz Romero")*(20/1083),IF(C1148="Estágio",SUMIFS($D:$D,$A:$A,$A1148,$B:$B,"&lt;&gt;Patrícia Karla de Sousa Araújo",$B:$B,"&lt;&gt;Lorena Dias de Araujo",$B:$B,"&lt;&gt;Lucas Luiz Romero")*(10/1083),0)))))),0)</f>
        <v/>
      </c>
      <c r="K1148" s="3">
        <f>I1148-J1148</f>
        <v/>
      </c>
      <c r="L1148" s="3">
        <f>IF(K1148&lt;-5,"CRÍTICO",IF(K1148&lt;0,"ATENÇÃO",IF(K1148&lt;=5,"BOM","EXCELENTE")))</f>
        <v/>
      </c>
      <c r="M1148" s="3" t="n">
        <v>24</v>
      </c>
      <c r="N1148" s="3" t="n">
        <v>97.11</v>
      </c>
      <c r="O1148" s="12" t="n">
        <v>37.40831295843521</v>
      </c>
    </row>
    <row r="1149">
      <c r="A1149" s="10" t="n">
        <v>46036</v>
      </c>
      <c r="B1149" t="inlineStr">
        <is>
          <t>Leandro de Souza Silva</t>
        </is>
      </c>
      <c r="C1149" s="1" t="inlineStr">
        <is>
          <t>JR</t>
        </is>
      </c>
      <c r="D1149" s="3" t="n">
        <v>0</v>
      </c>
      <c r="E1149" s="3" t="n">
        <v>0</v>
      </c>
      <c r="F1149" s="3" t="n">
        <v>0</v>
      </c>
      <c r="G1149" s="3" t="n">
        <v>0</v>
      </c>
      <c r="H1149" s="3" t="n">
        <v>0</v>
      </c>
      <c r="I1149" s="3" t="n">
        <v>0</v>
      </c>
      <c r="J1149" s="3" t="n">
        <v>0</v>
      </c>
      <c r="K1149" s="3" t="n">
        <v>0</v>
      </c>
      <c r="L1149" s="3">
        <f>IF(K1149&lt;-5,"CRÍTICO",IF(K1149&lt;0,"ATENÇÃO",IF(K1149&lt;=5,"BOM","EXCELENTE")))</f>
        <v/>
      </c>
      <c r="M1149" s="3" t="n">
        <v>0</v>
      </c>
      <c r="N1149" s="3" t="n">
        <v>0</v>
      </c>
      <c r="O1149" s="12" t="n">
        <v>0</v>
      </c>
    </row>
    <row r="1150">
      <c r="A1150" s="10" t="n">
        <v>46036</v>
      </c>
      <c r="B1150" t="inlineStr">
        <is>
          <t>Leandro Oliveira de Sousa</t>
        </is>
      </c>
      <c r="C1150" s="1" t="inlineStr">
        <is>
          <t>Técnico III</t>
        </is>
      </c>
      <c r="D1150" s="3" t="n">
        <v>35</v>
      </c>
      <c r="E1150" s="3" t="n">
        <v>30</v>
      </c>
      <c r="F1150" s="3" t="n">
        <v>15.4</v>
      </c>
      <c r="G1150" s="3" t="n">
        <v>0</v>
      </c>
      <c r="H1150" s="3" t="n">
        <v>0</v>
      </c>
      <c r="I1150" s="3">
        <f>E1150+G1150+H1150</f>
        <v/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/>
      </c>
      <c r="K1150" s="3">
        <f>I1150-J1150</f>
        <v/>
      </c>
      <c r="L1150" s="3">
        <f>IF(K1150&lt;-5,"CRÍTICO",IF(K1150&lt;0,"ATENÇÃO",IF(K1150&lt;=5,"BOM","EXCELENTE")))</f>
        <v/>
      </c>
      <c r="M1150" s="3" t="n">
        <v>28</v>
      </c>
      <c r="N1150" s="3" t="n">
        <v>100</v>
      </c>
      <c r="O1150" s="12" t="n">
        <v>30.47034764826176</v>
      </c>
    </row>
    <row r="1151">
      <c r="A1151" s="10" t="n">
        <v>46036</v>
      </c>
      <c r="B1151" t="inlineStr">
        <is>
          <t>Lizandra Gomes Duarte</t>
        </is>
      </c>
      <c r="C1151" s="1" t="inlineStr">
        <is>
          <t>Técnico II</t>
        </is>
      </c>
      <c r="D1151" s="3" t="n">
        <v>41</v>
      </c>
      <c r="E1151" s="3" t="n">
        <v>35</v>
      </c>
      <c r="F1151" s="3" t="n">
        <v>12.39</v>
      </c>
      <c r="G1151" s="3" t="n">
        <v>0</v>
      </c>
      <c r="H1151" s="3" t="n">
        <v>0</v>
      </c>
      <c r="I1151" s="3">
        <f>E1151+G1151+H1151</f>
        <v/>
      </c>
      <c r="J1151" s="3">
        <f>ROUND(MIN(IF(C1151="Técnico III",35,IF(C1151="Técnico II",28,IF(C1151="Técnico I",23,IF(C1151="JR",20,IF(C1151="Estágio",10,0))))),IF(C1151="Técnico III",SUMIFS($D:$D,$A:$A,$A1151,$B:$B,"&lt;&gt;Patrícia Karla de Sousa Araújo",$B:$B,"&lt;&gt;Lorena Dias de Araujo",$B:$B,"&lt;&gt;Lucas Luiz Romero")*(35/1083),IF(C1151="Técnico II",SUMIFS($D:$D,$A:$A,$A1151,$B:$B,"&lt;&gt;Patrícia Karla de Sousa Araújo",$B:$B,"&lt;&gt;Lorena Dias de Araujo",$B:$B,"&lt;&gt;Lucas Luiz Romero")*(28/1083),IF(C1151="Técnico I",SUMIFS($D:$D,$A:$A,$A1151,$B:$B,"&lt;&gt;Patrícia Karla de Sousa Araújo",$B:$B,"&lt;&gt;Lorena Dias de Araujo",$B:$B,"&lt;&gt;Lucas Luiz Romero")*(23/1083),IF(C1151="JR",SUMIFS($D:$D,$A:$A,$A1151,$B:$B,"&lt;&gt;Patrícia Karla de Sousa Araújo",$B:$B,"&lt;&gt;Lorena Dias de Araujo",$B:$B,"&lt;&gt;Lucas Luiz Romero")*(20/1083),IF(C1151="Estágio",SUMIFS($D:$D,$A:$A,$A1151,$B:$B,"&lt;&gt;Patrícia Karla de Sousa Araújo",$B:$B,"&lt;&gt;Lorena Dias de Araujo",$B:$B,"&lt;&gt;Lucas Luiz Romero")*(10/1083),0)))))),0)</f>
        <v/>
      </c>
      <c r="K1151" s="3">
        <f>I1151-J1151</f>
        <v/>
      </c>
      <c r="L1151" s="3">
        <f>IF(K1151&lt;-5,"CRÍTICO",IF(K1151&lt;0,"ATENÇÃO",IF(K1151&lt;=5,"BOM","EXCELENTE")))</f>
        <v/>
      </c>
      <c r="M1151" s="3" t="n">
        <v>35</v>
      </c>
      <c r="N1151" s="3" t="n">
        <v>100</v>
      </c>
      <c r="O1151" s="12" t="n">
        <v>32.37113402061856</v>
      </c>
    </row>
    <row r="1152">
      <c r="A1152" s="10" t="n">
        <v>46036</v>
      </c>
      <c r="B1152" t="inlineStr">
        <is>
          <t>Lorena Dias de Araujo</t>
        </is>
      </c>
      <c r="C1152" s="1" t="inlineStr">
        <is>
          <t>Técnico II</t>
        </is>
      </c>
      <c r="D1152" s="3" t="n">
        <v>36</v>
      </c>
      <c r="E1152" s="3" t="n">
        <v>33</v>
      </c>
      <c r="F1152" s="3" t="n">
        <v>13.28</v>
      </c>
      <c r="G1152" s="3" t="n">
        <v>0</v>
      </c>
      <c r="H1152" s="3" t="n">
        <v>0</v>
      </c>
      <c r="I1152" s="3" t="n">
        <v>0</v>
      </c>
      <c r="J1152" s="3" t="n">
        <v>0</v>
      </c>
      <c r="K1152" s="3" t="n">
        <v>0</v>
      </c>
      <c r="L1152" s="3">
        <f>IF(K1152&lt;-5,"CRÍTICO",IF(K1152&lt;0,"ATENÇÃO",IF(K1152&lt;=5,"BOM","EXCELENTE")))</f>
        <v/>
      </c>
      <c r="M1152" s="3" t="n">
        <v>31</v>
      </c>
      <c r="N1152" s="3" t="n">
        <v>98.31999999999999</v>
      </c>
      <c r="O1152" s="12" t="n">
        <v>32.31850117096019</v>
      </c>
    </row>
    <row r="1153">
      <c r="A1153" s="10" t="n">
        <v>46036</v>
      </c>
      <c r="B1153" t="inlineStr">
        <is>
          <t>Lucas Luiz Romero</t>
        </is>
      </c>
      <c r="C1153" s="1" t="inlineStr">
        <is>
          <t>Técnico III</t>
        </is>
      </c>
      <c r="D1153" s="3" t="n">
        <v>51</v>
      </c>
      <c r="E1153" s="3" t="n">
        <v>42</v>
      </c>
      <c r="F1153" s="3" t="n">
        <v>8.33</v>
      </c>
      <c r="G1153" s="3" t="n">
        <v>0</v>
      </c>
      <c r="H1153" s="3" t="n">
        <v>0</v>
      </c>
      <c r="I1153" s="3">
        <f>E1153+G1153+H1153</f>
        <v/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/>
      </c>
      <c r="K1153" s="3">
        <f>I1153-J1153</f>
        <v/>
      </c>
      <c r="L1153" s="3">
        <f>IF(K1153&lt;-5,"CRÍTICO",IF(K1153&lt;0,"ATENÇÃO",IF(K1153&lt;=5,"BOM","EXCELENTE")))</f>
        <v/>
      </c>
      <c r="M1153" s="3" t="n">
        <v>37</v>
      </c>
      <c r="N1153" s="3" t="n">
        <v>96.43000000000001</v>
      </c>
      <c r="O1153" s="12" t="n">
        <v>27.01525054466231</v>
      </c>
    </row>
    <row r="1154">
      <c r="A1154" s="10" t="n">
        <v>46036</v>
      </c>
      <c r="B1154" t="inlineStr">
        <is>
          <t>Luiz Fernando de Carvalho Junior</t>
        </is>
      </c>
      <c r="C1154" s="1" t="inlineStr">
        <is>
          <t>Técnico I</t>
        </is>
      </c>
      <c r="D1154" s="3" t="n">
        <v>17</v>
      </c>
      <c r="E1154" s="3" t="n">
        <v>16</v>
      </c>
      <c r="F1154" s="3" t="n">
        <v>23.32</v>
      </c>
      <c r="G1154" s="3" t="n">
        <v>0</v>
      </c>
      <c r="H1154" s="3" t="n">
        <v>0</v>
      </c>
      <c r="I1154" s="3">
        <f>E1154+G1154+H1154</f>
        <v/>
      </c>
      <c r="J1154" s="3">
        <f>ROUND(MIN(IF(C1154="Técnico III",35,IF(C1154="Técnico II",28,IF(C1154="Técnico I",23,IF(C1154="JR",20,IF(C1154="Estágio",10,0))))),IF(C1154="Técnico III",SUMIFS($D:$D,$A:$A,$A1154,$B:$B,"&lt;&gt;Patrícia Karla de Sousa Araújo",$B:$B,"&lt;&gt;Lorena Dias de Araujo",$B:$B,"&lt;&gt;Lucas Luiz Romero")*(35/1083),IF(C1154="Técnico II",SUMIFS($D:$D,$A:$A,$A1154,$B:$B,"&lt;&gt;Patrícia Karla de Sousa Araújo",$B:$B,"&lt;&gt;Lorena Dias de Araujo",$B:$B,"&lt;&gt;Lucas Luiz Romero")*(28/1083),IF(C1154="Técnico I",SUMIFS($D:$D,$A:$A,$A1154,$B:$B,"&lt;&gt;Patrícia Karla de Sousa Araújo",$B:$B,"&lt;&gt;Lorena Dias de Araujo",$B:$B,"&lt;&gt;Lucas Luiz Romero")*(23/1083),IF(C1154="JR",SUMIFS($D:$D,$A:$A,$A1154,$B:$B,"&lt;&gt;Patrícia Karla de Sousa Araújo",$B:$B,"&lt;&gt;Lorena Dias de Araujo",$B:$B,"&lt;&gt;Lucas Luiz Romero")*(20/1083),IF(C1154="Estágio",SUMIFS($D:$D,$A:$A,$A1154,$B:$B,"&lt;&gt;Patrícia Karla de Sousa Araújo",$B:$B,"&lt;&gt;Lorena Dias de Araujo",$B:$B,"&lt;&gt;Lucas Luiz Romero")*(10/1083),0)))))),0)</f>
        <v/>
      </c>
      <c r="K1154" s="3">
        <f>I1154-J1154</f>
        <v/>
      </c>
      <c r="L1154" s="3">
        <f>IF(K1154&lt;-5,"CRÍTICO",IF(K1154&lt;0,"ATENÇÃO",IF(K1154&lt;=5,"BOM","EXCELENTE")))</f>
        <v/>
      </c>
      <c r="M1154" s="3" t="n">
        <v>14</v>
      </c>
      <c r="N1154" s="3" t="n">
        <v>98.89</v>
      </c>
      <c r="O1154" s="12" t="n">
        <v>28.02197802197802</v>
      </c>
    </row>
    <row r="1155">
      <c r="A1155" s="10" t="n">
        <v>46036</v>
      </c>
      <c r="B1155" t="inlineStr">
        <is>
          <t>Maria Eduarda Sousa Costa</t>
        </is>
      </c>
      <c r="C1155" s="1" t="inlineStr">
        <is>
          <t>Estágio</t>
        </is>
      </c>
      <c r="D1155" s="3" t="n">
        <v>2</v>
      </c>
      <c r="E1155" s="3" t="n">
        <v>2</v>
      </c>
      <c r="F1155" s="3" t="n">
        <v>249.04</v>
      </c>
      <c r="G1155" s="3" t="n">
        <v>0</v>
      </c>
      <c r="H1155" s="3" t="n">
        <v>0</v>
      </c>
      <c r="I1155" s="3">
        <f>E1155+G1155+H1155</f>
        <v/>
      </c>
      <c r="J1155" s="3">
        <f>ROUND(MIN(IF(C1155="Técnico III",35,IF(C1155="Técnico II",28,IF(C1155="Técnico I",23,IF(C1155="JR",20,IF(C1155="Estágio",10,0))))),IF(C1155="Técnico III",SUMIFS($D:$D,$A:$A,$A1155,$B:$B,"&lt;&gt;Patrícia Karla de Sousa Araújo",$B:$B,"&lt;&gt;Lorena Dias de Araujo",$B:$B,"&lt;&gt;Lucas Luiz Romero")*(35/1083),IF(C1155="Técnico II",SUMIFS($D:$D,$A:$A,$A1155,$B:$B,"&lt;&gt;Patrícia Karla de Sousa Araújo",$B:$B,"&lt;&gt;Lorena Dias de Araujo",$B:$B,"&lt;&gt;Lucas Luiz Romero")*(28/1083),IF(C1155="Técnico I",SUMIFS($D:$D,$A:$A,$A1155,$B:$B,"&lt;&gt;Patrícia Karla de Sousa Araújo",$B:$B,"&lt;&gt;Lorena Dias de Araujo",$B:$B,"&lt;&gt;Lucas Luiz Romero")*(23/1083),IF(C1155="JR",SUMIFS($D:$D,$A:$A,$A1155,$B:$B,"&lt;&gt;Patrícia Karla de Sousa Araújo",$B:$B,"&lt;&gt;Lorena Dias de Araujo",$B:$B,"&lt;&gt;Lucas Luiz Romero")*(20/1083),IF(C1155="Estágio",SUMIFS($D:$D,$A:$A,$A1155,$B:$B,"&lt;&gt;Patrícia Karla de Sousa Araújo",$B:$B,"&lt;&gt;Lorena Dias de Araujo",$B:$B,"&lt;&gt;Lucas Luiz Romero")*(10/1083),0)))))),0)</f>
        <v/>
      </c>
      <c r="K1155" s="3">
        <f>I1155-J1155</f>
        <v/>
      </c>
      <c r="L1155" s="3">
        <f>IF(K1155&lt;-5,"CRÍTICO",IF(K1155&lt;0,"ATENÇÃO",IF(K1155&lt;=5,"BOM","EXCELENTE")))</f>
        <v/>
      </c>
      <c r="M1155" s="3" t="n">
        <v>1</v>
      </c>
      <c r="N1155" s="3" t="n">
        <v>100</v>
      </c>
      <c r="O1155" s="12" t="n">
        <v>33.33333333333333</v>
      </c>
    </row>
    <row r="1156">
      <c r="A1156" s="10" t="n">
        <v>46036</v>
      </c>
      <c r="B1156" t="inlineStr">
        <is>
          <t>Matheus Farias De Souza</t>
        </is>
      </c>
      <c r="C1156" s="1" t="inlineStr">
        <is>
          <t>Técnico III</t>
        </is>
      </c>
      <c r="D1156" s="3" t="n">
        <v>0</v>
      </c>
      <c r="E1156" s="3" t="n">
        <v>0</v>
      </c>
      <c r="F1156" s="3" t="n">
        <v>0</v>
      </c>
      <c r="G1156" s="3" t="n">
        <v>0</v>
      </c>
      <c r="H1156" s="3" t="n">
        <v>0</v>
      </c>
      <c r="I1156" s="3" t="n">
        <v>0</v>
      </c>
      <c r="J1156" s="3" t="n">
        <v>0</v>
      </c>
      <c r="K1156" s="3" t="n">
        <v>0</v>
      </c>
      <c r="L1156" s="3">
        <f>IF(K1156&lt;-5,"CRÍTICO",IF(K1156&lt;0,"ATENÇÃO",IF(K1156&lt;=5,"BOM","EXCELENTE")))</f>
        <v/>
      </c>
      <c r="M1156" s="3" t="n">
        <v>0</v>
      </c>
      <c r="N1156" s="3" t="n">
        <v>100</v>
      </c>
      <c r="O1156" s="12" t="n">
        <v>27.43362831858407</v>
      </c>
    </row>
    <row r="1157">
      <c r="A1157" s="10" t="n">
        <v>46036</v>
      </c>
      <c r="B1157" t="inlineStr">
        <is>
          <t>Maysa Victoria Dias Moura</t>
        </is>
      </c>
      <c r="C1157" s="1" t="inlineStr">
        <is>
          <t>Técnico III</t>
        </is>
      </c>
      <c r="D1157" s="3" t="n">
        <v>37</v>
      </c>
      <c r="E1157" s="3" t="n">
        <v>31</v>
      </c>
      <c r="F1157" s="3" t="n">
        <v>14.18</v>
      </c>
      <c r="G1157" s="3" t="n">
        <v>0</v>
      </c>
      <c r="H1157" s="3" t="n">
        <v>0</v>
      </c>
      <c r="I1157" s="3">
        <f>E1157+G1157+H1157</f>
        <v/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/>
      </c>
      <c r="K1157" s="3">
        <f>I1157-J1157</f>
        <v/>
      </c>
      <c r="L1157" s="3">
        <f>IF(K1157&lt;-5,"CRÍTICO",IF(K1157&lt;0,"ATENÇÃO",IF(K1157&lt;=5,"BOM","EXCELENTE")))</f>
        <v/>
      </c>
      <c r="M1157" s="3" t="n">
        <v>28</v>
      </c>
      <c r="N1157" s="3" t="n">
        <v>98.65000000000001</v>
      </c>
      <c r="O1157" s="12" t="n">
        <v>30.97826086956522</v>
      </c>
    </row>
    <row r="1158">
      <c r="A1158" s="10" t="n">
        <v>46036</v>
      </c>
      <c r="B1158" t="inlineStr">
        <is>
          <t>Michelle G Santos</t>
        </is>
      </c>
      <c r="C1158" s="1" t="inlineStr">
        <is>
          <t>Estágio</t>
        </is>
      </c>
      <c r="D1158" s="3" t="n">
        <v>0</v>
      </c>
      <c r="E1158" s="3" t="n">
        <v>0</v>
      </c>
      <c r="F1158" s="3" t="n">
        <v>0</v>
      </c>
      <c r="G1158" s="3" t="n">
        <v>0</v>
      </c>
      <c r="H1158" s="3" t="n">
        <v>0</v>
      </c>
      <c r="I1158" s="3" t="n">
        <v>0</v>
      </c>
      <c r="J1158" s="3" t="n">
        <v>0</v>
      </c>
      <c r="K1158" s="3" t="n">
        <v>0</v>
      </c>
      <c r="L1158" s="3">
        <f>IF(K1158&lt;-5,"CRÍTICO",IF(K1158&lt;0,"ATENÇÃO",IF(K1158&lt;=5,"BOM","EXCELENTE")))</f>
        <v/>
      </c>
      <c r="M1158" s="3" t="n">
        <v>0</v>
      </c>
      <c r="N1158" s="3" t="n">
        <v>100</v>
      </c>
      <c r="O1158" s="12" t="n">
        <v>12</v>
      </c>
    </row>
    <row r="1159">
      <c r="A1159" s="10" t="n">
        <v>46036</v>
      </c>
      <c r="B1159" t="inlineStr">
        <is>
          <t>Milena Sales</t>
        </is>
      </c>
      <c r="C1159" s="1" t="inlineStr">
        <is>
          <t>JR</t>
        </is>
      </c>
      <c r="D1159" s="3" t="n">
        <v>0</v>
      </c>
      <c r="E1159" s="3" t="n">
        <v>0</v>
      </c>
      <c r="F1159" s="3" t="n">
        <v>0</v>
      </c>
      <c r="G1159" s="3" t="n">
        <v>0</v>
      </c>
      <c r="H1159" s="3" t="n">
        <v>0</v>
      </c>
      <c r="I1159" s="3" t="n">
        <v>0</v>
      </c>
      <c r="J1159" s="3" t="n">
        <v>0</v>
      </c>
      <c r="K1159" s="3" t="n">
        <v>0</v>
      </c>
      <c r="L1159" s="3">
        <f>IF(K1159&lt;-5,"CRÍTICO",IF(K1159&lt;0,"ATENÇÃO",IF(K1159&lt;=5,"BOM","EXCELENTE")))</f>
        <v/>
      </c>
      <c r="M1159" s="3" t="n">
        <v>0</v>
      </c>
      <c r="N1159" s="3" t="n">
        <v>0</v>
      </c>
      <c r="O1159" s="12" t="n">
        <v>0</v>
      </c>
    </row>
    <row r="1160">
      <c r="A1160" s="10" t="n">
        <v>46036</v>
      </c>
      <c r="B1160" t="inlineStr">
        <is>
          <t>Patrícia Karla de Sousa Araújo</t>
        </is>
      </c>
      <c r="C1160" s="1" t="inlineStr">
        <is>
          <t>Técnico II</t>
        </is>
      </c>
      <c r="D1160" s="3" t="n">
        <v>26</v>
      </c>
      <c r="E1160" s="3" t="n">
        <v>25</v>
      </c>
      <c r="F1160" s="3" t="n">
        <v>20.51</v>
      </c>
      <c r="G1160" s="3" t="n">
        <v>0</v>
      </c>
      <c r="H1160" s="3" t="n">
        <v>0</v>
      </c>
      <c r="I1160" s="3">
        <f>E1160+G1160+H1160</f>
        <v/>
      </c>
      <c r="J1160" s="3">
        <f>ROUND(MIN(IF(C1160="Técnico III",35,IF(C1160="Técnico II",28,IF(C1160="Técnico I",23,IF(C1160="JR",20,IF(C1160="Estágio",10,0))))),IF(C1160="Técnico III",SUMIFS($D:$D,$A:$A,$A1160,$B:$B,"&lt;&gt;Patrícia Karla de Sousa Araújo",$B:$B,"&lt;&gt;Lorena Dias de Araujo",$B:$B,"&lt;&gt;Lucas Luiz Romero")*(35/1083),IF(C1160="Técnico II",SUMIFS($D:$D,$A:$A,$A1160,$B:$B,"&lt;&gt;Patrícia Karla de Sousa Araújo",$B:$B,"&lt;&gt;Lorena Dias de Araujo",$B:$B,"&lt;&gt;Lucas Luiz Romero")*(28/1083),IF(C1160="Técnico I",SUMIFS($D:$D,$A:$A,$A1160,$B:$B,"&lt;&gt;Patrícia Karla de Sousa Araújo",$B:$B,"&lt;&gt;Lorena Dias de Araujo",$B:$B,"&lt;&gt;Lucas Luiz Romero")*(23/1083),IF(C1160="JR",SUMIFS($D:$D,$A:$A,$A1160,$B:$B,"&lt;&gt;Patrícia Karla de Sousa Araújo",$B:$B,"&lt;&gt;Lorena Dias de Araujo",$B:$B,"&lt;&gt;Lucas Luiz Romero")*(20/1083),IF(C1160="Estágio",SUMIFS($D:$D,$A:$A,$A1160,$B:$B,"&lt;&gt;Patrícia Karla de Sousa Araújo",$B:$B,"&lt;&gt;Lorena Dias de Araujo",$B:$B,"&lt;&gt;Lucas Luiz Romero")*(10/1083),0)))))),0)</f>
        <v/>
      </c>
      <c r="K1160" s="3">
        <f>I1160-J1160</f>
        <v/>
      </c>
      <c r="L1160" s="3">
        <f>IF(K1160&lt;-5,"CRÍTICO",IF(K1160&lt;0,"ATENÇÃO",IF(K1160&lt;=5,"BOM","EXCELENTE")))</f>
        <v/>
      </c>
      <c r="M1160" s="3" t="n">
        <v>21</v>
      </c>
      <c r="N1160" s="3" t="n">
        <v>97.56</v>
      </c>
      <c r="O1160" s="12" t="n">
        <v>31.06796116504854</v>
      </c>
    </row>
    <row r="1161">
      <c r="A1161" s="10" t="n">
        <v>46036</v>
      </c>
      <c r="B1161" t="inlineStr">
        <is>
          <t>Paulo Ricardo Santos</t>
        </is>
      </c>
      <c r="C1161" s="1" t="inlineStr">
        <is>
          <t>JR</t>
        </is>
      </c>
      <c r="D1161" s="3" t="n">
        <v>0</v>
      </c>
      <c r="E1161" s="3" t="n">
        <v>0</v>
      </c>
      <c r="F1161" s="3" t="n">
        <v>0</v>
      </c>
      <c r="G1161" s="3" t="n">
        <v>0</v>
      </c>
      <c r="H1161" s="3" t="n">
        <v>0</v>
      </c>
      <c r="I1161" s="3" t="n">
        <v>0</v>
      </c>
      <c r="J1161" s="3" t="n">
        <v>0</v>
      </c>
      <c r="K1161" s="3" t="n">
        <v>0</v>
      </c>
      <c r="L1161" s="3">
        <f>IF(K1161&lt;-5,"CRÍTICO",IF(K1161&lt;0,"ATENÇÃO",IF(K1161&lt;=5,"BOM","EXCELENTE")))</f>
        <v/>
      </c>
      <c r="M1161" s="3" t="n">
        <v>0</v>
      </c>
      <c r="N1161" s="3" t="n">
        <v>0</v>
      </c>
      <c r="O1161" s="12" t="n">
        <v>0</v>
      </c>
    </row>
    <row r="1162">
      <c r="A1162" s="10" t="n">
        <v>46036</v>
      </c>
      <c r="B1162" t="inlineStr">
        <is>
          <t>Pedro Luiz Mota Sousa</t>
        </is>
      </c>
      <c r="C1162" s="1" t="inlineStr">
        <is>
          <t>JR</t>
        </is>
      </c>
      <c r="D1162" s="3" t="n">
        <v>0</v>
      </c>
      <c r="E1162" s="3" t="n">
        <v>0</v>
      </c>
      <c r="F1162" s="3" t="n">
        <v>0</v>
      </c>
      <c r="G1162" s="3" t="n">
        <v>0</v>
      </c>
      <c r="H1162" s="3" t="n">
        <v>0</v>
      </c>
      <c r="I1162" s="3" t="n">
        <v>0</v>
      </c>
      <c r="J1162" s="3" t="n">
        <v>0</v>
      </c>
      <c r="K1162" s="3" t="n">
        <v>0</v>
      </c>
      <c r="L1162" s="3">
        <f>IF(K1162&lt;-5,"CRÍTICO",IF(K1162&lt;0,"ATENÇÃO",IF(K1162&lt;=5,"BOM","EXCELENTE")))</f>
        <v/>
      </c>
      <c r="M1162" s="3" t="n">
        <v>0</v>
      </c>
      <c r="N1162" s="3" t="n">
        <v>0</v>
      </c>
      <c r="O1162" s="12" t="n">
        <v>0</v>
      </c>
    </row>
    <row r="1163">
      <c r="A1163" s="10" t="n">
        <v>46036</v>
      </c>
      <c r="B1163" t="inlineStr">
        <is>
          <t>Quirino Diogo Leite Torres</t>
        </is>
      </c>
      <c r="C1163" s="1" t="inlineStr">
        <is>
          <t>Estágio</t>
        </is>
      </c>
      <c r="D1163" s="3" t="n">
        <v>0</v>
      </c>
      <c r="E1163" s="3" t="n">
        <v>0</v>
      </c>
      <c r="F1163" s="3" t="n">
        <v>0</v>
      </c>
      <c r="G1163" s="3" t="n">
        <v>0</v>
      </c>
      <c r="H1163" s="3" t="n">
        <v>0</v>
      </c>
      <c r="I1163" s="3" t="n">
        <v>0</v>
      </c>
      <c r="J1163" s="3" t="n">
        <v>0</v>
      </c>
      <c r="K1163" s="3" t="n">
        <v>0</v>
      </c>
      <c r="L1163" s="3">
        <f>IF(K1163&lt;-5,"CRÍTICO",IF(K1163&lt;0,"ATENÇÃO",IF(K1163&lt;=5,"BOM","EXCELENTE")))</f>
        <v/>
      </c>
      <c r="M1163" s="3" t="n">
        <v>0</v>
      </c>
      <c r="N1163" s="3" t="n">
        <v>0</v>
      </c>
      <c r="O1163" s="12" t="n">
        <v>0</v>
      </c>
    </row>
    <row r="1164">
      <c r="A1164" s="10" t="n">
        <v>46036</v>
      </c>
      <c r="B1164" t="inlineStr">
        <is>
          <t>Raane Batista Matos</t>
        </is>
      </c>
      <c r="C1164" s="1" t="inlineStr">
        <is>
          <t>Técnico I</t>
        </is>
      </c>
      <c r="D1164" s="3" t="n">
        <v>0</v>
      </c>
      <c r="E1164" s="3" t="n">
        <v>0</v>
      </c>
      <c r="F1164" s="3" t="n">
        <v>0</v>
      </c>
      <c r="G1164" s="3" t="n">
        <v>0</v>
      </c>
      <c r="H1164" s="3" t="n">
        <v>0</v>
      </c>
      <c r="I1164" s="3" t="n">
        <v>0</v>
      </c>
      <c r="J1164" s="3" t="n">
        <v>0</v>
      </c>
      <c r="K1164" s="3" t="n">
        <v>0</v>
      </c>
      <c r="L1164" s="3">
        <f>IF(K1164&lt;-5,"CRÍTICO",IF(K1164&lt;0,"ATENÇÃO",IF(K1164&lt;=5,"BOM","EXCELENTE")))</f>
        <v/>
      </c>
      <c r="M1164" s="3" t="n">
        <v>0</v>
      </c>
      <c r="N1164" s="3" t="n">
        <v>100</v>
      </c>
      <c r="O1164" s="12" t="n">
        <v>53.84615384615385</v>
      </c>
    </row>
    <row r="1165">
      <c r="A1165" s="10" t="n">
        <v>46036</v>
      </c>
      <c r="B1165" t="inlineStr">
        <is>
          <t>Rafael Gomes de Morais</t>
        </is>
      </c>
      <c r="C1165" s="1" t="inlineStr">
        <is>
          <t>Técnico III</t>
        </is>
      </c>
      <c r="D1165" s="3" t="n">
        <v>0</v>
      </c>
      <c r="E1165" s="3" t="n">
        <v>0</v>
      </c>
      <c r="F1165" s="3" t="n">
        <v>0</v>
      </c>
      <c r="G1165" s="3" t="n">
        <v>0</v>
      </c>
      <c r="H1165" s="3" t="n">
        <v>0</v>
      </c>
      <c r="I1165" s="3" t="n">
        <v>0</v>
      </c>
      <c r="J1165" s="3" t="n">
        <v>0</v>
      </c>
      <c r="K1165" s="3" t="n">
        <v>0</v>
      </c>
      <c r="L1165" s="3">
        <f>IF(K1165&lt;-5,"CRÍTICO",IF(K1165&lt;0,"ATENÇÃO",IF(K1165&lt;=5,"BOM","EXCELENTE")))</f>
        <v/>
      </c>
      <c r="M1165" s="3" t="n">
        <v>0</v>
      </c>
      <c r="N1165" s="3" t="n">
        <v>100</v>
      </c>
      <c r="O1165" s="12" t="n">
        <v>44.05594405594406</v>
      </c>
    </row>
    <row r="1166">
      <c r="A1166" s="10" t="n">
        <v>46036</v>
      </c>
      <c r="B1166" t="inlineStr">
        <is>
          <t>Sara Maria Monteiro Lopes</t>
        </is>
      </c>
      <c r="C1166" s="1" t="inlineStr">
        <is>
          <t>Técnico I</t>
        </is>
      </c>
      <c r="D1166" s="3" t="n">
        <v>17</v>
      </c>
      <c r="E1166" s="3" t="n">
        <v>17</v>
      </c>
      <c r="F1166" s="3" t="n">
        <v>25.5</v>
      </c>
      <c r="G1166" s="3" t="n">
        <v>0</v>
      </c>
      <c r="H1166" s="3" t="n">
        <v>0</v>
      </c>
      <c r="I1166" s="3">
        <f>E1166+G1166+H1166</f>
        <v/>
      </c>
      <c r="J1166" s="3">
        <f>ROUND(MIN(IF(C1166="Técnico III",35,IF(C1166="Técnico II",28,IF(C1166="Técnico I",23,IF(C1166="JR",20,IF(C1166="Estágio",10,0))))),IF(C1166="Técnico III",SUMIFS($D:$D,$A:$A,$A1166,$B:$B,"&lt;&gt;Patrícia Karla de Sousa Araújo",$B:$B,"&lt;&gt;Lorena Dias de Araujo",$B:$B,"&lt;&gt;Lucas Luiz Romero")*(35/1083),IF(C1166="Técnico II",SUMIFS($D:$D,$A:$A,$A1166,$B:$B,"&lt;&gt;Patrícia Karla de Sousa Araújo",$B:$B,"&lt;&gt;Lorena Dias de Araujo",$B:$B,"&lt;&gt;Lucas Luiz Romero")*(28/1083),IF(C1166="Técnico I",SUMIFS($D:$D,$A:$A,$A1166,$B:$B,"&lt;&gt;Patrícia Karla de Sousa Araújo",$B:$B,"&lt;&gt;Lorena Dias de Araujo",$B:$B,"&lt;&gt;Lucas Luiz Romero")*(23/1083),IF(C1166="JR",SUMIFS($D:$D,$A:$A,$A1166,$B:$B,"&lt;&gt;Patrícia Karla de Sousa Araújo",$B:$B,"&lt;&gt;Lorena Dias de Araujo",$B:$B,"&lt;&gt;Lucas Luiz Romero")*(20/1083),IF(C1166="Estágio",SUMIFS($D:$D,$A:$A,$A1166,$B:$B,"&lt;&gt;Patrícia Karla de Sousa Araújo",$B:$B,"&lt;&gt;Lorena Dias de Araujo",$B:$B,"&lt;&gt;Lucas Luiz Romero")*(10/1083),0)))))),0)</f>
        <v/>
      </c>
      <c r="K1166" s="3">
        <f>I1166-J1166</f>
        <v/>
      </c>
      <c r="L1166" s="3">
        <f>IF(K1166&lt;-5,"CRÍTICO",IF(K1166&lt;0,"ATENÇÃO",IF(K1166&lt;=5,"BOM","EXCELENTE")))</f>
        <v/>
      </c>
      <c r="M1166" s="3" t="n">
        <v>15</v>
      </c>
      <c r="N1166" s="3" t="n">
        <v>100</v>
      </c>
      <c r="O1166" s="12" t="n">
        <v>31.87250996015936</v>
      </c>
    </row>
    <row r="1167">
      <c r="A1167" s="10" t="n">
        <v>46036</v>
      </c>
      <c r="B1167" t="inlineStr">
        <is>
          <t>Sarah Steffanie de Lima Borges</t>
        </is>
      </c>
      <c r="C1167" s="1" t="inlineStr">
        <is>
          <t>Técnico III</t>
        </is>
      </c>
      <c r="D1167" s="3" t="n">
        <v>31</v>
      </c>
      <c r="E1167" s="3" t="n">
        <v>31</v>
      </c>
      <c r="F1167" s="3" t="n">
        <v>18.52</v>
      </c>
      <c r="G1167" s="3" t="n">
        <v>0</v>
      </c>
      <c r="H1167" s="3" t="n">
        <v>0</v>
      </c>
      <c r="I1167" s="3">
        <f>E1167+G1167+H1167</f>
        <v/>
      </c>
      <c r="J1167" s="3">
        <f>ROUND(MIN(IF(C1167="Técnico III",35,IF(C1167="Técnico II",28,IF(C1167="Técnico I",23,IF(C1167="JR",20,IF(C1167="Estágio",10,0))))),IF(C1167="Técnico III",SUMIFS($D:$D,$A:$A,$A1167,$B:$B,"&lt;&gt;Patrícia Karla de Sousa Araújo",$B:$B,"&lt;&gt;Lorena Dias de Araujo",$B:$B,"&lt;&gt;Lucas Luiz Romero")*(35/1083),IF(C1167="Técnico II",SUMIFS($D:$D,$A:$A,$A1167,$B:$B,"&lt;&gt;Patrícia Karla de Sousa Araújo",$B:$B,"&lt;&gt;Lorena Dias de Araujo",$B:$B,"&lt;&gt;Lucas Luiz Romero")*(28/1083),IF(C1167="Técnico I",SUMIFS($D:$D,$A:$A,$A1167,$B:$B,"&lt;&gt;Patrícia Karla de Sousa Araújo",$B:$B,"&lt;&gt;Lorena Dias de Araujo",$B:$B,"&lt;&gt;Lucas Luiz Romero")*(23/1083),IF(C1167="JR",SUMIFS($D:$D,$A:$A,$A1167,$B:$B,"&lt;&gt;Patrícia Karla de Sousa Araújo",$B:$B,"&lt;&gt;Lorena Dias de Araujo",$B:$B,"&lt;&gt;Lucas Luiz Romero")*(20/1083),IF(C1167="Estágio",SUMIFS($D:$D,$A:$A,$A1167,$B:$B,"&lt;&gt;Patrícia Karla de Sousa Araújo",$B:$B,"&lt;&gt;Lorena Dias de Araujo",$B:$B,"&lt;&gt;Lucas Luiz Romero")*(10/1083),0)))))),0)</f>
        <v/>
      </c>
      <c r="K1167" s="3">
        <f>I1167-J1167</f>
        <v/>
      </c>
      <c r="L1167" s="3">
        <f>IF(K1167&lt;-5,"CRÍTICO",IF(K1167&lt;0,"ATENÇÃO",IF(K1167&lt;=5,"BOM","EXCELENTE")))</f>
        <v/>
      </c>
      <c r="M1167" s="3" t="n">
        <v>26</v>
      </c>
      <c r="N1167" s="3" t="n">
        <v>98.41</v>
      </c>
      <c r="O1167" s="12" t="n">
        <v>29.22465208747515</v>
      </c>
    </row>
    <row r="1168">
      <c r="A1168" s="10" t="n">
        <v>46037</v>
      </c>
      <c r="B1168" t="inlineStr">
        <is>
          <t>Alisson de Freitas Silva</t>
        </is>
      </c>
      <c r="C1168" s="1" t="inlineStr">
        <is>
          <t>Técnico II</t>
        </is>
      </c>
      <c r="D1168" s="3" t="n">
        <v>26</v>
      </c>
      <c r="E1168" s="3" t="n">
        <v>26</v>
      </c>
      <c r="F1168" s="3" t="n">
        <v>23.28</v>
      </c>
      <c r="G1168" s="3" t="n">
        <v>0</v>
      </c>
      <c r="H1168" s="3" t="n">
        <v>0</v>
      </c>
      <c r="I1168" s="3">
        <f>E1168+G1168+H1168</f>
        <v/>
      </c>
      <c r="J1168" s="3">
        <f>ROUND(MIN(IF(C1168="Técnico III",35,IF(C1168="Técnico II",28,IF(C1168="Técnico I",23,IF(C1168="JR",20,IF(C1168="Estágio",10,0))))),IF(C1168="Técnico III",SUMIFS($D:$D,$A:$A,$A1168,$B:$B,"&lt;&gt;Patrícia Karla de Sousa Araújo",$B:$B,"&lt;&gt;Lorena Dias de Araujo",$B:$B,"&lt;&gt;Lucas Luiz Romero")*(35/1083),IF(C1168="Técnico II",SUMIFS($D:$D,$A:$A,$A1168,$B:$B,"&lt;&gt;Patrícia Karla de Sousa Araújo",$B:$B,"&lt;&gt;Lorena Dias de Araujo",$B:$B,"&lt;&gt;Lucas Luiz Romero")*(28/1083),IF(C1168="Técnico I",SUMIFS($D:$D,$A:$A,$A1168,$B:$B,"&lt;&gt;Patrícia Karla de Sousa Araújo",$B:$B,"&lt;&gt;Lorena Dias de Araujo",$B:$B,"&lt;&gt;Lucas Luiz Romero")*(23/1083),IF(C1168="JR",SUMIFS($D:$D,$A:$A,$A1168,$B:$B,"&lt;&gt;Patrícia Karla de Sousa Araújo",$B:$B,"&lt;&gt;Lorena Dias de Araujo",$B:$B,"&lt;&gt;Lucas Luiz Romero")*(20/1083),IF(C1168="Estágio",SUMIFS($D:$D,$A:$A,$A1168,$B:$B,"&lt;&gt;Patrícia Karla de Sousa Araújo",$B:$B,"&lt;&gt;Lorena Dias de Araujo",$B:$B,"&lt;&gt;Lucas Luiz Romero")*(10/1083),0)))))),0)</f>
        <v/>
      </c>
      <c r="K1168" s="3">
        <f>I1168-J1168</f>
        <v/>
      </c>
      <c r="L1168" s="3">
        <f>IF(K1168&lt;-5,"CRÍTICO",IF(K1168&lt;0,"ATENÇÃO",IF(K1168&lt;=5,"BOM","EXCELENTE")))</f>
        <v/>
      </c>
      <c r="M1168" s="3" t="n">
        <v>22</v>
      </c>
      <c r="N1168" s="3" t="n">
        <v>96.81</v>
      </c>
      <c r="O1168" s="12" t="n">
        <v>27.98053527980535</v>
      </c>
    </row>
    <row r="1169">
      <c r="A1169" s="10" t="n">
        <v>46037</v>
      </c>
      <c r="B1169" t="inlineStr">
        <is>
          <t>Amanda Moura Ferreira</t>
        </is>
      </c>
      <c r="C1169" s="1" t="inlineStr">
        <is>
          <t>Técnico III</t>
        </is>
      </c>
      <c r="D1169" s="3" t="n">
        <v>0</v>
      </c>
      <c r="E1169" s="3" t="n">
        <v>0</v>
      </c>
      <c r="F1169" s="3" t="n">
        <v>0</v>
      </c>
      <c r="G1169" s="3" t="n">
        <v>0</v>
      </c>
      <c r="H1169" s="3" t="n">
        <v>0</v>
      </c>
      <c r="I1169" s="3" t="n">
        <v>0</v>
      </c>
      <c r="J1169" s="3" t="n">
        <v>0</v>
      </c>
      <c r="K1169" s="3" t="n">
        <v>0</v>
      </c>
      <c r="L1169" s="3">
        <f>IF(K1169&lt;-5,"CRÍTICO",IF(K1169&lt;0,"ATENÇÃO",IF(K1169&lt;=5,"BOM","EXCELENTE")))</f>
        <v/>
      </c>
      <c r="M1169" s="3" t="n">
        <v>21</v>
      </c>
      <c r="N1169" s="3" t="n">
        <v>98.73</v>
      </c>
      <c r="O1169" s="12" t="n">
        <v>35.75638506876228</v>
      </c>
    </row>
    <row r="1170">
      <c r="A1170" s="10" t="n">
        <v>46037</v>
      </c>
      <c r="B1170" t="inlineStr">
        <is>
          <t>Ana Karollyne Souza Faria</t>
        </is>
      </c>
      <c r="C1170" s="1" t="inlineStr">
        <is>
          <t>Técnico I</t>
        </is>
      </c>
      <c r="D1170" s="3" t="n">
        <v>34</v>
      </c>
      <c r="E1170" s="3" t="n">
        <v>30</v>
      </c>
      <c r="F1170" s="3" t="n">
        <v>18.51</v>
      </c>
      <c r="G1170" s="3" t="n">
        <v>0</v>
      </c>
      <c r="H1170" s="3" t="n">
        <v>0</v>
      </c>
      <c r="I1170" s="3">
        <f>E1170+G1170+H1170</f>
        <v/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/>
      </c>
      <c r="K1170" s="3">
        <f>I1170-J1170</f>
        <v/>
      </c>
      <c r="L1170" s="3">
        <f>IF(K1170&lt;-5,"CRÍTICO",IF(K1170&lt;0,"ATENÇÃO",IF(K1170&lt;=5,"BOM","EXCELENTE")))</f>
        <v/>
      </c>
      <c r="M1170" s="3" t="n">
        <v>29</v>
      </c>
      <c r="N1170" s="3" t="n">
        <v>98.31999999999999</v>
      </c>
      <c r="O1170" s="12" t="n">
        <v>26.76348547717842</v>
      </c>
    </row>
    <row r="1171">
      <c r="A1171" s="10" t="n">
        <v>46037</v>
      </c>
      <c r="B1171" t="inlineStr">
        <is>
          <t>Ana Paula Da Luz Silva Aleixo</t>
        </is>
      </c>
      <c r="C1171" s="1" t="inlineStr">
        <is>
          <t>Técnico III</t>
        </is>
      </c>
      <c r="D1171" s="3" t="n">
        <v>13</v>
      </c>
      <c r="E1171" s="3" t="n">
        <v>13</v>
      </c>
      <c r="F1171" s="3" t="n">
        <v>20.14</v>
      </c>
      <c r="G1171" s="3" t="n">
        <v>0</v>
      </c>
      <c r="H1171" s="3" t="n">
        <v>0</v>
      </c>
      <c r="I1171" s="3">
        <f>E1171+G1171+H1171</f>
        <v/>
      </c>
      <c r="J1171" s="3">
        <f>ROUND(MIN(IF(C1171="Técnico III",35,IF(C1171="Técnico II",28,IF(C1171="Técnico I",23,IF(C1171="JR",20,IF(C1171="Estágio",10,0))))),IF(C1171="Técnico III",SUMIFS($D:$D,$A:$A,$A1171,$B:$B,"&lt;&gt;Patrícia Karla de Sousa Araújo",$B:$B,"&lt;&gt;Lorena Dias de Araujo",$B:$B,"&lt;&gt;Lucas Luiz Romero")*(35/1083),IF(C1171="Técnico II",SUMIFS($D:$D,$A:$A,$A1171,$B:$B,"&lt;&gt;Patrícia Karla de Sousa Araújo",$B:$B,"&lt;&gt;Lorena Dias de Araujo",$B:$B,"&lt;&gt;Lucas Luiz Romero")*(28/1083),IF(C1171="Técnico I",SUMIFS($D:$D,$A:$A,$A1171,$B:$B,"&lt;&gt;Patrícia Karla de Sousa Araújo",$B:$B,"&lt;&gt;Lorena Dias de Araujo",$B:$B,"&lt;&gt;Lucas Luiz Romero")*(23/1083),IF(C1171="JR",SUMIFS($D:$D,$A:$A,$A1171,$B:$B,"&lt;&gt;Patrícia Karla de Sousa Araújo",$B:$B,"&lt;&gt;Lorena Dias de Araujo",$B:$B,"&lt;&gt;Lucas Luiz Romero")*(20/1083),IF(C1171="Estágio",SUMIFS($D:$D,$A:$A,$A1171,$B:$B,"&lt;&gt;Patrícia Karla de Sousa Araújo",$B:$B,"&lt;&gt;Lorena Dias de Araujo",$B:$B,"&lt;&gt;Lucas Luiz Romero")*(10/1083),0)))))),0)</f>
        <v/>
      </c>
      <c r="K1171" s="3">
        <f>I1171-J1171</f>
        <v/>
      </c>
      <c r="L1171" s="3">
        <f>IF(K1171&lt;-5,"CRÍTICO",IF(K1171&lt;0,"ATENÇÃO",IF(K1171&lt;=5,"BOM","EXCELENTE")))</f>
        <v/>
      </c>
      <c r="M1171" s="3" t="n">
        <v>13</v>
      </c>
      <c r="N1171" s="3" t="n">
        <v>99.19</v>
      </c>
      <c r="O1171" s="12" t="n">
        <v>27.63713080168776</v>
      </c>
    </row>
    <row r="1172">
      <c r="A1172" s="10" t="n">
        <v>46037</v>
      </c>
      <c r="B1172" t="inlineStr">
        <is>
          <t>Anna Luiza Rezende Tavares</t>
        </is>
      </c>
      <c r="C1172" s="1" t="inlineStr">
        <is>
          <t>Estágio</t>
        </is>
      </c>
      <c r="D1172" s="3" t="n">
        <v>8</v>
      </c>
      <c r="E1172" s="3" t="n">
        <v>8</v>
      </c>
      <c r="F1172" s="3" t="n">
        <v>27.33</v>
      </c>
      <c r="G1172" s="3" t="n">
        <v>0</v>
      </c>
      <c r="H1172" s="3" t="n">
        <v>0</v>
      </c>
      <c r="I1172" s="3">
        <f>E1172+G1172+H1172</f>
        <v/>
      </c>
      <c r="J1172" s="3">
        <f>ROUND(MIN(IF(C1172="Técnico III",35,IF(C1172="Técnico II",28,IF(C1172="Técnico I",23,IF(C1172="JR",20,IF(C1172="Estágio",10,0))))),IF(C1172="Técnico III",SUMIFS($D:$D,$A:$A,$A1172,$B:$B,"&lt;&gt;Patrícia Karla de Sousa Araújo",$B:$B,"&lt;&gt;Lorena Dias de Araujo",$B:$B,"&lt;&gt;Lucas Luiz Romero")*(35/1083),IF(C1172="Técnico II",SUMIFS($D:$D,$A:$A,$A1172,$B:$B,"&lt;&gt;Patrícia Karla de Sousa Araújo",$B:$B,"&lt;&gt;Lorena Dias de Araujo",$B:$B,"&lt;&gt;Lucas Luiz Romero")*(28/1083),IF(C1172="Técnico I",SUMIFS($D:$D,$A:$A,$A1172,$B:$B,"&lt;&gt;Patrícia Karla de Sousa Araújo",$B:$B,"&lt;&gt;Lorena Dias de Araujo",$B:$B,"&lt;&gt;Lucas Luiz Romero")*(23/1083),IF(C1172="JR",SUMIFS($D:$D,$A:$A,$A1172,$B:$B,"&lt;&gt;Patrícia Karla de Sousa Araújo",$B:$B,"&lt;&gt;Lorena Dias de Araujo",$B:$B,"&lt;&gt;Lucas Luiz Romero")*(20/1083),IF(C1172="Estágio",SUMIFS($D:$D,$A:$A,$A1172,$B:$B,"&lt;&gt;Patrícia Karla de Sousa Araújo",$B:$B,"&lt;&gt;Lorena Dias de Araujo",$B:$B,"&lt;&gt;Lucas Luiz Romero")*(10/1083),0)))))),0)</f>
        <v/>
      </c>
      <c r="K1172" s="3">
        <f>I1172-J1172</f>
        <v/>
      </c>
      <c r="L1172" s="3">
        <f>IF(K1172&lt;-5,"CRÍTICO",IF(K1172&lt;0,"ATENÇÃO",IF(K1172&lt;=5,"BOM","EXCELENTE")))</f>
        <v/>
      </c>
      <c r="M1172" s="3" t="n">
        <v>7</v>
      </c>
      <c r="N1172" s="3" t="n">
        <v>100</v>
      </c>
      <c r="O1172" s="12" t="n">
        <v>39.56834532374101</v>
      </c>
    </row>
    <row r="1173">
      <c r="A1173" s="10" t="n">
        <v>46037</v>
      </c>
      <c r="B1173" t="inlineStr">
        <is>
          <t>Brenda de Menezes Silva</t>
        </is>
      </c>
      <c r="C1173" s="1" t="inlineStr">
        <is>
          <t>Técnico II</t>
        </is>
      </c>
      <c r="D1173" s="3" t="n">
        <v>24</v>
      </c>
      <c r="E1173" s="3" t="n">
        <v>21</v>
      </c>
      <c r="F1173" s="3" t="n">
        <v>27.13</v>
      </c>
      <c r="G1173" s="3" t="n">
        <v>0</v>
      </c>
      <c r="H1173" s="3" t="n">
        <v>0</v>
      </c>
      <c r="I1173" s="3">
        <f>E1173+G1173+H1173</f>
        <v/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/>
      </c>
      <c r="K1173" s="3">
        <f>I1173-J1173</f>
        <v/>
      </c>
      <c r="L1173" s="3">
        <f>IF(K1173&lt;-5,"CRÍTICO",IF(K1173&lt;0,"ATENÇÃO",IF(K1173&lt;=5,"BOM","EXCELENTE")))</f>
        <v/>
      </c>
      <c r="M1173" s="3" t="n">
        <v>22</v>
      </c>
      <c r="N1173" s="3" t="n">
        <v>98.54000000000001</v>
      </c>
      <c r="O1173" s="12" t="n">
        <v>28.54477611940299</v>
      </c>
    </row>
    <row r="1174">
      <c r="A1174" s="10" t="n">
        <v>46037</v>
      </c>
      <c r="B1174" t="inlineStr">
        <is>
          <t>Carlos Mateus Cassimiro Nunes</t>
        </is>
      </c>
      <c r="C1174" s="1" t="inlineStr">
        <is>
          <t>Técnico II</t>
        </is>
      </c>
      <c r="D1174" s="3" t="n">
        <v>21</v>
      </c>
      <c r="E1174" s="3" t="n">
        <v>21</v>
      </c>
      <c r="F1174" s="3" t="n">
        <v>34.01</v>
      </c>
      <c r="G1174" s="3" t="n">
        <v>0</v>
      </c>
      <c r="H1174" s="3" t="n">
        <v>0</v>
      </c>
      <c r="I1174" s="3">
        <f>E1174+G1174+H1174</f>
        <v/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/>
      </c>
      <c r="K1174" s="3">
        <f>I1174-J1174</f>
        <v/>
      </c>
      <c r="L1174" s="3">
        <f>IF(K1174&lt;-5,"CRÍTICO",IF(K1174&lt;0,"ATENÇÃO",IF(K1174&lt;=5,"BOM","EXCELENTE")))</f>
        <v/>
      </c>
      <c r="M1174" s="3" t="n">
        <v>19</v>
      </c>
      <c r="N1174" s="3" t="n">
        <v>100</v>
      </c>
      <c r="O1174" s="12" t="n">
        <v>34.36692506459949</v>
      </c>
    </row>
    <row r="1175">
      <c r="A1175" s="10" t="n">
        <v>46037</v>
      </c>
      <c r="B1175" t="inlineStr">
        <is>
          <t>Claudio de Sousa Velasco Filho</t>
        </is>
      </c>
      <c r="C1175" s="1" t="inlineStr">
        <is>
          <t>Estágio</t>
        </is>
      </c>
      <c r="D1175" s="3" t="n">
        <v>0</v>
      </c>
      <c r="E1175" s="3" t="n">
        <v>0</v>
      </c>
      <c r="F1175" s="3" t="n">
        <v>0</v>
      </c>
      <c r="G1175" s="3" t="n">
        <v>0</v>
      </c>
      <c r="H1175" s="3" t="n">
        <v>0</v>
      </c>
      <c r="I1175" s="3" t="n">
        <v>0</v>
      </c>
      <c r="J1175" s="3" t="n">
        <v>0</v>
      </c>
      <c r="K1175" s="3" t="n">
        <v>0</v>
      </c>
      <c r="L1175" s="3">
        <f>IF(K1175&lt;-5,"CRÍTICO",IF(K1175&lt;0,"ATENÇÃO",IF(K1175&lt;=5,"BOM","EXCELENTE")))</f>
        <v/>
      </c>
      <c r="M1175" s="3" t="n">
        <v>0</v>
      </c>
      <c r="N1175" s="3" t="n">
        <v>0</v>
      </c>
      <c r="O1175" s="12" t="n">
        <v>0</v>
      </c>
    </row>
    <row r="1176">
      <c r="A1176" s="10" t="n">
        <v>46037</v>
      </c>
      <c r="B1176" t="inlineStr">
        <is>
          <t>Clessiane Pereira dos Santos</t>
        </is>
      </c>
      <c r="C1176" s="1" t="inlineStr">
        <is>
          <t>Técnico I</t>
        </is>
      </c>
      <c r="D1176" s="3" t="n">
        <v>9</v>
      </c>
      <c r="E1176" s="3" t="n">
        <v>9</v>
      </c>
      <c r="F1176" s="3" t="n">
        <v>69.19</v>
      </c>
      <c r="G1176" s="3" t="n">
        <v>0</v>
      </c>
      <c r="H1176" s="3" t="n">
        <v>0</v>
      </c>
      <c r="I1176" s="3">
        <f>E1176+G1176+H1176</f>
        <v/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/>
      </c>
      <c r="K1176" s="3">
        <f>I1176-J1176</f>
        <v/>
      </c>
      <c r="L1176" s="3">
        <f>IF(K1176&lt;-5,"CRÍTICO",IF(K1176&lt;0,"ATENÇÃO",IF(K1176&lt;=5,"BOM","EXCELENTE")))</f>
        <v/>
      </c>
      <c r="M1176" s="3" t="n">
        <v>8</v>
      </c>
      <c r="N1176" s="3" t="n">
        <v>100</v>
      </c>
      <c r="O1176" s="12" t="n">
        <v>29.51807228915663</v>
      </c>
    </row>
    <row r="1177">
      <c r="A1177" s="10" t="n">
        <v>46037</v>
      </c>
      <c r="B1177" t="inlineStr">
        <is>
          <t>Cristiane Ramos da Silva Rocha</t>
        </is>
      </c>
      <c r="C1177" s="1" t="inlineStr">
        <is>
          <t>Técnico III</t>
        </is>
      </c>
      <c r="D1177" s="3" t="n">
        <v>46</v>
      </c>
      <c r="E1177" s="3" t="n">
        <v>43</v>
      </c>
      <c r="F1177" s="3" t="n">
        <v>10.02</v>
      </c>
      <c r="G1177" s="3" t="n">
        <v>0</v>
      </c>
      <c r="H1177" s="3" t="n">
        <v>0</v>
      </c>
      <c r="I1177" s="3">
        <f>E1177+G1177+H1177</f>
        <v/>
      </c>
      <c r="J1177" s="3">
        <f>ROUND(MIN(IF(C1177="Técnico III",35,IF(C1177="Técnico II",28,IF(C1177="Técnico I",23,IF(C1177="JR",20,IF(C1177="Estágio",10,0))))),IF(C1177="Técnico III",SUMIFS($D:$D,$A:$A,$A1177,$B:$B,"&lt;&gt;Patrícia Karla de Sousa Araújo",$B:$B,"&lt;&gt;Lorena Dias de Araujo",$B:$B,"&lt;&gt;Lucas Luiz Romero")*(35/1083),IF(C1177="Técnico II",SUMIFS($D:$D,$A:$A,$A1177,$B:$B,"&lt;&gt;Patrícia Karla de Sousa Araújo",$B:$B,"&lt;&gt;Lorena Dias de Araujo",$B:$B,"&lt;&gt;Lucas Luiz Romero")*(28/1083),IF(C1177="Técnico I",SUMIFS($D:$D,$A:$A,$A1177,$B:$B,"&lt;&gt;Patrícia Karla de Sousa Araújo",$B:$B,"&lt;&gt;Lorena Dias de Araujo",$B:$B,"&lt;&gt;Lucas Luiz Romero")*(23/1083),IF(C1177="JR",SUMIFS($D:$D,$A:$A,$A1177,$B:$B,"&lt;&gt;Patrícia Karla de Sousa Araújo",$B:$B,"&lt;&gt;Lorena Dias de Araujo",$B:$B,"&lt;&gt;Lucas Luiz Romero")*(20/1083),IF(C1177="Estágio",SUMIFS($D:$D,$A:$A,$A1177,$B:$B,"&lt;&gt;Patrícia Karla de Sousa Araújo",$B:$B,"&lt;&gt;Lorena Dias de Araujo",$B:$B,"&lt;&gt;Lucas Luiz Romero")*(10/1083),0)))))),0)</f>
        <v/>
      </c>
      <c r="K1177" s="3">
        <f>I1177-J1177</f>
        <v/>
      </c>
      <c r="L1177" s="3">
        <f>IF(K1177&lt;-5,"CRÍTICO",IF(K1177&lt;0,"ATENÇÃO",IF(K1177&lt;=5,"BOM","EXCELENTE")))</f>
        <v/>
      </c>
      <c r="M1177" s="3" t="n">
        <v>39</v>
      </c>
      <c r="N1177" s="3" t="n">
        <v>97.45</v>
      </c>
      <c r="O1177" s="12" t="n">
        <v>41.421143847487</v>
      </c>
    </row>
    <row r="1178">
      <c r="A1178" s="10" t="n">
        <v>46037</v>
      </c>
      <c r="B1178" t="inlineStr">
        <is>
          <t>Damyllis Lorraine de Oliveira Gonçalves</t>
        </is>
      </c>
      <c r="C1178" s="1" t="inlineStr">
        <is>
          <t>Técnico II</t>
        </is>
      </c>
      <c r="D1178" s="3" t="n">
        <v>35</v>
      </c>
      <c r="E1178" s="3" t="n">
        <v>27</v>
      </c>
      <c r="F1178" s="3" t="n">
        <v>17.01</v>
      </c>
      <c r="G1178" s="3" t="n">
        <v>0</v>
      </c>
      <c r="H1178" s="3" t="n">
        <v>0</v>
      </c>
      <c r="I1178" s="3" t="n">
        <v>0</v>
      </c>
      <c r="J1178" s="3" t="n">
        <v>0</v>
      </c>
      <c r="K1178" s="3" t="n">
        <v>0</v>
      </c>
      <c r="L1178" s="3">
        <f>IF(K1178&lt;-5,"CRÍTICO",IF(K1178&lt;0,"ATENÇÃO",IF(K1178&lt;=5,"BOM","EXCELENTE")))</f>
        <v/>
      </c>
      <c r="M1178" s="3" t="n">
        <v>29</v>
      </c>
      <c r="N1178" s="3" t="n">
        <v>96.58</v>
      </c>
      <c r="O1178" s="12" t="n">
        <v>30.39647577092511</v>
      </c>
    </row>
    <row r="1179">
      <c r="A1179" s="10" t="n">
        <v>46037</v>
      </c>
      <c r="B1179" t="inlineStr">
        <is>
          <t>Daniel Gomes da Silva</t>
        </is>
      </c>
      <c r="C1179" s="1" t="inlineStr">
        <is>
          <t>Técnico I</t>
        </is>
      </c>
      <c r="D1179" s="3" t="n">
        <v>18</v>
      </c>
      <c r="E1179" s="3" t="n">
        <v>16</v>
      </c>
      <c r="F1179" s="3" t="n">
        <v>33.21</v>
      </c>
      <c r="G1179" s="3" t="n">
        <v>0</v>
      </c>
      <c r="H1179" s="3" t="n">
        <v>0</v>
      </c>
      <c r="I1179" s="3">
        <f>E1179+G1179+H1179</f>
        <v/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/>
      </c>
      <c r="K1179" s="3">
        <f>I1179-J1179</f>
        <v/>
      </c>
      <c r="L1179" s="3">
        <f>IF(K1179&lt;-5,"CRÍTICO",IF(K1179&lt;0,"ATENÇÃO",IF(K1179&lt;=5,"BOM","EXCELENTE")))</f>
        <v/>
      </c>
      <c r="M1179" s="3" t="n">
        <v>20</v>
      </c>
      <c r="N1179" s="3" t="n">
        <v>100</v>
      </c>
      <c r="O1179" s="12" t="n">
        <v>27.44282744282744</v>
      </c>
    </row>
    <row r="1180">
      <c r="A1180" s="10" t="n">
        <v>46037</v>
      </c>
      <c r="B1180" t="inlineStr">
        <is>
          <t>Davylla Rodrigues Freitas Silva</t>
        </is>
      </c>
      <c r="C1180" s="1" t="inlineStr">
        <is>
          <t>Técnico III</t>
        </is>
      </c>
      <c r="D1180" s="3" t="n">
        <v>20</v>
      </c>
      <c r="E1180" s="3" t="n">
        <v>20</v>
      </c>
      <c r="F1180" s="3" t="n">
        <v>25.03</v>
      </c>
      <c r="G1180" s="3" t="n">
        <v>0</v>
      </c>
      <c r="H1180" s="3" t="n">
        <v>0</v>
      </c>
      <c r="I1180" s="3" t="n">
        <v>0</v>
      </c>
      <c r="J1180" s="3" t="n">
        <v>0</v>
      </c>
      <c r="K1180" s="3" t="n">
        <v>0</v>
      </c>
      <c r="L1180" s="3">
        <f>IF(K1180&lt;-5,"CRÍTICO",IF(K1180&lt;0,"ATENÇÃO",IF(K1180&lt;=5,"BOM","EXCELENTE")))</f>
        <v/>
      </c>
      <c r="M1180" s="3" t="n">
        <v>20</v>
      </c>
      <c r="N1180" s="3" t="n">
        <v>99.48999999999999</v>
      </c>
      <c r="O1180" s="12" t="n">
        <v>40.2</v>
      </c>
    </row>
    <row r="1181">
      <c r="A1181" s="10" t="n">
        <v>46037</v>
      </c>
      <c r="B1181" t="inlineStr">
        <is>
          <t>Emilly Caylane Costa</t>
        </is>
      </c>
      <c r="C1181" s="1" t="inlineStr">
        <is>
          <t>Estágio</t>
        </is>
      </c>
      <c r="D1181" s="3" t="n">
        <v>0</v>
      </c>
      <c r="E1181" s="3" t="n">
        <v>0</v>
      </c>
      <c r="F1181" s="3" t="n">
        <v>0</v>
      </c>
      <c r="G1181" s="3" t="n">
        <v>0</v>
      </c>
      <c r="H1181" s="3" t="n">
        <v>0</v>
      </c>
      <c r="I1181" s="3" t="n">
        <v>0</v>
      </c>
      <c r="J1181" s="3" t="n">
        <v>0</v>
      </c>
      <c r="K1181" s="3" t="n">
        <v>0</v>
      </c>
      <c r="L1181" s="3">
        <f>IF(K1181&lt;-5,"CRÍTICO",IF(K1181&lt;0,"ATENÇÃO",IF(K1181&lt;=5,"BOM","EXCELENTE")))</f>
        <v/>
      </c>
      <c r="M1181" s="3" t="n">
        <v>0</v>
      </c>
      <c r="N1181" s="3" t="n">
        <v>100</v>
      </c>
      <c r="O1181" s="12" t="n">
        <v>25</v>
      </c>
    </row>
    <row r="1182">
      <c r="A1182" s="10" t="n">
        <v>46037</v>
      </c>
      <c r="B1182" t="inlineStr">
        <is>
          <t>Emilly Kamilly Medeiros Miranda</t>
        </is>
      </c>
      <c r="C1182" s="1" t="inlineStr">
        <is>
          <t>Técnico II</t>
        </is>
      </c>
      <c r="D1182" s="3" t="n">
        <v>27</v>
      </c>
      <c r="E1182" s="3" t="n">
        <v>25</v>
      </c>
      <c r="F1182" s="3" t="n">
        <v>22.21</v>
      </c>
      <c r="G1182" s="3" t="n">
        <v>0</v>
      </c>
      <c r="H1182" s="3" t="n">
        <v>0</v>
      </c>
      <c r="I1182" s="3">
        <f>E1182+G1182+H1182</f>
        <v/>
      </c>
      <c r="J1182" s="3">
        <f>ROUND(MIN(IF(C1182="Técnico III",35,IF(C1182="Técnico II",28,IF(C1182="Técnico I",23,IF(C1182="JR",20,IF(C1182="Estágio",10,0))))),IF(C1182="Técnico III",SUMIFS($D:$D,$A:$A,$A1182,$B:$B,"&lt;&gt;Patrícia Karla de Sousa Araújo",$B:$B,"&lt;&gt;Lorena Dias de Araujo",$B:$B,"&lt;&gt;Lucas Luiz Romero")*(35/1083),IF(C1182="Técnico II",SUMIFS($D:$D,$A:$A,$A1182,$B:$B,"&lt;&gt;Patrícia Karla de Sousa Araújo",$B:$B,"&lt;&gt;Lorena Dias de Araujo",$B:$B,"&lt;&gt;Lucas Luiz Romero")*(28/1083),IF(C1182="Técnico I",SUMIFS($D:$D,$A:$A,$A1182,$B:$B,"&lt;&gt;Patrícia Karla de Sousa Araújo",$B:$B,"&lt;&gt;Lorena Dias de Araujo",$B:$B,"&lt;&gt;Lucas Luiz Romero")*(23/1083),IF(C1182="JR",SUMIFS($D:$D,$A:$A,$A1182,$B:$B,"&lt;&gt;Patrícia Karla de Sousa Araújo",$B:$B,"&lt;&gt;Lorena Dias de Araujo",$B:$B,"&lt;&gt;Lucas Luiz Romero")*(20/1083),IF(C1182="Estágio",SUMIFS($D:$D,$A:$A,$A1182,$B:$B,"&lt;&gt;Patrícia Karla de Sousa Araújo",$B:$B,"&lt;&gt;Lorena Dias de Araujo",$B:$B,"&lt;&gt;Lucas Luiz Romero")*(10/1083),0)))))),0)</f>
        <v/>
      </c>
      <c r="K1182" s="3">
        <f>I1182-J1182</f>
        <v/>
      </c>
      <c r="L1182" s="3">
        <f>IF(K1182&lt;-5,"CRÍTICO",IF(K1182&lt;0,"ATENÇÃO",IF(K1182&lt;=5,"BOM","EXCELENTE")))</f>
        <v/>
      </c>
      <c r="M1182" s="3" t="n">
        <v>22</v>
      </c>
      <c r="N1182" s="3" t="n">
        <v>100</v>
      </c>
      <c r="O1182" s="12" t="n">
        <v>34.15094339622641</v>
      </c>
    </row>
    <row r="1183">
      <c r="A1183" s="10" t="n">
        <v>46037</v>
      </c>
      <c r="B1183" t="inlineStr">
        <is>
          <t>Francielson de Oliveira</t>
        </is>
      </c>
      <c r="C1183" s="1" t="inlineStr">
        <is>
          <t>Técnico III</t>
        </is>
      </c>
      <c r="D1183" s="3" t="n">
        <v>33</v>
      </c>
      <c r="E1183" s="3" t="n">
        <v>32</v>
      </c>
      <c r="F1183" s="3" t="n">
        <v>20.06</v>
      </c>
      <c r="G1183" s="3" t="n">
        <v>0</v>
      </c>
      <c r="H1183" s="3" t="n">
        <v>0</v>
      </c>
      <c r="I1183" s="3">
        <f>E1183+G1183+H1183</f>
        <v/>
      </c>
      <c r="J1183" s="3">
        <f>ROUND(MIN(IF(C1183="Técnico III",35,IF(C1183="Técnico II",28,IF(C1183="Técnico I",23,IF(C1183="JR",20,IF(C1183="Estágio",10,0))))),IF(C1183="Técnico III",SUMIFS($D:$D,$A:$A,$A1183,$B:$B,"&lt;&gt;Patrícia Karla de Sousa Araújo",$B:$B,"&lt;&gt;Lorena Dias de Araujo",$B:$B,"&lt;&gt;Lucas Luiz Romero")*(35/1083),IF(C1183="Técnico II",SUMIFS($D:$D,$A:$A,$A1183,$B:$B,"&lt;&gt;Patrícia Karla de Sousa Araújo",$B:$B,"&lt;&gt;Lorena Dias de Araujo",$B:$B,"&lt;&gt;Lucas Luiz Romero")*(28/1083),IF(C1183="Técnico I",SUMIFS($D:$D,$A:$A,$A1183,$B:$B,"&lt;&gt;Patrícia Karla de Sousa Araújo",$B:$B,"&lt;&gt;Lorena Dias de Araujo",$B:$B,"&lt;&gt;Lucas Luiz Romero")*(23/1083),IF(C1183="JR",SUMIFS($D:$D,$A:$A,$A1183,$B:$B,"&lt;&gt;Patrícia Karla de Sousa Araújo",$B:$B,"&lt;&gt;Lorena Dias de Araujo",$B:$B,"&lt;&gt;Lucas Luiz Romero")*(20/1083),IF(C1183="Estágio",SUMIFS($D:$D,$A:$A,$A1183,$B:$B,"&lt;&gt;Patrícia Karla de Sousa Araújo",$B:$B,"&lt;&gt;Lorena Dias de Araujo",$B:$B,"&lt;&gt;Lucas Luiz Romero")*(10/1083),0)))))),0)</f>
        <v/>
      </c>
      <c r="K1183" s="3">
        <f>I1183-J1183</f>
        <v/>
      </c>
      <c r="L1183" s="3">
        <f>IF(K1183&lt;-5,"CRÍTICO",IF(K1183&lt;0,"ATENÇÃO",IF(K1183&lt;=5,"BOM","EXCELENTE")))</f>
        <v/>
      </c>
      <c r="M1183" s="3" t="n">
        <v>28</v>
      </c>
      <c r="N1183" s="3" t="n">
        <v>100</v>
      </c>
      <c r="O1183" s="12" t="n">
        <v>32.7313769751693</v>
      </c>
    </row>
    <row r="1184">
      <c r="A1184" s="10" t="n">
        <v>46037</v>
      </c>
      <c r="B1184" t="inlineStr">
        <is>
          <t>Francilene Ferreira de Jesus</t>
        </is>
      </c>
      <c r="C1184" s="1" t="inlineStr">
        <is>
          <t>Técnico II</t>
        </is>
      </c>
      <c r="D1184" s="3" t="n">
        <v>0</v>
      </c>
      <c r="E1184" s="3" t="n">
        <v>0</v>
      </c>
      <c r="F1184" s="3" t="n">
        <v>0</v>
      </c>
      <c r="G1184" s="3" t="n">
        <v>0</v>
      </c>
      <c r="H1184" s="3" t="n">
        <v>0</v>
      </c>
      <c r="I1184" s="3" t="n">
        <v>0</v>
      </c>
      <c r="J1184" s="3" t="n">
        <v>0</v>
      </c>
      <c r="K1184" s="3" t="n">
        <v>0</v>
      </c>
      <c r="L1184" s="3">
        <f>IF(K1184&lt;-5,"CRÍTICO",IF(K1184&lt;0,"ATENÇÃO",IF(K1184&lt;=5,"BOM","EXCELENTE")))</f>
        <v/>
      </c>
      <c r="M1184" s="3" t="n">
        <v>1</v>
      </c>
      <c r="N1184" s="3" t="n">
        <v>99.31</v>
      </c>
      <c r="O1184" s="12" t="n">
        <v>30.96234309623431</v>
      </c>
    </row>
    <row r="1185">
      <c r="A1185" s="10" t="n">
        <v>46071</v>
      </c>
      <c r="B1185" t="inlineStr">
        <is>
          <t>Gabriel Gomes de Andrade</t>
        </is>
      </c>
      <c r="C1185" s="1" t="inlineStr">
        <is>
          <t>Técnico I</t>
        </is>
      </c>
      <c r="D1185" s="3" t="n">
        <v>18</v>
      </c>
      <c r="E1185" s="3" t="n">
        <v>18</v>
      </c>
      <c r="F1185" s="3" t="n">
        <v>24.18</v>
      </c>
      <c r="G1185" s="3" t="n">
        <v>0</v>
      </c>
      <c r="H1185" s="3" t="n">
        <v>0</v>
      </c>
      <c r="I1185" s="3">
        <f>E1185+G1185+H1185</f>
        <v/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/>
      </c>
      <c r="K1185" s="3">
        <f>I1185-J1185</f>
        <v/>
      </c>
      <c r="L1185" s="3">
        <f>IF(K1185&lt;-5,"CRÍTICO",IF(K1185&lt;0,"ATENÇÃO",IF(K1185&lt;=5,"BOM","EXCELENTE")))</f>
        <v/>
      </c>
      <c r="M1185" s="3" t="n">
        <v>18</v>
      </c>
      <c r="N1185" s="3" t="n">
        <v>96.67</v>
      </c>
      <c r="O1185" s="12" t="n">
        <v>31.45161290322581</v>
      </c>
    </row>
    <row r="1186">
      <c r="A1186" s="10" t="n">
        <v>46037</v>
      </c>
      <c r="B1186" t="inlineStr">
        <is>
          <t>Isabella Borges de Oliveira</t>
        </is>
      </c>
      <c r="C1186" s="1" t="inlineStr">
        <is>
          <t>Técnico II</t>
        </is>
      </c>
      <c r="D1186" s="3" t="n">
        <v>31</v>
      </c>
      <c r="E1186" s="3" t="n">
        <v>30</v>
      </c>
      <c r="F1186" s="3" t="n">
        <v>19.09</v>
      </c>
      <c r="G1186" s="3" t="n">
        <v>0</v>
      </c>
      <c r="H1186" s="3" t="n">
        <v>0</v>
      </c>
      <c r="I1186" s="3">
        <f>E1186+G1186+H1186</f>
        <v/>
      </c>
      <c r="J1186" s="3">
        <f>ROUND(MIN(IF(C1186="Técnico III",35,IF(C1186="Técnico II",28,IF(C1186="Técnico I",23,IF(C1186="JR",20,IF(C1186="Estágio",10,0))))),IF(C1186="Técnico III",SUMIFS($D:$D,$A:$A,$A1186,$B:$B,"&lt;&gt;Patrícia Karla de Sousa Araújo",$B:$B,"&lt;&gt;Lorena Dias de Araujo",$B:$B,"&lt;&gt;Lucas Luiz Romero")*(35/1083),IF(C1186="Técnico II",SUMIFS($D:$D,$A:$A,$A1186,$B:$B,"&lt;&gt;Patrícia Karla de Sousa Araújo",$B:$B,"&lt;&gt;Lorena Dias de Araujo",$B:$B,"&lt;&gt;Lucas Luiz Romero")*(28/1083),IF(C1186="Técnico I",SUMIFS($D:$D,$A:$A,$A1186,$B:$B,"&lt;&gt;Patrícia Karla de Sousa Araújo",$B:$B,"&lt;&gt;Lorena Dias de Araujo",$B:$B,"&lt;&gt;Lucas Luiz Romero")*(23/1083),IF(C1186="JR",SUMIFS($D:$D,$A:$A,$A1186,$B:$B,"&lt;&gt;Patrícia Karla de Sousa Araújo",$B:$B,"&lt;&gt;Lorena Dias de Araujo",$B:$B,"&lt;&gt;Lucas Luiz Romero")*(20/1083),IF(C1186="Estágio",SUMIFS($D:$D,$A:$A,$A1186,$B:$B,"&lt;&gt;Patrícia Karla de Sousa Araújo",$B:$B,"&lt;&gt;Lorena Dias de Araujo",$B:$B,"&lt;&gt;Lucas Luiz Romero")*(10/1083),0)))))),0)</f>
        <v/>
      </c>
      <c r="K1186" s="3">
        <f>I1186-J1186</f>
        <v/>
      </c>
      <c r="L1186" s="3">
        <f>IF(K1186&lt;-5,"CRÍTICO",IF(K1186&lt;0,"ATENÇÃO",IF(K1186&lt;=5,"BOM","EXCELENTE")))</f>
        <v/>
      </c>
      <c r="M1186" s="3" t="n">
        <v>29</v>
      </c>
      <c r="N1186" s="3" t="n">
        <v>100</v>
      </c>
      <c r="O1186" s="12" t="n">
        <v>27.67676767676768</v>
      </c>
    </row>
    <row r="1187">
      <c r="A1187" s="10" t="n">
        <v>46037</v>
      </c>
      <c r="B1187" t="inlineStr">
        <is>
          <t>Janaina Lima dos Reis Urany</t>
        </is>
      </c>
      <c r="C1187" s="1" t="inlineStr">
        <is>
          <t>Técnico III</t>
        </is>
      </c>
      <c r="D1187" s="3" t="n">
        <v>53</v>
      </c>
      <c r="E1187" s="3" t="n">
        <v>50</v>
      </c>
      <c r="F1187" s="3" t="n">
        <v>12.03</v>
      </c>
      <c r="G1187" s="3" t="n">
        <v>0</v>
      </c>
      <c r="H1187" s="3" t="n">
        <v>0</v>
      </c>
      <c r="I1187" s="3">
        <f>E1187+G1187+H1187</f>
        <v/>
      </c>
      <c r="J1187" s="3">
        <f>ROUND(MIN(IF(C1187="Técnico III",35,IF(C1187="Técnico II",28,IF(C1187="Técnico I",23,IF(C1187="JR",20,IF(C1187="Estágio",10,0))))),IF(C1187="Técnico III",SUMIFS($D:$D,$A:$A,$A1187,$B:$B,"&lt;&gt;Patrícia Karla de Sousa Araújo",$B:$B,"&lt;&gt;Lorena Dias de Araujo",$B:$B,"&lt;&gt;Lucas Luiz Romero")*(35/1083),IF(C1187="Técnico II",SUMIFS($D:$D,$A:$A,$A1187,$B:$B,"&lt;&gt;Patrícia Karla de Sousa Araújo",$B:$B,"&lt;&gt;Lorena Dias de Araujo",$B:$B,"&lt;&gt;Lucas Luiz Romero")*(28/1083),IF(C1187="Técnico I",SUMIFS($D:$D,$A:$A,$A1187,$B:$B,"&lt;&gt;Patrícia Karla de Sousa Araújo",$B:$B,"&lt;&gt;Lorena Dias de Araujo",$B:$B,"&lt;&gt;Lucas Luiz Romero")*(23/1083),IF(C1187="JR",SUMIFS($D:$D,$A:$A,$A1187,$B:$B,"&lt;&gt;Patrícia Karla de Sousa Araújo",$B:$B,"&lt;&gt;Lorena Dias de Araujo",$B:$B,"&lt;&gt;Lucas Luiz Romero")*(20/1083),IF(C1187="Estágio",SUMIFS($D:$D,$A:$A,$A1187,$B:$B,"&lt;&gt;Patrícia Karla de Sousa Araújo",$B:$B,"&lt;&gt;Lorena Dias de Araujo",$B:$B,"&lt;&gt;Lucas Luiz Romero")*(10/1083),0)))))),0)</f>
        <v/>
      </c>
      <c r="K1187" s="3">
        <f>I1187-J1187</f>
        <v/>
      </c>
      <c r="L1187" s="3">
        <f>IF(K1187&lt;-5,"CRÍTICO",IF(K1187&lt;0,"ATENÇÃO",IF(K1187&lt;=5,"BOM","EXCELENTE")))</f>
        <v/>
      </c>
      <c r="M1187" s="3" t="n">
        <v>48</v>
      </c>
      <c r="N1187" s="3" t="n">
        <v>100</v>
      </c>
      <c r="O1187" s="12" t="n">
        <v>31.17723156532988</v>
      </c>
    </row>
    <row r="1188">
      <c r="A1188" s="10" t="n">
        <v>46037</v>
      </c>
      <c r="B1188" t="inlineStr">
        <is>
          <t>Jaqueline Evangelista da Silva Martins</t>
        </is>
      </c>
      <c r="C1188" s="1" t="inlineStr">
        <is>
          <t>Técnico III</t>
        </is>
      </c>
      <c r="D1188" s="3" t="n">
        <v>0</v>
      </c>
      <c r="E1188" s="3" t="n">
        <v>0</v>
      </c>
      <c r="F1188" s="3" t="n">
        <v>0</v>
      </c>
      <c r="G1188" s="3" t="n">
        <v>0</v>
      </c>
      <c r="H1188" s="3" t="n">
        <v>0</v>
      </c>
      <c r="I1188" s="3" t="n">
        <v>0</v>
      </c>
      <c r="J1188" s="3" t="n">
        <v>0</v>
      </c>
      <c r="K1188" s="3" t="n">
        <v>0</v>
      </c>
      <c r="L1188" s="3">
        <f>IF(K1188&lt;-5,"CRÍTICO",IF(K1188&lt;0,"ATENÇÃO",IF(K1188&lt;=5,"BOM","EXCELENTE")))</f>
        <v/>
      </c>
      <c r="M1188" s="3" t="n">
        <v>0</v>
      </c>
      <c r="N1188" s="3" t="n">
        <v>100</v>
      </c>
      <c r="O1188" s="12" t="n">
        <v>27.60942760942761</v>
      </c>
    </row>
    <row r="1189">
      <c r="A1189" s="10" t="n">
        <v>46037</v>
      </c>
      <c r="B1189" t="inlineStr">
        <is>
          <t>Jessica Faria da Silveira</t>
        </is>
      </c>
      <c r="C1189" s="1" t="inlineStr">
        <is>
          <t>Técnico II</t>
        </is>
      </c>
      <c r="D1189" s="3" t="n">
        <v>31</v>
      </c>
      <c r="E1189" s="3" t="n">
        <v>24</v>
      </c>
      <c r="F1189" s="3" t="n">
        <v>22.26</v>
      </c>
      <c r="G1189" s="3" t="n">
        <v>0</v>
      </c>
      <c r="H1189" s="3" t="n">
        <v>0</v>
      </c>
      <c r="I1189" s="3">
        <f>E1189+G1189+H1189</f>
        <v/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/>
      </c>
      <c r="K1189" s="3">
        <f>I1189-J1189</f>
        <v/>
      </c>
      <c r="L1189" s="3">
        <f>IF(K1189&lt;-5,"CRÍTICO",IF(K1189&lt;0,"ATENÇÃO",IF(K1189&lt;=5,"BOM","EXCELENTE")))</f>
        <v/>
      </c>
      <c r="M1189" s="3" t="n">
        <v>22</v>
      </c>
      <c r="N1189" s="3" t="n">
        <v>96.40000000000001</v>
      </c>
      <c r="O1189" s="12" t="n">
        <v>28.76404494382023</v>
      </c>
    </row>
    <row r="1190">
      <c r="A1190" s="10" t="n">
        <v>46037</v>
      </c>
      <c r="B1190" t="inlineStr">
        <is>
          <t>Jéssica Fé Moura</t>
        </is>
      </c>
      <c r="C1190" s="1" t="inlineStr">
        <is>
          <t>Técnico III</t>
        </is>
      </c>
      <c r="D1190" s="3" t="n">
        <v>0</v>
      </c>
      <c r="E1190" s="3" t="n">
        <v>0</v>
      </c>
      <c r="F1190" s="3" t="n">
        <v>0</v>
      </c>
      <c r="G1190" s="3" t="n">
        <v>0</v>
      </c>
      <c r="H1190" s="3" t="n">
        <v>0</v>
      </c>
      <c r="I1190" s="3" t="n">
        <v>0</v>
      </c>
      <c r="J1190" s="3" t="n">
        <v>0</v>
      </c>
      <c r="K1190" s="3" t="n">
        <v>0</v>
      </c>
      <c r="L1190" s="3">
        <f>IF(K1190&lt;-5,"CRÍTICO",IF(K1190&lt;0,"ATENÇÃO",IF(K1190&lt;=5,"BOM","EXCELENTE")))</f>
        <v/>
      </c>
      <c r="M1190" s="3" t="n">
        <v>19</v>
      </c>
      <c r="N1190" s="3" t="n">
        <v>100</v>
      </c>
      <c r="O1190" s="12" t="n">
        <v>33.98058252427185</v>
      </c>
    </row>
    <row r="1191">
      <c r="A1191" s="10" t="n">
        <v>46037</v>
      </c>
      <c r="B1191" t="inlineStr">
        <is>
          <t>Karina Gonçalves Martins</t>
        </is>
      </c>
      <c r="C1191" s="1" t="inlineStr">
        <is>
          <t>JR</t>
        </is>
      </c>
      <c r="D1191" s="3" t="n">
        <v>10</v>
      </c>
      <c r="E1191" s="3" t="n">
        <v>7</v>
      </c>
      <c r="F1191" s="3" t="n">
        <v>19</v>
      </c>
      <c r="G1191" s="3" t="n">
        <v>0</v>
      </c>
      <c r="H1191" s="3" t="n">
        <v>0</v>
      </c>
      <c r="I1191" s="3">
        <f>E1191+G1191+H1191</f>
        <v/>
      </c>
      <c r="J1191" s="3">
        <f>ROUND(MIN(IF(C1191="Técnico III",35,IF(C1191="Técnico II",28,IF(C1191="Técnico I",23,IF(C1191="JR",20,IF(C1191="Estágio",10,0))))),IF(C1191="Técnico III",SUMIFS($D:$D,$A:$A,$A1191,$B:$B,"&lt;&gt;Patrícia Karla de Sousa Araújo",$B:$B,"&lt;&gt;Lorena Dias de Araujo",$B:$B,"&lt;&gt;Lucas Luiz Romero")*(35/1083),IF(C1191="Técnico II",SUMIFS($D:$D,$A:$A,$A1191,$B:$B,"&lt;&gt;Patrícia Karla de Sousa Araújo",$B:$B,"&lt;&gt;Lorena Dias de Araujo",$B:$B,"&lt;&gt;Lucas Luiz Romero")*(28/1083),IF(C1191="Técnico I",SUMIFS($D:$D,$A:$A,$A1191,$B:$B,"&lt;&gt;Patrícia Karla de Sousa Araújo",$B:$B,"&lt;&gt;Lorena Dias de Araujo",$B:$B,"&lt;&gt;Lucas Luiz Romero")*(23/1083),IF(C1191="JR",SUMIFS($D:$D,$A:$A,$A1191,$B:$B,"&lt;&gt;Patrícia Karla de Sousa Araújo",$B:$B,"&lt;&gt;Lorena Dias de Araujo",$B:$B,"&lt;&gt;Lucas Luiz Romero")*(20/1083),IF(C1191="Estágio",SUMIFS($D:$D,$A:$A,$A1191,$B:$B,"&lt;&gt;Patrícia Karla de Sousa Araújo",$B:$B,"&lt;&gt;Lorena Dias de Araujo",$B:$B,"&lt;&gt;Lucas Luiz Romero")*(10/1083),0)))))),0)</f>
        <v/>
      </c>
      <c r="K1191" s="3">
        <f>I1191-J1191</f>
        <v/>
      </c>
      <c r="L1191" s="3">
        <f>IF(K1191&lt;-5,"CRÍTICO",IF(K1191&lt;0,"ATENÇÃO",IF(K1191&lt;=5,"BOM","EXCELENTE")))</f>
        <v/>
      </c>
      <c r="M1191" s="3" t="n">
        <v>7</v>
      </c>
      <c r="N1191" s="3" t="n">
        <v>97.56</v>
      </c>
      <c r="O1191" s="12" t="n">
        <v>32.51533742331289</v>
      </c>
    </row>
    <row r="1192">
      <c r="A1192" s="10" t="n">
        <v>46037</v>
      </c>
      <c r="B1192" t="inlineStr">
        <is>
          <t>Kerollen Cristielly de Jesus Siqueira</t>
        </is>
      </c>
      <c r="C1192" s="1" t="inlineStr">
        <is>
          <t>Técnico III</t>
        </is>
      </c>
      <c r="D1192" s="3" t="n">
        <v>22</v>
      </c>
      <c r="E1192" s="3" t="n">
        <v>21</v>
      </c>
      <c r="F1192" s="3" t="n">
        <v>28.57</v>
      </c>
      <c r="G1192" s="3" t="n">
        <v>0</v>
      </c>
      <c r="H1192" s="3" t="n">
        <v>0</v>
      </c>
      <c r="I1192" s="3">
        <f>E1192+G1192+H1192</f>
        <v/>
      </c>
      <c r="J1192" s="3">
        <f>ROUND(MIN(IF(C1192="Técnico III",35,IF(C1192="Técnico II",28,IF(C1192="Técnico I",23,IF(C1192="JR",20,IF(C1192="Estágio",10,0))))),IF(C1192="Técnico III",SUMIFS($D:$D,$A:$A,$A1192,$B:$B,"&lt;&gt;Patrícia Karla de Sousa Araújo",$B:$B,"&lt;&gt;Lorena Dias de Araujo",$B:$B,"&lt;&gt;Lucas Luiz Romero")*(35/1083),IF(C1192="Técnico II",SUMIFS($D:$D,$A:$A,$A1192,$B:$B,"&lt;&gt;Patrícia Karla de Sousa Araújo",$B:$B,"&lt;&gt;Lorena Dias de Araujo",$B:$B,"&lt;&gt;Lucas Luiz Romero")*(28/1083),IF(C1192="Técnico I",SUMIFS($D:$D,$A:$A,$A1192,$B:$B,"&lt;&gt;Patrícia Karla de Sousa Araújo",$B:$B,"&lt;&gt;Lorena Dias de Araujo",$B:$B,"&lt;&gt;Lucas Luiz Romero")*(23/1083),IF(C1192="JR",SUMIFS($D:$D,$A:$A,$A1192,$B:$B,"&lt;&gt;Patrícia Karla de Sousa Araújo",$B:$B,"&lt;&gt;Lorena Dias de Araujo",$B:$B,"&lt;&gt;Lucas Luiz Romero")*(20/1083),IF(C1192="Estágio",SUMIFS($D:$D,$A:$A,$A1192,$B:$B,"&lt;&gt;Patrícia Karla de Sousa Araújo",$B:$B,"&lt;&gt;Lorena Dias de Araujo",$B:$B,"&lt;&gt;Lucas Luiz Romero")*(10/1083),0)))))),0)</f>
        <v/>
      </c>
      <c r="K1192" s="3">
        <f>I1192-J1192</f>
        <v/>
      </c>
      <c r="L1192" s="3">
        <f>IF(K1192&lt;-5,"CRÍTICO",IF(K1192&lt;0,"ATENÇÃO",IF(K1192&lt;=5,"BOM","EXCELENTE")))</f>
        <v/>
      </c>
      <c r="M1192" s="3" t="n">
        <v>21</v>
      </c>
      <c r="N1192" s="3" t="n">
        <v>97.11</v>
      </c>
      <c r="O1192" s="12" t="n">
        <v>37.40831295843521</v>
      </c>
    </row>
    <row r="1193">
      <c r="A1193" s="10" t="n">
        <v>46037</v>
      </c>
      <c r="B1193" t="inlineStr">
        <is>
          <t>Leandro de Souza Silva</t>
        </is>
      </c>
      <c r="C1193" s="1" t="inlineStr">
        <is>
          <t>JR</t>
        </is>
      </c>
      <c r="D1193" s="3" t="n">
        <v>0</v>
      </c>
      <c r="E1193" s="3" t="n">
        <v>0</v>
      </c>
      <c r="F1193" s="3" t="n">
        <v>0</v>
      </c>
      <c r="G1193" s="3" t="n">
        <v>0</v>
      </c>
      <c r="H1193" s="3" t="n">
        <v>0</v>
      </c>
      <c r="I1193" s="3" t="n">
        <v>0</v>
      </c>
      <c r="J1193" s="3" t="n">
        <v>0</v>
      </c>
      <c r="K1193" s="3" t="n">
        <v>0</v>
      </c>
      <c r="L1193" s="3">
        <f>IF(K1193&lt;-5,"CRÍTICO",IF(K1193&lt;0,"ATENÇÃO",IF(K1193&lt;=5,"BOM","EXCELENTE")))</f>
        <v/>
      </c>
      <c r="M1193" s="3" t="n">
        <v>0</v>
      </c>
      <c r="N1193" s="3" t="n">
        <v>0</v>
      </c>
      <c r="O1193" s="12" t="n">
        <v>0</v>
      </c>
    </row>
    <row r="1194">
      <c r="A1194" s="10" t="n">
        <v>46037</v>
      </c>
      <c r="B1194" t="inlineStr">
        <is>
          <t>Leandro Oliveira de Sousa</t>
        </is>
      </c>
      <c r="C1194" s="1" t="inlineStr">
        <is>
          <t>Técnico III</t>
        </is>
      </c>
      <c r="D1194" s="3" t="n">
        <v>39</v>
      </c>
      <c r="E1194" s="3" t="n">
        <v>32</v>
      </c>
      <c r="F1194" s="3" t="n">
        <v>20.5</v>
      </c>
      <c r="G1194" s="3" t="n">
        <v>0</v>
      </c>
      <c r="H1194" s="3" t="n">
        <v>0</v>
      </c>
      <c r="I1194" s="3">
        <f>E1194+G1194+H1194</f>
        <v/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/>
      </c>
      <c r="K1194" s="3">
        <f>I1194-J1194</f>
        <v/>
      </c>
      <c r="L1194" s="3">
        <f>IF(K1194&lt;-5,"CRÍTICO",IF(K1194&lt;0,"ATENÇÃO",IF(K1194&lt;=5,"BOM","EXCELENTE")))</f>
        <v/>
      </c>
      <c r="M1194" s="3" t="n">
        <v>27</v>
      </c>
      <c r="N1194" s="3" t="n">
        <v>100</v>
      </c>
      <c r="O1194" s="12" t="n">
        <v>30.47034764826176</v>
      </c>
    </row>
    <row r="1195">
      <c r="A1195" s="10" t="n">
        <v>46037</v>
      </c>
      <c r="B1195" t="inlineStr">
        <is>
          <t>Lizandra Gomes Duarte</t>
        </is>
      </c>
      <c r="C1195" s="1" t="inlineStr">
        <is>
          <t>Técnico II</t>
        </is>
      </c>
      <c r="D1195" s="3" t="n">
        <v>32</v>
      </c>
      <c r="E1195" s="3" t="n">
        <v>31</v>
      </c>
      <c r="F1195" s="3" t="n">
        <v>23.47</v>
      </c>
      <c r="G1195" s="3" t="n">
        <v>0</v>
      </c>
      <c r="H1195" s="3" t="n">
        <v>0</v>
      </c>
      <c r="I1195" s="3">
        <f>E1195+G1195+H1195</f>
        <v/>
      </c>
      <c r="J1195" s="3">
        <f>ROUND(MIN(IF(C1195="Técnico III",35,IF(C1195="Técnico II",28,IF(C1195="Técnico I",23,IF(C1195="JR",20,IF(C1195="Estágio",10,0))))),IF(C1195="Técnico III",SUMIFS($D:$D,$A:$A,$A1195,$B:$B,"&lt;&gt;Patrícia Karla de Sousa Araújo",$B:$B,"&lt;&gt;Lorena Dias de Araujo",$B:$B,"&lt;&gt;Lucas Luiz Romero")*(35/1083),IF(C1195="Técnico II",SUMIFS($D:$D,$A:$A,$A1195,$B:$B,"&lt;&gt;Patrícia Karla de Sousa Araújo",$B:$B,"&lt;&gt;Lorena Dias de Araujo",$B:$B,"&lt;&gt;Lucas Luiz Romero")*(28/1083),IF(C1195="Técnico I",SUMIFS($D:$D,$A:$A,$A1195,$B:$B,"&lt;&gt;Patrícia Karla de Sousa Araújo",$B:$B,"&lt;&gt;Lorena Dias de Araujo",$B:$B,"&lt;&gt;Lucas Luiz Romero")*(23/1083),IF(C1195="JR",SUMIFS($D:$D,$A:$A,$A1195,$B:$B,"&lt;&gt;Patrícia Karla de Sousa Araújo",$B:$B,"&lt;&gt;Lorena Dias de Araujo",$B:$B,"&lt;&gt;Lucas Luiz Romero")*(20/1083),IF(C1195="Estágio",SUMIFS($D:$D,$A:$A,$A1195,$B:$B,"&lt;&gt;Patrícia Karla de Sousa Araújo",$B:$B,"&lt;&gt;Lorena Dias de Araujo",$B:$B,"&lt;&gt;Lucas Luiz Romero")*(10/1083),0)))))),0)</f>
        <v/>
      </c>
      <c r="K1195" s="3">
        <f>I1195-J1195</f>
        <v/>
      </c>
      <c r="L1195" s="3">
        <f>IF(K1195&lt;-5,"CRÍTICO",IF(K1195&lt;0,"ATENÇÃO",IF(K1195&lt;=5,"BOM","EXCELENTE")))</f>
        <v/>
      </c>
      <c r="M1195" s="3" t="n">
        <v>29</v>
      </c>
      <c r="N1195" s="3" t="n">
        <v>100</v>
      </c>
      <c r="O1195" s="12" t="n">
        <v>32.37113402061856</v>
      </c>
    </row>
    <row r="1196">
      <c r="A1196" s="10" t="n">
        <v>46037</v>
      </c>
      <c r="B1196" t="inlineStr">
        <is>
          <t>Lorena Dias de Araujo</t>
        </is>
      </c>
      <c r="C1196" s="1" t="inlineStr">
        <is>
          <t>Técnico II</t>
        </is>
      </c>
      <c r="D1196" s="3" t="n">
        <v>28</v>
      </c>
      <c r="E1196" s="3" t="n">
        <v>26</v>
      </c>
      <c r="F1196" s="3" t="n">
        <v>19.04</v>
      </c>
      <c r="G1196" s="3" t="n">
        <v>0</v>
      </c>
      <c r="H1196" s="3" t="n">
        <v>0</v>
      </c>
      <c r="I1196" s="3" t="n">
        <v>0</v>
      </c>
      <c r="J1196" s="3" t="n">
        <v>0</v>
      </c>
      <c r="K1196" s="3" t="n">
        <v>0</v>
      </c>
      <c r="L1196" s="3">
        <f>IF(K1196&lt;-5,"CRÍTICO",IF(K1196&lt;0,"ATENÇÃO",IF(K1196&lt;=5,"BOM","EXCELENTE")))</f>
        <v/>
      </c>
      <c r="M1196" s="3" t="n">
        <v>25</v>
      </c>
      <c r="N1196" s="3" t="n">
        <v>98.31999999999999</v>
      </c>
      <c r="O1196" s="12" t="n">
        <v>32.31850117096019</v>
      </c>
    </row>
    <row r="1197">
      <c r="A1197" s="10" t="n">
        <v>46037</v>
      </c>
      <c r="B1197" t="inlineStr">
        <is>
          <t>Lucas Luiz Romero</t>
        </is>
      </c>
      <c r="C1197" s="1" t="inlineStr">
        <is>
          <t>Técnico III</t>
        </is>
      </c>
      <c r="D1197" s="3" t="n">
        <v>71</v>
      </c>
      <c r="E1197" s="3" t="n">
        <v>51</v>
      </c>
      <c r="F1197" s="3" t="n">
        <v>10.42</v>
      </c>
      <c r="G1197" s="3" t="n">
        <v>0</v>
      </c>
      <c r="H1197" s="3" t="n">
        <v>0</v>
      </c>
      <c r="I1197" s="3">
        <f>E1197+G1197+H1197</f>
        <v/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/>
      </c>
      <c r="K1197" s="3">
        <f>I1197-J1197</f>
        <v/>
      </c>
      <c r="L1197" s="3">
        <f>IF(K1197&lt;-5,"CRÍTICO",IF(K1197&lt;0,"ATENÇÃO",IF(K1197&lt;=5,"BOM","EXCELENTE")))</f>
        <v/>
      </c>
      <c r="M1197" s="3" t="n">
        <v>38</v>
      </c>
      <c r="N1197" s="3" t="n">
        <v>96.43000000000001</v>
      </c>
      <c r="O1197" s="12" t="n">
        <v>27.01525054466231</v>
      </c>
    </row>
    <row r="1198">
      <c r="A1198" s="10" t="n">
        <v>46037</v>
      </c>
      <c r="B1198" t="inlineStr">
        <is>
          <t>Luiz Fernando de Carvalho Junior</t>
        </is>
      </c>
      <c r="C1198" s="1" t="inlineStr">
        <is>
          <t>Técnico I</t>
        </is>
      </c>
      <c r="D1198" s="3" t="n">
        <v>19</v>
      </c>
      <c r="E1198" s="3" t="n">
        <v>17</v>
      </c>
      <c r="F1198" s="3" t="n">
        <v>21.58</v>
      </c>
      <c r="G1198" s="3" t="n">
        <v>0</v>
      </c>
      <c r="H1198" s="3" t="n">
        <v>0</v>
      </c>
      <c r="I1198" s="3">
        <f>E1198+G1198+H1198</f>
        <v/>
      </c>
      <c r="J1198" s="3">
        <f>ROUND(MIN(IF(C1198="Técnico III",35,IF(C1198="Técnico II",28,IF(C1198="Técnico I",23,IF(C1198="JR",20,IF(C1198="Estágio",10,0))))),IF(C1198="Técnico III",SUMIFS($D:$D,$A:$A,$A1198,$B:$B,"&lt;&gt;Patrícia Karla de Sousa Araújo",$B:$B,"&lt;&gt;Lorena Dias de Araujo",$B:$B,"&lt;&gt;Lucas Luiz Romero")*(35/1083),IF(C1198="Técnico II",SUMIFS($D:$D,$A:$A,$A1198,$B:$B,"&lt;&gt;Patrícia Karla de Sousa Araújo",$B:$B,"&lt;&gt;Lorena Dias de Araujo",$B:$B,"&lt;&gt;Lucas Luiz Romero")*(28/1083),IF(C1198="Técnico I",SUMIFS($D:$D,$A:$A,$A1198,$B:$B,"&lt;&gt;Patrícia Karla de Sousa Araújo",$B:$B,"&lt;&gt;Lorena Dias de Araujo",$B:$B,"&lt;&gt;Lucas Luiz Romero")*(23/1083),IF(C1198="JR",SUMIFS($D:$D,$A:$A,$A1198,$B:$B,"&lt;&gt;Patrícia Karla de Sousa Araújo",$B:$B,"&lt;&gt;Lorena Dias de Araujo",$B:$B,"&lt;&gt;Lucas Luiz Romero")*(20/1083),IF(C1198="Estágio",SUMIFS($D:$D,$A:$A,$A1198,$B:$B,"&lt;&gt;Patrícia Karla de Sousa Araújo",$B:$B,"&lt;&gt;Lorena Dias de Araujo",$B:$B,"&lt;&gt;Lucas Luiz Romero")*(10/1083),0)))))),0)</f>
        <v/>
      </c>
      <c r="K1198" s="3">
        <f>I1198-J1198</f>
        <v/>
      </c>
      <c r="L1198" s="3">
        <f>IF(K1198&lt;-5,"CRÍTICO",IF(K1198&lt;0,"ATENÇÃO",IF(K1198&lt;=5,"BOM","EXCELENTE")))</f>
        <v/>
      </c>
      <c r="M1198" s="3" t="n">
        <v>15</v>
      </c>
      <c r="N1198" s="3" t="n">
        <v>98.89</v>
      </c>
      <c r="O1198" s="12" t="n">
        <v>28.02197802197802</v>
      </c>
    </row>
    <row r="1199">
      <c r="A1199" s="10" t="n">
        <v>46037</v>
      </c>
      <c r="B1199" t="inlineStr">
        <is>
          <t>Maria Eduarda Sousa Costa</t>
        </is>
      </c>
      <c r="C1199" s="1" t="inlineStr">
        <is>
          <t>Estágio</t>
        </is>
      </c>
      <c r="D1199" s="3" t="n">
        <v>0</v>
      </c>
      <c r="E1199" s="3" t="n">
        <v>0</v>
      </c>
      <c r="F1199" s="3" t="n">
        <v>0</v>
      </c>
      <c r="G1199" s="3" t="n">
        <v>0</v>
      </c>
      <c r="H1199" s="3" t="n">
        <v>0</v>
      </c>
      <c r="I1199" s="3" t="n">
        <v>0</v>
      </c>
      <c r="J1199" s="3" t="n">
        <v>0</v>
      </c>
      <c r="K1199" s="3" t="n">
        <v>0</v>
      </c>
      <c r="L1199" s="3">
        <f>IF(K1199&lt;-5,"CRÍTICO",IF(K1199&lt;0,"ATENÇÃO",IF(K1199&lt;=5,"BOM","EXCELENTE")))</f>
        <v/>
      </c>
      <c r="M1199" s="3" t="n">
        <v>0</v>
      </c>
      <c r="N1199" s="3" t="n">
        <v>100</v>
      </c>
      <c r="O1199" s="12" t="n">
        <v>33.33333333333333</v>
      </c>
    </row>
    <row r="1200">
      <c r="A1200" s="10" t="n">
        <v>46037</v>
      </c>
      <c r="B1200" t="inlineStr">
        <is>
          <t>Matheus Farias De Souza</t>
        </is>
      </c>
      <c r="C1200" s="1" t="inlineStr">
        <is>
          <t>Técnico III</t>
        </is>
      </c>
      <c r="D1200" s="3" t="n">
        <v>0</v>
      </c>
      <c r="E1200" s="3" t="n">
        <v>0</v>
      </c>
      <c r="F1200" s="3" t="n">
        <v>0</v>
      </c>
      <c r="G1200" s="3" t="n">
        <v>0</v>
      </c>
      <c r="H1200" s="3" t="n">
        <v>0</v>
      </c>
      <c r="I1200" s="3" t="n">
        <v>0</v>
      </c>
      <c r="J1200" s="3" t="n">
        <v>0</v>
      </c>
      <c r="K1200" s="3" t="n">
        <v>0</v>
      </c>
      <c r="L1200" s="3">
        <f>IF(K1200&lt;-5,"CRÍTICO",IF(K1200&lt;0,"ATENÇÃO",IF(K1200&lt;=5,"BOM","EXCELENTE")))</f>
        <v/>
      </c>
      <c r="M1200" s="3" t="n">
        <v>0</v>
      </c>
      <c r="N1200" s="3" t="n">
        <v>100</v>
      </c>
      <c r="O1200" s="12" t="n">
        <v>27.43362831858407</v>
      </c>
    </row>
    <row r="1201">
      <c r="A1201" s="10" t="n">
        <v>46037</v>
      </c>
      <c r="B1201" t="inlineStr">
        <is>
          <t>Maysa Victoria Dias Moura</t>
        </is>
      </c>
      <c r="C1201" s="1" t="inlineStr">
        <is>
          <t>Técnico III</t>
        </is>
      </c>
      <c r="D1201" s="3" t="n">
        <v>53</v>
      </c>
      <c r="E1201" s="3" t="n">
        <v>48</v>
      </c>
      <c r="F1201" s="3" t="n">
        <v>9.18</v>
      </c>
      <c r="G1201" s="3" t="n">
        <v>0</v>
      </c>
      <c r="H1201" s="3" t="n">
        <v>0</v>
      </c>
      <c r="I1201" s="3">
        <f>E1201+G1201+H1201</f>
        <v/>
      </c>
      <c r="J1201" s="3">
        <f>ROUND(MIN(IF(C1201="Técnico III",35,IF(C1201="Técnico II",28,IF(C1201="Técnico I",23,IF(C1201="JR",20,IF(C1201="Estágio",10,0))))),IF(C1201="Técnico III",SUMIFS($D:$D,$A:$A,$A1201,$B:$B,"&lt;&gt;Patrícia Karla de Sousa Araújo",$B:$B,"&lt;&gt;Lorena Dias de Araujo",$B:$B,"&lt;&gt;Lucas Luiz Romero")*(35/1083),IF(C1201="Técnico II",SUMIFS($D:$D,$A:$A,$A1201,$B:$B,"&lt;&gt;Patrícia Karla de Sousa Araújo",$B:$B,"&lt;&gt;Lorena Dias de Araujo",$B:$B,"&lt;&gt;Lucas Luiz Romero")*(28/1083),IF(C1201="Técnico I",SUMIFS($D:$D,$A:$A,$A1201,$B:$B,"&lt;&gt;Patrícia Karla de Sousa Araújo",$B:$B,"&lt;&gt;Lorena Dias de Araujo",$B:$B,"&lt;&gt;Lucas Luiz Romero")*(23/1083),IF(C1201="JR",SUMIFS($D:$D,$A:$A,$A1201,$B:$B,"&lt;&gt;Patrícia Karla de Sousa Araújo",$B:$B,"&lt;&gt;Lorena Dias de Araujo",$B:$B,"&lt;&gt;Lucas Luiz Romero")*(20/1083),IF(C1201="Estágio",SUMIFS($D:$D,$A:$A,$A1201,$B:$B,"&lt;&gt;Patrícia Karla de Sousa Araújo",$B:$B,"&lt;&gt;Lorena Dias de Araujo",$B:$B,"&lt;&gt;Lucas Luiz Romero")*(10/1083),0)))))),0)</f>
        <v/>
      </c>
      <c r="K1201" s="3">
        <f>I1201-J1201</f>
        <v/>
      </c>
      <c r="L1201" s="3">
        <f>IF(K1201&lt;-5,"CRÍTICO",IF(K1201&lt;0,"ATENÇÃO",IF(K1201&lt;=5,"BOM","EXCELENTE")))</f>
        <v/>
      </c>
      <c r="M1201" s="3" t="n">
        <v>40</v>
      </c>
      <c r="N1201" s="3" t="n">
        <v>98.65000000000001</v>
      </c>
      <c r="O1201" s="12" t="n">
        <v>30.97826086956522</v>
      </c>
    </row>
    <row r="1202">
      <c r="A1202" s="10" t="n">
        <v>46037</v>
      </c>
      <c r="B1202" t="inlineStr">
        <is>
          <t>Michelle G Santos</t>
        </is>
      </c>
      <c r="C1202" s="1" t="inlineStr">
        <is>
          <t>Estágio</t>
        </is>
      </c>
      <c r="D1202" s="3" t="n">
        <v>1</v>
      </c>
      <c r="E1202" s="3" t="n">
        <v>1</v>
      </c>
      <c r="F1202" s="3" t="n">
        <v>12.38</v>
      </c>
      <c r="G1202" s="3" t="n">
        <v>0</v>
      </c>
      <c r="H1202" s="3" t="n">
        <v>0</v>
      </c>
      <c r="I1202" s="3">
        <f>E1202+G1202+H1202</f>
        <v/>
      </c>
      <c r="J1202" s="3">
        <f>ROUND(MIN(IF(C1202="Técnico III",35,IF(C1202="Técnico II",28,IF(C1202="Técnico I",23,IF(C1202="JR",20,IF(C1202="Estágio",10,0))))),IF(C1202="Técnico III",SUMIFS($D:$D,$A:$A,$A1202,$B:$B,"&lt;&gt;Patrícia Karla de Sousa Araújo",$B:$B,"&lt;&gt;Lorena Dias de Araujo",$B:$B,"&lt;&gt;Lucas Luiz Romero")*(35/1083),IF(C1202="Técnico II",SUMIFS($D:$D,$A:$A,$A1202,$B:$B,"&lt;&gt;Patrícia Karla de Sousa Araújo",$B:$B,"&lt;&gt;Lorena Dias de Araujo",$B:$B,"&lt;&gt;Lucas Luiz Romero")*(28/1083),IF(C1202="Técnico I",SUMIFS($D:$D,$A:$A,$A1202,$B:$B,"&lt;&gt;Patrícia Karla de Sousa Araújo",$B:$B,"&lt;&gt;Lorena Dias de Araujo",$B:$B,"&lt;&gt;Lucas Luiz Romero")*(23/1083),IF(C1202="JR",SUMIFS($D:$D,$A:$A,$A1202,$B:$B,"&lt;&gt;Patrícia Karla de Sousa Araújo",$B:$B,"&lt;&gt;Lorena Dias de Araujo",$B:$B,"&lt;&gt;Lucas Luiz Romero")*(20/1083),IF(C1202="Estágio",SUMIFS($D:$D,$A:$A,$A1202,$B:$B,"&lt;&gt;Patrícia Karla de Sousa Araújo",$B:$B,"&lt;&gt;Lorena Dias de Araujo",$B:$B,"&lt;&gt;Lucas Luiz Romero")*(10/1083),0)))))),0)</f>
        <v/>
      </c>
      <c r="K1202" s="3">
        <f>I1202-J1202</f>
        <v/>
      </c>
      <c r="L1202" s="3">
        <f>IF(K1202&lt;-5,"CRÍTICO",IF(K1202&lt;0,"ATENÇÃO",IF(K1202&lt;=5,"BOM","EXCELENTE")))</f>
        <v/>
      </c>
      <c r="M1202" s="3" t="n">
        <v>0</v>
      </c>
      <c r="N1202" s="3" t="n">
        <v>100</v>
      </c>
      <c r="O1202" s="12" t="n">
        <v>12</v>
      </c>
    </row>
    <row r="1203">
      <c r="A1203" s="10" t="n">
        <v>46037</v>
      </c>
      <c r="B1203" t="inlineStr">
        <is>
          <t>Milena Sales</t>
        </is>
      </c>
      <c r="C1203" s="1" t="inlineStr">
        <is>
          <t>JR</t>
        </is>
      </c>
      <c r="D1203" s="3" t="n">
        <v>0</v>
      </c>
      <c r="E1203" s="3" t="n">
        <v>0</v>
      </c>
      <c r="F1203" s="3" t="n">
        <v>0</v>
      </c>
      <c r="G1203" s="3" t="n">
        <v>0</v>
      </c>
      <c r="H1203" s="3" t="n">
        <v>0</v>
      </c>
      <c r="I1203" s="3" t="n">
        <v>0</v>
      </c>
      <c r="J1203" s="3" t="n">
        <v>0</v>
      </c>
      <c r="K1203" s="3" t="n">
        <v>0</v>
      </c>
      <c r="L1203" s="3">
        <f>IF(K1203&lt;-5,"CRÍTICO",IF(K1203&lt;0,"ATENÇÃO",IF(K1203&lt;=5,"BOM","EXCELENTE")))</f>
        <v/>
      </c>
      <c r="M1203" s="3" t="n">
        <v>0</v>
      </c>
      <c r="N1203" s="3" t="n">
        <v>0</v>
      </c>
      <c r="O1203" s="12" t="n">
        <v>0</v>
      </c>
    </row>
    <row r="1204">
      <c r="A1204" s="10" t="n">
        <v>46037</v>
      </c>
      <c r="B1204" t="inlineStr">
        <is>
          <t>Patrícia Karla de Sousa Araújo</t>
        </is>
      </c>
      <c r="C1204" s="1" t="inlineStr">
        <is>
          <t>Técnico II</t>
        </is>
      </c>
      <c r="D1204" s="3" t="n">
        <v>0</v>
      </c>
      <c r="E1204" s="3" t="n">
        <v>0</v>
      </c>
      <c r="F1204" s="3" t="n">
        <v>0</v>
      </c>
      <c r="G1204" s="3" t="n">
        <v>0</v>
      </c>
      <c r="H1204" s="3" t="n">
        <v>0</v>
      </c>
      <c r="I1204" s="3" t="n">
        <v>0</v>
      </c>
      <c r="J1204" s="3" t="n">
        <v>0</v>
      </c>
      <c r="K1204" s="3" t="n">
        <v>0</v>
      </c>
      <c r="L1204" s="3">
        <f>IF(K1204&lt;-5,"CRÍTICO",IF(K1204&lt;0,"ATENÇÃO",IF(K1204&lt;=5,"BOM","EXCELENTE")))</f>
        <v/>
      </c>
      <c r="M1204" s="3" t="n">
        <v>0</v>
      </c>
      <c r="N1204" s="3" t="n">
        <v>97.56</v>
      </c>
      <c r="O1204" s="12" t="n">
        <v>31.06796116504854</v>
      </c>
    </row>
    <row r="1205">
      <c r="A1205" s="10" t="n">
        <v>46037</v>
      </c>
      <c r="B1205" t="inlineStr">
        <is>
          <t>Paulo Ricardo Santos</t>
        </is>
      </c>
      <c r="C1205" s="1" t="inlineStr">
        <is>
          <t>JR</t>
        </is>
      </c>
      <c r="D1205" s="3" t="n">
        <v>0</v>
      </c>
      <c r="E1205" s="3" t="n">
        <v>0</v>
      </c>
      <c r="F1205" s="3" t="n">
        <v>0</v>
      </c>
      <c r="G1205" s="3" t="n">
        <v>0</v>
      </c>
      <c r="H1205" s="3" t="n">
        <v>0</v>
      </c>
      <c r="I1205" s="3" t="n">
        <v>0</v>
      </c>
      <c r="J1205" s="3" t="n">
        <v>0</v>
      </c>
      <c r="K1205" s="3" t="n">
        <v>0</v>
      </c>
      <c r="L1205" s="3">
        <f>IF(K1205&lt;-5,"CRÍTICO",IF(K1205&lt;0,"ATENÇÃO",IF(K1205&lt;=5,"BOM","EXCELENTE")))</f>
        <v/>
      </c>
      <c r="M1205" s="3" t="n">
        <v>0</v>
      </c>
      <c r="N1205" s="3" t="n">
        <v>0</v>
      </c>
      <c r="O1205" s="12" t="n">
        <v>0</v>
      </c>
    </row>
    <row r="1206">
      <c r="A1206" s="10" t="n">
        <v>46037</v>
      </c>
      <c r="B1206" t="inlineStr">
        <is>
          <t>Pedro Luiz Mota Sousa</t>
        </is>
      </c>
      <c r="C1206" s="1" t="inlineStr">
        <is>
          <t>JR</t>
        </is>
      </c>
      <c r="D1206" s="3" t="n">
        <v>0</v>
      </c>
      <c r="E1206" s="3" t="n">
        <v>0</v>
      </c>
      <c r="F1206" s="3" t="n">
        <v>0</v>
      </c>
      <c r="G1206" s="3" t="n">
        <v>0</v>
      </c>
      <c r="H1206" s="3" t="n">
        <v>0</v>
      </c>
      <c r="I1206" s="3" t="n">
        <v>0</v>
      </c>
      <c r="J1206" s="3" t="n">
        <v>0</v>
      </c>
      <c r="K1206" s="3" t="n">
        <v>0</v>
      </c>
      <c r="L1206" s="3">
        <f>IF(K1206&lt;-5,"CRÍTICO",IF(K1206&lt;0,"ATENÇÃO",IF(K1206&lt;=5,"BOM","EXCELENTE")))</f>
        <v/>
      </c>
      <c r="M1206" s="3" t="n">
        <v>0</v>
      </c>
      <c r="N1206" s="3" t="n">
        <v>0</v>
      </c>
      <c r="O1206" s="12" t="n">
        <v>0</v>
      </c>
    </row>
    <row r="1207">
      <c r="A1207" s="10" t="n">
        <v>46037</v>
      </c>
      <c r="B1207" t="inlineStr">
        <is>
          <t>Quirino Diogo Leite Torres</t>
        </is>
      </c>
      <c r="C1207" s="1" t="inlineStr">
        <is>
          <t>Estágio</t>
        </is>
      </c>
      <c r="D1207" s="3" t="n">
        <v>0</v>
      </c>
      <c r="E1207" s="3" t="n">
        <v>0</v>
      </c>
      <c r="F1207" s="3" t="n">
        <v>0</v>
      </c>
      <c r="G1207" s="3" t="n">
        <v>0</v>
      </c>
      <c r="H1207" s="3" t="n">
        <v>0</v>
      </c>
      <c r="I1207" s="3" t="n">
        <v>0</v>
      </c>
      <c r="J1207" s="3" t="n">
        <v>0</v>
      </c>
      <c r="K1207" s="3" t="n">
        <v>0</v>
      </c>
      <c r="L1207" s="3">
        <f>IF(K1207&lt;-5,"CRÍTICO",IF(K1207&lt;0,"ATENÇÃO",IF(K1207&lt;=5,"BOM","EXCELENTE")))</f>
        <v/>
      </c>
      <c r="M1207" s="3" t="n">
        <v>0</v>
      </c>
      <c r="N1207" s="3" t="n">
        <v>0</v>
      </c>
      <c r="O1207" s="12" t="n">
        <v>0</v>
      </c>
    </row>
    <row r="1208">
      <c r="A1208" s="10" t="n">
        <v>46037</v>
      </c>
      <c r="B1208" t="inlineStr">
        <is>
          <t>Raane Batista Matos</t>
        </is>
      </c>
      <c r="C1208" s="1" t="inlineStr">
        <is>
          <t>Técnico I</t>
        </is>
      </c>
      <c r="D1208" s="3" t="n">
        <v>0</v>
      </c>
      <c r="E1208" s="3" t="n">
        <v>0</v>
      </c>
      <c r="F1208" s="3" t="n">
        <v>0</v>
      </c>
      <c r="G1208" s="3" t="n">
        <v>0</v>
      </c>
      <c r="H1208" s="3" t="n">
        <v>0</v>
      </c>
      <c r="I1208" s="3" t="n">
        <v>0</v>
      </c>
      <c r="J1208" s="3" t="n">
        <v>0</v>
      </c>
      <c r="K1208" s="3" t="n">
        <v>0</v>
      </c>
      <c r="L1208" s="3">
        <f>IF(K1208&lt;-5,"CRÍTICO",IF(K1208&lt;0,"ATENÇÃO",IF(K1208&lt;=5,"BOM","EXCELENTE")))</f>
        <v/>
      </c>
      <c r="M1208" s="3" t="n">
        <v>0</v>
      </c>
      <c r="N1208" s="3" t="n">
        <v>100</v>
      </c>
      <c r="O1208" s="12" t="n">
        <v>53.84615384615385</v>
      </c>
    </row>
    <row r="1209">
      <c r="A1209" s="10" t="n">
        <v>46037</v>
      </c>
      <c r="B1209" t="inlineStr">
        <is>
          <t>Rafael Gomes de Morais</t>
        </is>
      </c>
      <c r="C1209" s="1" t="inlineStr">
        <is>
          <t>Técnico III</t>
        </is>
      </c>
      <c r="D1209" s="3" t="n">
        <v>0</v>
      </c>
      <c r="E1209" s="3" t="n">
        <v>0</v>
      </c>
      <c r="F1209" s="3" t="n">
        <v>0</v>
      </c>
      <c r="G1209" s="3" t="n">
        <v>0</v>
      </c>
      <c r="H1209" s="3" t="n">
        <v>0</v>
      </c>
      <c r="I1209" s="3" t="n">
        <v>0</v>
      </c>
      <c r="J1209" s="3" t="n">
        <v>0</v>
      </c>
      <c r="K1209" s="3" t="n">
        <v>0</v>
      </c>
      <c r="L1209" s="3">
        <f>IF(K1209&lt;-5,"CRÍTICO",IF(K1209&lt;0,"ATENÇÃO",IF(K1209&lt;=5,"BOM","EXCELENTE")))</f>
        <v/>
      </c>
      <c r="M1209" s="3" t="n">
        <v>0</v>
      </c>
      <c r="N1209" s="3" t="n">
        <v>100</v>
      </c>
      <c r="O1209" s="12" t="n">
        <v>44.05594405594406</v>
      </c>
    </row>
    <row r="1210">
      <c r="A1210" s="10" t="n">
        <v>46037</v>
      </c>
      <c r="B1210" t="inlineStr">
        <is>
          <t>Sara Maria Monteiro Lopes</t>
        </is>
      </c>
      <c r="C1210" s="1" t="inlineStr">
        <is>
          <t>Técnico I</t>
        </is>
      </c>
      <c r="D1210" s="3" t="n">
        <v>15</v>
      </c>
      <c r="E1210" s="3" t="n">
        <v>14</v>
      </c>
      <c r="F1210" s="3" t="n">
        <v>28.44</v>
      </c>
      <c r="G1210" s="3" t="n">
        <v>0</v>
      </c>
      <c r="H1210" s="3" t="n">
        <v>0</v>
      </c>
      <c r="I1210" s="3">
        <f>E1210+G1210+H1210</f>
        <v/>
      </c>
      <c r="J1210" s="3">
        <f>ROUND(MIN(IF(C1210="Técnico III",35,IF(C1210="Técnico II",28,IF(C1210="Técnico I",23,IF(C1210="JR",20,IF(C1210="Estágio",10,0))))),IF(C1210="Técnico III",SUMIFS($D:$D,$A:$A,$A1210,$B:$B,"&lt;&gt;Patrícia Karla de Sousa Araújo",$B:$B,"&lt;&gt;Lorena Dias de Araujo",$B:$B,"&lt;&gt;Lucas Luiz Romero")*(35/1083),IF(C1210="Técnico II",SUMIFS($D:$D,$A:$A,$A1210,$B:$B,"&lt;&gt;Patrícia Karla de Sousa Araújo",$B:$B,"&lt;&gt;Lorena Dias de Araujo",$B:$B,"&lt;&gt;Lucas Luiz Romero")*(28/1083),IF(C1210="Técnico I",SUMIFS($D:$D,$A:$A,$A1210,$B:$B,"&lt;&gt;Patrícia Karla de Sousa Araújo",$B:$B,"&lt;&gt;Lorena Dias de Araujo",$B:$B,"&lt;&gt;Lucas Luiz Romero")*(23/1083),IF(C1210="JR",SUMIFS($D:$D,$A:$A,$A1210,$B:$B,"&lt;&gt;Patrícia Karla de Sousa Araújo",$B:$B,"&lt;&gt;Lorena Dias de Araujo",$B:$B,"&lt;&gt;Lucas Luiz Romero")*(20/1083),IF(C1210="Estágio",SUMIFS($D:$D,$A:$A,$A1210,$B:$B,"&lt;&gt;Patrícia Karla de Sousa Araújo",$B:$B,"&lt;&gt;Lorena Dias de Araujo",$B:$B,"&lt;&gt;Lucas Luiz Romero")*(10/1083),0)))))),0)</f>
        <v/>
      </c>
      <c r="K1210" s="3">
        <f>I1210-J1210</f>
        <v/>
      </c>
      <c r="L1210" s="3">
        <f>IF(K1210&lt;-5,"CRÍTICO",IF(K1210&lt;0,"ATENÇÃO",IF(K1210&lt;=5,"BOM","EXCELENTE")))</f>
        <v/>
      </c>
      <c r="M1210" s="3" t="n">
        <v>15</v>
      </c>
      <c r="N1210" s="3" t="n">
        <v>100</v>
      </c>
      <c r="O1210" s="12" t="n">
        <v>31.87250996015936</v>
      </c>
    </row>
    <row r="1211">
      <c r="A1211" s="10" t="n">
        <v>46037</v>
      </c>
      <c r="B1211" t="inlineStr">
        <is>
          <t>Sarah Steffanie de Lima Borges</t>
        </is>
      </c>
      <c r="C1211" s="1" t="inlineStr">
        <is>
          <t>Técnico III</t>
        </is>
      </c>
      <c r="D1211" s="3" t="n">
        <v>37</v>
      </c>
      <c r="E1211" s="3" t="n">
        <v>35</v>
      </c>
      <c r="F1211" s="3" t="n">
        <v>14.08</v>
      </c>
      <c r="G1211" s="3" t="n">
        <v>0</v>
      </c>
      <c r="H1211" s="3" t="n">
        <v>0</v>
      </c>
      <c r="I1211" s="3">
        <f>E1211+G1211+H1211</f>
        <v/>
      </c>
      <c r="J1211" s="3">
        <f>ROUND(MIN(IF(C1211="Técnico III",35,IF(C1211="Técnico II",28,IF(C1211="Técnico I",23,IF(C1211="JR",20,IF(C1211="Estágio",10,0))))),IF(C1211="Técnico III",SUMIFS($D:$D,$A:$A,$A1211,$B:$B,"&lt;&gt;Patrícia Karla de Sousa Araújo",$B:$B,"&lt;&gt;Lorena Dias de Araujo",$B:$B,"&lt;&gt;Lucas Luiz Romero")*(35/1083),IF(C1211="Técnico II",SUMIFS($D:$D,$A:$A,$A1211,$B:$B,"&lt;&gt;Patrícia Karla de Sousa Araújo",$B:$B,"&lt;&gt;Lorena Dias de Araujo",$B:$B,"&lt;&gt;Lucas Luiz Romero")*(28/1083),IF(C1211="Técnico I",SUMIFS($D:$D,$A:$A,$A1211,$B:$B,"&lt;&gt;Patrícia Karla de Sousa Araújo",$B:$B,"&lt;&gt;Lorena Dias de Araujo",$B:$B,"&lt;&gt;Lucas Luiz Romero")*(23/1083),IF(C1211="JR",SUMIFS($D:$D,$A:$A,$A1211,$B:$B,"&lt;&gt;Patrícia Karla de Sousa Araújo",$B:$B,"&lt;&gt;Lorena Dias de Araujo",$B:$B,"&lt;&gt;Lucas Luiz Romero")*(20/1083),IF(C1211="Estágio",SUMIFS($D:$D,$A:$A,$A1211,$B:$B,"&lt;&gt;Patrícia Karla de Sousa Araújo",$B:$B,"&lt;&gt;Lorena Dias de Araujo",$B:$B,"&lt;&gt;Lucas Luiz Romero")*(10/1083),0)))))),0)</f>
        <v/>
      </c>
      <c r="K1211" s="3">
        <f>I1211-J1211</f>
        <v/>
      </c>
      <c r="L1211" s="3">
        <f>IF(K1211&lt;-5,"CRÍTICO",IF(K1211&lt;0,"ATENÇÃO",IF(K1211&lt;=5,"BOM","EXCELENTE")))</f>
        <v/>
      </c>
      <c r="M1211" s="3" t="n">
        <v>31</v>
      </c>
      <c r="N1211" s="3" t="n">
        <v>98.41</v>
      </c>
      <c r="O1211" s="12" t="n">
        <v>29.22465208747515</v>
      </c>
    </row>
    <row r="1212">
      <c r="A1212" s="10" t="n">
        <v>46038</v>
      </c>
      <c r="B1212" t="inlineStr">
        <is>
          <t>Alisson de Freitas Silva</t>
        </is>
      </c>
      <c r="C1212" s="1" t="inlineStr">
        <is>
          <t>Técnico II</t>
        </is>
      </c>
      <c r="D1212" s="3" t="n">
        <v>26</v>
      </c>
      <c r="E1212" s="3" t="n">
        <v>26</v>
      </c>
      <c r="F1212" s="3" t="n">
        <v>15.33</v>
      </c>
      <c r="G1212" s="3" t="n">
        <v>0</v>
      </c>
      <c r="H1212" s="3" t="n">
        <v>0</v>
      </c>
      <c r="I1212" s="3">
        <f>E1212+G1212+H1212</f>
        <v/>
      </c>
      <c r="J1212" s="3">
        <f>ROUND(MIN(IF(C1212="Técnico III",35,IF(C1212="Técnico II",28,IF(C1212="Técnico I",23,IF(C1212="JR",20,IF(C1212="Estágio",10,0))))),IF(C1212="Técnico III",SUMIFS($D:$D,$A:$A,$A1212,$B:$B,"&lt;&gt;Patrícia Karla de Sousa Araújo",$B:$B,"&lt;&gt;Lorena Dias de Araujo",$B:$B,"&lt;&gt;Lucas Luiz Romero")*(35/1083),IF(C1212="Técnico II",SUMIFS($D:$D,$A:$A,$A1212,$B:$B,"&lt;&gt;Patrícia Karla de Sousa Araújo",$B:$B,"&lt;&gt;Lorena Dias de Araujo",$B:$B,"&lt;&gt;Lucas Luiz Romero")*(28/1083),IF(C1212="Técnico I",SUMIFS($D:$D,$A:$A,$A1212,$B:$B,"&lt;&gt;Patrícia Karla de Sousa Araújo",$B:$B,"&lt;&gt;Lorena Dias de Araujo",$B:$B,"&lt;&gt;Lucas Luiz Romero")*(23/1083),IF(C1212="JR",SUMIFS($D:$D,$A:$A,$A1212,$B:$B,"&lt;&gt;Patrícia Karla de Sousa Araújo",$B:$B,"&lt;&gt;Lorena Dias de Araujo",$B:$B,"&lt;&gt;Lucas Luiz Romero")*(20/1083),IF(C1212="Estágio",SUMIFS($D:$D,$A:$A,$A1212,$B:$B,"&lt;&gt;Patrícia Karla de Sousa Araújo",$B:$B,"&lt;&gt;Lorena Dias de Araujo",$B:$B,"&lt;&gt;Lucas Luiz Romero")*(10/1083),0)))))),0)</f>
        <v/>
      </c>
      <c r="K1212" s="3">
        <f>I1212-J1212</f>
        <v/>
      </c>
      <c r="L1212" s="3">
        <f>IF(K1212&lt;-5,"CRÍTICO",IF(K1212&lt;0,"ATENÇÃO",IF(K1212&lt;=5,"BOM","EXCELENTE")))</f>
        <v/>
      </c>
      <c r="M1212" s="3" t="n">
        <v>22</v>
      </c>
      <c r="N1212" s="3" t="n">
        <v>96.81</v>
      </c>
      <c r="O1212" s="12" t="n">
        <v>27.98053527980535</v>
      </c>
    </row>
    <row r="1213">
      <c r="A1213" s="10" t="n">
        <v>46038</v>
      </c>
      <c r="B1213" t="inlineStr">
        <is>
          <t>Amanda Moura Ferreira</t>
        </is>
      </c>
      <c r="C1213" s="1" t="inlineStr">
        <is>
          <t>Técnico III</t>
        </is>
      </c>
      <c r="D1213" s="3" t="n">
        <v>0</v>
      </c>
      <c r="E1213" s="3" t="n">
        <v>0</v>
      </c>
      <c r="F1213" s="3" t="n">
        <v>0</v>
      </c>
      <c r="G1213" s="3" t="n">
        <v>0</v>
      </c>
      <c r="H1213" s="3" t="n">
        <v>0</v>
      </c>
      <c r="I1213" s="3" t="n">
        <v>0</v>
      </c>
      <c r="J1213" s="3" t="n">
        <v>0</v>
      </c>
      <c r="K1213" s="3" t="n">
        <v>0</v>
      </c>
      <c r="L1213" s="3">
        <f>IF(K1213&lt;-5,"CRÍTICO",IF(K1213&lt;0,"ATENÇÃO",IF(K1213&lt;=5,"BOM","EXCELENTE")))</f>
        <v/>
      </c>
      <c r="M1213" s="3" t="n">
        <v>17</v>
      </c>
      <c r="N1213" s="3" t="n">
        <v>98.73</v>
      </c>
      <c r="O1213" s="12" t="n">
        <v>35.75638506876228</v>
      </c>
    </row>
    <row r="1214">
      <c r="A1214" s="10" t="n">
        <v>46038</v>
      </c>
      <c r="B1214" t="inlineStr">
        <is>
          <t>Ana Karollyne Souza Faria</t>
        </is>
      </c>
      <c r="C1214" s="1" t="inlineStr">
        <is>
          <t>Técnico I</t>
        </is>
      </c>
      <c r="D1214" s="3" t="n">
        <v>26</v>
      </c>
      <c r="E1214" s="3" t="n">
        <v>25</v>
      </c>
      <c r="F1214" s="3" t="n">
        <v>20.24</v>
      </c>
      <c r="G1214" s="3" t="n">
        <v>0</v>
      </c>
      <c r="H1214" s="3" t="n">
        <v>0</v>
      </c>
      <c r="I1214" s="3">
        <f>E1214+G1214+H1214</f>
        <v/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/>
      </c>
      <c r="K1214" s="3">
        <f>I1214-J1214</f>
        <v/>
      </c>
      <c r="L1214" s="3">
        <f>IF(K1214&lt;-5,"CRÍTICO",IF(K1214&lt;0,"ATENÇÃO",IF(K1214&lt;=5,"BOM","EXCELENTE")))</f>
        <v/>
      </c>
      <c r="M1214" s="3" t="n">
        <v>22</v>
      </c>
      <c r="N1214" s="3" t="n">
        <v>98.31999999999999</v>
      </c>
      <c r="O1214" s="12" t="n">
        <v>26.76348547717842</v>
      </c>
    </row>
    <row r="1215">
      <c r="A1215" s="10" t="n">
        <v>46038</v>
      </c>
      <c r="B1215" t="inlineStr">
        <is>
          <t>Ana Paula Da Luz Silva Aleixo</t>
        </is>
      </c>
      <c r="C1215" s="1" t="inlineStr">
        <is>
          <t>Técnico III</t>
        </is>
      </c>
      <c r="D1215" s="3" t="n">
        <v>35</v>
      </c>
      <c r="E1215" s="3" t="n">
        <v>32</v>
      </c>
      <c r="F1215" s="3" t="n">
        <v>11.43</v>
      </c>
      <c r="G1215" s="3" t="n">
        <v>0</v>
      </c>
      <c r="H1215" s="3" t="n">
        <v>0</v>
      </c>
      <c r="I1215" s="3">
        <f>E1215+G1215+H1215</f>
        <v/>
      </c>
      <c r="J1215" s="3">
        <f>ROUND(MIN(IF(C1215="Técnico III",35,IF(C1215="Técnico II",28,IF(C1215="Técnico I",23,IF(C1215="JR",20,IF(C1215="Estágio",10,0))))),IF(C1215="Técnico III",SUMIFS($D:$D,$A:$A,$A1215,$B:$B,"&lt;&gt;Patrícia Karla de Sousa Araújo",$B:$B,"&lt;&gt;Lorena Dias de Araujo",$B:$B,"&lt;&gt;Lucas Luiz Romero")*(35/1083),IF(C1215="Técnico II",SUMIFS($D:$D,$A:$A,$A1215,$B:$B,"&lt;&gt;Patrícia Karla de Sousa Araújo",$B:$B,"&lt;&gt;Lorena Dias de Araujo",$B:$B,"&lt;&gt;Lucas Luiz Romero")*(28/1083),IF(C1215="Técnico I",SUMIFS($D:$D,$A:$A,$A1215,$B:$B,"&lt;&gt;Patrícia Karla de Sousa Araújo",$B:$B,"&lt;&gt;Lorena Dias de Araujo",$B:$B,"&lt;&gt;Lucas Luiz Romero")*(23/1083),IF(C1215="JR",SUMIFS($D:$D,$A:$A,$A1215,$B:$B,"&lt;&gt;Patrícia Karla de Sousa Araújo",$B:$B,"&lt;&gt;Lorena Dias de Araujo",$B:$B,"&lt;&gt;Lucas Luiz Romero")*(20/1083),IF(C1215="Estágio",SUMIFS($D:$D,$A:$A,$A1215,$B:$B,"&lt;&gt;Patrícia Karla de Sousa Araújo",$B:$B,"&lt;&gt;Lorena Dias de Araujo",$B:$B,"&lt;&gt;Lucas Luiz Romero")*(10/1083),0)))))),0)</f>
        <v/>
      </c>
      <c r="K1215" s="3">
        <f>I1215-J1215</f>
        <v/>
      </c>
      <c r="L1215" s="3">
        <f>IF(K1215&lt;-5,"CRÍTICO",IF(K1215&lt;0,"ATENÇÃO",IF(K1215&lt;=5,"BOM","EXCELENTE")))</f>
        <v/>
      </c>
      <c r="M1215" s="3" t="n">
        <v>28</v>
      </c>
      <c r="N1215" s="3" t="n">
        <v>99.19</v>
      </c>
      <c r="O1215" s="12" t="n">
        <v>27.63713080168776</v>
      </c>
    </row>
    <row r="1216">
      <c r="A1216" s="10" t="n">
        <v>46038</v>
      </c>
      <c r="B1216" t="inlineStr">
        <is>
          <t>Anna Luiza Rezende Tavares</t>
        </is>
      </c>
      <c r="C1216" s="1" t="inlineStr">
        <is>
          <t>Estágio</t>
        </is>
      </c>
      <c r="D1216" s="3" t="n">
        <v>1</v>
      </c>
      <c r="E1216" s="3" t="n">
        <v>1</v>
      </c>
      <c r="F1216" s="3" t="n">
        <v>432.1</v>
      </c>
      <c r="G1216" s="3" t="n">
        <v>0</v>
      </c>
      <c r="H1216" s="3" t="n">
        <v>0</v>
      </c>
      <c r="I1216" s="3">
        <f>E1216+G1216+H1216</f>
        <v/>
      </c>
      <c r="J1216" s="3">
        <f>ROUND(MIN(IF(C1216="Técnico III",35,IF(C1216="Técnico II",28,IF(C1216="Técnico I",23,IF(C1216="JR",20,IF(C1216="Estágio",10,0))))),IF(C1216="Técnico III",SUMIFS($D:$D,$A:$A,$A1216,$B:$B,"&lt;&gt;Patrícia Karla de Sousa Araújo",$B:$B,"&lt;&gt;Lorena Dias de Araujo",$B:$B,"&lt;&gt;Lucas Luiz Romero")*(35/1083),IF(C1216="Técnico II",SUMIFS($D:$D,$A:$A,$A1216,$B:$B,"&lt;&gt;Patrícia Karla de Sousa Araújo",$B:$B,"&lt;&gt;Lorena Dias de Araujo",$B:$B,"&lt;&gt;Lucas Luiz Romero")*(28/1083),IF(C1216="Técnico I",SUMIFS($D:$D,$A:$A,$A1216,$B:$B,"&lt;&gt;Patrícia Karla de Sousa Araújo",$B:$B,"&lt;&gt;Lorena Dias de Araujo",$B:$B,"&lt;&gt;Lucas Luiz Romero")*(23/1083),IF(C1216="JR",SUMIFS($D:$D,$A:$A,$A1216,$B:$B,"&lt;&gt;Patrícia Karla de Sousa Araújo",$B:$B,"&lt;&gt;Lorena Dias de Araujo",$B:$B,"&lt;&gt;Lucas Luiz Romero")*(20/1083),IF(C1216="Estágio",SUMIFS($D:$D,$A:$A,$A1216,$B:$B,"&lt;&gt;Patrícia Karla de Sousa Araújo",$B:$B,"&lt;&gt;Lorena Dias de Araujo",$B:$B,"&lt;&gt;Lucas Luiz Romero")*(10/1083),0)))))),0)</f>
        <v/>
      </c>
      <c r="K1216" s="3">
        <f>I1216-J1216</f>
        <v/>
      </c>
      <c r="L1216" s="3">
        <f>IF(K1216&lt;-5,"CRÍTICO",IF(K1216&lt;0,"ATENÇÃO",IF(K1216&lt;=5,"BOM","EXCELENTE")))</f>
        <v/>
      </c>
      <c r="M1216" s="3" t="n">
        <v>1</v>
      </c>
      <c r="N1216" s="3" t="n">
        <v>100</v>
      </c>
      <c r="O1216" s="12" t="n">
        <v>39.56834532374101</v>
      </c>
    </row>
    <row r="1217">
      <c r="A1217" s="10" t="n">
        <v>46038</v>
      </c>
      <c r="B1217" t="inlineStr">
        <is>
          <t>Brenda de Menezes Silva</t>
        </is>
      </c>
      <c r="C1217" s="1" t="inlineStr">
        <is>
          <t>Técnico II</t>
        </is>
      </c>
      <c r="D1217" s="3" t="n">
        <v>30</v>
      </c>
      <c r="E1217" s="3" t="n">
        <v>27</v>
      </c>
      <c r="F1217" s="3" t="n">
        <v>17.06</v>
      </c>
      <c r="G1217" s="3" t="n">
        <v>0</v>
      </c>
      <c r="H1217" s="3" t="n">
        <v>0</v>
      </c>
      <c r="I1217" s="3">
        <f>E1217+G1217+H1217</f>
        <v/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/>
      </c>
      <c r="K1217" s="3">
        <f>I1217-J1217</f>
        <v/>
      </c>
      <c r="L1217" s="3">
        <f>IF(K1217&lt;-5,"CRÍTICO",IF(K1217&lt;0,"ATENÇÃO",IF(K1217&lt;=5,"BOM","EXCELENTE")))</f>
        <v/>
      </c>
      <c r="M1217" s="3" t="n">
        <v>24</v>
      </c>
      <c r="N1217" s="3" t="n">
        <v>98.54000000000001</v>
      </c>
      <c r="O1217" s="12" t="n">
        <v>28.54477611940299</v>
      </c>
    </row>
    <row r="1218">
      <c r="A1218" s="10" t="n">
        <v>46038</v>
      </c>
      <c r="B1218" t="inlineStr">
        <is>
          <t>Carlos Mateus Cassimiro Nunes</t>
        </is>
      </c>
      <c r="C1218" s="1" t="inlineStr">
        <is>
          <t>Técnico II</t>
        </is>
      </c>
      <c r="D1218" s="3" t="n">
        <v>13</v>
      </c>
      <c r="E1218" s="3" t="n">
        <v>13</v>
      </c>
      <c r="F1218" s="3" t="n">
        <v>47.07</v>
      </c>
      <c r="G1218" s="3" t="n">
        <v>0</v>
      </c>
      <c r="H1218" s="3" t="n">
        <v>0</v>
      </c>
      <c r="I1218" s="3">
        <f>E1218+G1218+H1218</f>
        <v/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/>
      </c>
      <c r="K1218" s="3">
        <f>I1218-J1218</f>
        <v/>
      </c>
      <c r="L1218" s="3">
        <f>IF(K1218&lt;-5,"CRÍTICO",IF(K1218&lt;0,"ATENÇÃO",IF(K1218&lt;=5,"BOM","EXCELENTE")))</f>
        <v/>
      </c>
      <c r="M1218" s="3" t="n">
        <v>13</v>
      </c>
      <c r="N1218" s="3" t="n">
        <v>100</v>
      </c>
      <c r="O1218" s="12" t="n">
        <v>34.36692506459949</v>
      </c>
    </row>
    <row r="1219">
      <c r="A1219" s="10" t="n">
        <v>46038</v>
      </c>
      <c r="B1219" t="inlineStr">
        <is>
          <t>Claudio de Sousa Velasco Filho</t>
        </is>
      </c>
      <c r="C1219" s="1" t="inlineStr">
        <is>
          <t>Estágio</t>
        </is>
      </c>
      <c r="D1219" s="3" t="n">
        <v>0</v>
      </c>
      <c r="E1219" s="3" t="n">
        <v>0</v>
      </c>
      <c r="F1219" s="3" t="n">
        <v>0</v>
      </c>
      <c r="G1219" s="3" t="n">
        <v>0</v>
      </c>
      <c r="H1219" s="3" t="n">
        <v>0</v>
      </c>
      <c r="I1219" s="3" t="n">
        <v>0</v>
      </c>
      <c r="J1219" s="3" t="n">
        <v>0</v>
      </c>
      <c r="K1219" s="3" t="n">
        <v>0</v>
      </c>
      <c r="L1219" s="3">
        <f>IF(K1219&lt;-5,"CRÍTICO",IF(K1219&lt;0,"ATENÇÃO",IF(K1219&lt;=5,"BOM","EXCELENTE")))</f>
        <v/>
      </c>
      <c r="M1219" s="3" t="n">
        <v>0</v>
      </c>
      <c r="N1219" s="3" t="n">
        <v>0</v>
      </c>
      <c r="O1219" s="12" t="n">
        <v>0</v>
      </c>
    </row>
    <row r="1220">
      <c r="A1220" s="10" t="n">
        <v>46038</v>
      </c>
      <c r="B1220" t="inlineStr">
        <is>
          <t>Clessiane Pereira dos Santos</t>
        </is>
      </c>
      <c r="C1220" s="1" t="inlineStr">
        <is>
          <t>Técnico I</t>
        </is>
      </c>
      <c r="D1220" s="3" t="n">
        <v>14</v>
      </c>
      <c r="E1220" s="3" t="n">
        <v>11</v>
      </c>
      <c r="F1220" s="3" t="n">
        <v>35.35</v>
      </c>
      <c r="G1220" s="3" t="n">
        <v>0</v>
      </c>
      <c r="H1220" s="3" t="n">
        <v>0</v>
      </c>
      <c r="I1220" s="3">
        <f>E1220+G1220+H1220</f>
        <v/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/>
      </c>
      <c r="K1220" s="3">
        <f>I1220-J1220</f>
        <v/>
      </c>
      <c r="L1220" s="3">
        <f>IF(K1220&lt;-5,"CRÍTICO",IF(K1220&lt;0,"ATENÇÃO",IF(K1220&lt;=5,"BOM","EXCELENTE")))</f>
        <v/>
      </c>
      <c r="M1220" s="3" t="n">
        <v>13</v>
      </c>
      <c r="N1220" s="3" t="n">
        <v>100</v>
      </c>
      <c r="O1220" s="12" t="n">
        <v>29.51807228915663</v>
      </c>
    </row>
    <row r="1221">
      <c r="A1221" s="10" t="n">
        <v>46038</v>
      </c>
      <c r="B1221" t="inlineStr">
        <is>
          <t>Cristiane Ramos da Silva Rocha</t>
        </is>
      </c>
      <c r="C1221" s="1" t="inlineStr">
        <is>
          <t>Técnico III</t>
        </is>
      </c>
      <c r="D1221" s="3" t="n">
        <v>29</v>
      </c>
      <c r="E1221" s="3" t="n">
        <v>26</v>
      </c>
      <c r="F1221" s="3" t="n">
        <v>13.22</v>
      </c>
      <c r="G1221" s="3" t="n">
        <v>0</v>
      </c>
      <c r="H1221" s="3" t="n">
        <v>0</v>
      </c>
      <c r="I1221" s="3">
        <f>E1221+G1221+H1221</f>
        <v/>
      </c>
      <c r="J1221" s="3">
        <f>ROUND(MIN(IF(C1221="Técnico III",35,IF(C1221="Técnico II",28,IF(C1221="Técnico I",23,IF(C1221="JR",20,IF(C1221="Estágio",10,0))))),IF(C1221="Técnico III",SUMIFS($D:$D,$A:$A,$A1221,$B:$B,"&lt;&gt;Patrícia Karla de Sousa Araújo",$B:$B,"&lt;&gt;Lorena Dias de Araujo",$B:$B,"&lt;&gt;Lucas Luiz Romero")*(35/1083),IF(C1221="Técnico II",SUMIFS($D:$D,$A:$A,$A1221,$B:$B,"&lt;&gt;Patrícia Karla de Sousa Araújo",$B:$B,"&lt;&gt;Lorena Dias de Araujo",$B:$B,"&lt;&gt;Lucas Luiz Romero")*(28/1083),IF(C1221="Técnico I",SUMIFS($D:$D,$A:$A,$A1221,$B:$B,"&lt;&gt;Patrícia Karla de Sousa Araújo",$B:$B,"&lt;&gt;Lorena Dias de Araujo",$B:$B,"&lt;&gt;Lucas Luiz Romero")*(23/1083),IF(C1221="JR",SUMIFS($D:$D,$A:$A,$A1221,$B:$B,"&lt;&gt;Patrícia Karla de Sousa Araújo",$B:$B,"&lt;&gt;Lorena Dias de Araujo",$B:$B,"&lt;&gt;Lucas Luiz Romero")*(20/1083),IF(C1221="Estágio",SUMIFS($D:$D,$A:$A,$A1221,$B:$B,"&lt;&gt;Patrícia Karla de Sousa Araújo",$B:$B,"&lt;&gt;Lorena Dias de Araujo",$B:$B,"&lt;&gt;Lucas Luiz Romero")*(10/1083),0)))))),0)</f>
        <v/>
      </c>
      <c r="K1221" s="3">
        <f>I1221-J1221</f>
        <v/>
      </c>
      <c r="L1221" s="3">
        <f>IF(K1221&lt;-5,"CRÍTICO",IF(K1221&lt;0,"ATENÇÃO",IF(K1221&lt;=5,"BOM","EXCELENTE")))</f>
        <v/>
      </c>
      <c r="M1221" s="3" t="n">
        <v>25</v>
      </c>
      <c r="N1221" s="3" t="n">
        <v>97.45</v>
      </c>
      <c r="O1221" s="12" t="n">
        <v>41.421143847487</v>
      </c>
    </row>
    <row r="1222">
      <c r="A1222" s="10" t="n">
        <v>46038</v>
      </c>
      <c r="B1222" t="inlineStr">
        <is>
          <t>Damyllis Lorraine de Oliveira Gonçalves</t>
        </is>
      </c>
      <c r="C1222" s="1" t="inlineStr">
        <is>
          <t>Técnico II</t>
        </is>
      </c>
      <c r="D1222" s="3" t="n">
        <v>36</v>
      </c>
      <c r="E1222" s="3" t="n">
        <v>22</v>
      </c>
      <c r="F1222" s="3" t="n">
        <v>9.039999999999999</v>
      </c>
      <c r="G1222" s="3" t="n">
        <v>0</v>
      </c>
      <c r="H1222" s="3" t="n">
        <v>0</v>
      </c>
      <c r="I1222" s="3" t="n">
        <v>0</v>
      </c>
      <c r="J1222" s="3" t="n">
        <v>0</v>
      </c>
      <c r="K1222" s="3" t="n">
        <v>0</v>
      </c>
      <c r="L1222" s="3">
        <f>IF(K1222&lt;-5,"CRÍTICO",IF(K1222&lt;0,"ATENÇÃO",IF(K1222&lt;=5,"BOM","EXCELENTE")))</f>
        <v/>
      </c>
      <c r="M1222" s="3" t="n">
        <v>23</v>
      </c>
      <c r="N1222" s="3" t="n">
        <v>96.58</v>
      </c>
      <c r="O1222" s="12" t="n">
        <v>30.39647577092511</v>
      </c>
    </row>
    <row r="1223">
      <c r="A1223" s="10" t="n">
        <v>46038</v>
      </c>
      <c r="B1223" t="inlineStr">
        <is>
          <t>Daniel Gomes da Silva</t>
        </is>
      </c>
      <c r="C1223" s="1" t="inlineStr">
        <is>
          <t>Técnico I</t>
        </is>
      </c>
      <c r="D1223" s="3" t="n">
        <v>9</v>
      </c>
      <c r="E1223" s="3" t="n">
        <v>9</v>
      </c>
      <c r="F1223" s="3" t="n">
        <v>38.24</v>
      </c>
      <c r="G1223" s="3" t="n">
        <v>0</v>
      </c>
      <c r="H1223" s="3" t="n">
        <v>0</v>
      </c>
      <c r="I1223" s="3">
        <f>E1223+G1223+H1223</f>
        <v/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/>
      </c>
      <c r="K1223" s="3">
        <f>I1223-J1223</f>
        <v/>
      </c>
      <c r="L1223" s="3">
        <f>IF(K1223&lt;-5,"CRÍTICO",IF(K1223&lt;0,"ATENÇÃO",IF(K1223&lt;=5,"BOM","EXCELENTE")))</f>
        <v/>
      </c>
      <c r="M1223" s="3" t="n">
        <v>14</v>
      </c>
      <c r="N1223" s="3" t="n">
        <v>100</v>
      </c>
      <c r="O1223" s="12" t="n">
        <v>27.44282744282744</v>
      </c>
    </row>
    <row r="1224">
      <c r="A1224" s="10" t="n">
        <v>46038</v>
      </c>
      <c r="B1224" t="inlineStr">
        <is>
          <t>Davylla Rodrigues Freitas Silva</t>
        </is>
      </c>
      <c r="C1224" s="1" t="inlineStr">
        <is>
          <t>Técnico III</t>
        </is>
      </c>
      <c r="D1224" s="3" t="n">
        <v>20</v>
      </c>
      <c r="E1224" s="3" t="n">
        <v>19</v>
      </c>
      <c r="F1224" s="3" t="n">
        <v>26.42</v>
      </c>
      <c r="G1224" s="3" t="n">
        <v>0</v>
      </c>
      <c r="H1224" s="3" t="n">
        <v>0</v>
      </c>
      <c r="I1224" s="3" t="n">
        <v>0</v>
      </c>
      <c r="J1224" s="3" t="n">
        <v>0</v>
      </c>
      <c r="K1224" s="3" t="n">
        <v>0</v>
      </c>
      <c r="L1224" s="3">
        <f>IF(K1224&lt;-5,"CRÍTICO",IF(K1224&lt;0,"ATENÇÃO",IF(K1224&lt;=5,"BOM","EXCELENTE")))</f>
        <v/>
      </c>
      <c r="M1224" s="3" t="n">
        <v>19</v>
      </c>
      <c r="N1224" s="3" t="n">
        <v>99.48999999999999</v>
      </c>
      <c r="O1224" s="12" t="n">
        <v>40.2</v>
      </c>
    </row>
    <row r="1225">
      <c r="A1225" s="10" t="n">
        <v>46038</v>
      </c>
      <c r="B1225" t="inlineStr">
        <is>
          <t>Emilly Caylane Costa</t>
        </is>
      </c>
      <c r="C1225" s="1" t="inlineStr">
        <is>
          <t>Estágio</t>
        </is>
      </c>
      <c r="D1225" s="3" t="n">
        <v>0</v>
      </c>
      <c r="E1225" s="3" t="n">
        <v>0</v>
      </c>
      <c r="F1225" s="3" t="n">
        <v>0</v>
      </c>
      <c r="G1225" s="3" t="n">
        <v>0</v>
      </c>
      <c r="H1225" s="3" t="n">
        <v>0</v>
      </c>
      <c r="I1225" s="3" t="n">
        <v>0</v>
      </c>
      <c r="J1225" s="3" t="n">
        <v>0</v>
      </c>
      <c r="K1225" s="3" t="n">
        <v>0</v>
      </c>
      <c r="L1225" s="3">
        <f>IF(K1225&lt;-5,"CRÍTICO",IF(K1225&lt;0,"ATENÇÃO",IF(K1225&lt;=5,"BOM","EXCELENTE")))</f>
        <v/>
      </c>
      <c r="M1225" s="3" t="n">
        <v>0</v>
      </c>
      <c r="N1225" s="3" t="n">
        <v>100</v>
      </c>
      <c r="O1225" s="12" t="n">
        <v>25</v>
      </c>
    </row>
    <row r="1226">
      <c r="A1226" s="10" t="n">
        <v>46038</v>
      </c>
      <c r="B1226" t="inlineStr">
        <is>
          <t>Emilly Kamilly Medeiros Miranda</t>
        </is>
      </c>
      <c r="C1226" s="1" t="inlineStr">
        <is>
          <t>Técnico II</t>
        </is>
      </c>
      <c r="D1226" s="3" t="n">
        <v>26</v>
      </c>
      <c r="E1226" s="3" t="n">
        <v>25</v>
      </c>
      <c r="F1226" s="3" t="n">
        <v>18.39</v>
      </c>
      <c r="G1226" s="3" t="n">
        <v>0</v>
      </c>
      <c r="H1226" s="3" t="n">
        <v>0</v>
      </c>
      <c r="I1226" s="3">
        <f>E1226+G1226+H1226</f>
        <v/>
      </c>
      <c r="J1226" s="3">
        <f>ROUND(MIN(IF(C1226="Técnico III",35,IF(C1226="Técnico II",28,IF(C1226="Técnico I",23,IF(C1226="JR",20,IF(C1226="Estágio",10,0))))),IF(C1226="Técnico III",SUMIFS($D:$D,$A:$A,$A1226,$B:$B,"&lt;&gt;Patrícia Karla de Sousa Araújo",$B:$B,"&lt;&gt;Lorena Dias de Araujo",$B:$B,"&lt;&gt;Lucas Luiz Romero")*(35/1083),IF(C1226="Técnico II",SUMIFS($D:$D,$A:$A,$A1226,$B:$B,"&lt;&gt;Patrícia Karla de Sousa Araújo",$B:$B,"&lt;&gt;Lorena Dias de Araujo",$B:$B,"&lt;&gt;Lucas Luiz Romero")*(28/1083),IF(C1226="Técnico I",SUMIFS($D:$D,$A:$A,$A1226,$B:$B,"&lt;&gt;Patrícia Karla de Sousa Araújo",$B:$B,"&lt;&gt;Lorena Dias de Araujo",$B:$B,"&lt;&gt;Lucas Luiz Romero")*(23/1083),IF(C1226="JR",SUMIFS($D:$D,$A:$A,$A1226,$B:$B,"&lt;&gt;Patrícia Karla de Sousa Araújo",$B:$B,"&lt;&gt;Lorena Dias de Araujo",$B:$B,"&lt;&gt;Lucas Luiz Romero")*(20/1083),IF(C1226="Estágio",SUMIFS($D:$D,$A:$A,$A1226,$B:$B,"&lt;&gt;Patrícia Karla de Sousa Araújo",$B:$B,"&lt;&gt;Lorena Dias de Araujo",$B:$B,"&lt;&gt;Lucas Luiz Romero")*(10/1083),0)))))),0)</f>
        <v/>
      </c>
      <c r="K1226" s="3">
        <f>I1226-J1226</f>
        <v/>
      </c>
      <c r="L1226" s="3">
        <f>IF(K1226&lt;-5,"CRÍTICO",IF(K1226&lt;0,"ATENÇÃO",IF(K1226&lt;=5,"BOM","EXCELENTE")))</f>
        <v/>
      </c>
      <c r="M1226" s="3" t="n">
        <v>25</v>
      </c>
      <c r="N1226" s="3" t="n">
        <v>100</v>
      </c>
      <c r="O1226" s="12" t="n">
        <v>34.15094339622641</v>
      </c>
    </row>
    <row r="1227">
      <c r="A1227" s="10" t="n">
        <v>46038</v>
      </c>
      <c r="B1227" t="inlineStr">
        <is>
          <t>Francielson de Oliveira</t>
        </is>
      </c>
      <c r="C1227" s="1" t="inlineStr">
        <is>
          <t>Técnico III</t>
        </is>
      </c>
      <c r="D1227" s="3" t="n">
        <v>20</v>
      </c>
      <c r="E1227" s="3" t="n">
        <v>18</v>
      </c>
      <c r="F1227" s="3" t="n">
        <v>15.56</v>
      </c>
      <c r="G1227" s="3" t="n">
        <v>0</v>
      </c>
      <c r="H1227" s="3" t="n">
        <v>0</v>
      </c>
      <c r="I1227" s="3">
        <f>E1227+G1227+H1227</f>
        <v/>
      </c>
      <c r="J1227" s="3">
        <f>ROUND(MIN(IF(C1227="Técnico III",35,IF(C1227="Técnico II",28,IF(C1227="Técnico I",23,IF(C1227="JR",20,IF(C1227="Estágio",10,0))))),IF(C1227="Técnico III",SUMIFS($D:$D,$A:$A,$A1227,$B:$B,"&lt;&gt;Patrícia Karla de Sousa Araújo",$B:$B,"&lt;&gt;Lorena Dias de Araujo",$B:$B,"&lt;&gt;Lucas Luiz Romero")*(35/1083),IF(C1227="Técnico II",SUMIFS($D:$D,$A:$A,$A1227,$B:$B,"&lt;&gt;Patrícia Karla de Sousa Araújo",$B:$B,"&lt;&gt;Lorena Dias de Araujo",$B:$B,"&lt;&gt;Lucas Luiz Romero")*(28/1083),IF(C1227="Técnico I",SUMIFS($D:$D,$A:$A,$A1227,$B:$B,"&lt;&gt;Patrícia Karla de Sousa Araújo",$B:$B,"&lt;&gt;Lorena Dias de Araujo",$B:$B,"&lt;&gt;Lucas Luiz Romero")*(23/1083),IF(C1227="JR",SUMIFS($D:$D,$A:$A,$A1227,$B:$B,"&lt;&gt;Patrícia Karla de Sousa Araújo",$B:$B,"&lt;&gt;Lorena Dias de Araujo",$B:$B,"&lt;&gt;Lucas Luiz Romero")*(20/1083),IF(C1227="Estágio",SUMIFS($D:$D,$A:$A,$A1227,$B:$B,"&lt;&gt;Patrícia Karla de Sousa Araújo",$B:$B,"&lt;&gt;Lorena Dias de Araujo",$B:$B,"&lt;&gt;Lucas Luiz Romero")*(10/1083),0)))))),0)</f>
        <v/>
      </c>
      <c r="K1227" s="3">
        <f>I1227-J1227</f>
        <v/>
      </c>
      <c r="L1227" s="3">
        <f>IF(K1227&lt;-5,"CRÍTICO",IF(K1227&lt;0,"ATENÇÃO",IF(K1227&lt;=5,"BOM","EXCELENTE")))</f>
        <v/>
      </c>
      <c r="M1227" s="3" t="n">
        <v>17</v>
      </c>
      <c r="N1227" s="3" t="n">
        <v>100</v>
      </c>
      <c r="O1227" s="12" t="n">
        <v>32.7313769751693</v>
      </c>
    </row>
    <row r="1228">
      <c r="A1228" s="10" t="n">
        <v>46038</v>
      </c>
      <c r="B1228" t="inlineStr">
        <is>
          <t>Francilene Ferreira de Jesus</t>
        </is>
      </c>
      <c r="C1228" s="1" t="inlineStr">
        <is>
          <t>Técnico II</t>
        </is>
      </c>
      <c r="D1228" s="3" t="n">
        <v>30</v>
      </c>
      <c r="E1228" s="3" t="n">
        <v>26</v>
      </c>
      <c r="F1228" s="3" t="n">
        <v>13.38</v>
      </c>
      <c r="G1228" s="3" t="n">
        <v>0</v>
      </c>
      <c r="H1228" s="3" t="n">
        <v>0</v>
      </c>
      <c r="I1228" s="3">
        <f>E1228+G1228+H1228</f>
        <v/>
      </c>
      <c r="J1228" s="3">
        <f>ROUND(MIN(IF(C1228="Técnico III",35,IF(C1228="Técnico II",28,IF(C1228="Técnico I",23,IF(C1228="JR",20,IF(C1228="Estágio",10,0))))),IF(C1228="Técnico III",SUMIFS($D:$D,$A:$A,$A1228,$B:$B,"&lt;&gt;Patrícia Karla de Sousa Araújo",$B:$B,"&lt;&gt;Lorena Dias de Araujo",$B:$B,"&lt;&gt;Lucas Luiz Romero")*(35/1083),IF(C1228="Técnico II",SUMIFS($D:$D,$A:$A,$A1228,$B:$B,"&lt;&gt;Patrícia Karla de Sousa Araújo",$B:$B,"&lt;&gt;Lorena Dias de Araujo",$B:$B,"&lt;&gt;Lucas Luiz Romero")*(28/1083),IF(C1228="Técnico I",SUMIFS($D:$D,$A:$A,$A1228,$B:$B,"&lt;&gt;Patrícia Karla de Sousa Araújo",$B:$B,"&lt;&gt;Lorena Dias de Araujo",$B:$B,"&lt;&gt;Lucas Luiz Romero")*(23/1083),IF(C1228="JR",SUMIFS($D:$D,$A:$A,$A1228,$B:$B,"&lt;&gt;Patrícia Karla de Sousa Araújo",$B:$B,"&lt;&gt;Lorena Dias de Araujo",$B:$B,"&lt;&gt;Lucas Luiz Romero")*(20/1083),IF(C1228="Estágio",SUMIFS($D:$D,$A:$A,$A1228,$B:$B,"&lt;&gt;Patrícia Karla de Sousa Araújo",$B:$B,"&lt;&gt;Lorena Dias de Araujo",$B:$B,"&lt;&gt;Lucas Luiz Romero")*(10/1083),0)))))),0)</f>
        <v/>
      </c>
      <c r="K1228" s="3">
        <f>I1228-J1228</f>
        <v/>
      </c>
      <c r="L1228" s="3">
        <f>IF(K1228&lt;-5,"CRÍTICO",IF(K1228&lt;0,"ATENÇÃO",IF(K1228&lt;=5,"BOM","EXCELENTE")))</f>
        <v/>
      </c>
      <c r="M1228" s="3" t="n">
        <v>23</v>
      </c>
      <c r="N1228" s="3" t="n">
        <v>99.31</v>
      </c>
      <c r="O1228" s="12" t="n">
        <v>30.96234309623431</v>
      </c>
    </row>
    <row r="1229">
      <c r="A1229" s="10" t="n">
        <v>46072</v>
      </c>
      <c r="B1229" t="inlineStr">
        <is>
          <t>Gabriel Gomes de Andrade</t>
        </is>
      </c>
      <c r="C1229" s="1" t="inlineStr">
        <is>
          <t>Técnico I</t>
        </is>
      </c>
      <c r="D1229" s="3" t="n">
        <v>21</v>
      </c>
      <c r="E1229" s="3" t="n">
        <v>20</v>
      </c>
      <c r="F1229" s="3" t="n">
        <v>28.42</v>
      </c>
      <c r="G1229" s="3" t="n">
        <v>0</v>
      </c>
      <c r="H1229" s="3" t="n">
        <v>0</v>
      </c>
      <c r="I1229" s="3">
        <f>E1229+G1229+H1229</f>
        <v/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/>
      </c>
      <c r="K1229" s="3">
        <f>I1229-J1229</f>
        <v/>
      </c>
      <c r="L1229" s="3">
        <f>IF(K1229&lt;-5,"CRÍTICO",IF(K1229&lt;0,"ATENÇÃO",IF(K1229&lt;=5,"BOM","EXCELENTE")))</f>
        <v/>
      </c>
      <c r="M1229" s="3" t="n">
        <v>19</v>
      </c>
      <c r="N1229" s="3" t="n">
        <v>96.67</v>
      </c>
      <c r="O1229" s="12" t="n">
        <v>31.45161290322581</v>
      </c>
    </row>
    <row r="1230">
      <c r="A1230" s="10" t="n">
        <v>46038</v>
      </c>
      <c r="B1230" t="inlineStr">
        <is>
          <t>Isabella Borges de Oliveira</t>
        </is>
      </c>
      <c r="C1230" s="1" t="inlineStr">
        <is>
          <t>Técnico II</t>
        </is>
      </c>
      <c r="D1230" s="3" t="n">
        <v>21</v>
      </c>
      <c r="E1230" s="3" t="n">
        <v>21</v>
      </c>
      <c r="F1230" s="3" t="n">
        <v>24.02</v>
      </c>
      <c r="G1230" s="3" t="n">
        <v>0</v>
      </c>
      <c r="H1230" s="3" t="n">
        <v>0</v>
      </c>
      <c r="I1230" s="3">
        <f>E1230+G1230+H1230</f>
        <v/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/>
      </c>
      <c r="K1230" s="3">
        <f>I1230-J1230</f>
        <v/>
      </c>
      <c r="L1230" s="3">
        <f>IF(K1230&lt;-5,"CRÍTICO",IF(K1230&lt;0,"ATENÇÃO",IF(K1230&lt;=5,"BOM","EXCELENTE")))</f>
        <v/>
      </c>
      <c r="M1230" s="3" t="n">
        <v>19</v>
      </c>
      <c r="N1230" s="3" t="n">
        <v>100</v>
      </c>
      <c r="O1230" s="12" t="n">
        <v>27.67676767676768</v>
      </c>
    </row>
    <row r="1231">
      <c r="A1231" s="10" t="n">
        <v>46038</v>
      </c>
      <c r="B1231" t="inlineStr">
        <is>
          <t>Janaina Lima dos Reis Urany</t>
        </is>
      </c>
      <c r="C1231" s="1" t="inlineStr">
        <is>
          <t>Técnico III</t>
        </is>
      </c>
      <c r="D1231" s="3" t="n">
        <v>38</v>
      </c>
      <c r="E1231" s="3" t="n">
        <v>32</v>
      </c>
      <c r="F1231" s="3" t="n">
        <v>10.25</v>
      </c>
      <c r="G1231" s="3" t="n">
        <v>0</v>
      </c>
      <c r="H1231" s="3" t="n">
        <v>0</v>
      </c>
      <c r="I1231" s="3">
        <f>E1231+G1231+H1231</f>
        <v/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/>
      </c>
      <c r="K1231" s="3">
        <f>I1231-J1231</f>
        <v/>
      </c>
      <c r="L1231" s="3">
        <f>IF(K1231&lt;-5,"CRÍTICO",IF(K1231&lt;0,"ATENÇÃO",IF(K1231&lt;=5,"BOM","EXCELENTE")))</f>
        <v/>
      </c>
      <c r="M1231" s="3" t="n">
        <v>32</v>
      </c>
      <c r="N1231" s="3" t="n">
        <v>100</v>
      </c>
      <c r="O1231" s="12" t="n">
        <v>31.17723156532988</v>
      </c>
    </row>
    <row r="1232">
      <c r="A1232" s="10" t="n">
        <v>46038</v>
      </c>
      <c r="B1232" t="inlineStr">
        <is>
          <t>Jaqueline Evangelista da Silva Martins</t>
        </is>
      </c>
      <c r="C1232" s="1" t="inlineStr">
        <is>
          <t>Técnico III</t>
        </is>
      </c>
      <c r="D1232" s="3" t="n">
        <v>21</v>
      </c>
      <c r="E1232" s="3" t="n">
        <v>19</v>
      </c>
      <c r="F1232" s="3" t="n">
        <v>11.5</v>
      </c>
      <c r="G1232" s="3" t="n">
        <v>0</v>
      </c>
      <c r="H1232" s="3" t="n">
        <v>0</v>
      </c>
      <c r="I1232" s="3">
        <f>E1232+G1232+H1232</f>
        <v/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/>
      </c>
      <c r="K1232" s="3">
        <f>I1232-J1232</f>
        <v/>
      </c>
      <c r="L1232" s="3">
        <f>IF(K1232&lt;-5,"CRÍTICO",IF(K1232&lt;0,"ATENÇÃO",IF(K1232&lt;=5,"BOM","EXCELENTE")))</f>
        <v/>
      </c>
      <c r="M1232" s="3" t="n">
        <v>17</v>
      </c>
      <c r="N1232" s="3" t="n">
        <v>100</v>
      </c>
      <c r="O1232" s="12" t="n">
        <v>27.60942760942761</v>
      </c>
    </row>
    <row r="1233">
      <c r="A1233" s="10" t="n">
        <v>46038</v>
      </c>
      <c r="B1233" t="inlineStr">
        <is>
          <t>Jessica Faria da Silveira</t>
        </is>
      </c>
      <c r="C1233" s="1" t="inlineStr">
        <is>
          <t>Técnico II</t>
        </is>
      </c>
      <c r="D1233" s="3" t="n">
        <v>25</v>
      </c>
      <c r="E1233" s="3" t="n">
        <v>20</v>
      </c>
      <c r="F1233" s="3" t="n">
        <v>16.44</v>
      </c>
      <c r="G1233" s="3" t="n">
        <v>0</v>
      </c>
      <c r="H1233" s="3" t="n">
        <v>0</v>
      </c>
      <c r="I1233" s="3">
        <f>E1233+G1233+H1233</f>
        <v/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/>
      </c>
      <c r="K1233" s="3">
        <f>I1233-J1233</f>
        <v/>
      </c>
      <c r="L1233" s="3">
        <f>IF(K1233&lt;-5,"CRÍTICO",IF(K1233&lt;0,"ATENÇÃO",IF(K1233&lt;=5,"BOM","EXCELENTE")))</f>
        <v/>
      </c>
      <c r="M1233" s="3" t="n">
        <v>19</v>
      </c>
      <c r="N1233" s="3" t="n">
        <v>96.40000000000001</v>
      </c>
      <c r="O1233" s="12" t="n">
        <v>28.76404494382023</v>
      </c>
    </row>
    <row r="1234">
      <c r="A1234" s="10" t="n">
        <v>46038</v>
      </c>
      <c r="B1234" t="inlineStr">
        <is>
          <t>Jéssica Fé Moura</t>
        </is>
      </c>
      <c r="C1234" s="1" t="inlineStr">
        <is>
          <t>Técnico III</t>
        </is>
      </c>
      <c r="D1234" s="3" t="n">
        <v>0</v>
      </c>
      <c r="E1234" s="3" t="n">
        <v>0</v>
      </c>
      <c r="F1234" s="3" t="n">
        <v>0</v>
      </c>
      <c r="G1234" s="3" t="n">
        <v>0</v>
      </c>
      <c r="H1234" s="3" t="n">
        <v>0</v>
      </c>
      <c r="I1234" s="3" t="n">
        <v>0</v>
      </c>
      <c r="J1234" s="3" t="n">
        <v>0</v>
      </c>
      <c r="K1234" s="3" t="n">
        <v>0</v>
      </c>
      <c r="L1234" s="3">
        <f>IF(K1234&lt;-5,"CRÍTICO",IF(K1234&lt;0,"ATENÇÃO",IF(K1234&lt;=5,"BOM","EXCELENTE")))</f>
        <v/>
      </c>
      <c r="M1234" s="3" t="n">
        <v>19</v>
      </c>
      <c r="N1234" s="3" t="n">
        <v>100</v>
      </c>
      <c r="O1234" s="12" t="n">
        <v>33.98058252427185</v>
      </c>
    </row>
    <row r="1235">
      <c r="A1235" s="10" t="n">
        <v>46038</v>
      </c>
      <c r="B1235" t="inlineStr">
        <is>
          <t>Karina Gonçalves Martins</t>
        </is>
      </c>
      <c r="C1235" s="1" t="inlineStr">
        <is>
          <t>JR</t>
        </is>
      </c>
      <c r="D1235" s="3" t="n">
        <v>16</v>
      </c>
      <c r="E1235" s="3" t="n">
        <v>15</v>
      </c>
      <c r="F1235" s="3" t="n">
        <v>35.16</v>
      </c>
      <c r="G1235" s="3" t="n">
        <v>0</v>
      </c>
      <c r="H1235" s="3" t="n">
        <v>0</v>
      </c>
      <c r="I1235" s="3">
        <f>E1235+G1235+H1235</f>
        <v/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/>
      </c>
      <c r="K1235" s="3">
        <f>I1235-J1235</f>
        <v/>
      </c>
      <c r="L1235" s="3">
        <f>IF(K1235&lt;-5,"CRÍTICO",IF(K1235&lt;0,"ATENÇÃO",IF(K1235&lt;=5,"BOM","EXCELENTE")))</f>
        <v/>
      </c>
      <c r="M1235" s="3" t="n">
        <v>15</v>
      </c>
      <c r="N1235" s="3" t="n">
        <v>97.56</v>
      </c>
      <c r="O1235" s="12" t="n">
        <v>32.51533742331289</v>
      </c>
    </row>
    <row r="1236">
      <c r="A1236" s="10" t="n">
        <v>46038</v>
      </c>
      <c r="B1236" t="inlineStr">
        <is>
          <t>Kerollen Cristielly de Jesus Siqueira</t>
        </is>
      </c>
      <c r="C1236" s="1" t="inlineStr">
        <is>
          <t>Técnico III</t>
        </is>
      </c>
      <c r="D1236" s="3" t="n">
        <v>23</v>
      </c>
      <c r="E1236" s="3" t="n">
        <v>22</v>
      </c>
      <c r="F1236" s="3" t="n">
        <v>28.22</v>
      </c>
      <c r="G1236" s="3" t="n">
        <v>0</v>
      </c>
      <c r="H1236" s="3" t="n">
        <v>0</v>
      </c>
      <c r="I1236" s="3">
        <f>E1236+G1236+H1236</f>
        <v/>
      </c>
      <c r="J1236" s="3">
        <f>ROUND(MIN(IF(C1236="Técnico III",35,IF(C1236="Técnico II",28,IF(C1236="Técnico I",23,IF(C1236="JR",20,IF(C1236="Estágio",10,0))))),IF(C1236="Técnico III",SUMIFS($D:$D,$A:$A,$A1236,$B:$B,"&lt;&gt;Patrícia Karla de Sousa Araújo",$B:$B,"&lt;&gt;Lorena Dias de Araujo",$B:$B,"&lt;&gt;Lucas Luiz Romero")*(35/1083),IF(C1236="Técnico II",SUMIFS($D:$D,$A:$A,$A1236,$B:$B,"&lt;&gt;Patrícia Karla de Sousa Araújo",$B:$B,"&lt;&gt;Lorena Dias de Araujo",$B:$B,"&lt;&gt;Lucas Luiz Romero")*(28/1083),IF(C1236="Técnico I",SUMIFS($D:$D,$A:$A,$A1236,$B:$B,"&lt;&gt;Patrícia Karla de Sousa Araújo",$B:$B,"&lt;&gt;Lorena Dias de Araujo",$B:$B,"&lt;&gt;Lucas Luiz Romero")*(23/1083),IF(C1236="JR",SUMIFS($D:$D,$A:$A,$A1236,$B:$B,"&lt;&gt;Patrícia Karla de Sousa Araújo",$B:$B,"&lt;&gt;Lorena Dias de Araujo",$B:$B,"&lt;&gt;Lucas Luiz Romero")*(20/1083),IF(C1236="Estágio",SUMIFS($D:$D,$A:$A,$A1236,$B:$B,"&lt;&gt;Patrícia Karla de Sousa Araújo",$B:$B,"&lt;&gt;Lorena Dias de Araujo",$B:$B,"&lt;&gt;Lucas Luiz Romero")*(10/1083),0)))))),0)</f>
        <v/>
      </c>
      <c r="K1236" s="3">
        <f>I1236-J1236</f>
        <v/>
      </c>
      <c r="L1236" s="3">
        <f>IF(K1236&lt;-5,"CRÍTICO",IF(K1236&lt;0,"ATENÇÃO",IF(K1236&lt;=5,"BOM","EXCELENTE")))</f>
        <v/>
      </c>
      <c r="M1236" s="3" t="n">
        <v>21</v>
      </c>
      <c r="N1236" s="3" t="n">
        <v>97.11</v>
      </c>
      <c r="O1236" s="12" t="n">
        <v>37.40831295843521</v>
      </c>
    </row>
    <row r="1237">
      <c r="A1237" s="10" t="n">
        <v>46038</v>
      </c>
      <c r="B1237" t="inlineStr">
        <is>
          <t>Leandro de Souza Silva</t>
        </is>
      </c>
      <c r="C1237" s="1" t="inlineStr">
        <is>
          <t>JR</t>
        </is>
      </c>
      <c r="D1237" s="3" t="n">
        <v>0</v>
      </c>
      <c r="E1237" s="3" t="n">
        <v>0</v>
      </c>
      <c r="F1237" s="3" t="n">
        <v>0</v>
      </c>
      <c r="G1237" s="3" t="n">
        <v>0</v>
      </c>
      <c r="H1237" s="3" t="n">
        <v>0</v>
      </c>
      <c r="I1237" s="3" t="n">
        <v>0</v>
      </c>
      <c r="J1237" s="3" t="n">
        <v>0</v>
      </c>
      <c r="K1237" s="3" t="n">
        <v>0</v>
      </c>
      <c r="L1237" s="3">
        <f>IF(K1237&lt;-5,"CRÍTICO",IF(K1237&lt;0,"ATENÇÃO",IF(K1237&lt;=5,"BOM","EXCELENTE")))</f>
        <v/>
      </c>
      <c r="M1237" s="3" t="n">
        <v>0</v>
      </c>
      <c r="N1237" s="3" t="n">
        <v>0</v>
      </c>
      <c r="O1237" s="12" t="n">
        <v>0</v>
      </c>
    </row>
    <row r="1238">
      <c r="A1238" s="10" t="n">
        <v>46038</v>
      </c>
      <c r="B1238" t="inlineStr">
        <is>
          <t>Leandro Oliveira de Sousa</t>
        </is>
      </c>
      <c r="C1238" s="1" t="inlineStr">
        <is>
          <t>Técnico III</t>
        </is>
      </c>
      <c r="D1238" s="3" t="n">
        <v>30</v>
      </c>
      <c r="E1238" s="3" t="n">
        <v>27</v>
      </c>
      <c r="F1238" s="3" t="n">
        <v>13.24</v>
      </c>
      <c r="G1238" s="3" t="n">
        <v>0</v>
      </c>
      <c r="H1238" s="3" t="n">
        <v>0</v>
      </c>
      <c r="I1238" s="3">
        <f>E1238+G1238+H1238</f>
        <v/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/>
      </c>
      <c r="K1238" s="3">
        <f>I1238-J1238</f>
        <v/>
      </c>
      <c r="L1238" s="3">
        <f>IF(K1238&lt;-5,"CRÍTICO",IF(K1238&lt;0,"ATENÇÃO",IF(K1238&lt;=5,"BOM","EXCELENTE")))</f>
        <v/>
      </c>
      <c r="M1238" s="3" t="n">
        <v>23</v>
      </c>
      <c r="N1238" s="3" t="n">
        <v>100</v>
      </c>
      <c r="O1238" s="12" t="n">
        <v>30.47034764826176</v>
      </c>
    </row>
    <row r="1239">
      <c r="A1239" s="10" t="n">
        <v>46038</v>
      </c>
      <c r="B1239" t="inlineStr">
        <is>
          <t>Lizandra Gomes Duarte</t>
        </is>
      </c>
      <c r="C1239" s="1" t="inlineStr">
        <is>
          <t>Técnico II</t>
        </is>
      </c>
      <c r="D1239" s="3" t="n">
        <v>30</v>
      </c>
      <c r="E1239" s="3" t="n">
        <v>28</v>
      </c>
      <c r="F1239" s="3" t="n">
        <v>16.51</v>
      </c>
      <c r="G1239" s="3" t="n">
        <v>0</v>
      </c>
      <c r="H1239" s="3" t="n">
        <v>0</v>
      </c>
      <c r="I1239" s="3">
        <f>E1239+G1239+H1239</f>
        <v/>
      </c>
      <c r="J1239" s="3">
        <f>ROUND(MIN(IF(C1239="Técnico III",35,IF(C1239="Técnico II",28,IF(C1239="Técnico I",23,IF(C1239="JR",20,IF(C1239="Estágio",10,0))))),IF(C1239="Técnico III",SUMIFS($D:$D,$A:$A,$A1239,$B:$B,"&lt;&gt;Patrícia Karla de Sousa Araújo",$B:$B,"&lt;&gt;Lorena Dias de Araujo",$B:$B,"&lt;&gt;Lucas Luiz Romero")*(35/1083),IF(C1239="Técnico II",SUMIFS($D:$D,$A:$A,$A1239,$B:$B,"&lt;&gt;Patrícia Karla de Sousa Araújo",$B:$B,"&lt;&gt;Lorena Dias de Araujo",$B:$B,"&lt;&gt;Lucas Luiz Romero")*(28/1083),IF(C1239="Técnico I",SUMIFS($D:$D,$A:$A,$A1239,$B:$B,"&lt;&gt;Patrícia Karla de Sousa Araújo",$B:$B,"&lt;&gt;Lorena Dias de Araujo",$B:$B,"&lt;&gt;Lucas Luiz Romero")*(23/1083),IF(C1239="JR",SUMIFS($D:$D,$A:$A,$A1239,$B:$B,"&lt;&gt;Patrícia Karla de Sousa Araújo",$B:$B,"&lt;&gt;Lorena Dias de Araujo",$B:$B,"&lt;&gt;Lucas Luiz Romero")*(20/1083),IF(C1239="Estágio",SUMIFS($D:$D,$A:$A,$A1239,$B:$B,"&lt;&gt;Patrícia Karla de Sousa Araújo",$B:$B,"&lt;&gt;Lorena Dias de Araujo",$B:$B,"&lt;&gt;Lucas Luiz Romero")*(10/1083),0)))))),0)</f>
        <v/>
      </c>
      <c r="K1239" s="3">
        <f>I1239-J1239</f>
        <v/>
      </c>
      <c r="L1239" s="3">
        <f>IF(K1239&lt;-5,"CRÍTICO",IF(K1239&lt;0,"ATENÇÃO",IF(K1239&lt;=5,"BOM","EXCELENTE")))</f>
        <v/>
      </c>
      <c r="M1239" s="3" t="n">
        <v>23</v>
      </c>
      <c r="N1239" s="3" t="n">
        <v>100</v>
      </c>
      <c r="O1239" s="12" t="n">
        <v>32.37113402061856</v>
      </c>
    </row>
    <row r="1240">
      <c r="A1240" s="10" t="n">
        <v>46038</v>
      </c>
      <c r="B1240" t="inlineStr">
        <is>
          <t>Lorena Dias de Araujo</t>
        </is>
      </c>
      <c r="C1240" s="1" t="inlineStr">
        <is>
          <t>Técnico II</t>
        </is>
      </c>
      <c r="D1240" s="3" t="n">
        <v>22</v>
      </c>
      <c r="E1240" s="3" t="n">
        <v>21</v>
      </c>
      <c r="F1240" s="3" t="n">
        <v>18.58</v>
      </c>
      <c r="G1240" s="3" t="n">
        <v>0</v>
      </c>
      <c r="H1240" s="3" t="n">
        <v>0</v>
      </c>
      <c r="I1240" s="3" t="n">
        <v>0</v>
      </c>
      <c r="J1240" s="3" t="n">
        <v>0</v>
      </c>
      <c r="K1240" s="3" t="n">
        <v>0</v>
      </c>
      <c r="L1240" s="3">
        <f>IF(K1240&lt;-5,"CRÍTICO",IF(K1240&lt;0,"ATENÇÃO",IF(K1240&lt;=5,"BOM","EXCELENTE")))</f>
        <v/>
      </c>
      <c r="M1240" s="3" t="n">
        <v>20</v>
      </c>
      <c r="N1240" s="3" t="n">
        <v>98.31999999999999</v>
      </c>
      <c r="O1240" s="12" t="n">
        <v>32.31850117096019</v>
      </c>
    </row>
    <row r="1241">
      <c r="A1241" s="10" t="n">
        <v>46038</v>
      </c>
      <c r="B1241" t="inlineStr">
        <is>
          <t>Lucas Luiz Romero</t>
        </is>
      </c>
      <c r="C1241" s="1" t="inlineStr">
        <is>
          <t>Técnico III</t>
        </is>
      </c>
      <c r="D1241" s="3" t="n">
        <v>44</v>
      </c>
      <c r="E1241" s="3" t="n">
        <v>29</v>
      </c>
      <c r="F1241" s="3" t="n">
        <v>7.23</v>
      </c>
      <c r="G1241" s="3" t="n">
        <v>0</v>
      </c>
      <c r="H1241" s="3" t="n">
        <v>0</v>
      </c>
      <c r="I1241" s="3">
        <f>E1241+G1241+H1241</f>
        <v/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/>
      </c>
      <c r="K1241" s="3">
        <f>I1241-J1241</f>
        <v/>
      </c>
      <c r="L1241" s="3">
        <f>IF(K1241&lt;-5,"CRÍTICO",IF(K1241&lt;0,"ATENÇÃO",IF(K1241&lt;=5,"BOM","EXCELENTE")))</f>
        <v/>
      </c>
      <c r="M1241" s="3" t="n">
        <v>26</v>
      </c>
      <c r="N1241" s="3" t="n">
        <v>96.43000000000001</v>
      </c>
      <c r="O1241" s="12" t="n">
        <v>27.01525054466231</v>
      </c>
    </row>
    <row r="1242">
      <c r="A1242" s="10" t="n">
        <v>46038</v>
      </c>
      <c r="B1242" t="inlineStr">
        <is>
          <t>Luiz Fernando de Carvalho Junior</t>
        </is>
      </c>
      <c r="C1242" s="1" t="inlineStr">
        <is>
          <t>Técnico I</t>
        </is>
      </c>
      <c r="D1242" s="3" t="n">
        <v>23</v>
      </c>
      <c r="E1242" s="3" t="n">
        <v>19</v>
      </c>
      <c r="F1242" s="3" t="n">
        <v>13.39</v>
      </c>
      <c r="G1242" s="3" t="n">
        <v>0</v>
      </c>
      <c r="H1242" s="3" t="n">
        <v>0</v>
      </c>
      <c r="I1242" s="3">
        <f>E1242+G1242+H1242</f>
        <v/>
      </c>
      <c r="J1242" s="3">
        <f>ROUND(MIN(IF(C1242="Técnico III",35,IF(C1242="Técnico II",28,IF(C1242="Técnico I",23,IF(C1242="JR",20,IF(C1242="Estágio",10,0))))),IF(C1242="Técnico III",SUMIFS($D:$D,$A:$A,$A1242,$B:$B,"&lt;&gt;Patrícia Karla de Sousa Araújo",$B:$B,"&lt;&gt;Lorena Dias de Araujo",$B:$B,"&lt;&gt;Lucas Luiz Romero")*(35/1083),IF(C1242="Técnico II",SUMIFS($D:$D,$A:$A,$A1242,$B:$B,"&lt;&gt;Patrícia Karla de Sousa Araújo",$B:$B,"&lt;&gt;Lorena Dias de Araujo",$B:$B,"&lt;&gt;Lucas Luiz Romero")*(28/1083),IF(C1242="Técnico I",SUMIFS($D:$D,$A:$A,$A1242,$B:$B,"&lt;&gt;Patrícia Karla de Sousa Araújo",$B:$B,"&lt;&gt;Lorena Dias de Araujo",$B:$B,"&lt;&gt;Lucas Luiz Romero")*(23/1083),IF(C1242="JR",SUMIFS($D:$D,$A:$A,$A1242,$B:$B,"&lt;&gt;Patrícia Karla de Sousa Araújo",$B:$B,"&lt;&gt;Lorena Dias de Araujo",$B:$B,"&lt;&gt;Lucas Luiz Romero")*(20/1083),IF(C1242="Estágio",SUMIFS($D:$D,$A:$A,$A1242,$B:$B,"&lt;&gt;Patrícia Karla de Sousa Araújo",$B:$B,"&lt;&gt;Lorena Dias de Araujo",$B:$B,"&lt;&gt;Lucas Luiz Romero")*(10/1083),0)))))),0)</f>
        <v/>
      </c>
      <c r="K1242" s="3">
        <f>I1242-J1242</f>
        <v/>
      </c>
      <c r="L1242" s="3">
        <f>IF(K1242&lt;-5,"CRÍTICO",IF(K1242&lt;0,"ATENÇÃO",IF(K1242&lt;=5,"BOM","EXCELENTE")))</f>
        <v/>
      </c>
      <c r="M1242" s="3" t="n">
        <v>20</v>
      </c>
      <c r="N1242" s="3" t="n">
        <v>98.89</v>
      </c>
      <c r="O1242" s="12" t="n">
        <v>28.02197802197802</v>
      </c>
    </row>
    <row r="1243">
      <c r="A1243" s="10" t="n">
        <v>46038</v>
      </c>
      <c r="B1243" t="inlineStr">
        <is>
          <t>Maria Eduarda Sousa Costa</t>
        </is>
      </c>
      <c r="C1243" s="1" t="inlineStr">
        <is>
          <t>Estágio</t>
        </is>
      </c>
      <c r="D1243" s="3" t="n">
        <v>4</v>
      </c>
      <c r="E1243" s="3" t="n">
        <v>4</v>
      </c>
      <c r="F1243" s="3" t="n">
        <v>52.18</v>
      </c>
      <c r="G1243" s="3" t="n">
        <v>0</v>
      </c>
      <c r="H1243" s="3" t="n">
        <v>0</v>
      </c>
      <c r="I1243" s="3">
        <f>E1243+G1243+H1243</f>
        <v/>
      </c>
      <c r="J1243" s="3">
        <f>ROUND(MIN(IF(C1243="Técnico III",35,IF(C1243="Técnico II",28,IF(C1243="Técnico I",23,IF(C1243="JR",20,IF(C1243="Estágio",10,0))))),IF(C1243="Técnico III",SUMIFS($D:$D,$A:$A,$A1243,$B:$B,"&lt;&gt;Patrícia Karla de Sousa Araújo",$B:$B,"&lt;&gt;Lorena Dias de Araujo",$B:$B,"&lt;&gt;Lucas Luiz Romero")*(35/1083),IF(C1243="Técnico II",SUMIFS($D:$D,$A:$A,$A1243,$B:$B,"&lt;&gt;Patrícia Karla de Sousa Araújo",$B:$B,"&lt;&gt;Lorena Dias de Araujo",$B:$B,"&lt;&gt;Lucas Luiz Romero")*(28/1083),IF(C1243="Técnico I",SUMIFS($D:$D,$A:$A,$A1243,$B:$B,"&lt;&gt;Patrícia Karla de Sousa Araújo",$B:$B,"&lt;&gt;Lorena Dias de Araujo",$B:$B,"&lt;&gt;Lucas Luiz Romero")*(23/1083),IF(C1243="JR",SUMIFS($D:$D,$A:$A,$A1243,$B:$B,"&lt;&gt;Patrícia Karla de Sousa Araújo",$B:$B,"&lt;&gt;Lorena Dias de Araujo",$B:$B,"&lt;&gt;Lucas Luiz Romero")*(20/1083),IF(C1243="Estágio",SUMIFS($D:$D,$A:$A,$A1243,$B:$B,"&lt;&gt;Patrícia Karla de Sousa Araújo",$B:$B,"&lt;&gt;Lorena Dias de Araujo",$B:$B,"&lt;&gt;Lucas Luiz Romero")*(10/1083),0)))))),0)</f>
        <v/>
      </c>
      <c r="K1243" s="3">
        <f>I1243-J1243</f>
        <v/>
      </c>
      <c r="L1243" s="3">
        <f>IF(K1243&lt;-5,"CRÍTICO",IF(K1243&lt;0,"ATENÇÃO",IF(K1243&lt;=5,"BOM","EXCELENTE")))</f>
        <v/>
      </c>
      <c r="M1243" s="3" t="n">
        <v>2</v>
      </c>
      <c r="N1243" s="3" t="n">
        <v>100</v>
      </c>
      <c r="O1243" s="12" t="n">
        <v>33.33333333333333</v>
      </c>
    </row>
    <row r="1244">
      <c r="A1244" s="10" t="n">
        <v>46038</v>
      </c>
      <c r="B1244" t="inlineStr">
        <is>
          <t>Matheus Farias De Souza</t>
        </is>
      </c>
      <c r="C1244" s="1" t="inlineStr">
        <is>
          <t>Técnico III</t>
        </is>
      </c>
      <c r="D1244" s="3" t="n">
        <v>0</v>
      </c>
      <c r="E1244" s="3" t="n">
        <v>0</v>
      </c>
      <c r="F1244" s="3" t="n">
        <v>0</v>
      </c>
      <c r="G1244" s="3" t="n">
        <v>0</v>
      </c>
      <c r="H1244" s="3" t="n">
        <v>0</v>
      </c>
      <c r="I1244" s="3" t="n">
        <v>0</v>
      </c>
      <c r="J1244" s="3" t="n">
        <v>0</v>
      </c>
      <c r="K1244" s="3" t="n">
        <v>0</v>
      </c>
      <c r="L1244" s="3">
        <f>IF(K1244&lt;-5,"CRÍTICO",IF(K1244&lt;0,"ATENÇÃO",IF(K1244&lt;=5,"BOM","EXCELENTE")))</f>
        <v/>
      </c>
      <c r="M1244" s="3" t="n">
        <v>0</v>
      </c>
      <c r="N1244" s="3" t="n">
        <v>100</v>
      </c>
      <c r="O1244" s="12" t="n">
        <v>27.43362831858407</v>
      </c>
    </row>
    <row r="1245">
      <c r="A1245" s="10" t="n">
        <v>46038</v>
      </c>
      <c r="B1245" t="inlineStr">
        <is>
          <t>Maysa Victoria Dias Moura</t>
        </is>
      </c>
      <c r="C1245" s="1" t="inlineStr">
        <is>
          <t>Técnico III</t>
        </is>
      </c>
      <c r="D1245" s="3" t="n">
        <v>33</v>
      </c>
      <c r="E1245" s="3" t="n">
        <v>25</v>
      </c>
      <c r="F1245" s="3" t="n">
        <v>12.14</v>
      </c>
      <c r="G1245" s="3" t="n">
        <v>0</v>
      </c>
      <c r="H1245" s="3" t="n">
        <v>0</v>
      </c>
      <c r="I1245" s="3">
        <f>E1245+G1245+H1245</f>
        <v/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/>
      </c>
      <c r="K1245" s="3">
        <f>I1245-J1245</f>
        <v/>
      </c>
      <c r="L1245" s="3">
        <f>IF(K1245&lt;-5,"CRÍTICO",IF(K1245&lt;0,"ATENÇÃO",IF(K1245&lt;=5,"BOM","EXCELENTE")))</f>
        <v/>
      </c>
      <c r="M1245" s="3" t="n">
        <v>24</v>
      </c>
      <c r="N1245" s="3" t="n">
        <v>98.65000000000001</v>
      </c>
      <c r="O1245" s="12" t="n">
        <v>30.97826086956522</v>
      </c>
    </row>
    <row r="1246">
      <c r="A1246" s="10" t="n">
        <v>46038</v>
      </c>
      <c r="B1246" t="inlineStr">
        <is>
          <t>Michelle G Santos</t>
        </is>
      </c>
      <c r="C1246" s="1" t="inlineStr">
        <is>
          <t>Estágio</t>
        </is>
      </c>
      <c r="D1246" s="3" t="n">
        <v>1</v>
      </c>
      <c r="E1246" s="3" t="n">
        <v>1</v>
      </c>
      <c r="F1246" s="3" t="n">
        <v>28.33</v>
      </c>
      <c r="G1246" s="3" t="n">
        <v>0</v>
      </c>
      <c r="H1246" s="3" t="n">
        <v>0</v>
      </c>
      <c r="I1246" s="3">
        <f>E1246+G1246+H1246</f>
        <v/>
      </c>
      <c r="J1246" s="3">
        <f>ROUND(MIN(IF(C1246="Técnico III",35,IF(C1246="Técnico II",28,IF(C1246="Técnico I",23,IF(C1246="JR",20,IF(C1246="Estágio",10,0))))),IF(C1246="Técnico III",SUMIFS($D:$D,$A:$A,$A1246,$B:$B,"&lt;&gt;Patrícia Karla de Sousa Araújo",$B:$B,"&lt;&gt;Lorena Dias de Araujo",$B:$B,"&lt;&gt;Lucas Luiz Romero")*(35/1083),IF(C1246="Técnico II",SUMIFS($D:$D,$A:$A,$A1246,$B:$B,"&lt;&gt;Patrícia Karla de Sousa Araújo",$B:$B,"&lt;&gt;Lorena Dias de Araujo",$B:$B,"&lt;&gt;Lucas Luiz Romero")*(28/1083),IF(C1246="Técnico I",SUMIFS($D:$D,$A:$A,$A1246,$B:$B,"&lt;&gt;Patrícia Karla de Sousa Araújo",$B:$B,"&lt;&gt;Lorena Dias de Araujo",$B:$B,"&lt;&gt;Lucas Luiz Romero")*(23/1083),IF(C1246="JR",SUMIFS($D:$D,$A:$A,$A1246,$B:$B,"&lt;&gt;Patrícia Karla de Sousa Araújo",$B:$B,"&lt;&gt;Lorena Dias de Araujo",$B:$B,"&lt;&gt;Lucas Luiz Romero")*(20/1083),IF(C1246="Estágio",SUMIFS($D:$D,$A:$A,$A1246,$B:$B,"&lt;&gt;Patrícia Karla de Sousa Araújo",$B:$B,"&lt;&gt;Lorena Dias de Araujo",$B:$B,"&lt;&gt;Lucas Luiz Romero")*(10/1083),0)))))),0)</f>
        <v/>
      </c>
      <c r="K1246" s="3">
        <f>I1246-J1246</f>
        <v/>
      </c>
      <c r="L1246" s="3">
        <f>IF(K1246&lt;-5,"CRÍTICO",IF(K1246&lt;0,"ATENÇÃO",IF(K1246&lt;=5,"BOM","EXCELENTE")))</f>
        <v/>
      </c>
      <c r="M1246" s="3" t="n">
        <v>1</v>
      </c>
      <c r="N1246" s="3" t="n">
        <v>100</v>
      </c>
      <c r="O1246" s="12" t="n">
        <v>12</v>
      </c>
    </row>
    <row r="1247">
      <c r="A1247" s="10" t="n">
        <v>46038</v>
      </c>
      <c r="B1247" t="inlineStr">
        <is>
          <t>Milena Sales</t>
        </is>
      </c>
      <c r="C1247" s="1" t="inlineStr">
        <is>
          <t>JR</t>
        </is>
      </c>
      <c r="D1247" s="3" t="n">
        <v>0</v>
      </c>
      <c r="E1247" s="3" t="n">
        <v>0</v>
      </c>
      <c r="F1247" s="3" t="n">
        <v>0</v>
      </c>
      <c r="G1247" s="3" t="n">
        <v>0</v>
      </c>
      <c r="H1247" s="3" t="n">
        <v>0</v>
      </c>
      <c r="I1247" s="3" t="n">
        <v>0</v>
      </c>
      <c r="J1247" s="3" t="n">
        <v>0</v>
      </c>
      <c r="K1247" s="3" t="n">
        <v>0</v>
      </c>
      <c r="L1247" s="3">
        <f>IF(K1247&lt;-5,"CRÍTICO",IF(K1247&lt;0,"ATENÇÃO",IF(K1247&lt;=5,"BOM","EXCELENTE")))</f>
        <v/>
      </c>
      <c r="M1247" s="3" t="n">
        <v>0</v>
      </c>
      <c r="N1247" s="3" t="n">
        <v>0</v>
      </c>
      <c r="O1247" s="12" t="n">
        <v>0</v>
      </c>
    </row>
    <row r="1248">
      <c r="A1248" s="10" t="n">
        <v>46038</v>
      </c>
      <c r="B1248" t="inlineStr">
        <is>
          <t>Patrícia Karla de Sousa Araújo</t>
        </is>
      </c>
      <c r="C1248" s="1" t="inlineStr">
        <is>
          <t>Técnico II</t>
        </is>
      </c>
      <c r="D1248" s="3" t="n">
        <v>0</v>
      </c>
      <c r="E1248" s="3" t="n">
        <v>0</v>
      </c>
      <c r="F1248" s="3" t="n">
        <v>0</v>
      </c>
      <c r="G1248" s="3" t="n">
        <v>0</v>
      </c>
      <c r="H1248" s="3" t="n">
        <v>0</v>
      </c>
      <c r="I1248" s="3" t="n">
        <v>0</v>
      </c>
      <c r="J1248" s="3" t="n">
        <v>0</v>
      </c>
      <c r="K1248" s="3" t="n">
        <v>0</v>
      </c>
      <c r="L1248" s="3">
        <f>IF(K1248&lt;-5,"CRÍTICO",IF(K1248&lt;0,"ATENÇÃO",IF(K1248&lt;=5,"BOM","EXCELENTE")))</f>
        <v/>
      </c>
      <c r="M1248" s="3" t="n">
        <v>0</v>
      </c>
      <c r="N1248" s="3" t="n">
        <v>97.56</v>
      </c>
      <c r="O1248" s="12" t="n">
        <v>31.06796116504854</v>
      </c>
    </row>
    <row r="1249">
      <c r="A1249" s="10" t="n">
        <v>46038</v>
      </c>
      <c r="B1249" t="inlineStr">
        <is>
          <t>Paulo Ricardo Santos</t>
        </is>
      </c>
      <c r="C1249" s="1" t="inlineStr">
        <is>
          <t>JR</t>
        </is>
      </c>
      <c r="D1249" s="3" t="n">
        <v>0</v>
      </c>
      <c r="E1249" s="3" t="n">
        <v>0</v>
      </c>
      <c r="F1249" s="3" t="n">
        <v>0</v>
      </c>
      <c r="G1249" s="3" t="n">
        <v>0</v>
      </c>
      <c r="H1249" s="3" t="n">
        <v>0</v>
      </c>
      <c r="I1249" s="3" t="n">
        <v>0</v>
      </c>
      <c r="J1249" s="3" t="n">
        <v>0</v>
      </c>
      <c r="K1249" s="3" t="n">
        <v>0</v>
      </c>
      <c r="L1249" s="3">
        <f>IF(K1249&lt;-5,"CRÍTICO",IF(K1249&lt;0,"ATENÇÃO",IF(K1249&lt;=5,"BOM","EXCELENTE")))</f>
        <v/>
      </c>
      <c r="M1249" s="3" t="n">
        <v>0</v>
      </c>
      <c r="N1249" s="3" t="n">
        <v>0</v>
      </c>
      <c r="O1249" s="12" t="n">
        <v>0</v>
      </c>
    </row>
    <row r="1250">
      <c r="A1250" s="10" t="n">
        <v>46038</v>
      </c>
      <c r="B1250" t="inlineStr">
        <is>
          <t>Pedro Luiz Mota Sousa</t>
        </is>
      </c>
      <c r="C1250" s="1" t="inlineStr">
        <is>
          <t>JR</t>
        </is>
      </c>
      <c r="D1250" s="3" t="n">
        <v>0</v>
      </c>
      <c r="E1250" s="3" t="n">
        <v>0</v>
      </c>
      <c r="F1250" s="3" t="n">
        <v>0</v>
      </c>
      <c r="G1250" s="3" t="n">
        <v>0</v>
      </c>
      <c r="H1250" s="3" t="n">
        <v>0</v>
      </c>
      <c r="I1250" s="3" t="n">
        <v>0</v>
      </c>
      <c r="J1250" s="3" t="n">
        <v>0</v>
      </c>
      <c r="K1250" s="3" t="n">
        <v>0</v>
      </c>
      <c r="L1250" s="3">
        <f>IF(K1250&lt;-5,"CRÍTICO",IF(K1250&lt;0,"ATENÇÃO",IF(K1250&lt;=5,"BOM","EXCELENTE")))</f>
        <v/>
      </c>
      <c r="M1250" s="3" t="n">
        <v>0</v>
      </c>
      <c r="N1250" s="3" t="n">
        <v>0</v>
      </c>
      <c r="O1250" s="12" t="n">
        <v>0</v>
      </c>
    </row>
    <row r="1251">
      <c r="A1251" s="10" t="n">
        <v>46038</v>
      </c>
      <c r="B1251" t="inlineStr">
        <is>
          <t>Quirino Diogo Leite Torres</t>
        </is>
      </c>
      <c r="C1251" s="1" t="inlineStr">
        <is>
          <t>Estágio</t>
        </is>
      </c>
      <c r="D1251" s="3" t="n">
        <v>0</v>
      </c>
      <c r="E1251" s="3" t="n">
        <v>0</v>
      </c>
      <c r="F1251" s="3" t="n">
        <v>0</v>
      </c>
      <c r="G1251" s="3" t="n">
        <v>0</v>
      </c>
      <c r="H1251" s="3" t="n">
        <v>0</v>
      </c>
      <c r="I1251" s="3" t="n">
        <v>0</v>
      </c>
      <c r="J1251" s="3" t="n">
        <v>0</v>
      </c>
      <c r="K1251" s="3" t="n">
        <v>0</v>
      </c>
      <c r="L1251" s="3">
        <f>IF(K1251&lt;-5,"CRÍTICO",IF(K1251&lt;0,"ATENÇÃO",IF(K1251&lt;=5,"BOM","EXCELENTE")))</f>
        <v/>
      </c>
      <c r="M1251" s="3" t="n">
        <v>0</v>
      </c>
      <c r="N1251" s="3" t="n">
        <v>0</v>
      </c>
      <c r="O1251" s="12" t="n">
        <v>0</v>
      </c>
    </row>
    <row r="1252">
      <c r="A1252" s="10" t="n">
        <v>46038</v>
      </c>
      <c r="B1252" t="inlineStr">
        <is>
          <t>Raane Batista Matos</t>
        </is>
      </c>
      <c r="C1252" s="1" t="inlineStr">
        <is>
          <t>Técnico I</t>
        </is>
      </c>
      <c r="D1252" s="3" t="n">
        <v>0</v>
      </c>
      <c r="E1252" s="3" t="n">
        <v>0</v>
      </c>
      <c r="F1252" s="3" t="n">
        <v>0</v>
      </c>
      <c r="G1252" s="3" t="n">
        <v>0</v>
      </c>
      <c r="H1252" s="3" t="n">
        <v>0</v>
      </c>
      <c r="I1252" s="3" t="n">
        <v>0</v>
      </c>
      <c r="J1252" s="3" t="n">
        <v>0</v>
      </c>
      <c r="K1252" s="3" t="n">
        <v>0</v>
      </c>
      <c r="L1252" s="3">
        <f>IF(K1252&lt;-5,"CRÍTICO",IF(K1252&lt;0,"ATENÇÃO",IF(K1252&lt;=5,"BOM","EXCELENTE")))</f>
        <v/>
      </c>
      <c r="M1252" s="3" t="n">
        <v>0</v>
      </c>
      <c r="N1252" s="3" t="n">
        <v>100</v>
      </c>
      <c r="O1252" s="12" t="n">
        <v>53.84615384615385</v>
      </c>
    </row>
    <row r="1253">
      <c r="A1253" s="10" t="n">
        <v>46038</v>
      </c>
      <c r="B1253" t="inlineStr">
        <is>
          <t>Rafael Gomes de Morais</t>
        </is>
      </c>
      <c r="C1253" s="1" t="inlineStr">
        <is>
          <t>Técnico III</t>
        </is>
      </c>
      <c r="D1253" s="3" t="n">
        <v>31</v>
      </c>
      <c r="E1253" s="3" t="n">
        <v>27</v>
      </c>
      <c r="F1253" s="3" t="n">
        <v>17.2</v>
      </c>
      <c r="G1253" s="3" t="n">
        <v>0</v>
      </c>
      <c r="H1253" s="3" t="n">
        <v>0</v>
      </c>
      <c r="I1253" s="3">
        <f>E1253+G1253+H1253</f>
        <v/>
      </c>
      <c r="J1253" s="3">
        <f>ROUND(MIN(IF(C1253="Técnico III",35,IF(C1253="Técnico II",28,IF(C1253="Técnico I",23,IF(C1253="JR",20,IF(C1253="Estágio",10,0))))),IF(C1253="Técnico III",SUMIFS($D:$D,$A:$A,$A1253,$B:$B,"&lt;&gt;Patrícia Karla de Sousa Araújo",$B:$B,"&lt;&gt;Lorena Dias de Araujo",$B:$B,"&lt;&gt;Lucas Luiz Romero")*(35/1083),IF(C1253="Técnico II",SUMIFS($D:$D,$A:$A,$A1253,$B:$B,"&lt;&gt;Patrícia Karla de Sousa Araújo",$B:$B,"&lt;&gt;Lorena Dias de Araujo",$B:$B,"&lt;&gt;Lucas Luiz Romero")*(28/1083),IF(C1253="Técnico I",SUMIFS($D:$D,$A:$A,$A1253,$B:$B,"&lt;&gt;Patrícia Karla de Sousa Araújo",$B:$B,"&lt;&gt;Lorena Dias de Araujo",$B:$B,"&lt;&gt;Lucas Luiz Romero")*(23/1083),IF(C1253="JR",SUMIFS($D:$D,$A:$A,$A1253,$B:$B,"&lt;&gt;Patrícia Karla de Sousa Araújo",$B:$B,"&lt;&gt;Lorena Dias de Araujo",$B:$B,"&lt;&gt;Lucas Luiz Romero")*(20/1083),IF(C1253="Estágio",SUMIFS($D:$D,$A:$A,$A1253,$B:$B,"&lt;&gt;Patrícia Karla de Sousa Araújo",$B:$B,"&lt;&gt;Lorena Dias de Araujo",$B:$B,"&lt;&gt;Lucas Luiz Romero")*(10/1083),0)))))),0)</f>
        <v/>
      </c>
      <c r="K1253" s="3">
        <f>I1253-J1253</f>
        <v/>
      </c>
      <c r="L1253" s="3">
        <f>IF(K1253&lt;-5,"CRÍTICO",IF(K1253&lt;0,"ATENÇÃO",IF(K1253&lt;=5,"BOM","EXCELENTE")))</f>
        <v/>
      </c>
      <c r="M1253" s="3" t="n">
        <v>27</v>
      </c>
      <c r="N1253" s="3" t="n">
        <v>100</v>
      </c>
      <c r="O1253" s="12" t="n">
        <v>44.05594405594406</v>
      </c>
    </row>
    <row r="1254">
      <c r="A1254" s="10" t="n">
        <v>46038</v>
      </c>
      <c r="B1254" t="inlineStr">
        <is>
          <t>Sara Maria Monteiro Lopes</t>
        </is>
      </c>
      <c r="C1254" s="1" t="inlineStr">
        <is>
          <t>Técnico I</t>
        </is>
      </c>
      <c r="D1254" s="3" t="n">
        <v>17</v>
      </c>
      <c r="E1254" s="3" t="n">
        <v>15</v>
      </c>
      <c r="F1254" s="3" t="n">
        <v>27.12</v>
      </c>
      <c r="G1254" s="3" t="n">
        <v>0</v>
      </c>
      <c r="H1254" s="3" t="n">
        <v>0</v>
      </c>
      <c r="I1254" s="3">
        <f>E1254+G1254+H1254</f>
        <v/>
      </c>
      <c r="J1254" s="3">
        <f>ROUND(MIN(IF(C1254="Técnico III",35,IF(C1254="Técnico II",28,IF(C1254="Técnico I",23,IF(C1254="JR",20,IF(C1254="Estágio",10,0))))),IF(C1254="Técnico III",SUMIFS($D:$D,$A:$A,$A1254,$B:$B,"&lt;&gt;Patrícia Karla de Sousa Araújo",$B:$B,"&lt;&gt;Lorena Dias de Araujo",$B:$B,"&lt;&gt;Lucas Luiz Romero")*(35/1083),IF(C1254="Técnico II",SUMIFS($D:$D,$A:$A,$A1254,$B:$B,"&lt;&gt;Patrícia Karla de Sousa Araújo",$B:$B,"&lt;&gt;Lorena Dias de Araujo",$B:$B,"&lt;&gt;Lucas Luiz Romero")*(28/1083),IF(C1254="Técnico I",SUMIFS($D:$D,$A:$A,$A1254,$B:$B,"&lt;&gt;Patrícia Karla de Sousa Araújo",$B:$B,"&lt;&gt;Lorena Dias de Araujo",$B:$B,"&lt;&gt;Lucas Luiz Romero")*(23/1083),IF(C1254="JR",SUMIFS($D:$D,$A:$A,$A1254,$B:$B,"&lt;&gt;Patrícia Karla de Sousa Araújo",$B:$B,"&lt;&gt;Lorena Dias de Araujo",$B:$B,"&lt;&gt;Lucas Luiz Romero")*(20/1083),IF(C1254="Estágio",SUMIFS($D:$D,$A:$A,$A1254,$B:$B,"&lt;&gt;Patrícia Karla de Sousa Araújo",$B:$B,"&lt;&gt;Lorena Dias de Araujo",$B:$B,"&lt;&gt;Lucas Luiz Romero")*(10/1083),0)))))),0)</f>
        <v/>
      </c>
      <c r="K1254" s="3">
        <f>I1254-J1254</f>
        <v/>
      </c>
      <c r="L1254" s="3">
        <f>IF(K1254&lt;-5,"CRÍTICO",IF(K1254&lt;0,"ATENÇÃO",IF(K1254&lt;=5,"BOM","EXCELENTE")))</f>
        <v/>
      </c>
      <c r="M1254" s="3" t="n">
        <v>11</v>
      </c>
      <c r="N1254" s="3" t="n">
        <v>100</v>
      </c>
      <c r="O1254" s="12" t="n">
        <v>31.87250996015936</v>
      </c>
    </row>
    <row r="1255">
      <c r="A1255" s="10" t="n">
        <v>46038</v>
      </c>
      <c r="B1255" t="inlineStr">
        <is>
          <t>Sarah Steffanie de Lima Borges</t>
        </is>
      </c>
      <c r="C1255" s="1" t="inlineStr">
        <is>
          <t>Técnico III</t>
        </is>
      </c>
      <c r="D1255" s="3" t="n">
        <v>23</v>
      </c>
      <c r="E1255" s="3" t="n">
        <v>22</v>
      </c>
      <c r="F1255" s="3" t="n">
        <v>17.33</v>
      </c>
      <c r="G1255" s="3" t="n">
        <v>0</v>
      </c>
      <c r="H1255" s="3" t="n">
        <v>0</v>
      </c>
      <c r="I1255" s="3">
        <f>E1255+G1255+H1255</f>
        <v/>
      </c>
      <c r="J1255" s="3">
        <f>ROUND(MIN(IF(C1255="Técnico III",35,IF(C1255="Técnico II",28,IF(C1255="Técnico I",23,IF(C1255="JR",20,IF(C1255="Estágio",10,0))))),IF(C1255="Técnico III",SUMIFS($D:$D,$A:$A,$A1255,$B:$B,"&lt;&gt;Patrícia Karla de Sousa Araújo",$B:$B,"&lt;&gt;Lorena Dias de Araujo",$B:$B,"&lt;&gt;Lucas Luiz Romero")*(35/1083),IF(C1255="Técnico II",SUMIFS($D:$D,$A:$A,$A1255,$B:$B,"&lt;&gt;Patrícia Karla de Sousa Araújo",$B:$B,"&lt;&gt;Lorena Dias de Araujo",$B:$B,"&lt;&gt;Lucas Luiz Romero")*(28/1083),IF(C1255="Técnico I",SUMIFS($D:$D,$A:$A,$A1255,$B:$B,"&lt;&gt;Patrícia Karla de Sousa Araújo",$B:$B,"&lt;&gt;Lorena Dias de Araujo",$B:$B,"&lt;&gt;Lucas Luiz Romero")*(23/1083),IF(C1255="JR",SUMIFS($D:$D,$A:$A,$A1255,$B:$B,"&lt;&gt;Patrícia Karla de Sousa Araújo",$B:$B,"&lt;&gt;Lorena Dias de Araujo",$B:$B,"&lt;&gt;Lucas Luiz Romero")*(20/1083),IF(C1255="Estágio",SUMIFS($D:$D,$A:$A,$A1255,$B:$B,"&lt;&gt;Patrícia Karla de Sousa Araújo",$B:$B,"&lt;&gt;Lorena Dias de Araujo",$B:$B,"&lt;&gt;Lucas Luiz Romero")*(10/1083),0)))))),0)</f>
        <v/>
      </c>
      <c r="K1255" s="3">
        <f>I1255-J1255</f>
        <v/>
      </c>
      <c r="L1255" s="3">
        <f>IF(K1255&lt;-5,"CRÍTICO",IF(K1255&lt;0,"ATENÇÃO",IF(K1255&lt;=5,"BOM","EXCELENTE")))</f>
        <v/>
      </c>
      <c r="M1255" s="3" t="n">
        <v>21</v>
      </c>
      <c r="N1255" s="3" t="n">
        <v>98.41</v>
      </c>
      <c r="O1255" s="12" t="n">
        <v>29.22465208747515</v>
      </c>
    </row>
    <row r="1256">
      <c r="A1256" s="10" t="n">
        <v>46041</v>
      </c>
      <c r="B1256" t="inlineStr">
        <is>
          <t>Alisson de Freitas Silva</t>
        </is>
      </c>
      <c r="C1256" s="1" t="inlineStr">
        <is>
          <t>Técnico II</t>
        </is>
      </c>
      <c r="D1256" s="3" t="n">
        <v>30</v>
      </c>
      <c r="E1256" s="3" t="n">
        <v>23</v>
      </c>
      <c r="F1256" s="3" t="n">
        <v>12.16</v>
      </c>
      <c r="G1256" s="3" t="n">
        <v>0</v>
      </c>
      <c r="H1256" s="3" t="n">
        <v>0</v>
      </c>
      <c r="I1256" s="3">
        <f>E1256+G1256+H1256</f>
        <v/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/>
      </c>
      <c r="K1256" s="3">
        <f>I1256-J1256</f>
        <v/>
      </c>
      <c r="L1256" s="3">
        <f>IF(K1256&lt;-5,"CRÍTICO",IF(K1256&lt;0,"ATENÇÃO",IF(K1256&lt;=5,"BOM","EXCELENTE")))</f>
        <v/>
      </c>
      <c r="M1256" s="3" t="n">
        <v>17</v>
      </c>
      <c r="N1256" s="3" t="n">
        <v>96.81</v>
      </c>
      <c r="O1256" s="12" t="n">
        <v>27.98053527980535</v>
      </c>
    </row>
    <row r="1257">
      <c r="A1257" s="10" t="n">
        <v>46041</v>
      </c>
      <c r="B1257" t="inlineStr">
        <is>
          <t>Amanda Moura Ferreira</t>
        </is>
      </c>
      <c r="C1257" s="1" t="inlineStr">
        <is>
          <t>Técnico III</t>
        </is>
      </c>
      <c r="D1257" s="3" t="n">
        <v>0</v>
      </c>
      <c r="E1257" s="3" t="n">
        <v>0</v>
      </c>
      <c r="F1257" s="3" t="n">
        <v>0</v>
      </c>
      <c r="G1257" s="3" t="n">
        <v>0</v>
      </c>
      <c r="H1257" s="3" t="n">
        <v>0</v>
      </c>
      <c r="I1257" s="3" t="n">
        <v>0</v>
      </c>
      <c r="J1257" s="3" t="n">
        <v>0</v>
      </c>
      <c r="K1257" s="3" t="n">
        <v>0</v>
      </c>
      <c r="L1257" s="3">
        <f>IF(K1257&lt;-5,"CRÍTICO",IF(K1257&lt;0,"ATENÇÃO",IF(K1257&lt;=5,"BOM","EXCELENTE")))</f>
        <v/>
      </c>
      <c r="M1257" s="3" t="n">
        <v>22</v>
      </c>
      <c r="N1257" s="3" t="n">
        <v>98.73</v>
      </c>
      <c r="O1257" s="12" t="n">
        <v>35.75638506876228</v>
      </c>
    </row>
    <row r="1258">
      <c r="A1258" s="10" t="n">
        <v>46041</v>
      </c>
      <c r="B1258" t="inlineStr">
        <is>
          <t>Ana Karollyne Souza Faria</t>
        </is>
      </c>
      <c r="C1258" s="1" t="inlineStr">
        <is>
          <t>Técnico I</t>
        </is>
      </c>
      <c r="D1258" s="3" t="n">
        <v>17</v>
      </c>
      <c r="E1258" s="3" t="n">
        <v>15</v>
      </c>
      <c r="F1258" s="3" t="n">
        <v>27.27</v>
      </c>
      <c r="G1258" s="3" t="n">
        <v>0</v>
      </c>
      <c r="H1258" s="3" t="n">
        <v>0</v>
      </c>
      <c r="I1258" s="3">
        <f>E1258+G1258+H1258</f>
        <v/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/>
      </c>
      <c r="K1258" s="3">
        <f>I1258-J1258</f>
        <v/>
      </c>
      <c r="L1258" s="3">
        <f>IF(K1258&lt;-5,"CRÍTICO",IF(K1258&lt;0,"ATENÇÃO",IF(K1258&lt;=5,"BOM","EXCELENTE")))</f>
        <v/>
      </c>
      <c r="M1258" s="3" t="n">
        <v>15</v>
      </c>
      <c r="N1258" s="3" t="n">
        <v>98.31999999999999</v>
      </c>
      <c r="O1258" s="12" t="n">
        <v>26.76348547717842</v>
      </c>
    </row>
    <row r="1259">
      <c r="A1259" s="10" t="n">
        <v>46041</v>
      </c>
      <c r="B1259" t="inlineStr">
        <is>
          <t>Ana Paula Da Luz Silva Aleixo</t>
        </is>
      </c>
      <c r="C1259" s="1" t="inlineStr">
        <is>
          <t>Técnico III</t>
        </is>
      </c>
      <c r="D1259" s="3" t="n">
        <v>36</v>
      </c>
      <c r="E1259" s="3" t="n">
        <v>31</v>
      </c>
      <c r="F1259" s="3" t="n">
        <v>11.43</v>
      </c>
      <c r="G1259" s="3" t="n">
        <v>0</v>
      </c>
      <c r="H1259" s="3" t="n">
        <v>0</v>
      </c>
      <c r="I1259" s="3">
        <f>E1259+G1259+H1259</f>
        <v/>
      </c>
      <c r="J1259" s="3">
        <f>ROUND(MIN(IF(C1259="Técnico III",35,IF(C1259="Técnico II",28,IF(C1259="Técnico I",23,IF(C1259="JR",20,IF(C1259="Estágio",10,0))))),IF(C1259="Técnico III",SUMIFS($D:$D,$A:$A,$A1259,$B:$B,"&lt;&gt;Patrícia Karla de Sousa Araújo",$B:$B,"&lt;&gt;Lorena Dias de Araujo",$B:$B,"&lt;&gt;Lucas Luiz Romero")*(35/1083),IF(C1259="Técnico II",SUMIFS($D:$D,$A:$A,$A1259,$B:$B,"&lt;&gt;Patrícia Karla de Sousa Araújo",$B:$B,"&lt;&gt;Lorena Dias de Araujo",$B:$B,"&lt;&gt;Lucas Luiz Romero")*(28/1083),IF(C1259="Técnico I",SUMIFS($D:$D,$A:$A,$A1259,$B:$B,"&lt;&gt;Patrícia Karla de Sousa Araújo",$B:$B,"&lt;&gt;Lorena Dias de Araujo",$B:$B,"&lt;&gt;Lucas Luiz Romero")*(23/1083),IF(C1259="JR",SUMIFS($D:$D,$A:$A,$A1259,$B:$B,"&lt;&gt;Patrícia Karla de Sousa Araújo",$B:$B,"&lt;&gt;Lorena Dias de Araujo",$B:$B,"&lt;&gt;Lucas Luiz Romero")*(20/1083),IF(C1259="Estágio",SUMIFS($D:$D,$A:$A,$A1259,$B:$B,"&lt;&gt;Patrícia Karla de Sousa Araújo",$B:$B,"&lt;&gt;Lorena Dias de Araujo",$B:$B,"&lt;&gt;Lucas Luiz Romero")*(10/1083),0)))))),0)</f>
        <v/>
      </c>
      <c r="K1259" s="3">
        <f>I1259-J1259</f>
        <v/>
      </c>
      <c r="L1259" s="3">
        <f>IF(K1259&lt;-5,"CRÍTICO",IF(K1259&lt;0,"ATENÇÃO",IF(K1259&lt;=5,"BOM","EXCELENTE")))</f>
        <v/>
      </c>
      <c r="M1259" s="3" t="n">
        <v>29</v>
      </c>
      <c r="N1259" s="3" t="n">
        <v>99.19</v>
      </c>
      <c r="O1259" s="12" t="n">
        <v>27.63713080168776</v>
      </c>
    </row>
    <row r="1260">
      <c r="A1260" s="10" t="n">
        <v>46041</v>
      </c>
      <c r="B1260" t="inlineStr">
        <is>
          <t>Anna Luiza Rezende Tavares</t>
        </is>
      </c>
      <c r="C1260" s="1" t="inlineStr">
        <is>
          <t>Estágio</t>
        </is>
      </c>
      <c r="D1260" s="3" t="n">
        <v>7</v>
      </c>
      <c r="E1260" s="3" t="n">
        <v>7</v>
      </c>
      <c r="F1260" s="3" t="n">
        <v>46.46</v>
      </c>
      <c r="G1260" s="3" t="n">
        <v>0</v>
      </c>
      <c r="H1260" s="3" t="n">
        <v>0</v>
      </c>
      <c r="I1260" s="3">
        <f>E1260+G1260+H1260</f>
        <v/>
      </c>
      <c r="J1260" s="3">
        <f>ROUND(MIN(IF(C1260="Técnico III",35,IF(C1260="Técnico II",28,IF(C1260="Técnico I",23,IF(C1260="JR",20,IF(C1260="Estágio",10,0))))),IF(C1260="Técnico III",SUMIFS($D:$D,$A:$A,$A1260,$B:$B,"&lt;&gt;Patrícia Karla de Sousa Araújo",$B:$B,"&lt;&gt;Lorena Dias de Araujo",$B:$B,"&lt;&gt;Lucas Luiz Romero")*(35/1083),IF(C1260="Técnico II",SUMIFS($D:$D,$A:$A,$A1260,$B:$B,"&lt;&gt;Patrícia Karla de Sousa Araújo",$B:$B,"&lt;&gt;Lorena Dias de Araujo",$B:$B,"&lt;&gt;Lucas Luiz Romero")*(28/1083),IF(C1260="Técnico I",SUMIFS($D:$D,$A:$A,$A1260,$B:$B,"&lt;&gt;Patrícia Karla de Sousa Araújo",$B:$B,"&lt;&gt;Lorena Dias de Araujo",$B:$B,"&lt;&gt;Lucas Luiz Romero")*(23/1083),IF(C1260="JR",SUMIFS($D:$D,$A:$A,$A1260,$B:$B,"&lt;&gt;Patrícia Karla de Sousa Araújo",$B:$B,"&lt;&gt;Lorena Dias de Araujo",$B:$B,"&lt;&gt;Lucas Luiz Romero")*(20/1083),IF(C1260="Estágio",SUMIFS($D:$D,$A:$A,$A1260,$B:$B,"&lt;&gt;Patrícia Karla de Sousa Araújo",$B:$B,"&lt;&gt;Lorena Dias de Araujo",$B:$B,"&lt;&gt;Lucas Luiz Romero")*(10/1083),0)))))),0)</f>
        <v/>
      </c>
      <c r="K1260" s="3">
        <f>I1260-J1260</f>
        <v/>
      </c>
      <c r="L1260" s="3">
        <f>IF(K1260&lt;-5,"CRÍTICO",IF(K1260&lt;0,"ATENÇÃO",IF(K1260&lt;=5,"BOM","EXCELENTE")))</f>
        <v/>
      </c>
      <c r="M1260" s="3" t="n">
        <v>5</v>
      </c>
      <c r="N1260" s="3" t="n">
        <v>100</v>
      </c>
      <c r="O1260" s="12" t="n">
        <v>39.56834532374101</v>
      </c>
    </row>
    <row r="1261">
      <c r="A1261" s="10" t="n">
        <v>46041</v>
      </c>
      <c r="B1261" t="inlineStr">
        <is>
          <t>Brenda de Menezes Silva</t>
        </is>
      </c>
      <c r="C1261" s="1" t="inlineStr">
        <is>
          <t>Técnico II</t>
        </is>
      </c>
      <c r="D1261" s="3" t="n">
        <v>25</v>
      </c>
      <c r="E1261" s="3" t="n">
        <v>24</v>
      </c>
      <c r="F1261" s="3" t="n">
        <v>18.24</v>
      </c>
      <c r="G1261" s="3" t="n">
        <v>0</v>
      </c>
      <c r="H1261" s="3" t="n">
        <v>0</v>
      </c>
      <c r="I1261" s="3">
        <f>E1261+G1261+H1261</f>
        <v/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/>
      </c>
      <c r="K1261" s="3">
        <f>I1261-J1261</f>
        <v/>
      </c>
      <c r="L1261" s="3">
        <f>IF(K1261&lt;-5,"CRÍTICO",IF(K1261&lt;0,"ATENÇÃO",IF(K1261&lt;=5,"BOM","EXCELENTE")))</f>
        <v/>
      </c>
      <c r="M1261" s="3" t="n">
        <v>22</v>
      </c>
      <c r="N1261" s="3" t="n">
        <v>98.54000000000001</v>
      </c>
      <c r="O1261" s="12" t="n">
        <v>28.54477611940299</v>
      </c>
    </row>
    <row r="1262">
      <c r="A1262" s="10" t="n">
        <v>46041</v>
      </c>
      <c r="B1262" t="inlineStr">
        <is>
          <t>Carlos Mateus Cassimiro Nunes</t>
        </is>
      </c>
      <c r="C1262" s="1" t="inlineStr">
        <is>
          <t>Técnico II</t>
        </is>
      </c>
      <c r="D1262" s="3" t="n">
        <v>21</v>
      </c>
      <c r="E1262" s="3" t="n">
        <v>19</v>
      </c>
      <c r="F1262" s="3" t="n">
        <v>27.19</v>
      </c>
      <c r="G1262" s="3" t="n">
        <v>0</v>
      </c>
      <c r="H1262" s="3" t="n">
        <v>0</v>
      </c>
      <c r="I1262" s="3">
        <f>E1262+G1262+H1262</f>
        <v/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/>
      </c>
      <c r="K1262" s="3">
        <f>I1262-J1262</f>
        <v/>
      </c>
      <c r="L1262" s="3">
        <f>IF(K1262&lt;-5,"CRÍTICO",IF(K1262&lt;0,"ATENÇÃO",IF(K1262&lt;=5,"BOM","EXCELENTE")))</f>
        <v/>
      </c>
      <c r="M1262" s="3" t="n">
        <v>19</v>
      </c>
      <c r="N1262" s="3" t="n">
        <v>100</v>
      </c>
      <c r="O1262" s="12" t="n">
        <v>34.36692506459949</v>
      </c>
    </row>
    <row r="1263">
      <c r="A1263" s="10" t="n">
        <v>46041</v>
      </c>
      <c r="B1263" t="inlineStr">
        <is>
          <t>Claudio de Sousa Velasco Filho</t>
        </is>
      </c>
      <c r="C1263" s="1" t="inlineStr">
        <is>
          <t>Estágio</t>
        </is>
      </c>
      <c r="D1263" s="3" t="n">
        <v>0</v>
      </c>
      <c r="E1263" s="3" t="n">
        <v>0</v>
      </c>
      <c r="F1263" s="3" t="n">
        <v>0</v>
      </c>
      <c r="G1263" s="3" t="n">
        <v>0</v>
      </c>
      <c r="H1263" s="3" t="n">
        <v>0</v>
      </c>
      <c r="I1263" s="3" t="n">
        <v>0</v>
      </c>
      <c r="J1263" s="3" t="n">
        <v>0</v>
      </c>
      <c r="K1263" s="3" t="n">
        <v>0</v>
      </c>
      <c r="L1263" s="3">
        <f>IF(K1263&lt;-5,"CRÍTICO",IF(K1263&lt;0,"ATENÇÃO",IF(K1263&lt;=5,"BOM","EXCELENTE")))</f>
        <v/>
      </c>
      <c r="M1263" s="3" t="n">
        <v>0</v>
      </c>
      <c r="N1263" s="3" t="n">
        <v>0</v>
      </c>
      <c r="O1263" s="12" t="n">
        <v>0</v>
      </c>
    </row>
    <row r="1264">
      <c r="A1264" s="10" t="n">
        <v>46041</v>
      </c>
      <c r="B1264" t="inlineStr">
        <is>
          <t>Clessiane Pereira dos Santos</t>
        </is>
      </c>
      <c r="C1264" s="1" t="inlineStr">
        <is>
          <t>Técnico I</t>
        </is>
      </c>
      <c r="D1264" s="3" t="n">
        <v>13</v>
      </c>
      <c r="E1264" s="3" t="n">
        <v>12</v>
      </c>
      <c r="F1264" s="3" t="n">
        <v>25.23</v>
      </c>
      <c r="G1264" s="3" t="n">
        <v>0</v>
      </c>
      <c r="H1264" s="3" t="n">
        <v>0</v>
      </c>
      <c r="I1264" s="3">
        <f>E1264+G1264+H1264</f>
        <v/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/>
      </c>
      <c r="K1264" s="3">
        <f>I1264-J1264</f>
        <v/>
      </c>
      <c r="L1264" s="3">
        <f>IF(K1264&lt;-5,"CRÍTICO",IF(K1264&lt;0,"ATENÇÃO",IF(K1264&lt;=5,"BOM","EXCELENTE")))</f>
        <v/>
      </c>
      <c r="M1264" s="3" t="n">
        <v>12</v>
      </c>
      <c r="N1264" s="3" t="n">
        <v>100</v>
      </c>
      <c r="O1264" s="12" t="n">
        <v>29.51807228915663</v>
      </c>
    </row>
    <row r="1265">
      <c r="A1265" s="10" t="n">
        <v>46041</v>
      </c>
      <c r="B1265" t="inlineStr">
        <is>
          <t>Cristiane Ramos da Silva Rocha</t>
        </is>
      </c>
      <c r="C1265" s="1" t="inlineStr">
        <is>
          <t>Técnico III</t>
        </is>
      </c>
      <c r="D1265" s="3" t="n">
        <v>14</v>
      </c>
      <c r="E1265" s="3" t="n">
        <v>11</v>
      </c>
      <c r="F1265" s="3" t="n">
        <v>12.37</v>
      </c>
      <c r="G1265" s="3" t="n">
        <v>0</v>
      </c>
      <c r="H1265" s="3" t="n">
        <v>0</v>
      </c>
      <c r="I1265" s="3">
        <f>E1265+G1265+H1265</f>
        <v/>
      </c>
      <c r="J1265" s="3">
        <f>ROUND(MIN(IF(C1265="Técnico III",35,IF(C1265="Técnico II",28,IF(C1265="Técnico I",23,IF(C1265="JR",20,IF(C1265="Estágio",10,0))))),IF(C1265="Técnico III",SUMIFS($D:$D,$A:$A,$A1265,$B:$B,"&lt;&gt;Patrícia Karla de Sousa Araújo",$B:$B,"&lt;&gt;Lorena Dias de Araujo",$B:$B,"&lt;&gt;Lucas Luiz Romero")*(35/1083),IF(C1265="Técnico II",SUMIFS($D:$D,$A:$A,$A1265,$B:$B,"&lt;&gt;Patrícia Karla de Sousa Araújo",$B:$B,"&lt;&gt;Lorena Dias de Araujo",$B:$B,"&lt;&gt;Lucas Luiz Romero")*(28/1083),IF(C1265="Técnico I",SUMIFS($D:$D,$A:$A,$A1265,$B:$B,"&lt;&gt;Patrícia Karla de Sousa Araújo",$B:$B,"&lt;&gt;Lorena Dias de Araujo",$B:$B,"&lt;&gt;Lucas Luiz Romero")*(23/1083),IF(C1265="JR",SUMIFS($D:$D,$A:$A,$A1265,$B:$B,"&lt;&gt;Patrícia Karla de Sousa Araújo",$B:$B,"&lt;&gt;Lorena Dias de Araujo",$B:$B,"&lt;&gt;Lucas Luiz Romero")*(20/1083),IF(C1265="Estágio",SUMIFS($D:$D,$A:$A,$A1265,$B:$B,"&lt;&gt;Patrícia Karla de Sousa Araújo",$B:$B,"&lt;&gt;Lorena Dias de Araujo",$B:$B,"&lt;&gt;Lucas Luiz Romero")*(10/1083),0)))))),0)</f>
        <v/>
      </c>
      <c r="K1265" s="3">
        <f>I1265-J1265</f>
        <v/>
      </c>
      <c r="L1265" s="3">
        <f>IF(K1265&lt;-5,"CRÍTICO",IF(K1265&lt;0,"ATENÇÃO",IF(K1265&lt;=5,"BOM","EXCELENTE")))</f>
        <v/>
      </c>
      <c r="M1265" s="3" t="n">
        <v>9</v>
      </c>
      <c r="N1265" s="3" t="n">
        <v>97.45</v>
      </c>
      <c r="O1265" s="12" t="n">
        <v>41.421143847487</v>
      </c>
    </row>
    <row r="1266">
      <c r="A1266" s="10" t="n">
        <v>46041</v>
      </c>
      <c r="B1266" t="inlineStr">
        <is>
          <t>Damyllis Lorraine de Oliveira Gonçalves</t>
        </is>
      </c>
      <c r="C1266" s="1" t="inlineStr">
        <is>
          <t>Técnico II</t>
        </is>
      </c>
      <c r="D1266" s="3" t="n">
        <v>37</v>
      </c>
      <c r="E1266" s="3" t="n">
        <v>26</v>
      </c>
      <c r="F1266" s="3" t="n">
        <v>7.1</v>
      </c>
      <c r="G1266" s="3" t="n">
        <v>0</v>
      </c>
      <c r="H1266" s="3" t="n">
        <v>0</v>
      </c>
      <c r="I1266" s="3" t="n">
        <v>0</v>
      </c>
      <c r="J1266" s="3" t="n">
        <v>0</v>
      </c>
      <c r="K1266" s="3" t="n">
        <v>0</v>
      </c>
      <c r="L1266" s="3">
        <f>IF(K1266&lt;-5,"CRÍTICO",IF(K1266&lt;0,"ATENÇÃO",IF(K1266&lt;=5,"BOM","EXCELENTE")))</f>
        <v/>
      </c>
      <c r="M1266" s="3" t="n">
        <v>23</v>
      </c>
      <c r="N1266" s="3" t="n">
        <v>96.58</v>
      </c>
      <c r="O1266" s="12" t="n">
        <v>30.39647577092511</v>
      </c>
    </row>
    <row r="1267">
      <c r="A1267" s="10" t="n">
        <v>46041</v>
      </c>
      <c r="B1267" t="inlineStr">
        <is>
          <t>Daniel Gomes da Silva</t>
        </is>
      </c>
      <c r="C1267" s="1" t="inlineStr">
        <is>
          <t>Técnico I</t>
        </is>
      </c>
      <c r="D1267" s="3" t="n">
        <v>20</v>
      </c>
      <c r="E1267" s="3" t="n">
        <v>20</v>
      </c>
      <c r="F1267" s="3" t="n">
        <v>18.24</v>
      </c>
      <c r="G1267" s="3" t="n">
        <v>0</v>
      </c>
      <c r="H1267" s="3" t="n">
        <v>0</v>
      </c>
      <c r="I1267" s="3">
        <f>E1267+G1267+H1267</f>
        <v/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/>
      </c>
      <c r="K1267" s="3">
        <f>I1267-J1267</f>
        <v/>
      </c>
      <c r="L1267" s="3">
        <f>IF(K1267&lt;-5,"CRÍTICO",IF(K1267&lt;0,"ATENÇÃO",IF(K1267&lt;=5,"BOM","EXCELENTE")))</f>
        <v/>
      </c>
      <c r="M1267" s="3" t="n">
        <v>23</v>
      </c>
      <c r="N1267" s="3" t="n">
        <v>100</v>
      </c>
      <c r="O1267" s="12" t="n">
        <v>27.44282744282744</v>
      </c>
    </row>
    <row r="1268">
      <c r="A1268" s="10" t="n">
        <v>46041</v>
      </c>
      <c r="B1268" t="inlineStr">
        <is>
          <t>Davylla Rodrigues Freitas Silva</t>
        </is>
      </c>
      <c r="C1268" s="1" t="inlineStr">
        <is>
          <t>Técnico III</t>
        </is>
      </c>
      <c r="D1268" s="3" t="n">
        <v>26</v>
      </c>
      <c r="E1268" s="3" t="n">
        <v>25</v>
      </c>
      <c r="F1268" s="3" t="n">
        <v>18.26</v>
      </c>
      <c r="G1268" s="3" t="n">
        <v>0</v>
      </c>
      <c r="H1268" s="3" t="n">
        <v>0</v>
      </c>
      <c r="I1268" s="3" t="n">
        <v>0</v>
      </c>
      <c r="J1268" s="3" t="n">
        <v>0</v>
      </c>
      <c r="K1268" s="3" t="n">
        <v>0</v>
      </c>
      <c r="L1268" s="3">
        <f>IF(K1268&lt;-5,"CRÍTICO",IF(K1268&lt;0,"ATENÇÃO",IF(K1268&lt;=5,"BOM","EXCELENTE")))</f>
        <v/>
      </c>
      <c r="M1268" s="3" t="n">
        <v>25</v>
      </c>
      <c r="N1268" s="3" t="n">
        <v>99.48999999999999</v>
      </c>
      <c r="O1268" s="12" t="n">
        <v>40.2</v>
      </c>
    </row>
    <row r="1269">
      <c r="A1269" s="10" t="n">
        <v>46041</v>
      </c>
      <c r="B1269" t="inlineStr">
        <is>
          <t>Emilly Caylane Costa</t>
        </is>
      </c>
      <c r="C1269" s="1" t="inlineStr">
        <is>
          <t>Estágio</t>
        </is>
      </c>
      <c r="D1269" s="3" t="n">
        <v>0</v>
      </c>
      <c r="E1269" s="3" t="n">
        <v>0</v>
      </c>
      <c r="F1269" s="3" t="n">
        <v>0</v>
      </c>
      <c r="G1269" s="3" t="n">
        <v>0</v>
      </c>
      <c r="H1269" s="3" t="n">
        <v>0</v>
      </c>
      <c r="I1269" s="3" t="n">
        <v>0</v>
      </c>
      <c r="J1269" s="3" t="n">
        <v>0</v>
      </c>
      <c r="K1269" s="3" t="n">
        <v>0</v>
      </c>
      <c r="L1269" s="3">
        <f>IF(K1269&lt;-5,"CRÍTICO",IF(K1269&lt;0,"ATENÇÃO",IF(K1269&lt;=5,"BOM","EXCELENTE")))</f>
        <v/>
      </c>
      <c r="M1269" s="3" t="n">
        <v>0</v>
      </c>
      <c r="N1269" s="3" t="n">
        <v>100</v>
      </c>
      <c r="O1269" s="12" t="n">
        <v>25</v>
      </c>
    </row>
    <row r="1270">
      <c r="A1270" s="10" t="n">
        <v>46041</v>
      </c>
      <c r="B1270" t="inlineStr">
        <is>
          <t>Emilly Kamilly Medeiros Miranda</t>
        </is>
      </c>
      <c r="C1270" s="1" t="inlineStr">
        <is>
          <t>Técnico II</t>
        </is>
      </c>
      <c r="D1270" s="3" t="n">
        <v>28</v>
      </c>
      <c r="E1270" s="3" t="n">
        <v>26</v>
      </c>
      <c r="F1270" s="3" t="n">
        <v>19.18</v>
      </c>
      <c r="G1270" s="3" t="n">
        <v>0</v>
      </c>
      <c r="H1270" s="3" t="n">
        <v>0</v>
      </c>
      <c r="I1270" s="3">
        <f>E1270+G1270+H1270</f>
        <v/>
      </c>
      <c r="J1270" s="3">
        <f>ROUND(MIN(IF(C1270="Técnico III",35,IF(C1270="Técnico II",28,IF(C1270="Técnico I",23,IF(C1270="JR",20,IF(C1270="Estágio",10,0))))),IF(C1270="Técnico III",SUMIFS($D:$D,$A:$A,$A1270,$B:$B,"&lt;&gt;Patrícia Karla de Sousa Araújo",$B:$B,"&lt;&gt;Lorena Dias de Araujo",$B:$B,"&lt;&gt;Lucas Luiz Romero")*(35/1083),IF(C1270="Técnico II",SUMIFS($D:$D,$A:$A,$A1270,$B:$B,"&lt;&gt;Patrícia Karla de Sousa Araújo",$B:$B,"&lt;&gt;Lorena Dias de Araujo",$B:$B,"&lt;&gt;Lucas Luiz Romero")*(28/1083),IF(C1270="Técnico I",SUMIFS($D:$D,$A:$A,$A1270,$B:$B,"&lt;&gt;Patrícia Karla de Sousa Araújo",$B:$B,"&lt;&gt;Lorena Dias de Araujo",$B:$B,"&lt;&gt;Lucas Luiz Romero")*(23/1083),IF(C1270="JR",SUMIFS($D:$D,$A:$A,$A1270,$B:$B,"&lt;&gt;Patrícia Karla de Sousa Araújo",$B:$B,"&lt;&gt;Lorena Dias de Araujo",$B:$B,"&lt;&gt;Lucas Luiz Romero")*(20/1083),IF(C1270="Estágio",SUMIFS($D:$D,$A:$A,$A1270,$B:$B,"&lt;&gt;Patrícia Karla de Sousa Araújo",$B:$B,"&lt;&gt;Lorena Dias de Araujo",$B:$B,"&lt;&gt;Lucas Luiz Romero")*(10/1083),0)))))),0)</f>
        <v/>
      </c>
      <c r="K1270" s="3">
        <f>I1270-J1270</f>
        <v/>
      </c>
      <c r="L1270" s="3">
        <f>IF(K1270&lt;-5,"CRÍTICO",IF(K1270&lt;0,"ATENÇÃO",IF(K1270&lt;=5,"BOM","EXCELENTE")))</f>
        <v/>
      </c>
      <c r="M1270" s="3" t="n">
        <v>22</v>
      </c>
      <c r="N1270" s="3" t="n">
        <v>100</v>
      </c>
      <c r="O1270" s="12" t="n">
        <v>34.15094339622641</v>
      </c>
    </row>
    <row r="1271">
      <c r="A1271" s="10" t="n">
        <v>46041</v>
      </c>
      <c r="B1271" t="inlineStr">
        <is>
          <t>Francielson de Oliveira</t>
        </is>
      </c>
      <c r="C1271" s="1" t="inlineStr">
        <is>
          <t>Técnico III</t>
        </is>
      </c>
      <c r="D1271" s="3" t="n">
        <v>20</v>
      </c>
      <c r="E1271" s="3" t="n">
        <v>18</v>
      </c>
      <c r="F1271" s="3" t="n">
        <v>20.23</v>
      </c>
      <c r="G1271" s="3" t="n">
        <v>0</v>
      </c>
      <c r="H1271" s="3" t="n">
        <v>0</v>
      </c>
      <c r="I1271" s="3">
        <f>E1271+G1271+H1271</f>
        <v/>
      </c>
      <c r="J1271" s="3">
        <f>ROUND(MIN(IF(C1271="Técnico III",35,IF(C1271="Técnico II",28,IF(C1271="Técnico I",23,IF(C1271="JR",20,IF(C1271="Estágio",10,0))))),IF(C1271="Técnico III",SUMIFS($D:$D,$A:$A,$A1271,$B:$B,"&lt;&gt;Patrícia Karla de Sousa Araújo",$B:$B,"&lt;&gt;Lorena Dias de Araujo",$B:$B,"&lt;&gt;Lucas Luiz Romero")*(35/1083),IF(C1271="Técnico II",SUMIFS($D:$D,$A:$A,$A1271,$B:$B,"&lt;&gt;Patrícia Karla de Sousa Araújo",$B:$B,"&lt;&gt;Lorena Dias de Araujo",$B:$B,"&lt;&gt;Lucas Luiz Romero")*(28/1083),IF(C1271="Técnico I",SUMIFS($D:$D,$A:$A,$A1271,$B:$B,"&lt;&gt;Patrícia Karla de Sousa Araújo",$B:$B,"&lt;&gt;Lorena Dias de Araujo",$B:$B,"&lt;&gt;Lucas Luiz Romero")*(23/1083),IF(C1271="JR",SUMIFS($D:$D,$A:$A,$A1271,$B:$B,"&lt;&gt;Patrícia Karla de Sousa Araújo",$B:$B,"&lt;&gt;Lorena Dias de Araujo",$B:$B,"&lt;&gt;Lucas Luiz Romero")*(20/1083),IF(C1271="Estágio",SUMIFS($D:$D,$A:$A,$A1271,$B:$B,"&lt;&gt;Patrícia Karla de Sousa Araújo",$B:$B,"&lt;&gt;Lorena Dias de Araujo",$B:$B,"&lt;&gt;Lucas Luiz Romero")*(10/1083),0)))))),0)</f>
        <v/>
      </c>
      <c r="K1271" s="3">
        <f>I1271-J1271</f>
        <v/>
      </c>
      <c r="L1271" s="3">
        <f>IF(K1271&lt;-5,"CRÍTICO",IF(K1271&lt;0,"ATENÇÃO",IF(K1271&lt;=5,"BOM","EXCELENTE")))</f>
        <v/>
      </c>
      <c r="M1271" s="3" t="n">
        <v>18</v>
      </c>
      <c r="N1271" s="3" t="n">
        <v>100</v>
      </c>
      <c r="O1271" s="12" t="n">
        <v>32.7313769751693</v>
      </c>
    </row>
    <row r="1272">
      <c r="A1272" s="10" t="n">
        <v>46041</v>
      </c>
      <c r="B1272" t="inlineStr">
        <is>
          <t>Francilene Ferreira de Jesus</t>
        </is>
      </c>
      <c r="C1272" s="1" t="inlineStr">
        <is>
          <t>Técnico II</t>
        </is>
      </c>
      <c r="D1272" s="3" t="n">
        <v>20</v>
      </c>
      <c r="E1272" s="3" t="n">
        <v>18</v>
      </c>
      <c r="F1272" s="3" t="n">
        <v>30</v>
      </c>
      <c r="G1272" s="3" t="n">
        <v>0</v>
      </c>
      <c r="H1272" s="3" t="n">
        <v>0</v>
      </c>
      <c r="I1272" s="3">
        <f>E1272+G1272+H1272</f>
        <v/>
      </c>
      <c r="J1272" s="3">
        <f>ROUND(MIN(IF(C1272="Técnico III",35,IF(C1272="Técnico II",28,IF(C1272="Técnico I",23,IF(C1272="JR",20,IF(C1272="Estágio",10,0))))),IF(C1272="Técnico III",SUMIFS($D:$D,$A:$A,$A1272,$B:$B,"&lt;&gt;Patrícia Karla de Sousa Araújo",$B:$B,"&lt;&gt;Lorena Dias de Araujo",$B:$B,"&lt;&gt;Lucas Luiz Romero")*(35/1083),IF(C1272="Técnico II",SUMIFS($D:$D,$A:$A,$A1272,$B:$B,"&lt;&gt;Patrícia Karla de Sousa Araújo",$B:$B,"&lt;&gt;Lorena Dias de Araujo",$B:$B,"&lt;&gt;Lucas Luiz Romero")*(28/1083),IF(C1272="Técnico I",SUMIFS($D:$D,$A:$A,$A1272,$B:$B,"&lt;&gt;Patrícia Karla de Sousa Araújo",$B:$B,"&lt;&gt;Lorena Dias de Araujo",$B:$B,"&lt;&gt;Lucas Luiz Romero")*(23/1083),IF(C1272="JR",SUMIFS($D:$D,$A:$A,$A1272,$B:$B,"&lt;&gt;Patrícia Karla de Sousa Araújo",$B:$B,"&lt;&gt;Lorena Dias de Araujo",$B:$B,"&lt;&gt;Lucas Luiz Romero")*(20/1083),IF(C1272="Estágio",SUMIFS($D:$D,$A:$A,$A1272,$B:$B,"&lt;&gt;Patrícia Karla de Sousa Araújo",$B:$B,"&lt;&gt;Lorena Dias de Araujo",$B:$B,"&lt;&gt;Lucas Luiz Romero")*(10/1083),0)))))),0)</f>
        <v/>
      </c>
      <c r="K1272" s="3">
        <f>I1272-J1272</f>
        <v/>
      </c>
      <c r="L1272" s="3">
        <f>IF(K1272&lt;-5,"CRÍTICO",IF(K1272&lt;0,"ATENÇÃO",IF(K1272&lt;=5,"BOM","EXCELENTE")))</f>
        <v/>
      </c>
      <c r="M1272" s="3" t="n">
        <v>15</v>
      </c>
      <c r="N1272" s="3" t="n">
        <v>99.31</v>
      </c>
      <c r="O1272" s="12" t="n">
        <v>30.96234309623431</v>
      </c>
    </row>
    <row r="1273">
      <c r="A1273" s="10" t="n">
        <v>46073</v>
      </c>
      <c r="B1273" t="inlineStr">
        <is>
          <t>Gabriel Gomes de Andrade</t>
        </is>
      </c>
      <c r="C1273" s="1" t="inlineStr">
        <is>
          <t>Técnico I</t>
        </is>
      </c>
      <c r="D1273" s="3" t="n">
        <v>18</v>
      </c>
      <c r="E1273" s="3" t="n">
        <v>16</v>
      </c>
      <c r="F1273" s="3" t="n">
        <v>24.08</v>
      </c>
      <c r="G1273" s="3" t="n">
        <v>0</v>
      </c>
      <c r="H1273" s="3" t="n">
        <v>0</v>
      </c>
      <c r="I1273" s="3">
        <f>E1273+G1273+H1273</f>
        <v/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/>
      </c>
      <c r="K1273" s="3">
        <f>I1273-J1273</f>
        <v/>
      </c>
      <c r="L1273" s="3">
        <f>IF(K1273&lt;-5,"CRÍTICO",IF(K1273&lt;0,"ATENÇÃO",IF(K1273&lt;=5,"BOM","EXCELENTE")))</f>
        <v/>
      </c>
      <c r="M1273" s="3" t="n">
        <v>16</v>
      </c>
      <c r="N1273" s="3" t="n">
        <v>96.67</v>
      </c>
      <c r="O1273" s="12" t="n">
        <v>31.45161290322581</v>
      </c>
    </row>
    <row r="1274">
      <c r="A1274" s="10" t="n">
        <v>46041</v>
      </c>
      <c r="B1274" t="inlineStr">
        <is>
          <t>Isabella Borges de Oliveira</t>
        </is>
      </c>
      <c r="C1274" s="1" t="inlineStr">
        <is>
          <t>Técnico II</t>
        </is>
      </c>
      <c r="D1274" s="3" t="n">
        <v>20</v>
      </c>
      <c r="E1274" s="3" t="n">
        <v>20</v>
      </c>
      <c r="F1274" s="3" t="n">
        <v>29.11</v>
      </c>
      <c r="G1274" s="3" t="n">
        <v>0</v>
      </c>
      <c r="H1274" s="3" t="n">
        <v>0</v>
      </c>
      <c r="I1274" s="3">
        <f>E1274+G1274+H1274</f>
        <v/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/>
      </c>
      <c r="K1274" s="3">
        <f>I1274-J1274</f>
        <v/>
      </c>
      <c r="L1274" s="3">
        <f>IF(K1274&lt;-5,"CRÍTICO",IF(K1274&lt;0,"ATENÇÃO",IF(K1274&lt;=5,"BOM","EXCELENTE")))</f>
        <v/>
      </c>
      <c r="M1274" s="3" t="n">
        <v>18</v>
      </c>
      <c r="N1274" s="3" t="n">
        <v>100</v>
      </c>
      <c r="O1274" s="12" t="n">
        <v>27.67676767676768</v>
      </c>
    </row>
    <row r="1275">
      <c r="A1275" s="10" t="n">
        <v>46041</v>
      </c>
      <c r="B1275" t="inlineStr">
        <is>
          <t>Janaina Lima dos Reis Urany</t>
        </is>
      </c>
      <c r="C1275" s="1" t="inlineStr">
        <is>
          <t>Técnico III</t>
        </is>
      </c>
      <c r="D1275" s="3" t="n">
        <v>32</v>
      </c>
      <c r="E1275" s="3" t="n">
        <v>26</v>
      </c>
      <c r="F1275" s="3" t="n">
        <v>12.26</v>
      </c>
      <c r="G1275" s="3" t="n">
        <v>0</v>
      </c>
      <c r="H1275" s="3" t="n">
        <v>0</v>
      </c>
      <c r="I1275" s="3">
        <f>E1275+G1275+H1275</f>
        <v/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/>
      </c>
      <c r="K1275" s="3">
        <f>I1275-J1275</f>
        <v/>
      </c>
      <c r="L1275" s="3">
        <f>IF(K1275&lt;-5,"CRÍTICO",IF(K1275&lt;0,"ATENÇÃO",IF(K1275&lt;=5,"BOM","EXCELENTE")))</f>
        <v/>
      </c>
      <c r="M1275" s="3" t="n">
        <v>30</v>
      </c>
      <c r="N1275" s="3" t="n">
        <v>100</v>
      </c>
      <c r="O1275" s="12" t="n">
        <v>31.17723156532988</v>
      </c>
    </row>
    <row r="1276">
      <c r="A1276" s="10" t="n">
        <v>46041</v>
      </c>
      <c r="B1276" t="inlineStr">
        <is>
          <t>Jaqueline Evangelista da Silva Martins</t>
        </is>
      </c>
      <c r="C1276" s="1" t="inlineStr">
        <is>
          <t>Técnico III</t>
        </is>
      </c>
      <c r="D1276" s="3" t="n">
        <v>19</v>
      </c>
      <c r="E1276" s="3" t="n">
        <v>17</v>
      </c>
      <c r="F1276" s="3" t="n">
        <v>8.359999999999999</v>
      </c>
      <c r="G1276" s="3" t="n">
        <v>0</v>
      </c>
      <c r="H1276" s="3" t="n">
        <v>0</v>
      </c>
      <c r="I1276" s="3">
        <f>E1276+G1276+H1276</f>
        <v/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/>
      </c>
      <c r="K1276" s="3">
        <f>I1276-J1276</f>
        <v/>
      </c>
      <c r="L1276" s="3">
        <f>IF(K1276&lt;-5,"CRÍTICO",IF(K1276&lt;0,"ATENÇÃO",IF(K1276&lt;=5,"BOM","EXCELENTE")))</f>
        <v/>
      </c>
      <c r="M1276" s="3" t="n">
        <v>16</v>
      </c>
      <c r="N1276" s="3" t="n">
        <v>100</v>
      </c>
      <c r="O1276" s="12" t="n">
        <v>27.60942760942761</v>
      </c>
    </row>
    <row r="1277">
      <c r="A1277" s="10" t="n">
        <v>46041</v>
      </c>
      <c r="B1277" t="inlineStr">
        <is>
          <t>Jessica Faria da Silveira</t>
        </is>
      </c>
      <c r="C1277" s="1" t="inlineStr">
        <is>
          <t>Técnico II</t>
        </is>
      </c>
      <c r="D1277" s="3" t="n">
        <v>29</v>
      </c>
      <c r="E1277" s="3" t="n">
        <v>23</v>
      </c>
      <c r="F1277" s="3" t="n">
        <v>16.44</v>
      </c>
      <c r="G1277" s="3" t="n">
        <v>0</v>
      </c>
      <c r="H1277" s="3" t="n">
        <v>0</v>
      </c>
      <c r="I1277" s="3">
        <f>E1277+G1277+H1277</f>
        <v/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/>
      </c>
      <c r="K1277" s="3">
        <f>I1277-J1277</f>
        <v/>
      </c>
      <c r="L1277" s="3">
        <f>IF(K1277&lt;-5,"CRÍTICO",IF(K1277&lt;0,"ATENÇÃO",IF(K1277&lt;=5,"BOM","EXCELENTE")))</f>
        <v/>
      </c>
      <c r="M1277" s="3" t="n">
        <v>18</v>
      </c>
      <c r="N1277" s="3" t="n">
        <v>96.40000000000001</v>
      </c>
      <c r="O1277" s="12" t="n">
        <v>28.76404494382023</v>
      </c>
    </row>
    <row r="1278">
      <c r="A1278" s="10" t="n">
        <v>46041</v>
      </c>
      <c r="B1278" t="inlineStr">
        <is>
          <t>Jéssica Fé Moura</t>
        </is>
      </c>
      <c r="C1278" s="1" t="inlineStr">
        <is>
          <t>Técnico III</t>
        </is>
      </c>
      <c r="D1278" s="3" t="n">
        <v>0</v>
      </c>
      <c r="E1278" s="3" t="n">
        <v>0</v>
      </c>
      <c r="F1278" s="3" t="n">
        <v>0</v>
      </c>
      <c r="G1278" s="3" t="n">
        <v>0</v>
      </c>
      <c r="H1278" s="3" t="n">
        <v>0</v>
      </c>
      <c r="I1278" s="3" t="n">
        <v>0</v>
      </c>
      <c r="J1278" s="3" t="n">
        <v>0</v>
      </c>
      <c r="K1278" s="3" t="n">
        <v>0</v>
      </c>
      <c r="L1278" s="3">
        <f>IF(K1278&lt;-5,"CRÍTICO",IF(K1278&lt;0,"ATENÇÃO",IF(K1278&lt;=5,"BOM","EXCELENTE")))</f>
        <v/>
      </c>
      <c r="M1278" s="3" t="n">
        <v>7</v>
      </c>
      <c r="N1278" s="3" t="n">
        <v>100</v>
      </c>
      <c r="O1278" s="12" t="n">
        <v>33.98058252427185</v>
      </c>
    </row>
    <row r="1279">
      <c r="A1279" s="10" t="n">
        <v>46041</v>
      </c>
      <c r="B1279" t="inlineStr">
        <is>
          <t>Karina Gonçalves Martins</t>
        </is>
      </c>
      <c r="C1279" s="1" t="inlineStr">
        <is>
          <t>JR</t>
        </is>
      </c>
      <c r="D1279" s="3" t="n">
        <v>16</v>
      </c>
      <c r="E1279" s="3" t="n">
        <v>15</v>
      </c>
      <c r="F1279" s="3" t="n">
        <v>35.01</v>
      </c>
      <c r="G1279" s="3" t="n">
        <v>0</v>
      </c>
      <c r="H1279" s="3" t="n">
        <v>0</v>
      </c>
      <c r="I1279" s="3">
        <f>E1279+G1279+H1279</f>
        <v/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/>
      </c>
      <c r="K1279" s="3">
        <f>I1279-J1279</f>
        <v/>
      </c>
      <c r="L1279" s="3">
        <f>IF(K1279&lt;-5,"CRÍTICO",IF(K1279&lt;0,"ATENÇÃO",IF(K1279&lt;=5,"BOM","EXCELENTE")))</f>
        <v/>
      </c>
      <c r="M1279" s="3" t="n">
        <v>12</v>
      </c>
      <c r="N1279" s="3" t="n">
        <v>97.56</v>
      </c>
      <c r="O1279" s="12" t="n">
        <v>32.51533742331289</v>
      </c>
    </row>
    <row r="1280">
      <c r="A1280" s="10" t="n">
        <v>46041</v>
      </c>
      <c r="B1280" t="inlineStr">
        <is>
          <t>Kerollen Cristielly de Jesus Siqueira</t>
        </is>
      </c>
      <c r="C1280" s="1" t="inlineStr">
        <is>
          <t>Técnico III</t>
        </is>
      </c>
      <c r="D1280" s="3" t="n">
        <v>18</v>
      </c>
      <c r="E1280" s="3" t="n">
        <v>15</v>
      </c>
      <c r="F1280" s="3" t="n">
        <v>20.38</v>
      </c>
      <c r="G1280" s="3" t="n">
        <v>0</v>
      </c>
      <c r="H1280" s="3" t="n">
        <v>0</v>
      </c>
      <c r="I1280" s="3">
        <f>E1280+G1280+H1280</f>
        <v/>
      </c>
      <c r="J1280" s="3">
        <f>ROUND(MIN(IF(C1280="Técnico III",35,IF(C1280="Técnico II",28,IF(C1280="Técnico I",23,IF(C1280="JR",20,IF(C1280="Estágio",10,0))))),IF(C1280="Técnico III",SUMIFS($D:$D,$A:$A,$A1280,$B:$B,"&lt;&gt;Patrícia Karla de Sousa Araújo",$B:$B,"&lt;&gt;Lorena Dias de Araujo",$B:$B,"&lt;&gt;Lucas Luiz Romero")*(35/1083),IF(C1280="Técnico II",SUMIFS($D:$D,$A:$A,$A1280,$B:$B,"&lt;&gt;Patrícia Karla de Sousa Araújo",$B:$B,"&lt;&gt;Lorena Dias de Araujo",$B:$B,"&lt;&gt;Lucas Luiz Romero")*(28/1083),IF(C1280="Técnico I",SUMIFS($D:$D,$A:$A,$A1280,$B:$B,"&lt;&gt;Patrícia Karla de Sousa Araújo",$B:$B,"&lt;&gt;Lorena Dias de Araujo",$B:$B,"&lt;&gt;Lucas Luiz Romero")*(23/1083),IF(C1280="JR",SUMIFS($D:$D,$A:$A,$A1280,$B:$B,"&lt;&gt;Patrícia Karla de Sousa Araújo",$B:$B,"&lt;&gt;Lorena Dias de Araujo",$B:$B,"&lt;&gt;Lucas Luiz Romero")*(20/1083),IF(C1280="Estágio",SUMIFS($D:$D,$A:$A,$A1280,$B:$B,"&lt;&gt;Patrícia Karla de Sousa Araújo",$B:$B,"&lt;&gt;Lorena Dias de Araujo",$B:$B,"&lt;&gt;Lucas Luiz Romero")*(10/1083),0)))))),0)</f>
        <v/>
      </c>
      <c r="K1280" s="3">
        <f>I1280-J1280</f>
        <v/>
      </c>
      <c r="L1280" s="3">
        <f>IF(K1280&lt;-5,"CRÍTICO",IF(K1280&lt;0,"ATENÇÃO",IF(K1280&lt;=5,"BOM","EXCELENTE")))</f>
        <v/>
      </c>
      <c r="M1280" s="3" t="n">
        <v>18</v>
      </c>
      <c r="N1280" s="3" t="n">
        <v>97.11</v>
      </c>
      <c r="O1280" s="12" t="n">
        <v>37.40831295843521</v>
      </c>
    </row>
    <row r="1281">
      <c r="A1281" s="10" t="n">
        <v>46041</v>
      </c>
      <c r="B1281" t="inlineStr">
        <is>
          <t>Leandro de Souza Silva</t>
        </is>
      </c>
      <c r="C1281" s="1" t="inlineStr">
        <is>
          <t>JR</t>
        </is>
      </c>
      <c r="D1281" s="3" t="n">
        <v>0</v>
      </c>
      <c r="E1281" s="3" t="n">
        <v>0</v>
      </c>
      <c r="F1281" s="3" t="n">
        <v>0</v>
      </c>
      <c r="G1281" s="3" t="n">
        <v>0</v>
      </c>
      <c r="H1281" s="3" t="n">
        <v>0</v>
      </c>
      <c r="I1281" s="3" t="n">
        <v>0</v>
      </c>
      <c r="J1281" s="3" t="n">
        <v>0</v>
      </c>
      <c r="K1281" s="3" t="n">
        <v>0</v>
      </c>
      <c r="L1281" s="3">
        <f>IF(K1281&lt;-5,"CRÍTICO",IF(K1281&lt;0,"ATENÇÃO",IF(K1281&lt;=5,"BOM","EXCELENTE")))</f>
        <v/>
      </c>
      <c r="M1281" s="3" t="n">
        <v>0</v>
      </c>
      <c r="N1281" s="3" t="n">
        <v>0</v>
      </c>
      <c r="O1281" s="12" t="n">
        <v>0</v>
      </c>
    </row>
    <row r="1282">
      <c r="A1282" s="10" t="n">
        <v>46041</v>
      </c>
      <c r="B1282" t="inlineStr">
        <is>
          <t>Leandro Oliveira de Sousa</t>
        </is>
      </c>
      <c r="C1282" s="1" t="inlineStr">
        <is>
          <t>Técnico III</t>
        </is>
      </c>
      <c r="D1282" s="3" t="n">
        <v>27</v>
      </c>
      <c r="E1282" s="3" t="n">
        <v>23</v>
      </c>
      <c r="F1282" s="3" t="n">
        <v>15.25</v>
      </c>
      <c r="G1282" s="3" t="n">
        <v>0</v>
      </c>
      <c r="H1282" s="3" t="n">
        <v>0</v>
      </c>
      <c r="I1282" s="3">
        <f>E1282+G1282+H1282</f>
        <v/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/>
      </c>
      <c r="K1282" s="3">
        <f>I1282-J1282</f>
        <v/>
      </c>
      <c r="L1282" s="3">
        <f>IF(K1282&lt;-5,"CRÍTICO",IF(K1282&lt;0,"ATENÇÃO",IF(K1282&lt;=5,"BOM","EXCELENTE")))</f>
        <v/>
      </c>
      <c r="M1282" s="3" t="n">
        <v>22</v>
      </c>
      <c r="N1282" s="3" t="n">
        <v>100</v>
      </c>
      <c r="O1282" s="12" t="n">
        <v>30.47034764826176</v>
      </c>
    </row>
    <row r="1283">
      <c r="A1283" s="10" t="n">
        <v>46041</v>
      </c>
      <c r="B1283" t="inlineStr">
        <is>
          <t>Lizandra Gomes Duarte</t>
        </is>
      </c>
      <c r="C1283" s="1" t="inlineStr">
        <is>
          <t>Técnico II</t>
        </is>
      </c>
      <c r="D1283" s="3" t="n">
        <v>27</v>
      </c>
      <c r="E1283" s="3" t="n">
        <v>24</v>
      </c>
      <c r="F1283" s="3" t="n">
        <v>17.32</v>
      </c>
      <c r="G1283" s="3" t="n">
        <v>0</v>
      </c>
      <c r="H1283" s="3" t="n">
        <v>0</v>
      </c>
      <c r="I1283" s="3">
        <f>E1283+G1283+H1283</f>
        <v/>
      </c>
      <c r="J1283" s="3">
        <f>ROUND(MIN(IF(C1283="Técnico III",35,IF(C1283="Técnico II",28,IF(C1283="Técnico I",23,IF(C1283="JR",20,IF(C1283="Estágio",10,0))))),IF(C1283="Técnico III",SUMIFS($D:$D,$A:$A,$A1283,$B:$B,"&lt;&gt;Patrícia Karla de Sousa Araújo",$B:$B,"&lt;&gt;Lorena Dias de Araujo",$B:$B,"&lt;&gt;Lucas Luiz Romero")*(35/1083),IF(C1283="Técnico II",SUMIFS($D:$D,$A:$A,$A1283,$B:$B,"&lt;&gt;Patrícia Karla de Sousa Araújo",$B:$B,"&lt;&gt;Lorena Dias de Araujo",$B:$B,"&lt;&gt;Lucas Luiz Romero")*(28/1083),IF(C1283="Técnico I",SUMIFS($D:$D,$A:$A,$A1283,$B:$B,"&lt;&gt;Patrícia Karla de Sousa Araújo",$B:$B,"&lt;&gt;Lorena Dias de Araujo",$B:$B,"&lt;&gt;Lucas Luiz Romero")*(23/1083),IF(C1283="JR",SUMIFS($D:$D,$A:$A,$A1283,$B:$B,"&lt;&gt;Patrícia Karla de Sousa Araújo",$B:$B,"&lt;&gt;Lorena Dias de Araujo",$B:$B,"&lt;&gt;Lucas Luiz Romero")*(20/1083),IF(C1283="Estágio",SUMIFS($D:$D,$A:$A,$A1283,$B:$B,"&lt;&gt;Patrícia Karla de Sousa Araújo",$B:$B,"&lt;&gt;Lorena Dias de Araujo",$B:$B,"&lt;&gt;Lucas Luiz Romero")*(10/1083),0)))))),0)</f>
        <v/>
      </c>
      <c r="K1283" s="3">
        <f>I1283-J1283</f>
        <v/>
      </c>
      <c r="L1283" s="3">
        <f>IF(K1283&lt;-5,"CRÍTICO",IF(K1283&lt;0,"ATENÇÃO",IF(K1283&lt;=5,"BOM","EXCELENTE")))</f>
        <v/>
      </c>
      <c r="M1283" s="3" t="n">
        <v>23</v>
      </c>
      <c r="N1283" s="3" t="n">
        <v>100</v>
      </c>
      <c r="O1283" s="12" t="n">
        <v>32.37113402061856</v>
      </c>
    </row>
    <row r="1284">
      <c r="A1284" s="10" t="n">
        <v>46041</v>
      </c>
      <c r="B1284" t="inlineStr">
        <is>
          <t>Lorena Dias de Araujo</t>
        </is>
      </c>
      <c r="C1284" s="1" t="inlineStr">
        <is>
          <t>Técnico II</t>
        </is>
      </c>
      <c r="D1284" s="3" t="n">
        <v>15</v>
      </c>
      <c r="E1284" s="3" t="n">
        <v>13</v>
      </c>
      <c r="F1284" s="3" t="n">
        <v>12.11</v>
      </c>
      <c r="G1284" s="3" t="n">
        <v>0</v>
      </c>
      <c r="H1284" s="3" t="n">
        <v>0</v>
      </c>
      <c r="I1284" s="3" t="n">
        <v>0</v>
      </c>
      <c r="J1284" s="3" t="n">
        <v>0</v>
      </c>
      <c r="K1284" s="3" t="n">
        <v>0</v>
      </c>
      <c r="L1284" s="3">
        <f>IF(K1284&lt;-5,"CRÍTICO",IF(K1284&lt;0,"ATENÇÃO",IF(K1284&lt;=5,"BOM","EXCELENTE")))</f>
        <v/>
      </c>
      <c r="M1284" s="3" t="n">
        <v>11</v>
      </c>
      <c r="N1284" s="3" t="n">
        <v>98.31999999999999</v>
      </c>
      <c r="O1284" s="12" t="n">
        <v>32.31850117096019</v>
      </c>
    </row>
    <row r="1285">
      <c r="A1285" s="10" t="n">
        <v>46041</v>
      </c>
      <c r="B1285" t="inlineStr">
        <is>
          <t>Lucas Luiz Romero</t>
        </is>
      </c>
      <c r="C1285" s="1" t="inlineStr">
        <is>
          <t>Técnico III</t>
        </is>
      </c>
      <c r="D1285" s="3" t="n">
        <v>37</v>
      </c>
      <c r="E1285" s="3" t="n">
        <v>27</v>
      </c>
      <c r="F1285" s="3" t="n">
        <v>9</v>
      </c>
      <c r="G1285" s="3" t="n">
        <v>0</v>
      </c>
      <c r="H1285" s="3" t="n">
        <v>0</v>
      </c>
      <c r="I1285" s="3">
        <f>E1285+G1285+H1285</f>
        <v/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/>
      </c>
      <c r="K1285" s="3">
        <f>I1285-J1285</f>
        <v/>
      </c>
      <c r="L1285" s="3">
        <f>IF(K1285&lt;-5,"CRÍTICO",IF(K1285&lt;0,"ATENÇÃO",IF(K1285&lt;=5,"BOM","EXCELENTE")))</f>
        <v/>
      </c>
      <c r="M1285" s="3" t="n">
        <v>17</v>
      </c>
      <c r="N1285" s="3" t="n">
        <v>96.43000000000001</v>
      </c>
      <c r="O1285" s="12" t="n">
        <v>27.01525054466231</v>
      </c>
    </row>
    <row r="1286">
      <c r="A1286" s="10" t="n">
        <v>46041</v>
      </c>
      <c r="B1286" t="inlineStr">
        <is>
          <t>Luiz Fernando de Carvalho Junior</t>
        </is>
      </c>
      <c r="C1286" s="1" t="inlineStr">
        <is>
          <t>Técnico I</t>
        </is>
      </c>
      <c r="D1286" s="3" t="n">
        <v>20</v>
      </c>
      <c r="E1286" s="3" t="n">
        <v>19</v>
      </c>
      <c r="F1286" s="3" t="n">
        <v>16.54</v>
      </c>
      <c r="G1286" s="3" t="n">
        <v>0</v>
      </c>
      <c r="H1286" s="3" t="n">
        <v>0</v>
      </c>
      <c r="I1286" s="3">
        <f>E1286+G1286+H1286</f>
        <v/>
      </c>
      <c r="J1286" s="3">
        <f>ROUND(MIN(IF(C1286="Técnico III",35,IF(C1286="Técnico II",28,IF(C1286="Técnico I",23,IF(C1286="JR",20,IF(C1286="Estágio",10,0))))),IF(C1286="Técnico III",SUMIFS($D:$D,$A:$A,$A1286,$B:$B,"&lt;&gt;Patrícia Karla de Sousa Araújo",$B:$B,"&lt;&gt;Lorena Dias de Araujo",$B:$B,"&lt;&gt;Lucas Luiz Romero")*(35/1083),IF(C1286="Técnico II",SUMIFS($D:$D,$A:$A,$A1286,$B:$B,"&lt;&gt;Patrícia Karla de Sousa Araújo",$B:$B,"&lt;&gt;Lorena Dias de Araujo",$B:$B,"&lt;&gt;Lucas Luiz Romero")*(28/1083),IF(C1286="Técnico I",SUMIFS($D:$D,$A:$A,$A1286,$B:$B,"&lt;&gt;Patrícia Karla de Sousa Araújo",$B:$B,"&lt;&gt;Lorena Dias de Araujo",$B:$B,"&lt;&gt;Lucas Luiz Romero")*(23/1083),IF(C1286="JR",SUMIFS($D:$D,$A:$A,$A1286,$B:$B,"&lt;&gt;Patrícia Karla de Sousa Araújo",$B:$B,"&lt;&gt;Lorena Dias de Araujo",$B:$B,"&lt;&gt;Lucas Luiz Romero")*(20/1083),IF(C1286="Estágio",SUMIFS($D:$D,$A:$A,$A1286,$B:$B,"&lt;&gt;Patrícia Karla de Sousa Araújo",$B:$B,"&lt;&gt;Lorena Dias de Araujo",$B:$B,"&lt;&gt;Lucas Luiz Romero")*(10/1083),0)))))),0)</f>
        <v/>
      </c>
      <c r="K1286" s="3">
        <f>I1286-J1286</f>
        <v/>
      </c>
      <c r="L1286" s="3">
        <f>IF(K1286&lt;-5,"CRÍTICO",IF(K1286&lt;0,"ATENÇÃO",IF(K1286&lt;=5,"BOM","EXCELENTE")))</f>
        <v/>
      </c>
      <c r="M1286" s="3" t="n">
        <v>15</v>
      </c>
      <c r="N1286" s="3" t="n">
        <v>98.89</v>
      </c>
      <c r="O1286" s="12" t="n">
        <v>28.02197802197802</v>
      </c>
    </row>
    <row r="1287">
      <c r="A1287" s="10" t="n">
        <v>46041</v>
      </c>
      <c r="B1287" t="inlineStr">
        <is>
          <t>Maria Eduarda Sousa Costa</t>
        </is>
      </c>
      <c r="C1287" s="1" t="inlineStr">
        <is>
          <t>Estágio</t>
        </is>
      </c>
      <c r="D1287" s="3" t="n">
        <v>14</v>
      </c>
      <c r="E1287" s="3" t="n">
        <v>13</v>
      </c>
      <c r="F1287" s="3" t="n">
        <v>25.05</v>
      </c>
      <c r="G1287" s="3" t="n">
        <v>0</v>
      </c>
      <c r="H1287" s="3" t="n">
        <v>0</v>
      </c>
      <c r="I1287" s="3">
        <f>E1287+G1287+H1287</f>
        <v/>
      </c>
      <c r="J1287" s="3">
        <f>ROUND(MIN(IF(C1287="Técnico III",35,IF(C1287="Técnico II",28,IF(C1287="Técnico I",23,IF(C1287="JR",20,IF(C1287="Estágio",10,0))))),IF(C1287="Técnico III",SUMIFS($D:$D,$A:$A,$A1287,$B:$B,"&lt;&gt;Patrícia Karla de Sousa Araújo",$B:$B,"&lt;&gt;Lorena Dias de Araujo",$B:$B,"&lt;&gt;Lucas Luiz Romero")*(35/1083),IF(C1287="Técnico II",SUMIFS($D:$D,$A:$A,$A1287,$B:$B,"&lt;&gt;Patrícia Karla de Sousa Araújo",$B:$B,"&lt;&gt;Lorena Dias de Araujo",$B:$B,"&lt;&gt;Lucas Luiz Romero")*(28/1083),IF(C1287="Técnico I",SUMIFS($D:$D,$A:$A,$A1287,$B:$B,"&lt;&gt;Patrícia Karla de Sousa Araújo",$B:$B,"&lt;&gt;Lorena Dias de Araujo",$B:$B,"&lt;&gt;Lucas Luiz Romero")*(23/1083),IF(C1287="JR",SUMIFS($D:$D,$A:$A,$A1287,$B:$B,"&lt;&gt;Patrícia Karla de Sousa Araújo",$B:$B,"&lt;&gt;Lorena Dias de Araujo",$B:$B,"&lt;&gt;Lucas Luiz Romero")*(20/1083),IF(C1287="Estágio",SUMIFS($D:$D,$A:$A,$A1287,$B:$B,"&lt;&gt;Patrícia Karla de Sousa Araújo",$B:$B,"&lt;&gt;Lorena Dias de Araujo",$B:$B,"&lt;&gt;Lucas Luiz Romero")*(10/1083),0)))))),0)</f>
        <v/>
      </c>
      <c r="K1287" s="3">
        <f>I1287-J1287</f>
        <v/>
      </c>
      <c r="L1287" s="3">
        <f>IF(K1287&lt;-5,"CRÍTICO",IF(K1287&lt;0,"ATENÇÃO",IF(K1287&lt;=5,"BOM","EXCELENTE")))</f>
        <v/>
      </c>
      <c r="M1287" s="3" t="n">
        <v>9</v>
      </c>
      <c r="N1287" s="3" t="n">
        <v>100</v>
      </c>
      <c r="O1287" s="12" t="n">
        <v>33.33333333333333</v>
      </c>
    </row>
    <row r="1288">
      <c r="A1288" s="10" t="n">
        <v>46041</v>
      </c>
      <c r="B1288" t="inlineStr">
        <is>
          <t>Matheus Farias De Souza</t>
        </is>
      </c>
      <c r="C1288" s="1" t="inlineStr">
        <is>
          <t>Técnico III</t>
        </is>
      </c>
      <c r="D1288" s="3" t="n">
        <v>27</v>
      </c>
      <c r="E1288" s="3" t="n">
        <v>26</v>
      </c>
      <c r="F1288" s="3" t="n">
        <v>17</v>
      </c>
      <c r="G1288" s="3" t="n">
        <v>0</v>
      </c>
      <c r="H1288" s="3" t="n">
        <v>0</v>
      </c>
      <c r="I1288" s="3">
        <f>E1288+G1288+H1288</f>
        <v/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/>
      </c>
      <c r="K1288" s="3">
        <f>I1288-J1288</f>
        <v/>
      </c>
      <c r="L1288" s="3">
        <f>IF(K1288&lt;-5,"CRÍTICO",IF(K1288&lt;0,"ATENÇÃO",IF(K1288&lt;=5,"BOM","EXCELENTE")))</f>
        <v/>
      </c>
      <c r="M1288" s="3" t="n">
        <v>25</v>
      </c>
      <c r="N1288" s="3" t="n">
        <v>100</v>
      </c>
      <c r="O1288" s="12" t="n">
        <v>27.43362831858407</v>
      </c>
    </row>
    <row r="1289">
      <c r="A1289" s="10" t="n">
        <v>46041</v>
      </c>
      <c r="B1289" t="inlineStr">
        <is>
          <t>Maysa Victoria Dias Moura</t>
        </is>
      </c>
      <c r="C1289" s="1" t="inlineStr">
        <is>
          <t>Técnico III</t>
        </is>
      </c>
      <c r="D1289" s="3" t="n">
        <v>30</v>
      </c>
      <c r="E1289" s="3" t="n">
        <v>25</v>
      </c>
      <c r="F1289" s="3" t="n">
        <v>12.32</v>
      </c>
      <c r="G1289" s="3" t="n">
        <v>0</v>
      </c>
      <c r="H1289" s="3" t="n">
        <v>0</v>
      </c>
      <c r="I1289" s="3">
        <f>E1289+G1289+H1289</f>
        <v/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/>
      </c>
      <c r="K1289" s="3">
        <f>I1289-J1289</f>
        <v/>
      </c>
      <c r="L1289" s="3">
        <f>IF(K1289&lt;-5,"CRÍTICO",IF(K1289&lt;0,"ATENÇÃO",IF(K1289&lt;=5,"BOM","EXCELENTE")))</f>
        <v/>
      </c>
      <c r="M1289" s="3" t="n">
        <v>24</v>
      </c>
      <c r="N1289" s="3" t="n">
        <v>98.65000000000001</v>
      </c>
      <c r="O1289" s="12" t="n">
        <v>30.97826086956522</v>
      </c>
    </row>
    <row r="1290">
      <c r="A1290" s="10" t="n">
        <v>46041</v>
      </c>
      <c r="B1290" t="inlineStr">
        <is>
          <t>Michelle G Santos</t>
        </is>
      </c>
      <c r="C1290" s="1" t="inlineStr">
        <is>
          <t>Estágio</t>
        </is>
      </c>
      <c r="D1290" s="3" t="n">
        <v>1</v>
      </c>
      <c r="E1290" s="3" t="n">
        <v>1</v>
      </c>
      <c r="F1290" s="3" t="n">
        <v>7.39</v>
      </c>
      <c r="G1290" s="3" t="n">
        <v>0</v>
      </c>
      <c r="H1290" s="3" t="n">
        <v>0</v>
      </c>
      <c r="I1290" s="3">
        <f>E1290+G1290+H1290</f>
        <v/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/>
      </c>
      <c r="K1290" s="3">
        <f>I1290-J1290</f>
        <v/>
      </c>
      <c r="L1290" s="3">
        <f>IF(K1290&lt;-5,"CRÍTICO",IF(K1290&lt;0,"ATENÇÃO",IF(K1290&lt;=5,"BOM","EXCELENTE")))</f>
        <v/>
      </c>
      <c r="M1290" s="3" t="n">
        <v>1</v>
      </c>
      <c r="N1290" s="3" t="n">
        <v>100</v>
      </c>
      <c r="O1290" s="12" t="n">
        <v>12</v>
      </c>
    </row>
    <row r="1291">
      <c r="A1291" s="10" t="n">
        <v>46041</v>
      </c>
      <c r="B1291" t="inlineStr">
        <is>
          <t>Milena Sales</t>
        </is>
      </c>
      <c r="C1291" s="1" t="inlineStr">
        <is>
          <t>JR</t>
        </is>
      </c>
      <c r="D1291" s="3" t="n">
        <v>0</v>
      </c>
      <c r="E1291" s="3" t="n">
        <v>0</v>
      </c>
      <c r="F1291" s="3" t="n">
        <v>0</v>
      </c>
      <c r="G1291" s="3" t="n">
        <v>0</v>
      </c>
      <c r="H1291" s="3" t="n">
        <v>0</v>
      </c>
      <c r="I1291" s="3" t="n">
        <v>0</v>
      </c>
      <c r="J1291" s="3" t="n">
        <v>0</v>
      </c>
      <c r="K1291" s="3" t="n">
        <v>0</v>
      </c>
      <c r="L1291" s="3">
        <f>IF(K1291&lt;-5,"CRÍTICO",IF(K1291&lt;0,"ATENÇÃO",IF(K1291&lt;=5,"BOM","EXCELENTE")))</f>
        <v/>
      </c>
      <c r="M1291" s="3" t="n">
        <v>0</v>
      </c>
      <c r="N1291" s="3" t="n">
        <v>0</v>
      </c>
      <c r="O1291" s="12" t="n">
        <v>0</v>
      </c>
    </row>
    <row r="1292">
      <c r="A1292" s="10" t="n">
        <v>46041</v>
      </c>
      <c r="B1292" t="inlineStr">
        <is>
          <t>Patrícia Karla de Sousa Araújo</t>
        </is>
      </c>
      <c r="C1292" s="1" t="inlineStr">
        <is>
          <t>Técnico II</t>
        </is>
      </c>
      <c r="D1292" s="3" t="n">
        <v>27</v>
      </c>
      <c r="E1292" s="3" t="n">
        <v>25</v>
      </c>
      <c r="F1292" s="3" t="n">
        <v>14.14</v>
      </c>
      <c r="G1292" s="3" t="n">
        <v>0</v>
      </c>
      <c r="H1292" s="3" t="n">
        <v>0</v>
      </c>
      <c r="I1292" s="3">
        <f>E1292+G1292+H1292</f>
        <v/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/>
      </c>
      <c r="K1292" s="3">
        <f>I1292-J1292</f>
        <v/>
      </c>
      <c r="L1292" s="3">
        <f>IF(K1292&lt;-5,"CRÍTICO",IF(K1292&lt;0,"ATENÇÃO",IF(K1292&lt;=5,"BOM","EXCELENTE")))</f>
        <v/>
      </c>
      <c r="M1292" s="3" t="n">
        <v>19</v>
      </c>
      <c r="N1292" s="3" t="n">
        <v>97.56</v>
      </c>
      <c r="O1292" s="12" t="n">
        <v>31.06796116504854</v>
      </c>
    </row>
    <row r="1293">
      <c r="A1293" s="10" t="n">
        <v>46041</v>
      </c>
      <c r="B1293" t="inlineStr">
        <is>
          <t>Paulo Ricardo Santos</t>
        </is>
      </c>
      <c r="C1293" s="1" t="inlineStr">
        <is>
          <t>JR</t>
        </is>
      </c>
      <c r="D1293" s="3" t="n">
        <v>0</v>
      </c>
      <c r="E1293" s="3" t="n">
        <v>0</v>
      </c>
      <c r="F1293" s="3" t="n">
        <v>0</v>
      </c>
      <c r="G1293" s="3" t="n">
        <v>0</v>
      </c>
      <c r="H1293" s="3" t="n">
        <v>0</v>
      </c>
      <c r="I1293" s="3" t="n">
        <v>0</v>
      </c>
      <c r="J1293" s="3" t="n">
        <v>0</v>
      </c>
      <c r="K1293" s="3" t="n">
        <v>0</v>
      </c>
      <c r="L1293" s="3">
        <f>IF(K1293&lt;-5,"CRÍTICO",IF(K1293&lt;0,"ATENÇÃO",IF(K1293&lt;=5,"BOM","EXCELENTE")))</f>
        <v/>
      </c>
      <c r="M1293" s="3" t="n">
        <v>0</v>
      </c>
      <c r="N1293" s="3" t="n">
        <v>0</v>
      </c>
      <c r="O1293" s="12" t="n">
        <v>0</v>
      </c>
    </row>
    <row r="1294">
      <c r="A1294" s="10" t="n">
        <v>46041</v>
      </c>
      <c r="B1294" t="inlineStr">
        <is>
          <t>Pedro Luiz Mota Sousa</t>
        </is>
      </c>
      <c r="C1294" s="1" t="inlineStr">
        <is>
          <t>JR</t>
        </is>
      </c>
      <c r="D1294" s="3" t="n">
        <v>0</v>
      </c>
      <c r="E1294" s="3" t="n">
        <v>0</v>
      </c>
      <c r="F1294" s="3" t="n">
        <v>0</v>
      </c>
      <c r="G1294" s="3" t="n">
        <v>0</v>
      </c>
      <c r="H1294" s="3" t="n">
        <v>0</v>
      </c>
      <c r="I1294" s="3" t="n">
        <v>0</v>
      </c>
      <c r="J1294" s="3" t="n">
        <v>0</v>
      </c>
      <c r="K1294" s="3" t="n">
        <v>0</v>
      </c>
      <c r="L1294" s="3">
        <f>IF(K1294&lt;-5,"CRÍTICO",IF(K1294&lt;0,"ATENÇÃO",IF(K1294&lt;=5,"BOM","EXCELENTE")))</f>
        <v/>
      </c>
      <c r="M1294" s="3" t="n">
        <v>0</v>
      </c>
      <c r="N1294" s="3" t="n">
        <v>0</v>
      </c>
      <c r="O1294" s="12" t="n">
        <v>0</v>
      </c>
    </row>
    <row r="1295">
      <c r="A1295" s="10" t="n">
        <v>46041</v>
      </c>
      <c r="B1295" t="inlineStr">
        <is>
          <t>Quirino Diogo Leite Torres</t>
        </is>
      </c>
      <c r="C1295" s="1" t="inlineStr">
        <is>
          <t>Estágio</t>
        </is>
      </c>
      <c r="D1295" s="3" t="n">
        <v>0</v>
      </c>
      <c r="E1295" s="3" t="n">
        <v>0</v>
      </c>
      <c r="F1295" s="3" t="n">
        <v>0</v>
      </c>
      <c r="G1295" s="3" t="n">
        <v>0</v>
      </c>
      <c r="H1295" s="3" t="n">
        <v>0</v>
      </c>
      <c r="I1295" s="3" t="n">
        <v>0</v>
      </c>
      <c r="J1295" s="3" t="n">
        <v>0</v>
      </c>
      <c r="K1295" s="3" t="n">
        <v>0</v>
      </c>
      <c r="L1295" s="3">
        <f>IF(K1295&lt;-5,"CRÍTICO",IF(K1295&lt;0,"ATENÇÃO",IF(K1295&lt;=5,"BOM","EXCELENTE")))</f>
        <v/>
      </c>
      <c r="M1295" s="3" t="n">
        <v>0</v>
      </c>
      <c r="N1295" s="3" t="n">
        <v>0</v>
      </c>
      <c r="O1295" s="12" t="n">
        <v>0</v>
      </c>
    </row>
    <row r="1296">
      <c r="A1296" s="10" t="n">
        <v>46041</v>
      </c>
      <c r="B1296" t="inlineStr">
        <is>
          <t>Raane Batista Matos</t>
        </is>
      </c>
      <c r="C1296" s="1" t="inlineStr">
        <is>
          <t>Técnico I</t>
        </is>
      </c>
      <c r="D1296" s="3" t="n">
        <v>0</v>
      </c>
      <c r="E1296" s="3" t="n">
        <v>0</v>
      </c>
      <c r="F1296" s="3" t="n">
        <v>0</v>
      </c>
      <c r="G1296" s="3" t="n">
        <v>0</v>
      </c>
      <c r="H1296" s="3" t="n">
        <v>0</v>
      </c>
      <c r="I1296" s="3" t="n">
        <v>0</v>
      </c>
      <c r="J1296" s="3" t="n">
        <v>0</v>
      </c>
      <c r="K1296" s="3" t="n">
        <v>0</v>
      </c>
      <c r="L1296" s="3">
        <f>IF(K1296&lt;-5,"CRÍTICO",IF(K1296&lt;0,"ATENÇÃO",IF(K1296&lt;=5,"BOM","EXCELENTE")))</f>
        <v/>
      </c>
      <c r="M1296" s="3" t="n">
        <v>0</v>
      </c>
      <c r="N1296" s="3" t="n">
        <v>100</v>
      </c>
      <c r="O1296" s="12" t="n">
        <v>53.84615384615385</v>
      </c>
    </row>
    <row r="1297">
      <c r="A1297" s="10" t="n">
        <v>46041</v>
      </c>
      <c r="B1297" t="inlineStr">
        <is>
          <t>Rafael Gomes de Morais</t>
        </is>
      </c>
      <c r="C1297" s="1" t="inlineStr">
        <is>
          <t>Técnico III</t>
        </is>
      </c>
      <c r="D1297" s="3" t="n">
        <v>0</v>
      </c>
      <c r="E1297" s="3" t="n">
        <v>0</v>
      </c>
      <c r="F1297" s="3" t="n">
        <v>0</v>
      </c>
      <c r="G1297" s="3" t="n">
        <v>0</v>
      </c>
      <c r="H1297" s="3" t="n">
        <v>0</v>
      </c>
      <c r="I1297" s="3" t="n">
        <v>0</v>
      </c>
      <c r="J1297" s="3" t="n">
        <v>0</v>
      </c>
      <c r="K1297" s="3" t="n">
        <v>0</v>
      </c>
      <c r="L1297" s="3">
        <f>IF(K1297&lt;-5,"CRÍTICO",IF(K1297&lt;0,"ATENÇÃO",IF(K1297&lt;=5,"BOM","EXCELENTE")))</f>
        <v/>
      </c>
      <c r="M1297" s="3" t="n">
        <v>0</v>
      </c>
      <c r="N1297" s="3" t="n">
        <v>100</v>
      </c>
      <c r="O1297" s="12" t="n">
        <v>44.05594405594406</v>
      </c>
    </row>
    <row r="1298">
      <c r="A1298" s="10" t="n">
        <v>46041</v>
      </c>
      <c r="B1298" t="inlineStr">
        <is>
          <t>Sara Maria Monteiro Lopes</t>
        </is>
      </c>
      <c r="C1298" s="1" t="inlineStr">
        <is>
          <t>Técnico I</t>
        </is>
      </c>
      <c r="D1298" s="3" t="n">
        <v>10</v>
      </c>
      <c r="E1298" s="3" t="n">
        <v>9</v>
      </c>
      <c r="F1298" s="3" t="n">
        <v>52.36</v>
      </c>
      <c r="G1298" s="3" t="n">
        <v>0</v>
      </c>
      <c r="H1298" s="3" t="n">
        <v>0</v>
      </c>
      <c r="I1298" s="3">
        <f>E1298+G1298+H1298</f>
        <v/>
      </c>
      <c r="J1298" s="3">
        <f>ROUND(MIN(IF(C1298="Técnico III",35,IF(C1298="Técnico II",28,IF(C1298="Técnico I",23,IF(C1298="JR",20,IF(C1298="Estágio",10,0))))),IF(C1298="Técnico III",SUMIFS($D:$D,$A:$A,$A1298,$B:$B,"&lt;&gt;Patrícia Karla de Sousa Araújo",$B:$B,"&lt;&gt;Lorena Dias de Araujo",$B:$B,"&lt;&gt;Lucas Luiz Romero")*(35/1083),IF(C1298="Técnico II",SUMIFS($D:$D,$A:$A,$A1298,$B:$B,"&lt;&gt;Patrícia Karla de Sousa Araújo",$B:$B,"&lt;&gt;Lorena Dias de Araujo",$B:$B,"&lt;&gt;Lucas Luiz Romero")*(28/1083),IF(C1298="Técnico I",SUMIFS($D:$D,$A:$A,$A1298,$B:$B,"&lt;&gt;Patrícia Karla de Sousa Araújo",$B:$B,"&lt;&gt;Lorena Dias de Araujo",$B:$B,"&lt;&gt;Lucas Luiz Romero")*(23/1083),IF(C1298="JR",SUMIFS($D:$D,$A:$A,$A1298,$B:$B,"&lt;&gt;Patrícia Karla de Sousa Araújo",$B:$B,"&lt;&gt;Lorena Dias de Araujo",$B:$B,"&lt;&gt;Lucas Luiz Romero")*(20/1083),IF(C1298="Estágio",SUMIFS($D:$D,$A:$A,$A1298,$B:$B,"&lt;&gt;Patrícia Karla de Sousa Araújo",$B:$B,"&lt;&gt;Lorena Dias de Araujo",$B:$B,"&lt;&gt;Lucas Luiz Romero")*(10/1083),0)))))),0)</f>
        <v/>
      </c>
      <c r="K1298" s="3">
        <f>I1298-J1298</f>
        <v/>
      </c>
      <c r="L1298" s="3">
        <f>IF(K1298&lt;-5,"CRÍTICO",IF(K1298&lt;0,"ATENÇÃO",IF(K1298&lt;=5,"BOM","EXCELENTE")))</f>
        <v/>
      </c>
      <c r="M1298" s="3" t="n">
        <v>8</v>
      </c>
      <c r="N1298" s="3" t="n">
        <v>100</v>
      </c>
      <c r="O1298" s="12" t="n">
        <v>31.87250996015936</v>
      </c>
    </row>
    <row r="1299">
      <c r="A1299" s="10" t="n">
        <v>46041</v>
      </c>
      <c r="B1299" t="inlineStr">
        <is>
          <t>Sarah Steffanie de Lima Borges</t>
        </is>
      </c>
      <c r="C1299" s="1" t="inlineStr">
        <is>
          <t>Técnico III</t>
        </is>
      </c>
      <c r="D1299" s="3" t="n">
        <v>23</v>
      </c>
      <c r="E1299" s="3" t="n">
        <v>21</v>
      </c>
      <c r="F1299" s="3" t="n">
        <v>15</v>
      </c>
      <c r="G1299" s="3" t="n">
        <v>0</v>
      </c>
      <c r="H1299" s="3" t="n">
        <v>0</v>
      </c>
      <c r="I1299" s="3">
        <f>E1299+G1299+H1299</f>
        <v/>
      </c>
      <c r="J1299" s="3">
        <f>ROUND(MIN(IF(C1299="Técnico III",35,IF(C1299="Técnico II",28,IF(C1299="Técnico I",23,IF(C1299="JR",20,IF(C1299="Estágio",10,0))))),IF(C1299="Técnico III",SUMIFS($D:$D,$A:$A,$A1299,$B:$B,"&lt;&gt;Patrícia Karla de Sousa Araújo",$B:$B,"&lt;&gt;Lorena Dias de Araujo",$B:$B,"&lt;&gt;Lucas Luiz Romero")*(35/1083),IF(C1299="Técnico II",SUMIFS($D:$D,$A:$A,$A1299,$B:$B,"&lt;&gt;Patrícia Karla de Sousa Araújo",$B:$B,"&lt;&gt;Lorena Dias de Araujo",$B:$B,"&lt;&gt;Lucas Luiz Romero")*(28/1083),IF(C1299="Técnico I",SUMIFS($D:$D,$A:$A,$A1299,$B:$B,"&lt;&gt;Patrícia Karla de Sousa Araújo",$B:$B,"&lt;&gt;Lorena Dias de Araujo",$B:$B,"&lt;&gt;Lucas Luiz Romero")*(23/1083),IF(C1299="JR",SUMIFS($D:$D,$A:$A,$A1299,$B:$B,"&lt;&gt;Patrícia Karla de Sousa Araújo",$B:$B,"&lt;&gt;Lorena Dias de Araujo",$B:$B,"&lt;&gt;Lucas Luiz Romero")*(20/1083),IF(C1299="Estágio",SUMIFS($D:$D,$A:$A,$A1299,$B:$B,"&lt;&gt;Patrícia Karla de Sousa Araújo",$B:$B,"&lt;&gt;Lorena Dias de Araujo",$B:$B,"&lt;&gt;Lucas Luiz Romero")*(10/1083),0)))))),0)</f>
        <v/>
      </c>
      <c r="K1299" s="3">
        <f>I1299-J1299</f>
        <v/>
      </c>
      <c r="L1299" s="3">
        <f>IF(K1299&lt;-5,"CRÍTICO",IF(K1299&lt;0,"ATENÇÃO",IF(K1299&lt;=5,"BOM","EXCELENTE")))</f>
        <v/>
      </c>
      <c r="M1299" s="3" t="n">
        <v>20</v>
      </c>
      <c r="N1299" s="3" t="n">
        <v>98.41</v>
      </c>
      <c r="O1299" s="12" t="n">
        <v>29.22465208747515</v>
      </c>
    </row>
    <row r="1300">
      <c r="A1300" s="10" t="n">
        <v>46042</v>
      </c>
      <c r="B1300" t="inlineStr">
        <is>
          <t>Alisson de Freitas Silva</t>
        </is>
      </c>
      <c r="C1300" s="1" t="inlineStr">
        <is>
          <t>Técnico II</t>
        </is>
      </c>
      <c r="D1300" s="3" t="n">
        <v>28</v>
      </c>
      <c r="E1300" s="3" t="n">
        <v>23</v>
      </c>
      <c r="F1300" s="3" t="n">
        <v>10.55</v>
      </c>
      <c r="G1300" s="3" t="n">
        <v>0</v>
      </c>
      <c r="H1300" s="3" t="n">
        <v>0</v>
      </c>
      <c r="I1300" s="3">
        <f>E1300+G1300+H1300</f>
        <v/>
      </c>
      <c r="J1300" s="3">
        <f>ROUND(MIN(IF(C1300="Técnico III",35,IF(C1300="Técnico II",28,IF(C1300="Técnico I",23,IF(C1300="JR",20,IF(C1300="Estágio",10,0))))),IF(C1300="Técnico III",SUMIFS($D:$D,$A:$A,$A1300,$B:$B,"&lt;&gt;Patrícia Karla de Sousa Araújo",$B:$B,"&lt;&gt;Lorena Dias de Araujo",$B:$B,"&lt;&gt;Lucas Luiz Romero")*(35/1083),IF(C1300="Técnico II",SUMIFS($D:$D,$A:$A,$A1300,$B:$B,"&lt;&gt;Patrícia Karla de Sousa Araújo",$B:$B,"&lt;&gt;Lorena Dias de Araujo",$B:$B,"&lt;&gt;Lucas Luiz Romero")*(28/1083),IF(C1300="Técnico I",SUMIFS($D:$D,$A:$A,$A1300,$B:$B,"&lt;&gt;Patrícia Karla de Sousa Araújo",$B:$B,"&lt;&gt;Lorena Dias de Araujo",$B:$B,"&lt;&gt;Lucas Luiz Romero")*(23/1083),IF(C1300="JR",SUMIFS($D:$D,$A:$A,$A1300,$B:$B,"&lt;&gt;Patrícia Karla de Sousa Araújo",$B:$B,"&lt;&gt;Lorena Dias de Araujo",$B:$B,"&lt;&gt;Lucas Luiz Romero")*(20/1083),IF(C1300="Estágio",SUMIFS($D:$D,$A:$A,$A1300,$B:$B,"&lt;&gt;Patrícia Karla de Sousa Araújo",$B:$B,"&lt;&gt;Lorena Dias de Araujo",$B:$B,"&lt;&gt;Lucas Luiz Romero")*(10/1083),0)))))),0)</f>
        <v/>
      </c>
      <c r="K1300" s="3">
        <f>I1300-J1300</f>
        <v/>
      </c>
      <c r="L1300" s="3">
        <f>IF(K1300&lt;-5,"CRÍTICO",IF(K1300&lt;0,"ATENÇÃO",IF(K1300&lt;=5,"BOM","EXCELENTE")))</f>
        <v/>
      </c>
      <c r="M1300" s="3" t="n">
        <v>17</v>
      </c>
      <c r="N1300" s="3" t="n">
        <v>96.81</v>
      </c>
      <c r="O1300" s="12" t="n">
        <v>27.98053527980535</v>
      </c>
    </row>
    <row r="1301">
      <c r="A1301" s="10" t="n">
        <v>46042</v>
      </c>
      <c r="B1301" t="inlineStr">
        <is>
          <t>Amanda Moura Ferreira</t>
        </is>
      </c>
      <c r="C1301" s="1" t="inlineStr">
        <is>
          <t>Técnico III</t>
        </is>
      </c>
      <c r="D1301" s="3" t="n">
        <v>0</v>
      </c>
      <c r="E1301" s="3" t="n">
        <v>0</v>
      </c>
      <c r="F1301" s="3" t="n">
        <v>0</v>
      </c>
      <c r="G1301" s="3" t="n">
        <v>0</v>
      </c>
      <c r="H1301" s="3" t="n">
        <v>0</v>
      </c>
      <c r="I1301" s="3" t="n">
        <v>0</v>
      </c>
      <c r="J1301" s="3" t="n">
        <v>0</v>
      </c>
      <c r="K1301" s="3" t="n">
        <v>0</v>
      </c>
      <c r="L1301" s="3">
        <f>IF(K1301&lt;-5,"CRÍTICO",IF(K1301&lt;0,"ATENÇÃO",IF(K1301&lt;=5,"BOM","EXCELENTE")))</f>
        <v/>
      </c>
      <c r="M1301" s="3" t="n">
        <v>19</v>
      </c>
      <c r="N1301" s="3" t="n">
        <v>98.73</v>
      </c>
      <c r="O1301" s="12" t="n">
        <v>35.75638506876228</v>
      </c>
    </row>
    <row r="1302">
      <c r="A1302" s="10" t="n">
        <v>46042</v>
      </c>
      <c r="B1302" t="inlineStr">
        <is>
          <t>Ana Karollyne Souza Faria</t>
        </is>
      </c>
      <c r="C1302" s="1" t="inlineStr">
        <is>
          <t>Técnico I</t>
        </is>
      </c>
      <c r="D1302" s="3" t="n">
        <v>25</v>
      </c>
      <c r="E1302" s="3" t="n">
        <v>21</v>
      </c>
      <c r="F1302" s="3" t="n">
        <v>15.4</v>
      </c>
      <c r="G1302" s="3" t="n">
        <v>0</v>
      </c>
      <c r="H1302" s="3" t="n">
        <v>0</v>
      </c>
      <c r="I1302" s="3">
        <f>E1302+G1302+H1302</f>
        <v/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/>
      </c>
      <c r="K1302" s="3">
        <f>I1302-J1302</f>
        <v/>
      </c>
      <c r="L1302" s="3">
        <f>IF(K1302&lt;-5,"CRÍTICO",IF(K1302&lt;0,"ATENÇÃO",IF(K1302&lt;=5,"BOM","EXCELENTE")))</f>
        <v/>
      </c>
      <c r="M1302" s="3" t="n">
        <v>21</v>
      </c>
      <c r="N1302" s="3" t="n">
        <v>98.31999999999999</v>
      </c>
      <c r="O1302" s="12" t="n">
        <v>26.76348547717842</v>
      </c>
    </row>
    <row r="1303">
      <c r="A1303" s="10" t="n">
        <v>46042</v>
      </c>
      <c r="B1303" t="inlineStr">
        <is>
          <t>Ana Paula Da Luz Silva Aleixo</t>
        </is>
      </c>
      <c r="C1303" s="1" t="inlineStr">
        <is>
          <t>Técnico III</t>
        </is>
      </c>
      <c r="D1303" s="3" t="n">
        <v>19</v>
      </c>
      <c r="E1303" s="3" t="n">
        <v>18</v>
      </c>
      <c r="F1303" s="3" t="n">
        <v>25.55</v>
      </c>
      <c r="G1303" s="3" t="n">
        <v>0</v>
      </c>
      <c r="H1303" s="3" t="n">
        <v>0</v>
      </c>
      <c r="I1303" s="3">
        <f>E1303+G1303+H1303</f>
        <v/>
      </c>
      <c r="J1303" s="3">
        <f>ROUND(MIN(IF(C1303="Técnico III",35,IF(C1303="Técnico II",28,IF(C1303="Técnico I",23,IF(C1303="JR",20,IF(C1303="Estágio",10,0))))),IF(C1303="Técnico III",SUMIFS($D:$D,$A:$A,$A1303,$B:$B,"&lt;&gt;Patrícia Karla de Sousa Araújo",$B:$B,"&lt;&gt;Lorena Dias de Araujo",$B:$B,"&lt;&gt;Lucas Luiz Romero")*(35/1083),IF(C1303="Técnico II",SUMIFS($D:$D,$A:$A,$A1303,$B:$B,"&lt;&gt;Patrícia Karla de Sousa Araújo",$B:$B,"&lt;&gt;Lorena Dias de Araujo",$B:$B,"&lt;&gt;Lucas Luiz Romero")*(28/1083),IF(C1303="Técnico I",SUMIFS($D:$D,$A:$A,$A1303,$B:$B,"&lt;&gt;Patrícia Karla de Sousa Araújo",$B:$B,"&lt;&gt;Lorena Dias de Araujo",$B:$B,"&lt;&gt;Lucas Luiz Romero")*(23/1083),IF(C1303="JR",SUMIFS($D:$D,$A:$A,$A1303,$B:$B,"&lt;&gt;Patrícia Karla de Sousa Araújo",$B:$B,"&lt;&gt;Lorena Dias de Araujo",$B:$B,"&lt;&gt;Lucas Luiz Romero")*(20/1083),IF(C1303="Estágio",SUMIFS($D:$D,$A:$A,$A1303,$B:$B,"&lt;&gt;Patrícia Karla de Sousa Araújo",$B:$B,"&lt;&gt;Lorena Dias de Araujo",$B:$B,"&lt;&gt;Lucas Luiz Romero")*(10/1083),0)))))),0)</f>
        <v/>
      </c>
      <c r="K1303" s="3">
        <f>I1303-J1303</f>
        <v/>
      </c>
      <c r="L1303" s="3">
        <f>IF(K1303&lt;-5,"CRÍTICO",IF(K1303&lt;0,"ATENÇÃO",IF(K1303&lt;=5,"BOM","EXCELENTE")))</f>
        <v/>
      </c>
      <c r="M1303" s="3" t="n">
        <v>15</v>
      </c>
      <c r="N1303" s="3" t="n">
        <v>99.19</v>
      </c>
      <c r="O1303" s="12" t="n">
        <v>27.63713080168776</v>
      </c>
    </row>
    <row r="1304">
      <c r="A1304" s="10" t="n">
        <v>46042</v>
      </c>
      <c r="B1304" t="inlineStr">
        <is>
          <t>Anna Luiza Rezende Tavares</t>
        </is>
      </c>
      <c r="C1304" s="1" t="inlineStr">
        <is>
          <t>Estágio</t>
        </is>
      </c>
      <c r="D1304" s="3" t="n">
        <v>8</v>
      </c>
      <c r="E1304" s="3" t="n">
        <v>8</v>
      </c>
      <c r="F1304" s="3" t="n">
        <v>27.13</v>
      </c>
      <c r="G1304" s="3" t="n">
        <v>0</v>
      </c>
      <c r="H1304" s="3" t="n">
        <v>0</v>
      </c>
      <c r="I1304" s="3">
        <f>E1304+G1304+H1304</f>
        <v/>
      </c>
      <c r="J1304" s="3">
        <f>ROUND(MIN(IF(C1304="Técnico III",35,IF(C1304="Técnico II",28,IF(C1304="Técnico I",23,IF(C1304="JR",20,IF(C1304="Estágio",10,0))))),IF(C1304="Técnico III",SUMIFS($D:$D,$A:$A,$A1304,$B:$B,"&lt;&gt;Patrícia Karla de Sousa Araújo",$B:$B,"&lt;&gt;Lorena Dias de Araujo",$B:$B,"&lt;&gt;Lucas Luiz Romero")*(35/1083),IF(C1304="Técnico II",SUMIFS($D:$D,$A:$A,$A1304,$B:$B,"&lt;&gt;Patrícia Karla de Sousa Araújo",$B:$B,"&lt;&gt;Lorena Dias de Araujo",$B:$B,"&lt;&gt;Lucas Luiz Romero")*(28/1083),IF(C1304="Técnico I",SUMIFS($D:$D,$A:$A,$A1304,$B:$B,"&lt;&gt;Patrícia Karla de Sousa Araújo",$B:$B,"&lt;&gt;Lorena Dias de Araujo",$B:$B,"&lt;&gt;Lucas Luiz Romero")*(23/1083),IF(C1304="JR",SUMIFS($D:$D,$A:$A,$A1304,$B:$B,"&lt;&gt;Patrícia Karla de Sousa Araújo",$B:$B,"&lt;&gt;Lorena Dias de Araujo",$B:$B,"&lt;&gt;Lucas Luiz Romero")*(20/1083),IF(C1304="Estágio",SUMIFS($D:$D,$A:$A,$A1304,$B:$B,"&lt;&gt;Patrícia Karla de Sousa Araújo",$B:$B,"&lt;&gt;Lorena Dias de Araujo",$B:$B,"&lt;&gt;Lucas Luiz Romero")*(10/1083),0)))))),0)</f>
        <v/>
      </c>
      <c r="K1304" s="3">
        <f>I1304-J1304</f>
        <v/>
      </c>
      <c r="L1304" s="3">
        <f>IF(K1304&lt;-5,"CRÍTICO",IF(K1304&lt;0,"ATENÇÃO",IF(K1304&lt;=5,"BOM","EXCELENTE")))</f>
        <v/>
      </c>
      <c r="M1304" s="3" t="n">
        <v>8</v>
      </c>
      <c r="N1304" s="3" t="n">
        <v>100</v>
      </c>
      <c r="O1304" s="12" t="n">
        <v>39.56834532374101</v>
      </c>
    </row>
    <row r="1305">
      <c r="A1305" s="10" t="n">
        <v>46042</v>
      </c>
      <c r="B1305" t="inlineStr">
        <is>
          <t>Brenda de Menezes Silva</t>
        </is>
      </c>
      <c r="C1305" s="1" t="inlineStr">
        <is>
          <t>Técnico II</t>
        </is>
      </c>
      <c r="D1305" s="3" t="n">
        <v>19</v>
      </c>
      <c r="E1305" s="3" t="n">
        <v>18</v>
      </c>
      <c r="F1305" s="3" t="n">
        <v>14.02</v>
      </c>
      <c r="G1305" s="3" t="n">
        <v>0</v>
      </c>
      <c r="H1305" s="3" t="n">
        <v>0</v>
      </c>
      <c r="I1305" s="3">
        <f>E1305+G1305+H1305</f>
        <v/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/>
      </c>
      <c r="K1305" s="3">
        <f>I1305-J1305</f>
        <v/>
      </c>
      <c r="L1305" s="3">
        <f>IF(K1305&lt;-5,"CRÍTICO",IF(K1305&lt;0,"ATENÇÃO",IF(K1305&lt;=5,"BOM","EXCELENTE")))</f>
        <v/>
      </c>
      <c r="M1305" s="3" t="n">
        <v>20</v>
      </c>
      <c r="N1305" s="3" t="n">
        <v>98.54000000000001</v>
      </c>
      <c r="O1305" s="12" t="n">
        <v>28.54477611940299</v>
      </c>
    </row>
    <row r="1306">
      <c r="A1306" s="10" t="n">
        <v>46042</v>
      </c>
      <c r="B1306" t="inlineStr">
        <is>
          <t>Carlos Mateus Cassimiro Nunes</t>
        </is>
      </c>
      <c r="C1306" s="1" t="inlineStr">
        <is>
          <t>Técnico II</t>
        </is>
      </c>
      <c r="D1306" s="3" t="n">
        <v>19</v>
      </c>
      <c r="E1306" s="3" t="n">
        <v>17</v>
      </c>
      <c r="F1306" s="3" t="n">
        <v>21.53</v>
      </c>
      <c r="G1306" s="3" t="n">
        <v>0</v>
      </c>
      <c r="H1306" s="3" t="n">
        <v>0</v>
      </c>
      <c r="I1306" s="3">
        <f>E1306+G1306+H1306</f>
        <v/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/>
      </c>
      <c r="K1306" s="3">
        <f>I1306-J1306</f>
        <v/>
      </c>
      <c r="L1306" s="3">
        <f>IF(K1306&lt;-5,"CRÍTICO",IF(K1306&lt;0,"ATENÇÃO",IF(K1306&lt;=5,"BOM","EXCELENTE")))</f>
        <v/>
      </c>
      <c r="M1306" s="3" t="n">
        <v>19</v>
      </c>
      <c r="N1306" s="3" t="n">
        <v>100</v>
      </c>
      <c r="O1306" s="12" t="n">
        <v>34.36692506459949</v>
      </c>
    </row>
    <row r="1307">
      <c r="A1307" s="10" t="n">
        <v>46042</v>
      </c>
      <c r="B1307" t="inlineStr">
        <is>
          <t>Claudio de Sousa Velasco Filho</t>
        </is>
      </c>
      <c r="C1307" s="1" t="inlineStr">
        <is>
          <t>Estágio</t>
        </is>
      </c>
      <c r="D1307" s="3" t="n">
        <v>0</v>
      </c>
      <c r="E1307" s="3" t="n">
        <v>0</v>
      </c>
      <c r="F1307" s="3" t="n">
        <v>0</v>
      </c>
      <c r="G1307" s="3" t="n">
        <v>0</v>
      </c>
      <c r="H1307" s="3" t="n">
        <v>0</v>
      </c>
      <c r="I1307" s="3" t="n">
        <v>0</v>
      </c>
      <c r="J1307" s="3" t="n">
        <v>0</v>
      </c>
      <c r="K1307" s="3" t="n">
        <v>0</v>
      </c>
      <c r="L1307" s="3">
        <f>IF(K1307&lt;-5,"CRÍTICO",IF(K1307&lt;0,"ATENÇÃO",IF(K1307&lt;=5,"BOM","EXCELENTE")))</f>
        <v/>
      </c>
      <c r="M1307" s="3" t="n">
        <v>0</v>
      </c>
      <c r="N1307" s="3" t="n">
        <v>0</v>
      </c>
      <c r="O1307" s="12" t="n">
        <v>0</v>
      </c>
    </row>
    <row r="1308">
      <c r="A1308" s="10" t="n">
        <v>46042</v>
      </c>
      <c r="B1308" t="inlineStr">
        <is>
          <t>Clessiane Pereira dos Santos</t>
        </is>
      </c>
      <c r="C1308" s="1" t="inlineStr">
        <is>
          <t>Técnico I</t>
        </is>
      </c>
      <c r="D1308" s="3" t="n">
        <v>16</v>
      </c>
      <c r="E1308" s="3" t="n">
        <v>16</v>
      </c>
      <c r="F1308" s="3" t="n">
        <v>32.04</v>
      </c>
      <c r="G1308" s="3" t="n">
        <v>0</v>
      </c>
      <c r="H1308" s="3" t="n">
        <v>0</v>
      </c>
      <c r="I1308" s="3">
        <f>E1308+G1308+H1308</f>
        <v/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/>
      </c>
      <c r="K1308" s="3">
        <f>I1308-J1308</f>
        <v/>
      </c>
      <c r="L1308" s="3">
        <f>IF(K1308&lt;-5,"CRÍTICO",IF(K1308&lt;0,"ATENÇÃO",IF(K1308&lt;=5,"BOM","EXCELENTE")))</f>
        <v/>
      </c>
      <c r="M1308" s="3" t="n">
        <v>13</v>
      </c>
      <c r="N1308" s="3" t="n">
        <v>100</v>
      </c>
      <c r="O1308" s="12" t="n">
        <v>29.51807228915663</v>
      </c>
    </row>
    <row r="1309">
      <c r="A1309" s="10" t="n">
        <v>46042</v>
      </c>
      <c r="B1309" t="inlineStr">
        <is>
          <t>Cristiane Ramos da Silva Rocha</t>
        </is>
      </c>
      <c r="C1309" s="1" t="inlineStr">
        <is>
          <t>Técnico III</t>
        </is>
      </c>
      <c r="D1309" s="3" t="n">
        <v>25</v>
      </c>
      <c r="E1309" s="3" t="n">
        <v>24</v>
      </c>
      <c r="F1309" s="3" t="n">
        <v>14.12</v>
      </c>
      <c r="G1309" s="3" t="n">
        <v>0</v>
      </c>
      <c r="H1309" s="3" t="n">
        <v>0</v>
      </c>
      <c r="I1309" s="3">
        <f>E1309+G1309+H1309</f>
        <v/>
      </c>
      <c r="J1309" s="3">
        <f>ROUND(MIN(IF(C1309="Técnico III",35,IF(C1309="Técnico II",28,IF(C1309="Técnico I",23,IF(C1309="JR",20,IF(C1309="Estágio",10,0))))),IF(C1309="Técnico III",SUMIFS($D:$D,$A:$A,$A1309,$B:$B,"&lt;&gt;Patrícia Karla de Sousa Araújo",$B:$B,"&lt;&gt;Lorena Dias de Araujo",$B:$B,"&lt;&gt;Lucas Luiz Romero")*(35/1083),IF(C1309="Técnico II",SUMIFS($D:$D,$A:$A,$A1309,$B:$B,"&lt;&gt;Patrícia Karla de Sousa Araújo",$B:$B,"&lt;&gt;Lorena Dias de Araujo",$B:$B,"&lt;&gt;Lucas Luiz Romero")*(28/1083),IF(C1309="Técnico I",SUMIFS($D:$D,$A:$A,$A1309,$B:$B,"&lt;&gt;Patrícia Karla de Sousa Araújo",$B:$B,"&lt;&gt;Lorena Dias de Araujo",$B:$B,"&lt;&gt;Lucas Luiz Romero")*(23/1083),IF(C1309="JR",SUMIFS($D:$D,$A:$A,$A1309,$B:$B,"&lt;&gt;Patrícia Karla de Sousa Araújo",$B:$B,"&lt;&gt;Lorena Dias de Araujo",$B:$B,"&lt;&gt;Lucas Luiz Romero")*(20/1083),IF(C1309="Estágio",SUMIFS($D:$D,$A:$A,$A1309,$B:$B,"&lt;&gt;Patrícia Karla de Sousa Araújo",$B:$B,"&lt;&gt;Lorena Dias de Araujo",$B:$B,"&lt;&gt;Lucas Luiz Romero")*(10/1083),0)))))),0)</f>
        <v/>
      </c>
      <c r="K1309" s="3">
        <f>I1309-J1309</f>
        <v/>
      </c>
      <c r="L1309" s="3">
        <f>IF(K1309&lt;-5,"CRÍTICO",IF(K1309&lt;0,"ATENÇÃO",IF(K1309&lt;=5,"BOM","EXCELENTE")))</f>
        <v/>
      </c>
      <c r="M1309" s="3" t="n">
        <v>22</v>
      </c>
      <c r="N1309" s="3" t="n">
        <v>97.45</v>
      </c>
      <c r="O1309" s="12" t="n">
        <v>41.421143847487</v>
      </c>
    </row>
    <row r="1310">
      <c r="A1310" s="10" t="n">
        <v>46042</v>
      </c>
      <c r="B1310" t="inlineStr">
        <is>
          <t>Damyllis Lorraine de Oliveira Gonçalves</t>
        </is>
      </c>
      <c r="C1310" s="1" t="inlineStr">
        <is>
          <t>Técnico II</t>
        </is>
      </c>
      <c r="D1310" s="3" t="n">
        <v>29</v>
      </c>
      <c r="E1310" s="3" t="n">
        <v>20</v>
      </c>
      <c r="F1310" s="3" t="n">
        <v>8.26</v>
      </c>
      <c r="G1310" s="3" t="n">
        <v>0</v>
      </c>
      <c r="H1310" s="3" t="n">
        <v>0</v>
      </c>
      <c r="I1310" s="3" t="n">
        <v>0</v>
      </c>
      <c r="J1310" s="3" t="n">
        <v>0</v>
      </c>
      <c r="K1310" s="3" t="n">
        <v>0</v>
      </c>
      <c r="L1310" s="3">
        <f>IF(K1310&lt;-5,"CRÍTICO",IF(K1310&lt;0,"ATENÇÃO",IF(K1310&lt;=5,"BOM","EXCELENTE")))</f>
        <v/>
      </c>
      <c r="M1310" s="3" t="n">
        <v>21</v>
      </c>
      <c r="N1310" s="3" t="n">
        <v>96.58</v>
      </c>
      <c r="O1310" s="12" t="n">
        <v>30.39647577092511</v>
      </c>
    </row>
    <row r="1311">
      <c r="A1311" s="10" t="n">
        <v>46042</v>
      </c>
      <c r="B1311" t="inlineStr">
        <is>
          <t>Daniel Gomes da Silva</t>
        </is>
      </c>
      <c r="C1311" s="1" t="inlineStr">
        <is>
          <t>Técnico I</t>
        </is>
      </c>
      <c r="D1311" s="3" t="n">
        <v>20</v>
      </c>
      <c r="E1311" s="3" t="n">
        <v>17</v>
      </c>
      <c r="F1311" s="3" t="n">
        <v>22.01</v>
      </c>
      <c r="G1311" s="3" t="n">
        <v>0</v>
      </c>
      <c r="H1311" s="3" t="n">
        <v>0</v>
      </c>
      <c r="I1311" s="3">
        <f>E1311+G1311+H1311</f>
        <v/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/>
      </c>
      <c r="K1311" s="3">
        <f>I1311-J1311</f>
        <v/>
      </c>
      <c r="L1311" s="3">
        <f>IF(K1311&lt;-5,"CRÍTICO",IF(K1311&lt;0,"ATENÇÃO",IF(K1311&lt;=5,"BOM","EXCELENTE")))</f>
        <v/>
      </c>
      <c r="M1311" s="3" t="n">
        <v>18</v>
      </c>
      <c r="N1311" s="3" t="n">
        <v>100</v>
      </c>
      <c r="O1311" s="12" t="n">
        <v>27.44282744282744</v>
      </c>
    </row>
    <row r="1312">
      <c r="A1312" s="10" t="n">
        <v>46042</v>
      </c>
      <c r="B1312" t="inlineStr">
        <is>
          <t>Davylla Rodrigues Freitas Silva</t>
        </is>
      </c>
      <c r="C1312" s="1" t="inlineStr">
        <is>
          <t>Técnico III</t>
        </is>
      </c>
      <c r="D1312" s="3" t="n">
        <v>17</v>
      </c>
      <c r="E1312" s="3" t="n">
        <v>17</v>
      </c>
      <c r="F1312" s="3" t="n">
        <v>30.1</v>
      </c>
      <c r="G1312" s="3" t="n">
        <v>0</v>
      </c>
      <c r="H1312" s="3" t="n">
        <v>0</v>
      </c>
      <c r="I1312" s="3" t="n">
        <v>0</v>
      </c>
      <c r="J1312" s="3" t="n">
        <v>0</v>
      </c>
      <c r="K1312" s="3" t="n">
        <v>0</v>
      </c>
      <c r="L1312" s="3">
        <f>IF(K1312&lt;-5,"CRÍTICO",IF(K1312&lt;0,"ATENÇÃO",IF(K1312&lt;=5,"BOM","EXCELENTE")))</f>
        <v/>
      </c>
      <c r="M1312" s="3" t="n">
        <v>19</v>
      </c>
      <c r="N1312" s="3" t="n">
        <v>99.48999999999999</v>
      </c>
      <c r="O1312" s="12" t="n">
        <v>40.2</v>
      </c>
    </row>
    <row r="1313">
      <c r="A1313" s="10" t="n">
        <v>46042</v>
      </c>
      <c r="B1313" t="inlineStr">
        <is>
          <t>Emilly Caylane Costa</t>
        </is>
      </c>
      <c r="C1313" s="1" t="inlineStr">
        <is>
          <t>Estágio</t>
        </is>
      </c>
      <c r="D1313" s="3" t="n">
        <v>0</v>
      </c>
      <c r="E1313" s="3" t="n">
        <v>0</v>
      </c>
      <c r="F1313" s="3" t="n">
        <v>0</v>
      </c>
      <c r="G1313" s="3" t="n">
        <v>0</v>
      </c>
      <c r="H1313" s="3" t="n">
        <v>0</v>
      </c>
      <c r="I1313" s="3" t="n">
        <v>0</v>
      </c>
      <c r="J1313" s="3" t="n">
        <v>0</v>
      </c>
      <c r="K1313" s="3" t="n">
        <v>0</v>
      </c>
      <c r="L1313" s="3">
        <f>IF(K1313&lt;-5,"CRÍTICO",IF(K1313&lt;0,"ATENÇÃO",IF(K1313&lt;=5,"BOM","EXCELENTE")))</f>
        <v/>
      </c>
      <c r="M1313" s="3" t="n">
        <v>0</v>
      </c>
      <c r="N1313" s="3" t="n">
        <v>100</v>
      </c>
      <c r="O1313" s="12" t="n">
        <v>25</v>
      </c>
    </row>
    <row r="1314">
      <c r="A1314" s="10" t="n">
        <v>46042</v>
      </c>
      <c r="B1314" t="inlineStr">
        <is>
          <t>Emilly Kamilly Medeiros Miranda</t>
        </is>
      </c>
      <c r="C1314" s="1" t="inlineStr">
        <is>
          <t>Técnico II</t>
        </is>
      </c>
      <c r="D1314" s="3" t="n">
        <v>22</v>
      </c>
      <c r="E1314" s="3" t="n">
        <v>20</v>
      </c>
      <c r="F1314" s="3" t="n">
        <v>20.53</v>
      </c>
      <c r="G1314" s="3" t="n">
        <v>0</v>
      </c>
      <c r="H1314" s="3" t="n">
        <v>0</v>
      </c>
      <c r="I1314" s="3">
        <f>E1314+G1314+H1314</f>
        <v/>
      </c>
      <c r="J1314" s="3">
        <f>ROUND(MIN(IF(C1314="Técnico III",35,IF(C1314="Técnico II",28,IF(C1314="Técnico I",23,IF(C1314="JR",20,IF(C1314="Estágio",10,0))))),IF(C1314="Técnico III",SUMIFS($D:$D,$A:$A,$A1314,$B:$B,"&lt;&gt;Patrícia Karla de Sousa Araújo",$B:$B,"&lt;&gt;Lorena Dias de Araujo",$B:$B,"&lt;&gt;Lucas Luiz Romero")*(35/1083),IF(C1314="Técnico II",SUMIFS($D:$D,$A:$A,$A1314,$B:$B,"&lt;&gt;Patrícia Karla de Sousa Araújo",$B:$B,"&lt;&gt;Lorena Dias de Araujo",$B:$B,"&lt;&gt;Lucas Luiz Romero")*(28/1083),IF(C1314="Técnico I",SUMIFS($D:$D,$A:$A,$A1314,$B:$B,"&lt;&gt;Patrícia Karla de Sousa Araújo",$B:$B,"&lt;&gt;Lorena Dias de Araujo",$B:$B,"&lt;&gt;Lucas Luiz Romero")*(23/1083),IF(C1314="JR",SUMIFS($D:$D,$A:$A,$A1314,$B:$B,"&lt;&gt;Patrícia Karla de Sousa Araújo",$B:$B,"&lt;&gt;Lorena Dias de Araujo",$B:$B,"&lt;&gt;Lucas Luiz Romero")*(20/1083),IF(C1314="Estágio",SUMIFS($D:$D,$A:$A,$A1314,$B:$B,"&lt;&gt;Patrícia Karla de Sousa Araújo",$B:$B,"&lt;&gt;Lorena Dias de Araujo",$B:$B,"&lt;&gt;Lucas Luiz Romero")*(10/1083),0)))))),0)</f>
        <v/>
      </c>
      <c r="K1314" s="3">
        <f>I1314-J1314</f>
        <v/>
      </c>
      <c r="L1314" s="3">
        <f>IF(K1314&lt;-5,"CRÍTICO",IF(K1314&lt;0,"ATENÇÃO",IF(K1314&lt;=5,"BOM","EXCELENTE")))</f>
        <v/>
      </c>
      <c r="M1314" s="3" t="n">
        <v>21</v>
      </c>
      <c r="N1314" s="3" t="n">
        <v>100</v>
      </c>
      <c r="O1314" s="12" t="n">
        <v>34.15094339622641</v>
      </c>
    </row>
    <row r="1315">
      <c r="A1315" s="10" t="n">
        <v>46042</v>
      </c>
      <c r="B1315" t="inlineStr">
        <is>
          <t>Francielson de Oliveira</t>
        </is>
      </c>
      <c r="C1315" s="1" t="inlineStr">
        <is>
          <t>Técnico III</t>
        </is>
      </c>
      <c r="D1315" s="3" t="n">
        <v>16</v>
      </c>
      <c r="E1315" s="3" t="n">
        <v>12</v>
      </c>
      <c r="F1315" s="3" t="n">
        <v>12.35</v>
      </c>
      <c r="G1315" s="3" t="n">
        <v>0</v>
      </c>
      <c r="H1315" s="3" t="n">
        <v>0</v>
      </c>
      <c r="I1315" s="3">
        <f>E1315+G1315+H1315</f>
        <v/>
      </c>
      <c r="J1315" s="3">
        <f>ROUND(MIN(IF(C1315="Técnico III",35,IF(C1315="Técnico II",28,IF(C1315="Técnico I",23,IF(C1315="JR",20,IF(C1315="Estágio",10,0))))),IF(C1315="Técnico III",SUMIFS($D:$D,$A:$A,$A1315,$B:$B,"&lt;&gt;Patrícia Karla de Sousa Araújo",$B:$B,"&lt;&gt;Lorena Dias de Araujo",$B:$B,"&lt;&gt;Lucas Luiz Romero")*(35/1083),IF(C1315="Técnico II",SUMIFS($D:$D,$A:$A,$A1315,$B:$B,"&lt;&gt;Patrícia Karla de Sousa Araújo",$B:$B,"&lt;&gt;Lorena Dias de Araujo",$B:$B,"&lt;&gt;Lucas Luiz Romero")*(28/1083),IF(C1315="Técnico I",SUMIFS($D:$D,$A:$A,$A1315,$B:$B,"&lt;&gt;Patrícia Karla de Sousa Araújo",$B:$B,"&lt;&gt;Lorena Dias de Araujo",$B:$B,"&lt;&gt;Lucas Luiz Romero")*(23/1083),IF(C1315="JR",SUMIFS($D:$D,$A:$A,$A1315,$B:$B,"&lt;&gt;Patrícia Karla de Sousa Araújo",$B:$B,"&lt;&gt;Lorena Dias de Araujo",$B:$B,"&lt;&gt;Lucas Luiz Romero")*(20/1083),IF(C1315="Estágio",SUMIFS($D:$D,$A:$A,$A1315,$B:$B,"&lt;&gt;Patrícia Karla de Sousa Araújo",$B:$B,"&lt;&gt;Lorena Dias de Araujo",$B:$B,"&lt;&gt;Lucas Luiz Romero")*(10/1083),0)))))),0)</f>
        <v/>
      </c>
      <c r="K1315" s="3">
        <f>I1315-J1315</f>
        <v/>
      </c>
      <c r="L1315" s="3">
        <f>IF(K1315&lt;-5,"CRÍTICO",IF(K1315&lt;0,"ATENÇÃO",IF(K1315&lt;=5,"BOM","EXCELENTE")))</f>
        <v/>
      </c>
      <c r="M1315" s="3" t="n">
        <v>16</v>
      </c>
      <c r="N1315" s="3" t="n">
        <v>100</v>
      </c>
      <c r="O1315" s="12" t="n">
        <v>32.7313769751693</v>
      </c>
    </row>
    <row r="1316">
      <c r="A1316" s="10" t="n">
        <v>46042</v>
      </c>
      <c r="B1316" t="inlineStr">
        <is>
          <t>Francilene Ferreira de Jesus</t>
        </is>
      </c>
      <c r="C1316" s="1" t="inlineStr">
        <is>
          <t>Técnico II</t>
        </is>
      </c>
      <c r="D1316" s="3" t="n">
        <v>21</v>
      </c>
      <c r="E1316" s="3" t="n">
        <v>21</v>
      </c>
      <c r="F1316" s="3" t="n">
        <v>20.39</v>
      </c>
      <c r="G1316" s="3" t="n">
        <v>0</v>
      </c>
      <c r="H1316" s="3" t="n">
        <v>0</v>
      </c>
      <c r="I1316" s="3">
        <f>E1316+G1316+H1316</f>
        <v/>
      </c>
      <c r="J1316" s="3">
        <f>ROUND(MIN(IF(C1316="Técnico III",35,IF(C1316="Técnico II",28,IF(C1316="Técnico I",23,IF(C1316="JR",20,IF(C1316="Estágio",10,0))))),IF(C1316="Técnico III",SUMIFS($D:$D,$A:$A,$A1316,$B:$B,"&lt;&gt;Patrícia Karla de Sousa Araújo",$B:$B,"&lt;&gt;Lorena Dias de Araujo",$B:$B,"&lt;&gt;Lucas Luiz Romero")*(35/1083),IF(C1316="Técnico II",SUMIFS($D:$D,$A:$A,$A1316,$B:$B,"&lt;&gt;Patrícia Karla de Sousa Araújo",$B:$B,"&lt;&gt;Lorena Dias de Araujo",$B:$B,"&lt;&gt;Lucas Luiz Romero")*(28/1083),IF(C1316="Técnico I",SUMIFS($D:$D,$A:$A,$A1316,$B:$B,"&lt;&gt;Patrícia Karla de Sousa Araújo",$B:$B,"&lt;&gt;Lorena Dias de Araujo",$B:$B,"&lt;&gt;Lucas Luiz Romero")*(23/1083),IF(C1316="JR",SUMIFS($D:$D,$A:$A,$A1316,$B:$B,"&lt;&gt;Patrícia Karla de Sousa Araújo",$B:$B,"&lt;&gt;Lorena Dias de Araujo",$B:$B,"&lt;&gt;Lucas Luiz Romero")*(20/1083),IF(C1316="Estágio",SUMIFS($D:$D,$A:$A,$A1316,$B:$B,"&lt;&gt;Patrícia Karla de Sousa Araújo",$B:$B,"&lt;&gt;Lorena Dias de Araujo",$B:$B,"&lt;&gt;Lucas Luiz Romero")*(10/1083),0)))))),0)</f>
        <v/>
      </c>
      <c r="K1316" s="3">
        <f>I1316-J1316</f>
        <v/>
      </c>
      <c r="L1316" s="3">
        <f>IF(K1316&lt;-5,"CRÍTICO",IF(K1316&lt;0,"ATENÇÃO",IF(K1316&lt;=5,"BOM","EXCELENTE")))</f>
        <v/>
      </c>
      <c r="M1316" s="3" t="n">
        <v>19</v>
      </c>
      <c r="N1316" s="3" t="n">
        <v>99.31</v>
      </c>
      <c r="O1316" s="12" t="n">
        <v>30.96234309623431</v>
      </c>
    </row>
    <row r="1317">
      <c r="A1317" s="10" t="n">
        <v>46076</v>
      </c>
      <c r="B1317" t="inlineStr">
        <is>
          <t>Gabriel Gomes de Andrade</t>
        </is>
      </c>
      <c r="C1317" s="1" t="inlineStr">
        <is>
          <t>Técnico I</t>
        </is>
      </c>
      <c r="D1317" s="3" t="n">
        <v>18</v>
      </c>
      <c r="E1317" s="3" t="n">
        <v>16</v>
      </c>
      <c r="F1317" s="3" t="n">
        <v>30.38</v>
      </c>
      <c r="G1317" s="3" t="n">
        <v>0</v>
      </c>
      <c r="H1317" s="3" t="n">
        <v>0</v>
      </c>
      <c r="I1317" s="3">
        <f>E1317+G1317+H1317</f>
        <v/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/>
      </c>
      <c r="K1317" s="3">
        <f>I1317-J1317</f>
        <v/>
      </c>
      <c r="L1317" s="3">
        <f>IF(K1317&lt;-5,"CRÍTICO",IF(K1317&lt;0,"ATENÇÃO",IF(K1317&lt;=5,"BOM","EXCELENTE")))</f>
        <v/>
      </c>
      <c r="M1317" s="3" t="n">
        <v>16</v>
      </c>
      <c r="N1317" s="3" t="n">
        <v>96.67</v>
      </c>
      <c r="O1317" s="12" t="n">
        <v>31.45161290322581</v>
      </c>
    </row>
    <row r="1318">
      <c r="A1318" s="10" t="n">
        <v>46042</v>
      </c>
      <c r="B1318" t="inlineStr">
        <is>
          <t>Isabella Borges de Oliveira</t>
        </is>
      </c>
      <c r="C1318" s="1" t="inlineStr">
        <is>
          <t>Técnico II</t>
        </is>
      </c>
      <c r="D1318" s="3" t="n">
        <v>18</v>
      </c>
      <c r="E1318" s="3" t="n">
        <v>18</v>
      </c>
      <c r="F1318" s="3" t="n">
        <v>28.43</v>
      </c>
      <c r="G1318" s="3" t="n">
        <v>0</v>
      </c>
      <c r="H1318" s="3" t="n">
        <v>0</v>
      </c>
      <c r="I1318" s="3">
        <f>E1318+G1318+H1318</f>
        <v/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/>
      </c>
      <c r="K1318" s="3">
        <f>I1318-J1318</f>
        <v/>
      </c>
      <c r="L1318" s="3">
        <f>IF(K1318&lt;-5,"CRÍTICO",IF(K1318&lt;0,"ATENÇÃO",IF(K1318&lt;=5,"BOM","EXCELENTE")))</f>
        <v/>
      </c>
      <c r="M1318" s="3" t="n">
        <v>18</v>
      </c>
      <c r="N1318" s="3" t="n">
        <v>100</v>
      </c>
      <c r="O1318" s="12" t="n">
        <v>27.67676767676768</v>
      </c>
    </row>
    <row r="1319">
      <c r="A1319" s="10" t="n">
        <v>46042</v>
      </c>
      <c r="B1319" t="inlineStr">
        <is>
          <t>Janaina Lima dos Reis Urany</t>
        </is>
      </c>
      <c r="C1319" s="1" t="inlineStr">
        <is>
          <t>Técnico III</t>
        </is>
      </c>
      <c r="D1319" s="3" t="n">
        <v>32</v>
      </c>
      <c r="E1319" s="3" t="n">
        <v>29</v>
      </c>
      <c r="F1319" s="3" t="n">
        <v>12.31</v>
      </c>
      <c r="G1319" s="3" t="n">
        <v>0</v>
      </c>
      <c r="H1319" s="3" t="n">
        <v>0</v>
      </c>
      <c r="I1319" s="3">
        <f>E1319+G1319+H1319</f>
        <v/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/>
      </c>
      <c r="K1319" s="3">
        <f>I1319-J1319</f>
        <v/>
      </c>
      <c r="L1319" s="3">
        <f>IF(K1319&lt;-5,"CRÍTICO",IF(K1319&lt;0,"ATENÇÃO",IF(K1319&lt;=5,"BOM","EXCELENTE")))</f>
        <v/>
      </c>
      <c r="M1319" s="3" t="n">
        <v>29</v>
      </c>
      <c r="N1319" s="3" t="n">
        <v>100</v>
      </c>
      <c r="O1319" s="12" t="n">
        <v>31.17723156532988</v>
      </c>
    </row>
    <row r="1320">
      <c r="A1320" s="10" t="n">
        <v>46042</v>
      </c>
      <c r="B1320" t="inlineStr">
        <is>
          <t>Jaqueline Evangelista da Silva Martins</t>
        </is>
      </c>
      <c r="C1320" s="1" t="inlineStr">
        <is>
          <t>Técnico III</t>
        </is>
      </c>
      <c r="D1320" s="3" t="n">
        <v>11</v>
      </c>
      <c r="E1320" s="3" t="n">
        <v>11</v>
      </c>
      <c r="F1320" s="3" t="n">
        <v>22.13</v>
      </c>
      <c r="G1320" s="3" t="n">
        <v>0</v>
      </c>
      <c r="H1320" s="3" t="n">
        <v>0</v>
      </c>
      <c r="I1320" s="3">
        <f>E1320+G1320+H1320</f>
        <v/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/>
      </c>
      <c r="K1320" s="3">
        <f>I1320-J1320</f>
        <v/>
      </c>
      <c r="L1320" s="3">
        <f>IF(K1320&lt;-5,"CRÍTICO",IF(K1320&lt;0,"ATENÇÃO",IF(K1320&lt;=5,"BOM","EXCELENTE")))</f>
        <v/>
      </c>
      <c r="M1320" s="3" t="n">
        <v>8</v>
      </c>
      <c r="N1320" s="3" t="n">
        <v>100</v>
      </c>
      <c r="O1320" s="12" t="n">
        <v>27.60942760942761</v>
      </c>
    </row>
    <row r="1321">
      <c r="A1321" s="10" t="n">
        <v>46042</v>
      </c>
      <c r="B1321" t="inlineStr">
        <is>
          <t>Jessica Faria da Silveira</t>
        </is>
      </c>
      <c r="C1321" s="1" t="inlineStr">
        <is>
          <t>Técnico II</t>
        </is>
      </c>
      <c r="D1321" s="3" t="n">
        <v>28</v>
      </c>
      <c r="E1321" s="3" t="n">
        <v>22</v>
      </c>
      <c r="F1321" s="3" t="n">
        <v>10.45</v>
      </c>
      <c r="G1321" s="3" t="n">
        <v>0</v>
      </c>
      <c r="H1321" s="3" t="n">
        <v>0</v>
      </c>
      <c r="I1321" s="3">
        <f>E1321+G1321+H1321</f>
        <v/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/>
      </c>
      <c r="K1321" s="3">
        <f>I1321-J1321</f>
        <v/>
      </c>
      <c r="L1321" s="3">
        <f>IF(K1321&lt;-5,"CRÍTICO",IF(K1321&lt;0,"ATENÇÃO",IF(K1321&lt;=5,"BOM","EXCELENTE")))</f>
        <v/>
      </c>
      <c r="M1321" s="3" t="n">
        <v>20</v>
      </c>
      <c r="N1321" s="3" t="n">
        <v>96.40000000000001</v>
      </c>
      <c r="O1321" s="12" t="n">
        <v>28.76404494382023</v>
      </c>
    </row>
    <row r="1322">
      <c r="A1322" s="10" t="n">
        <v>46042</v>
      </c>
      <c r="B1322" t="inlineStr">
        <is>
          <t>Jéssica Fé Moura</t>
        </is>
      </c>
      <c r="C1322" s="1" t="inlineStr">
        <is>
          <t>Técnico III</t>
        </is>
      </c>
      <c r="D1322" s="3" t="n">
        <v>0</v>
      </c>
      <c r="E1322" s="3" t="n">
        <v>0</v>
      </c>
      <c r="F1322" s="3" t="n">
        <v>0</v>
      </c>
      <c r="G1322" s="3" t="n">
        <v>0</v>
      </c>
      <c r="H1322" s="3" t="n">
        <v>0</v>
      </c>
      <c r="I1322" s="3" t="n">
        <v>0</v>
      </c>
      <c r="J1322" s="3" t="n">
        <v>0</v>
      </c>
      <c r="K1322" s="3" t="n">
        <v>0</v>
      </c>
      <c r="L1322" s="3">
        <f>IF(K1322&lt;-5,"CRÍTICO",IF(K1322&lt;0,"ATENÇÃO",IF(K1322&lt;=5,"BOM","EXCELENTE")))</f>
        <v/>
      </c>
      <c r="M1322" s="3" t="n">
        <v>0</v>
      </c>
      <c r="N1322" s="3" t="n">
        <v>100</v>
      </c>
      <c r="O1322" s="12" t="n">
        <v>33.98058252427185</v>
      </c>
    </row>
    <row r="1323">
      <c r="A1323" s="10" t="n">
        <v>46042</v>
      </c>
      <c r="B1323" t="inlineStr">
        <is>
          <t>Karina Gonçalves Martins</t>
        </is>
      </c>
      <c r="C1323" s="1" t="inlineStr">
        <is>
          <t>JR</t>
        </is>
      </c>
      <c r="D1323" s="3" t="n">
        <v>11</v>
      </c>
      <c r="E1323" s="3" t="n">
        <v>10</v>
      </c>
      <c r="F1323" s="3" t="n">
        <v>32.28</v>
      </c>
      <c r="G1323" s="3" t="n">
        <v>0</v>
      </c>
      <c r="H1323" s="3" t="n">
        <v>0</v>
      </c>
      <c r="I1323" s="3">
        <f>E1323+G1323+H1323</f>
        <v/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/>
      </c>
      <c r="K1323" s="3">
        <f>I1323-J1323</f>
        <v/>
      </c>
      <c r="L1323" s="3">
        <f>IF(K1323&lt;-5,"CRÍTICO",IF(K1323&lt;0,"ATENÇÃO",IF(K1323&lt;=5,"BOM","EXCELENTE")))</f>
        <v/>
      </c>
      <c r="M1323" s="3" t="n">
        <v>8</v>
      </c>
      <c r="N1323" s="3" t="n">
        <v>97.56</v>
      </c>
      <c r="O1323" s="12" t="n">
        <v>32.51533742331289</v>
      </c>
    </row>
    <row r="1324">
      <c r="A1324" s="10" t="n">
        <v>46042</v>
      </c>
      <c r="B1324" t="inlineStr">
        <is>
          <t>Kerollen Cristielly de Jesus Siqueira</t>
        </is>
      </c>
      <c r="C1324" s="1" t="inlineStr">
        <is>
          <t>Técnico III</t>
        </is>
      </c>
      <c r="D1324" s="3" t="n">
        <v>15</v>
      </c>
      <c r="E1324" s="3" t="n">
        <v>15</v>
      </c>
      <c r="F1324" s="3" t="n">
        <v>25.47</v>
      </c>
      <c r="G1324" s="3" t="n">
        <v>0</v>
      </c>
      <c r="H1324" s="3" t="n">
        <v>0</v>
      </c>
      <c r="I1324" s="3">
        <f>E1324+G1324+H1324</f>
        <v/>
      </c>
      <c r="J1324" s="3">
        <f>ROUND(MIN(IF(C1324="Técnico III",35,IF(C1324="Técnico II",28,IF(C1324="Técnico I",23,IF(C1324="JR",20,IF(C1324="Estágio",10,0))))),IF(C1324="Técnico III",SUMIFS($D:$D,$A:$A,$A1324,$B:$B,"&lt;&gt;Patrícia Karla de Sousa Araújo",$B:$B,"&lt;&gt;Lorena Dias de Araujo",$B:$B,"&lt;&gt;Lucas Luiz Romero")*(35/1083),IF(C1324="Técnico II",SUMIFS($D:$D,$A:$A,$A1324,$B:$B,"&lt;&gt;Patrícia Karla de Sousa Araújo",$B:$B,"&lt;&gt;Lorena Dias de Araujo",$B:$B,"&lt;&gt;Lucas Luiz Romero")*(28/1083),IF(C1324="Técnico I",SUMIFS($D:$D,$A:$A,$A1324,$B:$B,"&lt;&gt;Patrícia Karla de Sousa Araújo",$B:$B,"&lt;&gt;Lorena Dias de Araujo",$B:$B,"&lt;&gt;Lucas Luiz Romero")*(23/1083),IF(C1324="JR",SUMIFS($D:$D,$A:$A,$A1324,$B:$B,"&lt;&gt;Patrícia Karla de Sousa Araújo",$B:$B,"&lt;&gt;Lorena Dias de Araujo",$B:$B,"&lt;&gt;Lucas Luiz Romero")*(20/1083),IF(C1324="Estágio",SUMIFS($D:$D,$A:$A,$A1324,$B:$B,"&lt;&gt;Patrícia Karla de Sousa Araújo",$B:$B,"&lt;&gt;Lorena Dias de Araujo",$B:$B,"&lt;&gt;Lucas Luiz Romero")*(10/1083),0)))))),0)</f>
        <v/>
      </c>
      <c r="K1324" s="3">
        <f>I1324-J1324</f>
        <v/>
      </c>
      <c r="L1324" s="3">
        <f>IF(K1324&lt;-5,"CRÍTICO",IF(K1324&lt;0,"ATENÇÃO",IF(K1324&lt;=5,"BOM","EXCELENTE")))</f>
        <v/>
      </c>
      <c r="M1324" s="3" t="n">
        <v>12</v>
      </c>
      <c r="N1324" s="3" t="n">
        <v>97.11</v>
      </c>
      <c r="O1324" s="12" t="n">
        <v>37.40831295843521</v>
      </c>
    </row>
    <row r="1325">
      <c r="A1325" s="10" t="n">
        <v>46042</v>
      </c>
      <c r="B1325" t="inlineStr">
        <is>
          <t>Leandro de Souza Silva</t>
        </is>
      </c>
      <c r="C1325" s="1" t="inlineStr">
        <is>
          <t>JR</t>
        </is>
      </c>
      <c r="D1325" s="3" t="n">
        <v>0</v>
      </c>
      <c r="E1325" s="3" t="n">
        <v>0</v>
      </c>
      <c r="F1325" s="3" t="n">
        <v>0</v>
      </c>
      <c r="G1325" s="3" t="n">
        <v>0</v>
      </c>
      <c r="H1325" s="3" t="n">
        <v>0</v>
      </c>
      <c r="I1325" s="3" t="n">
        <v>0</v>
      </c>
      <c r="J1325" s="3" t="n">
        <v>0</v>
      </c>
      <c r="K1325" s="3" t="n">
        <v>0</v>
      </c>
      <c r="L1325" s="3">
        <f>IF(K1325&lt;-5,"CRÍTICO",IF(K1325&lt;0,"ATENÇÃO",IF(K1325&lt;=5,"BOM","EXCELENTE")))</f>
        <v/>
      </c>
      <c r="M1325" s="3" t="n">
        <v>0</v>
      </c>
      <c r="N1325" s="3" t="n">
        <v>0</v>
      </c>
      <c r="O1325" s="12" t="n">
        <v>0</v>
      </c>
    </row>
    <row r="1326">
      <c r="A1326" s="10" t="n">
        <v>46042</v>
      </c>
      <c r="B1326" t="inlineStr">
        <is>
          <t>Leandro Oliveira de Sousa</t>
        </is>
      </c>
      <c r="C1326" s="1" t="inlineStr">
        <is>
          <t>Técnico III</t>
        </is>
      </c>
      <c r="D1326" s="3" t="n">
        <v>25</v>
      </c>
      <c r="E1326" s="3" t="n">
        <v>23</v>
      </c>
      <c r="F1326" s="3" t="n">
        <v>12.31</v>
      </c>
      <c r="G1326" s="3" t="n">
        <v>0</v>
      </c>
      <c r="H1326" s="3" t="n">
        <v>0</v>
      </c>
      <c r="I1326" s="3">
        <f>E1326+G1326+H1326</f>
        <v/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/>
      </c>
      <c r="K1326" s="3">
        <f>I1326-J1326</f>
        <v/>
      </c>
      <c r="L1326" s="3">
        <f>IF(K1326&lt;-5,"CRÍTICO",IF(K1326&lt;0,"ATENÇÃO",IF(K1326&lt;=5,"BOM","EXCELENTE")))</f>
        <v/>
      </c>
      <c r="M1326" s="3" t="n">
        <v>19</v>
      </c>
      <c r="N1326" s="3" t="n">
        <v>100</v>
      </c>
      <c r="O1326" s="12" t="n">
        <v>30.47034764826176</v>
      </c>
    </row>
    <row r="1327">
      <c r="A1327" s="10" t="n">
        <v>46042</v>
      </c>
      <c r="B1327" t="inlineStr">
        <is>
          <t>Lizandra Gomes Duarte</t>
        </is>
      </c>
      <c r="C1327" s="1" t="inlineStr">
        <is>
          <t>Técnico II</t>
        </is>
      </c>
      <c r="D1327" s="3" t="n">
        <v>17</v>
      </c>
      <c r="E1327" s="3" t="n">
        <v>17</v>
      </c>
      <c r="F1327" s="3" t="n">
        <v>27.18</v>
      </c>
      <c r="G1327" s="3" t="n">
        <v>0</v>
      </c>
      <c r="H1327" s="3" t="n">
        <v>0</v>
      </c>
      <c r="I1327" s="3">
        <f>E1327+G1327+H1327</f>
        <v/>
      </c>
      <c r="J1327" s="3">
        <f>ROUND(MIN(IF(C1327="Técnico III",35,IF(C1327="Técnico II",28,IF(C1327="Técnico I",23,IF(C1327="JR",20,IF(C1327="Estágio",10,0))))),IF(C1327="Técnico III",SUMIFS($D:$D,$A:$A,$A1327,$B:$B,"&lt;&gt;Patrícia Karla de Sousa Araújo",$B:$B,"&lt;&gt;Lorena Dias de Araujo",$B:$B,"&lt;&gt;Lucas Luiz Romero")*(35/1083),IF(C1327="Técnico II",SUMIFS($D:$D,$A:$A,$A1327,$B:$B,"&lt;&gt;Patrícia Karla de Sousa Araújo",$B:$B,"&lt;&gt;Lorena Dias de Araujo",$B:$B,"&lt;&gt;Lucas Luiz Romero")*(28/1083),IF(C1327="Técnico I",SUMIFS($D:$D,$A:$A,$A1327,$B:$B,"&lt;&gt;Patrícia Karla de Sousa Araújo",$B:$B,"&lt;&gt;Lorena Dias de Araujo",$B:$B,"&lt;&gt;Lucas Luiz Romero")*(23/1083),IF(C1327="JR",SUMIFS($D:$D,$A:$A,$A1327,$B:$B,"&lt;&gt;Patrícia Karla de Sousa Araújo",$B:$B,"&lt;&gt;Lorena Dias de Araujo",$B:$B,"&lt;&gt;Lucas Luiz Romero")*(20/1083),IF(C1327="Estágio",SUMIFS($D:$D,$A:$A,$A1327,$B:$B,"&lt;&gt;Patrícia Karla de Sousa Araújo",$B:$B,"&lt;&gt;Lorena Dias de Araujo",$B:$B,"&lt;&gt;Lucas Luiz Romero")*(10/1083),0)))))),0)</f>
        <v/>
      </c>
      <c r="K1327" s="3">
        <f>I1327-J1327</f>
        <v/>
      </c>
      <c r="L1327" s="3">
        <f>IF(K1327&lt;-5,"CRÍTICO",IF(K1327&lt;0,"ATENÇÃO",IF(K1327&lt;=5,"BOM","EXCELENTE")))</f>
        <v/>
      </c>
      <c r="M1327" s="3" t="n">
        <v>15</v>
      </c>
      <c r="N1327" s="3" t="n">
        <v>100</v>
      </c>
      <c r="O1327" s="12" t="n">
        <v>32.37113402061856</v>
      </c>
    </row>
    <row r="1328">
      <c r="A1328" s="10" t="n">
        <v>46042</v>
      </c>
      <c r="B1328" t="inlineStr">
        <is>
          <t>Lorena Dias de Araujo</t>
        </is>
      </c>
      <c r="C1328" s="1" t="inlineStr">
        <is>
          <t>Técnico II</t>
        </is>
      </c>
      <c r="D1328" s="3" t="n">
        <v>25</v>
      </c>
      <c r="E1328" s="3" t="n">
        <v>24</v>
      </c>
      <c r="F1328" s="3" t="n">
        <v>19.16</v>
      </c>
      <c r="G1328" s="3" t="n">
        <v>0</v>
      </c>
      <c r="H1328" s="3" t="n">
        <v>0</v>
      </c>
      <c r="I1328" s="3" t="n">
        <v>0</v>
      </c>
      <c r="J1328" s="3" t="n">
        <v>0</v>
      </c>
      <c r="K1328" s="3" t="n">
        <v>0</v>
      </c>
      <c r="L1328" s="3">
        <f>IF(K1328&lt;-5,"CRÍTICO",IF(K1328&lt;0,"ATENÇÃO",IF(K1328&lt;=5,"BOM","EXCELENTE")))</f>
        <v/>
      </c>
      <c r="M1328" s="3" t="n">
        <v>17</v>
      </c>
      <c r="N1328" s="3" t="n">
        <v>98.31999999999999</v>
      </c>
      <c r="O1328" s="12" t="n">
        <v>32.31850117096019</v>
      </c>
    </row>
    <row r="1329">
      <c r="A1329" s="10" t="n">
        <v>46042</v>
      </c>
      <c r="B1329" t="inlineStr">
        <is>
          <t>Lucas Luiz Romero</t>
        </is>
      </c>
      <c r="C1329" s="1" t="inlineStr">
        <is>
          <t>Técnico III</t>
        </is>
      </c>
      <c r="D1329" s="3" t="n">
        <v>16</v>
      </c>
      <c r="E1329" s="3" t="n">
        <v>10</v>
      </c>
      <c r="F1329" s="3" t="n">
        <v>5.29</v>
      </c>
      <c r="G1329" s="3" t="n">
        <v>0</v>
      </c>
      <c r="H1329" s="3" t="n">
        <v>0</v>
      </c>
      <c r="I1329" s="3">
        <f>E1329+G1329+H1329</f>
        <v/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/>
      </c>
      <c r="K1329" s="3">
        <f>I1329-J1329</f>
        <v/>
      </c>
      <c r="L1329" s="3">
        <f>IF(K1329&lt;-5,"CRÍTICO",IF(K1329&lt;0,"ATENÇÃO",IF(K1329&lt;=5,"BOM","EXCELENTE")))</f>
        <v/>
      </c>
      <c r="M1329" s="3" t="n">
        <v>7</v>
      </c>
      <c r="N1329" s="3" t="n">
        <v>96.43000000000001</v>
      </c>
      <c r="O1329" s="12" t="n">
        <v>27.01525054466231</v>
      </c>
    </row>
    <row r="1330">
      <c r="A1330" s="10" t="n">
        <v>46042</v>
      </c>
      <c r="B1330" t="inlineStr">
        <is>
          <t>Luiz Fernando de Carvalho Junior</t>
        </is>
      </c>
      <c r="C1330" s="1" t="inlineStr">
        <is>
          <t>Técnico I</t>
        </is>
      </c>
      <c r="D1330" s="3" t="n">
        <v>17</v>
      </c>
      <c r="E1330" s="3" t="n">
        <v>17</v>
      </c>
      <c r="F1330" s="3" t="n">
        <v>28.35</v>
      </c>
      <c r="G1330" s="3" t="n">
        <v>0</v>
      </c>
      <c r="H1330" s="3" t="n">
        <v>0</v>
      </c>
      <c r="I1330" s="3">
        <f>E1330+G1330+H1330</f>
        <v/>
      </c>
      <c r="J1330" s="3">
        <f>ROUND(MIN(IF(C1330="Técnico III",35,IF(C1330="Técnico II",28,IF(C1330="Técnico I",23,IF(C1330="JR",20,IF(C1330="Estágio",10,0))))),IF(C1330="Técnico III",SUMIFS($D:$D,$A:$A,$A1330,$B:$B,"&lt;&gt;Patrícia Karla de Sousa Araújo",$B:$B,"&lt;&gt;Lorena Dias de Araujo",$B:$B,"&lt;&gt;Lucas Luiz Romero")*(35/1083),IF(C1330="Técnico II",SUMIFS($D:$D,$A:$A,$A1330,$B:$B,"&lt;&gt;Patrícia Karla de Sousa Araújo",$B:$B,"&lt;&gt;Lorena Dias de Araujo",$B:$B,"&lt;&gt;Lucas Luiz Romero")*(28/1083),IF(C1330="Técnico I",SUMIFS($D:$D,$A:$A,$A1330,$B:$B,"&lt;&gt;Patrícia Karla de Sousa Araújo",$B:$B,"&lt;&gt;Lorena Dias de Araujo",$B:$B,"&lt;&gt;Lucas Luiz Romero")*(23/1083),IF(C1330="JR",SUMIFS($D:$D,$A:$A,$A1330,$B:$B,"&lt;&gt;Patrícia Karla de Sousa Araújo",$B:$B,"&lt;&gt;Lorena Dias de Araujo",$B:$B,"&lt;&gt;Lucas Luiz Romero")*(20/1083),IF(C1330="Estágio",SUMIFS($D:$D,$A:$A,$A1330,$B:$B,"&lt;&gt;Patrícia Karla de Sousa Araújo",$B:$B,"&lt;&gt;Lorena Dias de Araujo",$B:$B,"&lt;&gt;Lucas Luiz Romero")*(10/1083),0)))))),0)</f>
        <v/>
      </c>
      <c r="K1330" s="3">
        <f>I1330-J1330</f>
        <v/>
      </c>
      <c r="L1330" s="3">
        <f>IF(K1330&lt;-5,"CRÍTICO",IF(K1330&lt;0,"ATENÇÃO",IF(K1330&lt;=5,"BOM","EXCELENTE")))</f>
        <v/>
      </c>
      <c r="M1330" s="3" t="n">
        <v>15</v>
      </c>
      <c r="N1330" s="3" t="n">
        <v>98.89</v>
      </c>
      <c r="O1330" s="12" t="n">
        <v>28.02197802197802</v>
      </c>
    </row>
    <row r="1331">
      <c r="A1331" s="10" t="n">
        <v>46042</v>
      </c>
      <c r="B1331" t="inlineStr">
        <is>
          <t>Maria Eduarda Sousa Costa</t>
        </is>
      </c>
      <c r="C1331" s="1" t="inlineStr">
        <is>
          <t>Estágio</t>
        </is>
      </c>
      <c r="D1331" s="3" t="n">
        <v>4</v>
      </c>
      <c r="E1331" s="3" t="n">
        <v>4</v>
      </c>
      <c r="F1331" s="3" t="n">
        <v>190.33</v>
      </c>
      <c r="G1331" s="3" t="n">
        <v>0</v>
      </c>
      <c r="H1331" s="3" t="n">
        <v>0</v>
      </c>
      <c r="I1331" s="3">
        <f>E1331+G1331+H1331</f>
        <v/>
      </c>
      <c r="J1331" s="3">
        <f>ROUND(MIN(IF(C1331="Técnico III",35,IF(C1331="Técnico II",28,IF(C1331="Técnico I",23,IF(C1331="JR",20,IF(C1331="Estágio",10,0))))),IF(C1331="Técnico III",SUMIFS($D:$D,$A:$A,$A1331,$B:$B,"&lt;&gt;Patrícia Karla de Sousa Araújo",$B:$B,"&lt;&gt;Lorena Dias de Araujo",$B:$B,"&lt;&gt;Lucas Luiz Romero")*(35/1083),IF(C1331="Técnico II",SUMIFS($D:$D,$A:$A,$A1331,$B:$B,"&lt;&gt;Patrícia Karla de Sousa Araújo",$B:$B,"&lt;&gt;Lorena Dias de Araujo",$B:$B,"&lt;&gt;Lucas Luiz Romero")*(28/1083),IF(C1331="Técnico I",SUMIFS($D:$D,$A:$A,$A1331,$B:$B,"&lt;&gt;Patrícia Karla de Sousa Araújo",$B:$B,"&lt;&gt;Lorena Dias de Araujo",$B:$B,"&lt;&gt;Lucas Luiz Romero")*(23/1083),IF(C1331="JR",SUMIFS($D:$D,$A:$A,$A1331,$B:$B,"&lt;&gt;Patrícia Karla de Sousa Araújo",$B:$B,"&lt;&gt;Lorena Dias de Araujo",$B:$B,"&lt;&gt;Lucas Luiz Romero")*(20/1083),IF(C1331="Estágio",SUMIFS($D:$D,$A:$A,$A1331,$B:$B,"&lt;&gt;Patrícia Karla de Sousa Araújo",$B:$B,"&lt;&gt;Lorena Dias de Araujo",$B:$B,"&lt;&gt;Lucas Luiz Romero")*(10/1083),0)))))),0)</f>
        <v/>
      </c>
      <c r="K1331" s="3">
        <f>I1331-J1331</f>
        <v/>
      </c>
      <c r="L1331" s="3">
        <f>IF(K1331&lt;-5,"CRÍTICO",IF(K1331&lt;0,"ATENÇÃO",IF(K1331&lt;=5,"BOM","EXCELENTE")))</f>
        <v/>
      </c>
      <c r="M1331" s="3" t="n">
        <v>3</v>
      </c>
      <c r="N1331" s="3" t="n">
        <v>100</v>
      </c>
      <c r="O1331" s="12" t="n">
        <v>33.33333333333333</v>
      </c>
    </row>
    <row r="1332">
      <c r="A1332" s="10" t="n">
        <v>46042</v>
      </c>
      <c r="B1332" t="inlineStr">
        <is>
          <t>Matheus Farias De Souza</t>
        </is>
      </c>
      <c r="C1332" s="1" t="inlineStr">
        <is>
          <t>Técnico III</t>
        </is>
      </c>
      <c r="D1332" s="3" t="n">
        <v>25</v>
      </c>
      <c r="E1332" s="3" t="n">
        <v>24</v>
      </c>
      <c r="F1332" s="3" t="n">
        <v>15.43</v>
      </c>
      <c r="G1332" s="3" t="n">
        <v>0</v>
      </c>
      <c r="H1332" s="3" t="n">
        <v>0</v>
      </c>
      <c r="I1332" s="3">
        <f>E1332+G1332+H1332</f>
        <v/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/>
      </c>
      <c r="K1332" s="3">
        <f>I1332-J1332</f>
        <v/>
      </c>
      <c r="L1332" s="3">
        <f>IF(K1332&lt;-5,"CRÍTICO",IF(K1332&lt;0,"ATENÇÃO",IF(K1332&lt;=5,"BOM","EXCELENTE")))</f>
        <v/>
      </c>
      <c r="M1332" s="3" t="n">
        <v>22</v>
      </c>
      <c r="N1332" s="3" t="n">
        <v>100</v>
      </c>
      <c r="O1332" s="12" t="n">
        <v>27.43362831858407</v>
      </c>
    </row>
    <row r="1333">
      <c r="A1333" s="10" t="n">
        <v>46042</v>
      </c>
      <c r="B1333" t="inlineStr">
        <is>
          <t>Maysa Victoria Dias Moura</t>
        </is>
      </c>
      <c r="C1333" s="1" t="inlineStr">
        <is>
          <t>Técnico III</t>
        </is>
      </c>
      <c r="D1333" s="3" t="n">
        <v>32</v>
      </c>
      <c r="E1333" s="3" t="n">
        <v>24</v>
      </c>
      <c r="F1333" s="3" t="n">
        <v>10.57</v>
      </c>
      <c r="G1333" s="3" t="n">
        <v>0</v>
      </c>
      <c r="H1333" s="3" t="n">
        <v>0</v>
      </c>
      <c r="I1333" s="3">
        <f>E1333+G1333+H1333</f>
        <v/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/>
      </c>
      <c r="K1333" s="3">
        <f>I1333-J1333</f>
        <v/>
      </c>
      <c r="L1333" s="3">
        <f>IF(K1333&lt;-5,"CRÍTICO",IF(K1333&lt;0,"ATENÇÃO",IF(K1333&lt;=5,"BOM","EXCELENTE")))</f>
        <v/>
      </c>
      <c r="M1333" s="3" t="n">
        <v>24</v>
      </c>
      <c r="N1333" s="3" t="n">
        <v>98.65000000000001</v>
      </c>
      <c r="O1333" s="12" t="n">
        <v>30.97826086956522</v>
      </c>
    </row>
    <row r="1334">
      <c r="A1334" s="10" t="n">
        <v>46042</v>
      </c>
      <c r="B1334" t="inlineStr">
        <is>
          <t>Michelle G Santos</t>
        </is>
      </c>
      <c r="C1334" s="1" t="inlineStr">
        <is>
          <t>Estágio</t>
        </is>
      </c>
      <c r="D1334" s="3" t="n">
        <v>0</v>
      </c>
      <c r="E1334" s="3" t="n">
        <v>0</v>
      </c>
      <c r="F1334" s="3" t="n">
        <v>0</v>
      </c>
      <c r="G1334" s="3" t="n">
        <v>0</v>
      </c>
      <c r="H1334" s="3" t="n">
        <v>0</v>
      </c>
      <c r="I1334" s="3" t="n">
        <v>0</v>
      </c>
      <c r="J1334" s="3" t="n">
        <v>0</v>
      </c>
      <c r="K1334" s="3" t="n">
        <v>0</v>
      </c>
      <c r="L1334" s="3">
        <f>IF(K1334&lt;-5,"CRÍTICO",IF(K1334&lt;0,"ATENÇÃO",IF(K1334&lt;=5,"BOM","EXCELENTE")))</f>
        <v/>
      </c>
      <c r="M1334" s="3" t="n">
        <v>0</v>
      </c>
      <c r="N1334" s="3" t="n">
        <v>100</v>
      </c>
      <c r="O1334" s="12" t="n">
        <v>12</v>
      </c>
    </row>
    <row r="1335">
      <c r="A1335" s="10" t="n">
        <v>46042</v>
      </c>
      <c r="B1335" t="inlineStr">
        <is>
          <t>Milena Sales</t>
        </is>
      </c>
      <c r="C1335" s="1" t="inlineStr">
        <is>
          <t>JR</t>
        </is>
      </c>
      <c r="D1335" s="3" t="n">
        <v>0</v>
      </c>
      <c r="E1335" s="3" t="n">
        <v>0</v>
      </c>
      <c r="F1335" s="3" t="n">
        <v>0</v>
      </c>
      <c r="G1335" s="3" t="n">
        <v>0</v>
      </c>
      <c r="H1335" s="3" t="n">
        <v>0</v>
      </c>
      <c r="I1335" s="3" t="n">
        <v>0</v>
      </c>
      <c r="J1335" s="3" t="n">
        <v>0</v>
      </c>
      <c r="K1335" s="3" t="n">
        <v>0</v>
      </c>
      <c r="L1335" s="3">
        <f>IF(K1335&lt;-5,"CRÍTICO",IF(K1335&lt;0,"ATENÇÃO",IF(K1335&lt;=5,"BOM","EXCELENTE")))</f>
        <v/>
      </c>
      <c r="M1335" s="3" t="n">
        <v>0</v>
      </c>
      <c r="N1335" s="3" t="n">
        <v>0</v>
      </c>
      <c r="O1335" s="12" t="n">
        <v>0</v>
      </c>
    </row>
    <row r="1336">
      <c r="A1336" s="10" t="n">
        <v>46042</v>
      </c>
      <c r="B1336" t="inlineStr">
        <is>
          <t>Patrícia Karla de Sousa Araújo</t>
        </is>
      </c>
      <c r="C1336" s="1" t="inlineStr">
        <is>
          <t>Técnico II</t>
        </is>
      </c>
      <c r="D1336" s="3" t="n">
        <v>18</v>
      </c>
      <c r="E1336" s="3" t="n">
        <v>16</v>
      </c>
      <c r="F1336" s="3" t="n">
        <v>26.44</v>
      </c>
      <c r="G1336" s="3" t="n">
        <v>0</v>
      </c>
      <c r="H1336" s="3" t="n">
        <v>0</v>
      </c>
      <c r="I1336" s="3">
        <f>E1336+G1336+H1336</f>
        <v/>
      </c>
      <c r="J1336" s="3">
        <f>ROUND(MIN(IF(C1336="Técnico III",35,IF(C1336="Técnico II",28,IF(C1336="Técnico I",23,IF(C1336="JR",20,IF(C1336="Estágio",10,0))))),IF(C1336="Técnico III",SUMIFS($D:$D,$A:$A,$A1336,$B:$B,"&lt;&gt;Patrícia Karla de Sousa Araújo",$B:$B,"&lt;&gt;Lorena Dias de Araujo",$B:$B,"&lt;&gt;Lucas Luiz Romero")*(35/1083),IF(C1336="Técnico II",SUMIFS($D:$D,$A:$A,$A1336,$B:$B,"&lt;&gt;Patrícia Karla de Sousa Araújo",$B:$B,"&lt;&gt;Lorena Dias de Araujo",$B:$B,"&lt;&gt;Lucas Luiz Romero")*(28/1083),IF(C1336="Técnico I",SUMIFS($D:$D,$A:$A,$A1336,$B:$B,"&lt;&gt;Patrícia Karla de Sousa Araújo",$B:$B,"&lt;&gt;Lorena Dias de Araujo",$B:$B,"&lt;&gt;Lucas Luiz Romero")*(23/1083),IF(C1336="JR",SUMIFS($D:$D,$A:$A,$A1336,$B:$B,"&lt;&gt;Patrícia Karla de Sousa Araújo",$B:$B,"&lt;&gt;Lorena Dias de Araujo",$B:$B,"&lt;&gt;Lucas Luiz Romero")*(20/1083),IF(C1336="Estágio",SUMIFS($D:$D,$A:$A,$A1336,$B:$B,"&lt;&gt;Patrícia Karla de Sousa Araújo",$B:$B,"&lt;&gt;Lorena Dias de Araujo",$B:$B,"&lt;&gt;Lucas Luiz Romero")*(10/1083),0)))))),0)</f>
        <v/>
      </c>
      <c r="K1336" s="3">
        <f>I1336-J1336</f>
        <v/>
      </c>
      <c r="L1336" s="3">
        <f>IF(K1336&lt;-5,"CRÍTICO",IF(K1336&lt;0,"ATENÇÃO",IF(K1336&lt;=5,"BOM","EXCELENTE")))</f>
        <v/>
      </c>
      <c r="M1336" s="3" t="n">
        <v>14</v>
      </c>
      <c r="N1336" s="3" t="n">
        <v>97.56</v>
      </c>
      <c r="O1336" s="12" t="n">
        <v>31.06796116504854</v>
      </c>
    </row>
    <row r="1337">
      <c r="A1337" s="10" t="n">
        <v>46042</v>
      </c>
      <c r="B1337" t="inlineStr">
        <is>
          <t>Paulo Ricardo Santos</t>
        </is>
      </c>
      <c r="C1337" s="1" t="inlineStr">
        <is>
          <t>JR</t>
        </is>
      </c>
      <c r="D1337" s="3" t="n">
        <v>0</v>
      </c>
      <c r="E1337" s="3" t="n">
        <v>0</v>
      </c>
      <c r="F1337" s="3" t="n">
        <v>0</v>
      </c>
      <c r="G1337" s="3" t="n">
        <v>0</v>
      </c>
      <c r="H1337" s="3" t="n">
        <v>0</v>
      </c>
      <c r="I1337" s="3" t="n">
        <v>0</v>
      </c>
      <c r="J1337" s="3" t="n">
        <v>0</v>
      </c>
      <c r="K1337" s="3" t="n">
        <v>0</v>
      </c>
      <c r="L1337" s="3">
        <f>IF(K1337&lt;-5,"CRÍTICO",IF(K1337&lt;0,"ATENÇÃO",IF(K1337&lt;=5,"BOM","EXCELENTE")))</f>
        <v/>
      </c>
      <c r="M1337" s="3" t="n">
        <v>0</v>
      </c>
      <c r="N1337" s="3" t="n">
        <v>0</v>
      </c>
      <c r="O1337" s="12" t="n">
        <v>0</v>
      </c>
    </row>
    <row r="1338">
      <c r="A1338" s="10" t="n">
        <v>46042</v>
      </c>
      <c r="B1338" t="inlineStr">
        <is>
          <t>Pedro Luiz Mota Sousa</t>
        </is>
      </c>
      <c r="C1338" s="1" t="inlineStr">
        <is>
          <t>JR</t>
        </is>
      </c>
      <c r="D1338" s="3" t="n">
        <v>0</v>
      </c>
      <c r="E1338" s="3" t="n">
        <v>0</v>
      </c>
      <c r="F1338" s="3" t="n">
        <v>0</v>
      </c>
      <c r="G1338" s="3" t="n">
        <v>0</v>
      </c>
      <c r="H1338" s="3" t="n">
        <v>0</v>
      </c>
      <c r="I1338" s="3" t="n">
        <v>0</v>
      </c>
      <c r="J1338" s="3" t="n">
        <v>0</v>
      </c>
      <c r="K1338" s="3" t="n">
        <v>0</v>
      </c>
      <c r="L1338" s="3">
        <f>IF(K1338&lt;-5,"CRÍTICO",IF(K1338&lt;0,"ATENÇÃO",IF(K1338&lt;=5,"BOM","EXCELENTE")))</f>
        <v/>
      </c>
      <c r="M1338" s="3" t="n">
        <v>0</v>
      </c>
      <c r="N1338" s="3" t="n">
        <v>0</v>
      </c>
      <c r="O1338" s="12" t="n">
        <v>0</v>
      </c>
    </row>
    <row r="1339">
      <c r="A1339" s="10" t="n">
        <v>46042</v>
      </c>
      <c r="B1339" t="inlineStr">
        <is>
          <t>Quirino Diogo Leite Torres</t>
        </is>
      </c>
      <c r="C1339" s="1" t="inlineStr">
        <is>
          <t>Estágio</t>
        </is>
      </c>
      <c r="D1339" s="3" t="n">
        <v>0</v>
      </c>
      <c r="E1339" s="3" t="n">
        <v>0</v>
      </c>
      <c r="F1339" s="3" t="n">
        <v>0</v>
      </c>
      <c r="G1339" s="3" t="n">
        <v>0</v>
      </c>
      <c r="H1339" s="3" t="n">
        <v>0</v>
      </c>
      <c r="I1339" s="3" t="n">
        <v>0</v>
      </c>
      <c r="J1339" s="3" t="n">
        <v>0</v>
      </c>
      <c r="K1339" s="3" t="n">
        <v>0</v>
      </c>
      <c r="L1339" s="3">
        <f>IF(K1339&lt;-5,"CRÍTICO",IF(K1339&lt;0,"ATENÇÃO",IF(K1339&lt;=5,"BOM","EXCELENTE")))</f>
        <v/>
      </c>
      <c r="M1339" s="3" t="n">
        <v>0</v>
      </c>
      <c r="N1339" s="3" t="n">
        <v>0</v>
      </c>
      <c r="O1339" s="12" t="n">
        <v>0</v>
      </c>
    </row>
    <row r="1340">
      <c r="A1340" s="10" t="n">
        <v>46042</v>
      </c>
      <c r="B1340" t="inlineStr">
        <is>
          <t>Raane Batista Matos</t>
        </is>
      </c>
      <c r="C1340" s="1" t="inlineStr">
        <is>
          <t>Técnico I</t>
        </is>
      </c>
      <c r="D1340" s="3" t="n">
        <v>0</v>
      </c>
      <c r="E1340" s="3" t="n">
        <v>0</v>
      </c>
      <c r="F1340" s="3" t="n">
        <v>0</v>
      </c>
      <c r="G1340" s="3" t="n">
        <v>0</v>
      </c>
      <c r="H1340" s="3" t="n">
        <v>0</v>
      </c>
      <c r="I1340" s="3" t="n">
        <v>0</v>
      </c>
      <c r="J1340" s="3" t="n">
        <v>0</v>
      </c>
      <c r="K1340" s="3" t="n">
        <v>0</v>
      </c>
      <c r="L1340" s="3">
        <f>IF(K1340&lt;-5,"CRÍTICO",IF(K1340&lt;0,"ATENÇÃO",IF(K1340&lt;=5,"BOM","EXCELENTE")))</f>
        <v/>
      </c>
      <c r="M1340" s="3" t="n">
        <v>0</v>
      </c>
      <c r="N1340" s="3" t="n">
        <v>100</v>
      </c>
      <c r="O1340" s="12" t="n">
        <v>53.84615384615385</v>
      </c>
    </row>
    <row r="1341">
      <c r="A1341" s="10" t="n">
        <v>46042</v>
      </c>
      <c r="B1341" t="inlineStr">
        <is>
          <t>Rafael Gomes de Morais</t>
        </is>
      </c>
      <c r="C1341" s="1" t="inlineStr">
        <is>
          <t>Técnico III</t>
        </is>
      </c>
      <c r="D1341" s="3" t="n">
        <v>28</v>
      </c>
      <c r="E1341" s="3" t="n">
        <v>25</v>
      </c>
      <c r="F1341" s="3" t="n">
        <v>12.1</v>
      </c>
      <c r="G1341" s="3" t="n">
        <v>0</v>
      </c>
      <c r="H1341" s="3" t="n">
        <v>0</v>
      </c>
      <c r="I1341" s="3">
        <f>E1341+G1341+H1341</f>
        <v/>
      </c>
      <c r="J1341" s="3">
        <f>ROUND(MIN(IF(C1341="Técnico III",35,IF(C1341="Técnico II",28,IF(C1341="Técnico I",23,IF(C1341="JR",20,IF(C1341="Estágio",10,0))))),IF(C1341="Técnico III",SUMIFS($D:$D,$A:$A,$A1341,$B:$B,"&lt;&gt;Patrícia Karla de Sousa Araújo",$B:$B,"&lt;&gt;Lorena Dias de Araujo",$B:$B,"&lt;&gt;Lucas Luiz Romero")*(35/1083),IF(C1341="Técnico II",SUMIFS($D:$D,$A:$A,$A1341,$B:$B,"&lt;&gt;Patrícia Karla de Sousa Araújo",$B:$B,"&lt;&gt;Lorena Dias de Araujo",$B:$B,"&lt;&gt;Lucas Luiz Romero")*(28/1083),IF(C1341="Técnico I",SUMIFS($D:$D,$A:$A,$A1341,$B:$B,"&lt;&gt;Patrícia Karla de Sousa Araújo",$B:$B,"&lt;&gt;Lorena Dias de Araujo",$B:$B,"&lt;&gt;Lucas Luiz Romero")*(23/1083),IF(C1341="JR",SUMIFS($D:$D,$A:$A,$A1341,$B:$B,"&lt;&gt;Patrícia Karla de Sousa Araújo",$B:$B,"&lt;&gt;Lorena Dias de Araujo",$B:$B,"&lt;&gt;Lucas Luiz Romero")*(20/1083),IF(C1341="Estágio",SUMIFS($D:$D,$A:$A,$A1341,$B:$B,"&lt;&gt;Patrícia Karla de Sousa Araújo",$B:$B,"&lt;&gt;Lorena Dias de Araujo",$B:$B,"&lt;&gt;Lucas Luiz Romero")*(10/1083),0)))))),0)</f>
        <v/>
      </c>
      <c r="K1341" s="3">
        <f>I1341-J1341</f>
        <v/>
      </c>
      <c r="L1341" s="3">
        <f>IF(K1341&lt;-5,"CRÍTICO",IF(K1341&lt;0,"ATENÇÃO",IF(K1341&lt;=5,"BOM","EXCELENTE")))</f>
        <v/>
      </c>
      <c r="M1341" s="3" t="n">
        <v>27</v>
      </c>
      <c r="N1341" s="3" t="n">
        <v>100</v>
      </c>
      <c r="O1341" s="12" t="n">
        <v>44.05594405594406</v>
      </c>
    </row>
    <row r="1342">
      <c r="A1342" s="10" t="n">
        <v>46042</v>
      </c>
      <c r="B1342" t="inlineStr">
        <is>
          <t>Sara Maria Monteiro Lopes</t>
        </is>
      </c>
      <c r="C1342" s="1" t="inlineStr">
        <is>
          <t>Técnico I</t>
        </is>
      </c>
      <c r="D1342" s="3" t="n">
        <v>11</v>
      </c>
      <c r="E1342" s="3" t="n">
        <v>11</v>
      </c>
      <c r="F1342" s="3" t="n">
        <v>35.13</v>
      </c>
      <c r="G1342" s="3" t="n">
        <v>0</v>
      </c>
      <c r="H1342" s="3" t="n">
        <v>0</v>
      </c>
      <c r="I1342" s="3">
        <f>E1342+G1342+H1342</f>
        <v/>
      </c>
      <c r="J1342" s="3">
        <f>ROUND(MIN(IF(C1342="Técnico III",35,IF(C1342="Técnico II",28,IF(C1342="Técnico I",23,IF(C1342="JR",20,IF(C1342="Estágio",10,0))))),IF(C1342="Técnico III",SUMIFS($D:$D,$A:$A,$A1342,$B:$B,"&lt;&gt;Patrícia Karla de Sousa Araújo",$B:$B,"&lt;&gt;Lorena Dias de Araujo",$B:$B,"&lt;&gt;Lucas Luiz Romero")*(35/1083),IF(C1342="Técnico II",SUMIFS($D:$D,$A:$A,$A1342,$B:$B,"&lt;&gt;Patrícia Karla de Sousa Araújo",$B:$B,"&lt;&gt;Lorena Dias de Araujo",$B:$B,"&lt;&gt;Lucas Luiz Romero")*(28/1083),IF(C1342="Técnico I",SUMIFS($D:$D,$A:$A,$A1342,$B:$B,"&lt;&gt;Patrícia Karla de Sousa Araújo",$B:$B,"&lt;&gt;Lorena Dias de Araujo",$B:$B,"&lt;&gt;Lucas Luiz Romero")*(23/1083),IF(C1342="JR",SUMIFS($D:$D,$A:$A,$A1342,$B:$B,"&lt;&gt;Patrícia Karla de Sousa Araújo",$B:$B,"&lt;&gt;Lorena Dias de Araujo",$B:$B,"&lt;&gt;Lucas Luiz Romero")*(20/1083),IF(C1342="Estágio",SUMIFS($D:$D,$A:$A,$A1342,$B:$B,"&lt;&gt;Patrícia Karla de Sousa Araújo",$B:$B,"&lt;&gt;Lorena Dias de Araujo",$B:$B,"&lt;&gt;Lucas Luiz Romero")*(10/1083),0)))))),0)</f>
        <v/>
      </c>
      <c r="K1342" s="3">
        <f>I1342-J1342</f>
        <v/>
      </c>
      <c r="L1342" s="3">
        <f>IF(K1342&lt;-5,"CRÍTICO",IF(K1342&lt;0,"ATENÇÃO",IF(K1342&lt;=5,"BOM","EXCELENTE")))</f>
        <v/>
      </c>
      <c r="M1342" s="3" t="n">
        <v>11</v>
      </c>
      <c r="N1342" s="3" t="n">
        <v>100</v>
      </c>
      <c r="O1342" s="12" t="n">
        <v>31.87250996015936</v>
      </c>
    </row>
    <row r="1343">
      <c r="A1343" s="10" t="n">
        <v>46042</v>
      </c>
      <c r="B1343" t="inlineStr">
        <is>
          <t>Sarah Steffanie de Lima Borges</t>
        </is>
      </c>
      <c r="C1343" s="1" t="inlineStr">
        <is>
          <t>Técnico III</t>
        </is>
      </c>
      <c r="D1343" s="3" t="n">
        <v>29</v>
      </c>
      <c r="E1343" s="3" t="n">
        <v>26</v>
      </c>
      <c r="F1343" s="3" t="n">
        <v>14.06</v>
      </c>
      <c r="G1343" s="3" t="n">
        <v>0</v>
      </c>
      <c r="H1343" s="3" t="n">
        <v>0</v>
      </c>
      <c r="I1343" s="3">
        <f>E1343+G1343+H1343</f>
        <v/>
      </c>
      <c r="J1343" s="3">
        <f>ROUND(MIN(IF(C1343="Técnico III",35,IF(C1343="Técnico II",28,IF(C1343="Técnico I",23,IF(C1343="JR",20,IF(C1343="Estágio",10,0))))),IF(C1343="Técnico III",SUMIFS($D:$D,$A:$A,$A1343,$B:$B,"&lt;&gt;Patrícia Karla de Sousa Araújo",$B:$B,"&lt;&gt;Lorena Dias de Araujo",$B:$B,"&lt;&gt;Lucas Luiz Romero")*(35/1083),IF(C1343="Técnico II",SUMIFS($D:$D,$A:$A,$A1343,$B:$B,"&lt;&gt;Patrícia Karla de Sousa Araújo",$B:$B,"&lt;&gt;Lorena Dias de Araujo",$B:$B,"&lt;&gt;Lucas Luiz Romero")*(28/1083),IF(C1343="Técnico I",SUMIFS($D:$D,$A:$A,$A1343,$B:$B,"&lt;&gt;Patrícia Karla de Sousa Araújo",$B:$B,"&lt;&gt;Lorena Dias de Araujo",$B:$B,"&lt;&gt;Lucas Luiz Romero")*(23/1083),IF(C1343="JR",SUMIFS($D:$D,$A:$A,$A1343,$B:$B,"&lt;&gt;Patrícia Karla de Sousa Araújo",$B:$B,"&lt;&gt;Lorena Dias de Araujo",$B:$B,"&lt;&gt;Lucas Luiz Romero")*(20/1083),IF(C1343="Estágio",SUMIFS($D:$D,$A:$A,$A1343,$B:$B,"&lt;&gt;Patrícia Karla de Sousa Araújo",$B:$B,"&lt;&gt;Lorena Dias de Araujo",$B:$B,"&lt;&gt;Lucas Luiz Romero")*(10/1083),0)))))),0)</f>
        <v/>
      </c>
      <c r="K1343" s="3">
        <f>I1343-J1343</f>
        <v/>
      </c>
      <c r="L1343" s="3">
        <f>IF(K1343&lt;-5,"CRÍTICO",IF(K1343&lt;0,"ATENÇÃO",IF(K1343&lt;=5,"BOM","EXCELENTE")))</f>
        <v/>
      </c>
      <c r="M1343" s="3" t="n">
        <v>23</v>
      </c>
      <c r="N1343" s="3" t="n">
        <v>98.41</v>
      </c>
      <c r="O1343" s="12" t="n">
        <v>29.22465208747515</v>
      </c>
    </row>
    <row r="1344">
      <c r="A1344" s="10" t="n">
        <v>46043</v>
      </c>
      <c r="B1344" t="inlineStr">
        <is>
          <t>Alisson de Freitas Silva</t>
        </is>
      </c>
      <c r="C1344" s="1" t="inlineStr">
        <is>
          <t>Técnico II</t>
        </is>
      </c>
      <c r="D1344" s="3" t="n">
        <v>27</v>
      </c>
      <c r="E1344" s="3" t="n">
        <v>23</v>
      </c>
      <c r="F1344" s="3" t="n">
        <v>10.01</v>
      </c>
      <c r="G1344" s="3" t="n">
        <v>0</v>
      </c>
      <c r="H1344" s="3" t="n">
        <v>0</v>
      </c>
      <c r="I1344" s="3">
        <f>E1344+G1344+H1344</f>
        <v/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/>
      </c>
      <c r="K1344" s="3">
        <f>I1344-J1344</f>
        <v/>
      </c>
      <c r="L1344" s="3">
        <f>IF(K1344&lt;-5,"CRÍTICO",IF(K1344&lt;0,"ATENÇÃO",IF(K1344&lt;=5,"BOM","EXCELENTE")))</f>
        <v/>
      </c>
      <c r="M1344" s="3" t="n">
        <v>19</v>
      </c>
      <c r="N1344" s="3" t="n">
        <v>96.81</v>
      </c>
      <c r="O1344" s="12" t="n">
        <v>27.98053527980535</v>
      </c>
    </row>
    <row r="1345">
      <c r="A1345" s="10" t="n">
        <v>46043</v>
      </c>
      <c r="B1345" t="inlineStr">
        <is>
          <t>Amanda Moura Ferreira</t>
        </is>
      </c>
      <c r="C1345" s="1" t="inlineStr">
        <is>
          <t>Técnico III</t>
        </is>
      </c>
      <c r="D1345" s="3" t="n">
        <v>0</v>
      </c>
      <c r="E1345" s="3" t="n">
        <v>0</v>
      </c>
      <c r="F1345" s="3" t="n">
        <v>0</v>
      </c>
      <c r="G1345" s="3" t="n">
        <v>0</v>
      </c>
      <c r="H1345" s="3" t="n">
        <v>0</v>
      </c>
      <c r="I1345" s="3" t="n">
        <v>0</v>
      </c>
      <c r="J1345" s="3" t="n">
        <v>0</v>
      </c>
      <c r="K1345" s="3" t="n">
        <v>0</v>
      </c>
      <c r="L1345" s="3">
        <f>IF(K1345&lt;-5,"CRÍTICO",IF(K1345&lt;0,"ATENÇÃO",IF(K1345&lt;=5,"BOM","EXCELENTE")))</f>
        <v/>
      </c>
      <c r="M1345" s="3" t="n">
        <v>28</v>
      </c>
      <c r="N1345" s="3" t="n">
        <v>98.73</v>
      </c>
      <c r="O1345" s="12" t="n">
        <v>35.75638506876228</v>
      </c>
    </row>
    <row r="1346">
      <c r="A1346" s="10" t="n">
        <v>46043</v>
      </c>
      <c r="B1346" t="inlineStr">
        <is>
          <t>Ana Karollyne Souza Faria</t>
        </is>
      </c>
      <c r="C1346" s="1" t="inlineStr">
        <is>
          <t>Técnico I</t>
        </is>
      </c>
      <c r="D1346" s="3" t="n">
        <v>21</v>
      </c>
      <c r="E1346" s="3" t="n">
        <v>21</v>
      </c>
      <c r="F1346" s="3" t="n">
        <v>15.18</v>
      </c>
      <c r="G1346" s="3" t="n">
        <v>0</v>
      </c>
      <c r="H1346" s="3" t="n">
        <v>0</v>
      </c>
      <c r="I1346" s="3">
        <f>E1346+G1346+H1346</f>
        <v/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/>
      </c>
      <c r="K1346" s="3">
        <f>I1346-J1346</f>
        <v/>
      </c>
      <c r="L1346" s="3">
        <f>IF(K1346&lt;-5,"CRÍTICO",IF(K1346&lt;0,"ATENÇÃO",IF(K1346&lt;=5,"BOM","EXCELENTE")))</f>
        <v/>
      </c>
      <c r="M1346" s="3" t="n">
        <v>18</v>
      </c>
      <c r="N1346" s="3" t="n">
        <v>98.31999999999999</v>
      </c>
      <c r="O1346" s="12" t="n">
        <v>26.76348547717842</v>
      </c>
    </row>
    <row r="1347">
      <c r="A1347" s="10" t="n">
        <v>46043</v>
      </c>
      <c r="B1347" t="inlineStr">
        <is>
          <t>Ana Paula Da Luz Silva Aleixo</t>
        </is>
      </c>
      <c r="C1347" s="1" t="inlineStr">
        <is>
          <t>Técnico III</t>
        </is>
      </c>
      <c r="D1347" s="3" t="n">
        <v>25</v>
      </c>
      <c r="E1347" s="3" t="n">
        <v>20</v>
      </c>
      <c r="F1347" s="3" t="n">
        <v>15.25</v>
      </c>
      <c r="G1347" s="3" t="n">
        <v>0</v>
      </c>
      <c r="H1347" s="3" t="n">
        <v>0</v>
      </c>
      <c r="I1347" s="3">
        <f>E1347+G1347+H1347</f>
        <v/>
      </c>
      <c r="J1347" s="3">
        <f>ROUND(MIN(IF(C1347="Técnico III",35,IF(C1347="Técnico II",28,IF(C1347="Técnico I",23,IF(C1347="JR",20,IF(C1347="Estágio",10,0))))),IF(C1347="Técnico III",SUMIFS($D:$D,$A:$A,$A1347,$B:$B,"&lt;&gt;Patrícia Karla de Sousa Araújo",$B:$B,"&lt;&gt;Lorena Dias de Araujo",$B:$B,"&lt;&gt;Lucas Luiz Romero")*(35/1083),IF(C1347="Técnico II",SUMIFS($D:$D,$A:$A,$A1347,$B:$B,"&lt;&gt;Patrícia Karla de Sousa Araújo",$B:$B,"&lt;&gt;Lorena Dias de Araujo",$B:$B,"&lt;&gt;Lucas Luiz Romero")*(28/1083),IF(C1347="Técnico I",SUMIFS($D:$D,$A:$A,$A1347,$B:$B,"&lt;&gt;Patrícia Karla de Sousa Araújo",$B:$B,"&lt;&gt;Lorena Dias de Araujo",$B:$B,"&lt;&gt;Lucas Luiz Romero")*(23/1083),IF(C1347="JR",SUMIFS($D:$D,$A:$A,$A1347,$B:$B,"&lt;&gt;Patrícia Karla de Sousa Araújo",$B:$B,"&lt;&gt;Lorena Dias de Araujo",$B:$B,"&lt;&gt;Lucas Luiz Romero")*(20/1083),IF(C1347="Estágio",SUMIFS($D:$D,$A:$A,$A1347,$B:$B,"&lt;&gt;Patrícia Karla de Sousa Araújo",$B:$B,"&lt;&gt;Lorena Dias de Araujo",$B:$B,"&lt;&gt;Lucas Luiz Romero")*(10/1083),0)))))),0)</f>
        <v/>
      </c>
      <c r="K1347" s="3">
        <f>I1347-J1347</f>
        <v/>
      </c>
      <c r="L1347" s="3">
        <f>IF(K1347&lt;-5,"CRÍTICO",IF(K1347&lt;0,"ATENÇÃO",IF(K1347&lt;=5,"BOM","EXCELENTE")))</f>
        <v/>
      </c>
      <c r="M1347" s="3" t="n">
        <v>20</v>
      </c>
      <c r="N1347" s="3" t="n">
        <v>99.19</v>
      </c>
      <c r="O1347" s="12" t="n">
        <v>27.63713080168776</v>
      </c>
    </row>
    <row r="1348">
      <c r="A1348" s="10" t="n">
        <v>46043</v>
      </c>
      <c r="B1348" t="inlineStr">
        <is>
          <t>Anna Luiza Rezende Tavares</t>
        </is>
      </c>
      <c r="C1348" s="1" t="inlineStr">
        <is>
          <t>Estágio</t>
        </is>
      </c>
      <c r="D1348" s="3" t="n">
        <v>9</v>
      </c>
      <c r="E1348" s="3" t="n">
        <v>9</v>
      </c>
      <c r="F1348" s="3" t="n">
        <v>18.4</v>
      </c>
      <c r="G1348" s="3" t="n">
        <v>0</v>
      </c>
      <c r="H1348" s="3" t="n">
        <v>0</v>
      </c>
      <c r="I1348" s="3">
        <f>E1348+G1348+H1348</f>
        <v/>
      </c>
      <c r="J1348" s="3">
        <f>ROUND(MIN(IF(C1348="Técnico III",35,IF(C1348="Técnico II",28,IF(C1348="Técnico I",23,IF(C1348="JR",20,IF(C1348="Estágio",10,0))))),IF(C1348="Técnico III",SUMIFS($D:$D,$A:$A,$A1348,$B:$B,"&lt;&gt;Patrícia Karla de Sousa Araújo",$B:$B,"&lt;&gt;Lorena Dias de Araujo",$B:$B,"&lt;&gt;Lucas Luiz Romero")*(35/1083),IF(C1348="Técnico II",SUMIFS($D:$D,$A:$A,$A1348,$B:$B,"&lt;&gt;Patrícia Karla de Sousa Araújo",$B:$B,"&lt;&gt;Lorena Dias de Araujo",$B:$B,"&lt;&gt;Lucas Luiz Romero")*(28/1083),IF(C1348="Técnico I",SUMIFS($D:$D,$A:$A,$A1348,$B:$B,"&lt;&gt;Patrícia Karla de Sousa Araújo",$B:$B,"&lt;&gt;Lorena Dias de Araujo",$B:$B,"&lt;&gt;Lucas Luiz Romero")*(23/1083),IF(C1348="JR",SUMIFS($D:$D,$A:$A,$A1348,$B:$B,"&lt;&gt;Patrícia Karla de Sousa Araújo",$B:$B,"&lt;&gt;Lorena Dias de Araujo",$B:$B,"&lt;&gt;Lucas Luiz Romero")*(20/1083),IF(C1348="Estágio",SUMIFS($D:$D,$A:$A,$A1348,$B:$B,"&lt;&gt;Patrícia Karla de Sousa Araújo",$B:$B,"&lt;&gt;Lorena Dias de Araujo",$B:$B,"&lt;&gt;Lucas Luiz Romero")*(10/1083),0)))))),0)</f>
        <v/>
      </c>
      <c r="K1348" s="3">
        <f>I1348-J1348</f>
        <v/>
      </c>
      <c r="L1348" s="3">
        <f>IF(K1348&lt;-5,"CRÍTICO",IF(K1348&lt;0,"ATENÇÃO",IF(K1348&lt;=5,"BOM","EXCELENTE")))</f>
        <v/>
      </c>
      <c r="M1348" s="3" t="n">
        <v>6</v>
      </c>
      <c r="N1348" s="3" t="n">
        <v>100</v>
      </c>
      <c r="O1348" s="12" t="n">
        <v>39.56834532374101</v>
      </c>
    </row>
    <row r="1349">
      <c r="A1349" s="10" t="n">
        <v>46043</v>
      </c>
      <c r="B1349" t="inlineStr">
        <is>
          <t>Brenda de Menezes Silva</t>
        </is>
      </c>
      <c r="C1349" s="1" t="inlineStr">
        <is>
          <t>Técnico II</t>
        </is>
      </c>
      <c r="D1349" s="3" t="n">
        <v>29</v>
      </c>
      <c r="E1349" s="3" t="n">
        <v>25</v>
      </c>
      <c r="F1349" s="3" t="n">
        <v>12.02</v>
      </c>
      <c r="G1349" s="3" t="n">
        <v>0</v>
      </c>
      <c r="H1349" s="3" t="n">
        <v>0</v>
      </c>
      <c r="I1349" s="3">
        <f>E1349+G1349+H1349</f>
        <v/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/>
      </c>
      <c r="K1349" s="3">
        <f>I1349-J1349</f>
        <v/>
      </c>
      <c r="L1349" s="3">
        <f>IF(K1349&lt;-5,"CRÍTICO",IF(K1349&lt;0,"ATENÇÃO",IF(K1349&lt;=5,"BOM","EXCELENTE")))</f>
        <v/>
      </c>
      <c r="M1349" s="3" t="n">
        <v>25</v>
      </c>
      <c r="N1349" s="3" t="n">
        <v>98.54000000000001</v>
      </c>
      <c r="O1349" s="12" t="n">
        <v>28.54477611940299</v>
      </c>
    </row>
    <row r="1350">
      <c r="A1350" s="10" t="n">
        <v>46043</v>
      </c>
      <c r="B1350" t="inlineStr">
        <is>
          <t>Carlos Mateus Cassimiro Nunes</t>
        </is>
      </c>
      <c r="C1350" s="1" t="inlineStr">
        <is>
          <t>Técnico II</t>
        </is>
      </c>
      <c r="D1350" s="3" t="n">
        <v>13</v>
      </c>
      <c r="E1350" s="3" t="n">
        <v>12</v>
      </c>
      <c r="F1350" s="3" t="n">
        <v>37.27</v>
      </c>
      <c r="G1350" s="3" t="n">
        <v>0</v>
      </c>
      <c r="H1350" s="3" t="n">
        <v>0</v>
      </c>
      <c r="I1350" s="3">
        <f>E1350+G1350+H1350</f>
        <v/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/>
      </c>
      <c r="K1350" s="3">
        <f>I1350-J1350</f>
        <v/>
      </c>
      <c r="L1350" s="3">
        <f>IF(K1350&lt;-5,"CRÍTICO",IF(K1350&lt;0,"ATENÇÃO",IF(K1350&lt;=5,"BOM","EXCELENTE")))</f>
        <v/>
      </c>
      <c r="M1350" s="3" t="n">
        <v>12</v>
      </c>
      <c r="N1350" s="3" t="n">
        <v>100</v>
      </c>
      <c r="O1350" s="12" t="n">
        <v>34.36692506459949</v>
      </c>
    </row>
    <row r="1351">
      <c r="A1351" s="10" t="n">
        <v>46043</v>
      </c>
      <c r="B1351" t="inlineStr">
        <is>
          <t>Claudio de Sousa Velasco Filho</t>
        </is>
      </c>
      <c r="C1351" s="1" t="inlineStr">
        <is>
          <t>Estágio</t>
        </is>
      </c>
      <c r="D1351" s="3" t="n">
        <v>0</v>
      </c>
      <c r="E1351" s="3" t="n">
        <v>0</v>
      </c>
      <c r="F1351" s="3" t="n">
        <v>0</v>
      </c>
      <c r="G1351" s="3" t="n">
        <v>0</v>
      </c>
      <c r="H1351" s="3" t="n">
        <v>0</v>
      </c>
      <c r="I1351" s="3" t="n">
        <v>0</v>
      </c>
      <c r="J1351" s="3" t="n">
        <v>0</v>
      </c>
      <c r="K1351" s="3" t="n">
        <v>0</v>
      </c>
      <c r="L1351" s="3">
        <f>IF(K1351&lt;-5,"CRÍTICO",IF(K1351&lt;0,"ATENÇÃO",IF(K1351&lt;=5,"BOM","EXCELENTE")))</f>
        <v/>
      </c>
      <c r="M1351" s="3" t="n">
        <v>0</v>
      </c>
      <c r="N1351" s="3" t="n">
        <v>0</v>
      </c>
      <c r="O1351" s="12" t="n">
        <v>0</v>
      </c>
    </row>
    <row r="1352">
      <c r="A1352" s="10" t="n">
        <v>46043</v>
      </c>
      <c r="B1352" t="inlineStr">
        <is>
          <t>Clessiane Pereira dos Santos</t>
        </is>
      </c>
      <c r="C1352" s="1" t="inlineStr">
        <is>
          <t>Técnico I</t>
        </is>
      </c>
      <c r="D1352" s="3" t="n">
        <v>26</v>
      </c>
      <c r="E1352" s="3" t="n">
        <v>25</v>
      </c>
      <c r="F1352" s="3" t="n">
        <v>15.04</v>
      </c>
      <c r="G1352" s="3" t="n">
        <v>0</v>
      </c>
      <c r="H1352" s="3" t="n">
        <v>0</v>
      </c>
      <c r="I1352" s="3">
        <f>E1352+G1352+H1352</f>
        <v/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/>
      </c>
      <c r="K1352" s="3">
        <f>I1352-J1352</f>
        <v/>
      </c>
      <c r="L1352" s="3">
        <f>IF(K1352&lt;-5,"CRÍTICO",IF(K1352&lt;0,"ATENÇÃO",IF(K1352&lt;=5,"BOM","EXCELENTE")))</f>
        <v/>
      </c>
      <c r="M1352" s="3" t="n">
        <v>22</v>
      </c>
      <c r="N1352" s="3" t="n">
        <v>100</v>
      </c>
      <c r="O1352" s="12" t="n">
        <v>29.51807228915663</v>
      </c>
    </row>
    <row r="1353">
      <c r="A1353" s="10" t="n">
        <v>46043</v>
      </c>
      <c r="B1353" t="inlineStr">
        <is>
          <t>Cristiane Ramos da Silva Rocha</t>
        </is>
      </c>
      <c r="C1353" s="1" t="inlineStr">
        <is>
          <t>Técnico III</t>
        </is>
      </c>
      <c r="D1353" s="3" t="n">
        <v>28</v>
      </c>
      <c r="E1353" s="3" t="n">
        <v>27</v>
      </c>
      <c r="F1353" s="3" t="n">
        <v>15.15</v>
      </c>
      <c r="G1353" s="3" t="n">
        <v>0</v>
      </c>
      <c r="H1353" s="3" t="n">
        <v>0</v>
      </c>
      <c r="I1353" s="3">
        <f>E1353+G1353+H1353</f>
        <v/>
      </c>
      <c r="J1353" s="3">
        <f>ROUND(MIN(IF(C1353="Técnico III",35,IF(C1353="Técnico II",28,IF(C1353="Técnico I",23,IF(C1353="JR",20,IF(C1353="Estágio",10,0))))),IF(C1353="Técnico III",SUMIFS($D:$D,$A:$A,$A1353,$B:$B,"&lt;&gt;Patrícia Karla de Sousa Araújo",$B:$B,"&lt;&gt;Lorena Dias de Araujo",$B:$B,"&lt;&gt;Lucas Luiz Romero")*(35/1083),IF(C1353="Técnico II",SUMIFS($D:$D,$A:$A,$A1353,$B:$B,"&lt;&gt;Patrícia Karla de Sousa Araújo",$B:$B,"&lt;&gt;Lorena Dias de Araujo",$B:$B,"&lt;&gt;Lucas Luiz Romero")*(28/1083),IF(C1353="Técnico I",SUMIFS($D:$D,$A:$A,$A1353,$B:$B,"&lt;&gt;Patrícia Karla de Sousa Araújo",$B:$B,"&lt;&gt;Lorena Dias de Araujo",$B:$B,"&lt;&gt;Lucas Luiz Romero")*(23/1083),IF(C1353="JR",SUMIFS($D:$D,$A:$A,$A1353,$B:$B,"&lt;&gt;Patrícia Karla de Sousa Araújo",$B:$B,"&lt;&gt;Lorena Dias de Araujo",$B:$B,"&lt;&gt;Lucas Luiz Romero")*(20/1083),IF(C1353="Estágio",SUMIFS($D:$D,$A:$A,$A1353,$B:$B,"&lt;&gt;Patrícia Karla de Sousa Araújo",$B:$B,"&lt;&gt;Lorena Dias de Araujo",$B:$B,"&lt;&gt;Lucas Luiz Romero")*(10/1083),0)))))),0)</f>
        <v/>
      </c>
      <c r="K1353" s="3">
        <f>I1353-J1353</f>
        <v/>
      </c>
      <c r="L1353" s="3">
        <f>IF(K1353&lt;-5,"CRÍTICO",IF(K1353&lt;0,"ATENÇÃO",IF(K1353&lt;=5,"BOM","EXCELENTE")))</f>
        <v/>
      </c>
      <c r="M1353" s="3" t="n">
        <v>24</v>
      </c>
      <c r="N1353" s="3" t="n">
        <v>97.45</v>
      </c>
      <c r="O1353" s="12" t="n">
        <v>41.421143847487</v>
      </c>
    </row>
    <row r="1354">
      <c r="A1354" s="10" t="n">
        <v>46043</v>
      </c>
      <c r="B1354" t="inlineStr">
        <is>
          <t>Damyllis Lorraine de Oliveira Gonçalves</t>
        </is>
      </c>
      <c r="C1354" s="1" t="inlineStr">
        <is>
          <t>Técnico II</t>
        </is>
      </c>
      <c r="D1354" s="3" t="n">
        <v>25</v>
      </c>
      <c r="E1354" s="3" t="n">
        <v>19</v>
      </c>
      <c r="F1354" s="3" t="n">
        <v>10.4</v>
      </c>
      <c r="G1354" s="3" t="n">
        <v>0</v>
      </c>
      <c r="H1354" s="3" t="n">
        <v>0</v>
      </c>
      <c r="I1354" s="3" t="n">
        <v>0</v>
      </c>
      <c r="J1354" s="3" t="n">
        <v>0</v>
      </c>
      <c r="K1354" s="3" t="n">
        <v>0</v>
      </c>
      <c r="L1354" s="3">
        <f>IF(K1354&lt;-5,"CRÍTICO",IF(K1354&lt;0,"ATENÇÃO",IF(K1354&lt;=5,"BOM","EXCELENTE")))</f>
        <v/>
      </c>
      <c r="M1354" s="3" t="n">
        <v>19</v>
      </c>
      <c r="N1354" s="3" t="n">
        <v>96.58</v>
      </c>
      <c r="O1354" s="12" t="n">
        <v>30.39647577092511</v>
      </c>
    </row>
    <row r="1355">
      <c r="A1355" s="10" t="n">
        <v>46043</v>
      </c>
      <c r="B1355" t="inlineStr">
        <is>
          <t>Daniel Gomes da Silva</t>
        </is>
      </c>
      <c r="C1355" s="1" t="inlineStr">
        <is>
          <t>Técnico I</t>
        </is>
      </c>
      <c r="D1355" s="3" t="n">
        <v>20</v>
      </c>
      <c r="E1355" s="3" t="n">
        <v>20</v>
      </c>
      <c r="F1355" s="3" t="n">
        <v>20.05</v>
      </c>
      <c r="G1355" s="3" t="n">
        <v>0</v>
      </c>
      <c r="H1355" s="3" t="n">
        <v>0</v>
      </c>
      <c r="I1355" s="3">
        <f>E1355+G1355+H1355</f>
        <v/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/>
      </c>
      <c r="K1355" s="3">
        <f>I1355-J1355</f>
        <v/>
      </c>
      <c r="L1355" s="3">
        <f>IF(K1355&lt;-5,"CRÍTICO",IF(K1355&lt;0,"ATENÇÃO",IF(K1355&lt;=5,"BOM","EXCELENTE")))</f>
        <v/>
      </c>
      <c r="M1355" s="3" t="n">
        <v>27</v>
      </c>
      <c r="N1355" s="3" t="n">
        <v>100</v>
      </c>
      <c r="O1355" s="12" t="n">
        <v>27.44282744282744</v>
      </c>
    </row>
    <row r="1356">
      <c r="A1356" s="10" t="n">
        <v>46043</v>
      </c>
      <c r="B1356" t="inlineStr">
        <is>
          <t>Davylla Rodrigues Freitas Silva</t>
        </is>
      </c>
      <c r="C1356" s="1" t="inlineStr">
        <is>
          <t>Técnico III</t>
        </is>
      </c>
      <c r="D1356" s="3" t="n">
        <v>19</v>
      </c>
      <c r="E1356" s="3" t="n">
        <v>17</v>
      </c>
      <c r="F1356" s="3" t="n">
        <v>25.25</v>
      </c>
      <c r="G1356" s="3" t="n">
        <v>0</v>
      </c>
      <c r="H1356" s="3" t="n">
        <v>0</v>
      </c>
      <c r="I1356" s="3" t="n">
        <v>0</v>
      </c>
      <c r="J1356" s="3" t="n">
        <v>0</v>
      </c>
      <c r="K1356" s="3" t="n">
        <v>0</v>
      </c>
      <c r="L1356" s="3">
        <f>IF(K1356&lt;-5,"CRÍTICO",IF(K1356&lt;0,"ATENÇÃO",IF(K1356&lt;=5,"BOM","EXCELENTE")))</f>
        <v/>
      </c>
      <c r="M1356" s="3" t="n">
        <v>19</v>
      </c>
      <c r="N1356" s="3" t="n">
        <v>99.48999999999999</v>
      </c>
      <c r="O1356" s="12" t="n">
        <v>40.2</v>
      </c>
    </row>
    <row r="1357">
      <c r="A1357" s="10" t="n">
        <v>46043</v>
      </c>
      <c r="B1357" t="inlineStr">
        <is>
          <t>Emilly Caylane Costa</t>
        </is>
      </c>
      <c r="C1357" s="1" t="inlineStr">
        <is>
          <t>Estágio</t>
        </is>
      </c>
      <c r="D1357" s="3" t="n">
        <v>0</v>
      </c>
      <c r="E1357" s="3" t="n">
        <v>0</v>
      </c>
      <c r="F1357" s="3" t="n">
        <v>0</v>
      </c>
      <c r="G1357" s="3" t="n">
        <v>0</v>
      </c>
      <c r="H1357" s="3" t="n">
        <v>0</v>
      </c>
      <c r="I1357" s="3" t="n">
        <v>0</v>
      </c>
      <c r="J1357" s="3" t="n">
        <v>0</v>
      </c>
      <c r="K1357" s="3" t="n">
        <v>0</v>
      </c>
      <c r="L1357" s="3">
        <f>IF(K1357&lt;-5,"CRÍTICO",IF(K1357&lt;0,"ATENÇÃO",IF(K1357&lt;=5,"BOM","EXCELENTE")))</f>
        <v/>
      </c>
      <c r="M1357" s="3" t="n">
        <v>0</v>
      </c>
      <c r="N1357" s="3" t="n">
        <v>100</v>
      </c>
      <c r="O1357" s="12" t="n">
        <v>25</v>
      </c>
    </row>
    <row r="1358">
      <c r="A1358" s="10" t="n">
        <v>46043</v>
      </c>
      <c r="B1358" t="inlineStr">
        <is>
          <t>Emilly Kamilly Medeiros Miranda</t>
        </is>
      </c>
      <c r="C1358" s="1" t="inlineStr">
        <is>
          <t>Técnico II</t>
        </is>
      </c>
      <c r="D1358" s="3" t="n">
        <v>30</v>
      </c>
      <c r="E1358" s="3" t="n">
        <v>30</v>
      </c>
      <c r="F1358" s="3" t="n">
        <v>12.2</v>
      </c>
      <c r="G1358" s="3" t="n">
        <v>0</v>
      </c>
      <c r="H1358" s="3" t="n">
        <v>0</v>
      </c>
      <c r="I1358" s="3">
        <f>E1358+G1358+H1358</f>
        <v/>
      </c>
      <c r="J1358" s="3">
        <f>ROUND(MIN(IF(C1358="Técnico III",35,IF(C1358="Técnico II",28,IF(C1358="Técnico I",23,IF(C1358="JR",20,IF(C1358="Estágio",10,0))))),IF(C1358="Técnico III",SUMIFS($D:$D,$A:$A,$A1358,$B:$B,"&lt;&gt;Patrícia Karla de Sousa Araújo",$B:$B,"&lt;&gt;Lorena Dias de Araujo",$B:$B,"&lt;&gt;Lucas Luiz Romero")*(35/1083),IF(C1358="Técnico II",SUMIFS($D:$D,$A:$A,$A1358,$B:$B,"&lt;&gt;Patrícia Karla de Sousa Araújo",$B:$B,"&lt;&gt;Lorena Dias de Araujo",$B:$B,"&lt;&gt;Lucas Luiz Romero")*(28/1083),IF(C1358="Técnico I",SUMIFS($D:$D,$A:$A,$A1358,$B:$B,"&lt;&gt;Patrícia Karla de Sousa Araújo",$B:$B,"&lt;&gt;Lorena Dias de Araujo",$B:$B,"&lt;&gt;Lucas Luiz Romero")*(23/1083),IF(C1358="JR",SUMIFS($D:$D,$A:$A,$A1358,$B:$B,"&lt;&gt;Patrícia Karla de Sousa Araújo",$B:$B,"&lt;&gt;Lorena Dias de Araujo",$B:$B,"&lt;&gt;Lucas Luiz Romero")*(20/1083),IF(C1358="Estágio",SUMIFS($D:$D,$A:$A,$A1358,$B:$B,"&lt;&gt;Patrícia Karla de Sousa Araújo",$B:$B,"&lt;&gt;Lorena Dias de Araujo",$B:$B,"&lt;&gt;Lucas Luiz Romero")*(10/1083),0)))))),0)</f>
        <v/>
      </c>
      <c r="K1358" s="3">
        <f>I1358-J1358</f>
        <v/>
      </c>
      <c r="L1358" s="3">
        <f>IF(K1358&lt;-5,"CRÍTICO",IF(K1358&lt;0,"ATENÇÃO",IF(K1358&lt;=5,"BOM","EXCELENTE")))</f>
        <v/>
      </c>
      <c r="M1358" s="3" t="n">
        <v>25</v>
      </c>
      <c r="N1358" s="3" t="n">
        <v>100</v>
      </c>
      <c r="O1358" s="12" t="n">
        <v>34.15094339622641</v>
      </c>
    </row>
    <row r="1359">
      <c r="A1359" s="10" t="n">
        <v>46043</v>
      </c>
      <c r="B1359" t="inlineStr">
        <is>
          <t>Francielson de Oliveira</t>
        </is>
      </c>
      <c r="C1359" s="1" t="inlineStr">
        <is>
          <t>Técnico III</t>
        </is>
      </c>
      <c r="D1359" s="3" t="n">
        <v>23</v>
      </c>
      <c r="E1359" s="3" t="n">
        <v>22</v>
      </c>
      <c r="F1359" s="3" t="n">
        <v>17.27</v>
      </c>
      <c r="G1359" s="3" t="n">
        <v>0</v>
      </c>
      <c r="H1359" s="3" t="n">
        <v>0</v>
      </c>
      <c r="I1359" s="3">
        <f>E1359+G1359+H1359</f>
        <v/>
      </c>
      <c r="J1359" s="3">
        <f>ROUND(MIN(IF(C1359="Técnico III",35,IF(C1359="Técnico II",28,IF(C1359="Técnico I",23,IF(C1359="JR",20,IF(C1359="Estágio",10,0))))),IF(C1359="Técnico III",SUMIFS($D:$D,$A:$A,$A1359,$B:$B,"&lt;&gt;Patrícia Karla de Sousa Araújo",$B:$B,"&lt;&gt;Lorena Dias de Araujo",$B:$B,"&lt;&gt;Lucas Luiz Romero")*(35/1083),IF(C1359="Técnico II",SUMIFS($D:$D,$A:$A,$A1359,$B:$B,"&lt;&gt;Patrícia Karla de Sousa Araújo",$B:$B,"&lt;&gt;Lorena Dias de Araujo",$B:$B,"&lt;&gt;Lucas Luiz Romero")*(28/1083),IF(C1359="Técnico I",SUMIFS($D:$D,$A:$A,$A1359,$B:$B,"&lt;&gt;Patrícia Karla de Sousa Araújo",$B:$B,"&lt;&gt;Lorena Dias de Araujo",$B:$B,"&lt;&gt;Lucas Luiz Romero")*(23/1083),IF(C1359="JR",SUMIFS($D:$D,$A:$A,$A1359,$B:$B,"&lt;&gt;Patrícia Karla de Sousa Araújo",$B:$B,"&lt;&gt;Lorena Dias de Araujo",$B:$B,"&lt;&gt;Lucas Luiz Romero")*(20/1083),IF(C1359="Estágio",SUMIFS($D:$D,$A:$A,$A1359,$B:$B,"&lt;&gt;Patrícia Karla de Sousa Araújo",$B:$B,"&lt;&gt;Lorena Dias de Araujo",$B:$B,"&lt;&gt;Lucas Luiz Romero")*(10/1083),0)))))),0)</f>
        <v/>
      </c>
      <c r="K1359" s="3">
        <f>I1359-J1359</f>
        <v/>
      </c>
      <c r="L1359" s="3">
        <f>IF(K1359&lt;-5,"CRÍTICO",IF(K1359&lt;0,"ATENÇÃO",IF(K1359&lt;=5,"BOM","EXCELENTE")))</f>
        <v/>
      </c>
      <c r="M1359" s="3" t="n">
        <v>21</v>
      </c>
      <c r="N1359" s="3" t="n">
        <v>100</v>
      </c>
      <c r="O1359" s="12" t="n">
        <v>32.7313769751693</v>
      </c>
    </row>
    <row r="1360">
      <c r="A1360" s="10" t="n">
        <v>46043</v>
      </c>
      <c r="B1360" t="inlineStr">
        <is>
          <t>Francilene Ferreira de Jesus</t>
        </is>
      </c>
      <c r="C1360" s="1" t="inlineStr">
        <is>
          <t>Técnico II</t>
        </is>
      </c>
      <c r="D1360" s="3" t="n">
        <v>10</v>
      </c>
      <c r="E1360" s="3" t="n">
        <v>8</v>
      </c>
      <c r="F1360" s="3" t="n">
        <v>27.24</v>
      </c>
      <c r="G1360" s="3" t="n">
        <v>0</v>
      </c>
      <c r="H1360" s="3" t="n">
        <v>0</v>
      </c>
      <c r="I1360" s="3">
        <f>E1360+G1360+H1360</f>
        <v/>
      </c>
      <c r="J1360" s="3">
        <f>ROUND(MIN(IF(C1360="Técnico III",35,IF(C1360="Técnico II",28,IF(C1360="Técnico I",23,IF(C1360="JR",20,IF(C1360="Estágio",10,0))))),IF(C1360="Técnico III",SUMIFS($D:$D,$A:$A,$A1360,$B:$B,"&lt;&gt;Patrícia Karla de Sousa Araújo",$B:$B,"&lt;&gt;Lorena Dias de Araujo",$B:$B,"&lt;&gt;Lucas Luiz Romero")*(35/1083),IF(C1360="Técnico II",SUMIFS($D:$D,$A:$A,$A1360,$B:$B,"&lt;&gt;Patrícia Karla de Sousa Araújo",$B:$B,"&lt;&gt;Lorena Dias de Araujo",$B:$B,"&lt;&gt;Lucas Luiz Romero")*(28/1083),IF(C1360="Técnico I",SUMIFS($D:$D,$A:$A,$A1360,$B:$B,"&lt;&gt;Patrícia Karla de Sousa Araújo",$B:$B,"&lt;&gt;Lorena Dias de Araujo",$B:$B,"&lt;&gt;Lucas Luiz Romero")*(23/1083),IF(C1360="JR",SUMIFS($D:$D,$A:$A,$A1360,$B:$B,"&lt;&gt;Patrícia Karla de Sousa Araújo",$B:$B,"&lt;&gt;Lorena Dias de Araujo",$B:$B,"&lt;&gt;Lucas Luiz Romero")*(20/1083),IF(C1360="Estágio",SUMIFS($D:$D,$A:$A,$A1360,$B:$B,"&lt;&gt;Patrícia Karla de Sousa Araújo",$B:$B,"&lt;&gt;Lorena Dias de Araujo",$B:$B,"&lt;&gt;Lucas Luiz Romero")*(10/1083),0)))))),0)</f>
        <v/>
      </c>
      <c r="K1360" s="3">
        <f>I1360-J1360</f>
        <v/>
      </c>
      <c r="L1360" s="3">
        <f>IF(K1360&lt;-5,"CRÍTICO",IF(K1360&lt;0,"ATENÇÃO",IF(K1360&lt;=5,"BOM","EXCELENTE")))</f>
        <v/>
      </c>
      <c r="M1360" s="3" t="n">
        <v>8</v>
      </c>
      <c r="N1360" s="3" t="n">
        <v>99.31</v>
      </c>
      <c r="O1360" s="12" t="n">
        <v>30.96234309623431</v>
      </c>
    </row>
    <row r="1361">
      <c r="A1361" s="10" t="n">
        <v>46077</v>
      </c>
      <c r="B1361" t="inlineStr">
        <is>
          <t>Gabriel Gomes de Andrade</t>
        </is>
      </c>
      <c r="C1361" s="1" t="inlineStr">
        <is>
          <t>Técnico I</t>
        </is>
      </c>
      <c r="D1361" s="3" t="n">
        <v>25</v>
      </c>
      <c r="E1361" s="3" t="n">
        <v>25</v>
      </c>
      <c r="F1361" s="3" t="n">
        <v>22.17</v>
      </c>
      <c r="G1361" s="3" t="n">
        <v>0</v>
      </c>
      <c r="H1361" s="3" t="n">
        <v>0</v>
      </c>
      <c r="I1361" s="3">
        <f>E1361+G1361+H1361</f>
        <v/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/>
      </c>
      <c r="K1361" s="3">
        <f>I1361-J1361</f>
        <v/>
      </c>
      <c r="L1361" s="3">
        <f>IF(K1361&lt;-5,"CRÍTICO",IF(K1361&lt;0,"ATENÇÃO",IF(K1361&lt;=5,"BOM","EXCELENTE")))</f>
        <v/>
      </c>
      <c r="M1361" s="3" t="n">
        <v>24</v>
      </c>
      <c r="N1361" s="3" t="n">
        <v>96.67</v>
      </c>
      <c r="O1361" s="12" t="n">
        <v>31.45161290322581</v>
      </c>
    </row>
    <row r="1362">
      <c r="A1362" s="10" t="n">
        <v>46043</v>
      </c>
      <c r="B1362" t="inlineStr">
        <is>
          <t>Isabella Borges de Oliveira</t>
        </is>
      </c>
      <c r="C1362" s="1" t="inlineStr">
        <is>
          <t>Técnico II</t>
        </is>
      </c>
      <c r="D1362" s="3" t="n">
        <v>24</v>
      </c>
      <c r="E1362" s="3" t="n">
        <v>22</v>
      </c>
      <c r="F1362" s="3" t="n">
        <v>18.46</v>
      </c>
      <c r="G1362" s="3" t="n">
        <v>0</v>
      </c>
      <c r="H1362" s="3" t="n">
        <v>0</v>
      </c>
      <c r="I1362" s="3">
        <f>E1362+G1362+H1362</f>
        <v/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/>
      </c>
      <c r="K1362" s="3">
        <f>I1362-J1362</f>
        <v/>
      </c>
      <c r="L1362" s="3">
        <f>IF(K1362&lt;-5,"CRÍTICO",IF(K1362&lt;0,"ATENÇÃO",IF(K1362&lt;=5,"BOM","EXCELENTE")))</f>
        <v/>
      </c>
      <c r="M1362" s="3" t="n">
        <v>21</v>
      </c>
      <c r="N1362" s="3" t="n">
        <v>100</v>
      </c>
      <c r="O1362" s="12" t="n">
        <v>27.67676767676768</v>
      </c>
    </row>
    <row r="1363">
      <c r="A1363" s="10" t="n">
        <v>46043</v>
      </c>
      <c r="B1363" t="inlineStr">
        <is>
          <t>Janaina Lima dos Reis Urany</t>
        </is>
      </c>
      <c r="C1363" s="1" t="inlineStr">
        <is>
          <t>Técnico III</t>
        </is>
      </c>
      <c r="D1363" s="3" t="n">
        <v>30</v>
      </c>
      <c r="E1363" s="3" t="n">
        <v>29</v>
      </c>
      <c r="F1363" s="3" t="n">
        <v>11.51</v>
      </c>
      <c r="G1363" s="3" t="n">
        <v>0</v>
      </c>
      <c r="H1363" s="3" t="n">
        <v>0</v>
      </c>
      <c r="I1363" s="3">
        <f>E1363+G1363+H1363</f>
        <v/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/>
      </c>
      <c r="K1363" s="3">
        <f>I1363-J1363</f>
        <v/>
      </c>
      <c r="L1363" s="3">
        <f>IF(K1363&lt;-5,"CRÍTICO",IF(K1363&lt;0,"ATENÇÃO",IF(K1363&lt;=5,"BOM","EXCELENTE")))</f>
        <v/>
      </c>
      <c r="M1363" s="3" t="n">
        <v>26</v>
      </c>
      <c r="N1363" s="3" t="n">
        <v>100</v>
      </c>
      <c r="O1363" s="12" t="n">
        <v>31.17723156532988</v>
      </c>
    </row>
    <row r="1364">
      <c r="A1364" s="10" t="n">
        <v>46043</v>
      </c>
      <c r="B1364" t="inlineStr">
        <is>
          <t>Jaqueline Evangelista da Silva Martins</t>
        </is>
      </c>
      <c r="C1364" s="1" t="inlineStr">
        <is>
          <t>Técnico III</t>
        </is>
      </c>
      <c r="D1364" s="3" t="n">
        <v>13</v>
      </c>
      <c r="E1364" s="3" t="n">
        <v>12</v>
      </c>
      <c r="F1364" s="3" t="n">
        <v>10.57</v>
      </c>
      <c r="G1364" s="3" t="n">
        <v>0</v>
      </c>
      <c r="H1364" s="3" t="n">
        <v>0</v>
      </c>
      <c r="I1364" s="3">
        <f>E1364+G1364+H1364</f>
        <v/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/>
      </c>
      <c r="K1364" s="3">
        <f>I1364-J1364</f>
        <v/>
      </c>
      <c r="L1364" s="3">
        <f>IF(K1364&lt;-5,"CRÍTICO",IF(K1364&lt;0,"ATENÇÃO",IF(K1364&lt;=5,"BOM","EXCELENTE")))</f>
        <v/>
      </c>
      <c r="M1364" s="3" t="n">
        <v>11</v>
      </c>
      <c r="N1364" s="3" t="n">
        <v>100</v>
      </c>
      <c r="O1364" s="12" t="n">
        <v>27.60942760942761</v>
      </c>
    </row>
    <row r="1365">
      <c r="A1365" s="10" t="n">
        <v>46043</v>
      </c>
      <c r="B1365" t="inlineStr">
        <is>
          <t>Jessica Faria da Silveira</t>
        </is>
      </c>
      <c r="C1365" s="1" t="inlineStr">
        <is>
          <t>Técnico II</t>
        </is>
      </c>
      <c r="D1365" s="3" t="n">
        <v>0</v>
      </c>
      <c r="E1365" s="3" t="n">
        <v>0</v>
      </c>
      <c r="F1365" s="3" t="n">
        <v>0</v>
      </c>
      <c r="G1365" s="3" t="n">
        <v>0</v>
      </c>
      <c r="H1365" s="3" t="n">
        <v>0</v>
      </c>
      <c r="I1365" s="3" t="n">
        <v>0</v>
      </c>
      <c r="J1365" s="3" t="n">
        <v>0</v>
      </c>
      <c r="K1365" s="3" t="n">
        <v>0</v>
      </c>
      <c r="L1365" s="3">
        <f>IF(K1365&lt;-5,"CRÍTICO",IF(K1365&lt;0,"ATENÇÃO",IF(K1365&lt;=5,"BOM","EXCELENTE")))</f>
        <v/>
      </c>
      <c r="M1365" s="3" t="n">
        <v>0</v>
      </c>
      <c r="N1365" s="3" t="n">
        <v>96.40000000000001</v>
      </c>
      <c r="O1365" s="12" t="n">
        <v>28.76404494382023</v>
      </c>
    </row>
    <row r="1366">
      <c r="A1366" s="10" t="n">
        <v>46043</v>
      </c>
      <c r="B1366" t="inlineStr">
        <is>
          <t>Jéssica Fé Moura</t>
        </is>
      </c>
      <c r="C1366" s="1" t="inlineStr">
        <is>
          <t>Técnico III</t>
        </is>
      </c>
      <c r="D1366" s="3" t="n">
        <v>0</v>
      </c>
      <c r="E1366" s="3" t="n">
        <v>0</v>
      </c>
      <c r="F1366" s="3" t="n">
        <v>0</v>
      </c>
      <c r="G1366" s="3" t="n">
        <v>0</v>
      </c>
      <c r="H1366" s="3" t="n">
        <v>0</v>
      </c>
      <c r="I1366" s="3" t="n">
        <v>0</v>
      </c>
      <c r="J1366" s="3" t="n">
        <v>0</v>
      </c>
      <c r="K1366" s="3" t="n">
        <v>0</v>
      </c>
      <c r="L1366" s="3">
        <f>IF(K1366&lt;-5,"CRÍTICO",IF(K1366&lt;0,"ATENÇÃO",IF(K1366&lt;=5,"BOM","EXCELENTE")))</f>
        <v/>
      </c>
      <c r="M1366" s="3" t="n">
        <v>0</v>
      </c>
      <c r="N1366" s="3" t="n">
        <v>100</v>
      </c>
      <c r="O1366" s="12" t="n">
        <v>33.98058252427185</v>
      </c>
    </row>
    <row r="1367">
      <c r="A1367" s="10" t="n">
        <v>46043</v>
      </c>
      <c r="B1367" t="inlineStr">
        <is>
          <t>Karina Gonçalves Martins</t>
        </is>
      </c>
      <c r="C1367" s="1" t="inlineStr">
        <is>
          <t>JR</t>
        </is>
      </c>
      <c r="D1367" s="3" t="n">
        <v>6</v>
      </c>
      <c r="E1367" s="3" t="n">
        <v>6</v>
      </c>
      <c r="F1367" s="3" t="n">
        <v>39.06</v>
      </c>
      <c r="G1367" s="3" t="n">
        <v>0</v>
      </c>
      <c r="H1367" s="3" t="n">
        <v>0</v>
      </c>
      <c r="I1367" s="3">
        <f>E1367+G1367+H1367</f>
        <v/>
      </c>
      <c r="J1367" s="3">
        <f>ROUND(MIN(IF(C1367="Técnico III",35,IF(C1367="Técnico II",28,IF(C1367="Técnico I",23,IF(C1367="JR",20,IF(C1367="Estágio",10,0))))),IF(C1367="Técnico III",SUMIFS($D:$D,$A:$A,$A1367,$B:$B,"&lt;&gt;Patrícia Karla de Sousa Araújo",$B:$B,"&lt;&gt;Lorena Dias de Araujo",$B:$B,"&lt;&gt;Lucas Luiz Romero")*(35/1083),IF(C1367="Técnico II",SUMIFS($D:$D,$A:$A,$A1367,$B:$B,"&lt;&gt;Patrícia Karla de Sousa Araújo",$B:$B,"&lt;&gt;Lorena Dias de Araujo",$B:$B,"&lt;&gt;Lucas Luiz Romero")*(28/1083),IF(C1367="Técnico I",SUMIFS($D:$D,$A:$A,$A1367,$B:$B,"&lt;&gt;Patrícia Karla de Sousa Araújo",$B:$B,"&lt;&gt;Lorena Dias de Araujo",$B:$B,"&lt;&gt;Lucas Luiz Romero")*(23/1083),IF(C1367="JR",SUMIFS($D:$D,$A:$A,$A1367,$B:$B,"&lt;&gt;Patrícia Karla de Sousa Araújo",$B:$B,"&lt;&gt;Lorena Dias de Araujo",$B:$B,"&lt;&gt;Lucas Luiz Romero")*(20/1083),IF(C1367="Estágio",SUMIFS($D:$D,$A:$A,$A1367,$B:$B,"&lt;&gt;Patrícia Karla de Sousa Araújo",$B:$B,"&lt;&gt;Lorena Dias de Araujo",$B:$B,"&lt;&gt;Lucas Luiz Romero")*(10/1083),0)))))),0)</f>
        <v/>
      </c>
      <c r="K1367" s="3">
        <f>I1367-J1367</f>
        <v/>
      </c>
      <c r="L1367" s="3">
        <f>IF(K1367&lt;-5,"CRÍTICO",IF(K1367&lt;0,"ATENÇÃO",IF(K1367&lt;=5,"BOM","EXCELENTE")))</f>
        <v/>
      </c>
      <c r="M1367" s="3" t="n">
        <v>9</v>
      </c>
      <c r="N1367" s="3" t="n">
        <v>97.56</v>
      </c>
      <c r="O1367" s="12" t="n">
        <v>32.51533742331289</v>
      </c>
    </row>
    <row r="1368">
      <c r="A1368" s="10" t="n">
        <v>46043</v>
      </c>
      <c r="B1368" t="inlineStr">
        <is>
          <t>Kerollen Cristielly de Jesus Siqueira</t>
        </is>
      </c>
      <c r="C1368" s="1" t="inlineStr">
        <is>
          <t>Técnico III</t>
        </is>
      </c>
      <c r="D1368" s="3" t="n">
        <v>25</v>
      </c>
      <c r="E1368" s="3" t="n">
        <v>24</v>
      </c>
      <c r="F1368" s="3" t="n">
        <v>15.49</v>
      </c>
      <c r="G1368" s="3" t="n">
        <v>0</v>
      </c>
      <c r="H1368" s="3" t="n">
        <v>0</v>
      </c>
      <c r="I1368" s="3">
        <f>E1368+G1368+H1368</f>
        <v/>
      </c>
      <c r="J1368" s="3">
        <f>ROUND(MIN(IF(C1368="Técnico III",35,IF(C1368="Técnico II",28,IF(C1368="Técnico I",23,IF(C1368="JR",20,IF(C1368="Estágio",10,0))))),IF(C1368="Técnico III",SUMIFS($D:$D,$A:$A,$A1368,$B:$B,"&lt;&gt;Patrícia Karla de Sousa Araújo",$B:$B,"&lt;&gt;Lorena Dias de Araujo",$B:$B,"&lt;&gt;Lucas Luiz Romero")*(35/1083),IF(C1368="Técnico II",SUMIFS($D:$D,$A:$A,$A1368,$B:$B,"&lt;&gt;Patrícia Karla de Sousa Araújo",$B:$B,"&lt;&gt;Lorena Dias de Araujo",$B:$B,"&lt;&gt;Lucas Luiz Romero")*(28/1083),IF(C1368="Técnico I",SUMIFS($D:$D,$A:$A,$A1368,$B:$B,"&lt;&gt;Patrícia Karla de Sousa Araújo",$B:$B,"&lt;&gt;Lorena Dias de Araujo",$B:$B,"&lt;&gt;Lucas Luiz Romero")*(23/1083),IF(C1368="JR",SUMIFS($D:$D,$A:$A,$A1368,$B:$B,"&lt;&gt;Patrícia Karla de Sousa Araújo",$B:$B,"&lt;&gt;Lorena Dias de Araujo",$B:$B,"&lt;&gt;Lucas Luiz Romero")*(20/1083),IF(C1368="Estágio",SUMIFS($D:$D,$A:$A,$A1368,$B:$B,"&lt;&gt;Patrícia Karla de Sousa Araújo",$B:$B,"&lt;&gt;Lorena Dias de Araujo",$B:$B,"&lt;&gt;Lucas Luiz Romero")*(10/1083),0)))))),0)</f>
        <v/>
      </c>
      <c r="K1368" s="3">
        <f>I1368-J1368</f>
        <v/>
      </c>
      <c r="L1368" s="3">
        <f>IF(K1368&lt;-5,"CRÍTICO",IF(K1368&lt;0,"ATENÇÃO",IF(K1368&lt;=5,"BOM","EXCELENTE")))</f>
        <v/>
      </c>
      <c r="M1368" s="3" t="n">
        <v>21</v>
      </c>
      <c r="N1368" s="3" t="n">
        <v>97.11</v>
      </c>
      <c r="O1368" s="12" t="n">
        <v>37.40831295843521</v>
      </c>
    </row>
    <row r="1369">
      <c r="A1369" s="10" t="n">
        <v>46043</v>
      </c>
      <c r="B1369" t="inlineStr">
        <is>
          <t>Leandro de Souza Silva</t>
        </is>
      </c>
      <c r="C1369" s="1" t="inlineStr">
        <is>
          <t>JR</t>
        </is>
      </c>
      <c r="D1369" s="3" t="n">
        <v>0</v>
      </c>
      <c r="E1369" s="3" t="n">
        <v>0</v>
      </c>
      <c r="F1369" s="3" t="n">
        <v>0</v>
      </c>
      <c r="G1369" s="3" t="n">
        <v>0</v>
      </c>
      <c r="H1369" s="3" t="n">
        <v>0</v>
      </c>
      <c r="I1369" s="3" t="n">
        <v>0</v>
      </c>
      <c r="J1369" s="3" t="n">
        <v>0</v>
      </c>
      <c r="K1369" s="3" t="n">
        <v>0</v>
      </c>
      <c r="L1369" s="3">
        <f>IF(K1369&lt;-5,"CRÍTICO",IF(K1369&lt;0,"ATENÇÃO",IF(K1369&lt;=5,"BOM","EXCELENTE")))</f>
        <v/>
      </c>
      <c r="M1369" s="3" t="n">
        <v>0</v>
      </c>
      <c r="N1369" s="3" t="n">
        <v>0</v>
      </c>
      <c r="O1369" s="12" t="n">
        <v>0</v>
      </c>
    </row>
    <row r="1370">
      <c r="A1370" s="10" t="n">
        <v>46043</v>
      </c>
      <c r="B1370" t="inlineStr">
        <is>
          <t>Leandro Oliveira de Sousa</t>
        </is>
      </c>
      <c r="C1370" s="1" t="inlineStr">
        <is>
          <t>Técnico III</t>
        </is>
      </c>
      <c r="D1370" s="3" t="n">
        <v>24</v>
      </c>
      <c r="E1370" s="3" t="n">
        <v>19</v>
      </c>
      <c r="F1370" s="3" t="n">
        <v>15.4</v>
      </c>
      <c r="G1370" s="3" t="n">
        <v>0</v>
      </c>
      <c r="H1370" s="3" t="n">
        <v>0</v>
      </c>
      <c r="I1370" s="3">
        <f>E1370+G1370+H1370</f>
        <v/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/>
      </c>
      <c r="K1370" s="3">
        <f>I1370-J1370</f>
        <v/>
      </c>
      <c r="L1370" s="3">
        <f>IF(K1370&lt;-5,"CRÍTICO",IF(K1370&lt;0,"ATENÇÃO",IF(K1370&lt;=5,"BOM","EXCELENTE")))</f>
        <v/>
      </c>
      <c r="M1370" s="3" t="n">
        <v>21</v>
      </c>
      <c r="N1370" s="3" t="n">
        <v>100</v>
      </c>
      <c r="O1370" s="12" t="n">
        <v>30.47034764826176</v>
      </c>
    </row>
    <row r="1371">
      <c r="A1371" s="10" t="n">
        <v>46043</v>
      </c>
      <c r="B1371" t="inlineStr">
        <is>
          <t>Lizandra Gomes Duarte</t>
        </is>
      </c>
      <c r="C1371" s="1" t="inlineStr">
        <is>
          <t>Técnico II</t>
        </is>
      </c>
      <c r="D1371" s="3" t="n">
        <v>28</v>
      </c>
      <c r="E1371" s="3" t="n">
        <v>27</v>
      </c>
      <c r="F1371" s="3" t="n">
        <v>14.17</v>
      </c>
      <c r="G1371" s="3" t="n">
        <v>0</v>
      </c>
      <c r="H1371" s="3" t="n">
        <v>0</v>
      </c>
      <c r="I1371" s="3">
        <f>E1371+G1371+H1371</f>
        <v/>
      </c>
      <c r="J1371" s="3">
        <f>ROUND(MIN(IF(C1371="Técnico III",35,IF(C1371="Técnico II",28,IF(C1371="Técnico I",23,IF(C1371="JR",20,IF(C1371="Estágio",10,0))))),IF(C1371="Técnico III",SUMIFS($D:$D,$A:$A,$A1371,$B:$B,"&lt;&gt;Patrícia Karla de Sousa Araújo",$B:$B,"&lt;&gt;Lorena Dias de Araujo",$B:$B,"&lt;&gt;Lucas Luiz Romero")*(35/1083),IF(C1371="Técnico II",SUMIFS($D:$D,$A:$A,$A1371,$B:$B,"&lt;&gt;Patrícia Karla de Sousa Araújo",$B:$B,"&lt;&gt;Lorena Dias de Araujo",$B:$B,"&lt;&gt;Lucas Luiz Romero")*(28/1083),IF(C1371="Técnico I",SUMIFS($D:$D,$A:$A,$A1371,$B:$B,"&lt;&gt;Patrícia Karla de Sousa Araújo",$B:$B,"&lt;&gt;Lorena Dias de Araujo",$B:$B,"&lt;&gt;Lucas Luiz Romero")*(23/1083),IF(C1371="JR",SUMIFS($D:$D,$A:$A,$A1371,$B:$B,"&lt;&gt;Patrícia Karla de Sousa Araújo",$B:$B,"&lt;&gt;Lorena Dias de Araujo",$B:$B,"&lt;&gt;Lucas Luiz Romero")*(20/1083),IF(C1371="Estágio",SUMIFS($D:$D,$A:$A,$A1371,$B:$B,"&lt;&gt;Patrícia Karla de Sousa Araújo",$B:$B,"&lt;&gt;Lorena Dias de Araujo",$B:$B,"&lt;&gt;Lucas Luiz Romero")*(10/1083),0)))))),0)</f>
        <v/>
      </c>
      <c r="K1371" s="3">
        <f>I1371-J1371</f>
        <v/>
      </c>
      <c r="L1371" s="3">
        <f>IF(K1371&lt;-5,"CRÍTICO",IF(K1371&lt;0,"ATENÇÃO",IF(K1371&lt;=5,"BOM","EXCELENTE")))</f>
        <v/>
      </c>
      <c r="M1371" s="3" t="n">
        <v>24</v>
      </c>
      <c r="N1371" s="3" t="n">
        <v>100</v>
      </c>
      <c r="O1371" s="12" t="n">
        <v>32.37113402061856</v>
      </c>
    </row>
    <row r="1372">
      <c r="A1372" s="10" t="n">
        <v>46043</v>
      </c>
      <c r="B1372" t="inlineStr">
        <is>
          <t>Lorena Dias de Araujo</t>
        </is>
      </c>
      <c r="C1372" s="1" t="inlineStr">
        <is>
          <t>Técnico II</t>
        </is>
      </c>
      <c r="D1372" s="3" t="n">
        <v>26</v>
      </c>
      <c r="E1372" s="3" t="n">
        <v>23</v>
      </c>
      <c r="F1372" s="3" t="n">
        <v>13.38</v>
      </c>
      <c r="G1372" s="3" t="n">
        <v>0</v>
      </c>
      <c r="H1372" s="3" t="n">
        <v>0</v>
      </c>
      <c r="I1372" s="3" t="n">
        <v>0</v>
      </c>
      <c r="J1372" s="3" t="n">
        <v>0</v>
      </c>
      <c r="K1372" s="3" t="n">
        <v>0</v>
      </c>
      <c r="L1372" s="3">
        <f>IF(K1372&lt;-5,"CRÍTICO",IF(K1372&lt;0,"ATENÇÃO",IF(K1372&lt;=5,"BOM","EXCELENTE")))</f>
        <v/>
      </c>
      <c r="M1372" s="3" t="n">
        <v>19</v>
      </c>
      <c r="N1372" s="3" t="n">
        <v>98.31999999999999</v>
      </c>
      <c r="O1372" s="12" t="n">
        <v>32.31850117096019</v>
      </c>
    </row>
    <row r="1373">
      <c r="A1373" s="10" t="n">
        <v>46043</v>
      </c>
      <c r="B1373" t="inlineStr">
        <is>
          <t>Lucas Luiz Romero</t>
        </is>
      </c>
      <c r="C1373" s="1" t="inlineStr">
        <is>
          <t>Técnico III</t>
        </is>
      </c>
      <c r="D1373" s="3" t="n">
        <v>35</v>
      </c>
      <c r="E1373" s="3" t="n">
        <v>19</v>
      </c>
      <c r="F1373" s="3" t="n">
        <v>8.25</v>
      </c>
      <c r="G1373" s="3" t="n">
        <v>0</v>
      </c>
      <c r="H1373" s="3" t="n">
        <v>0</v>
      </c>
      <c r="I1373" s="3">
        <f>E1373+G1373+H1373</f>
        <v/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/>
      </c>
      <c r="K1373" s="3">
        <f>I1373-J1373</f>
        <v/>
      </c>
      <c r="L1373" s="3">
        <f>IF(K1373&lt;-5,"CRÍTICO",IF(K1373&lt;0,"ATENÇÃO",IF(K1373&lt;=5,"BOM","EXCELENTE")))</f>
        <v/>
      </c>
      <c r="M1373" s="3" t="n">
        <v>13</v>
      </c>
      <c r="N1373" s="3" t="n">
        <v>96.43000000000001</v>
      </c>
      <c r="O1373" s="12" t="n">
        <v>27.01525054466231</v>
      </c>
    </row>
    <row r="1374">
      <c r="A1374" s="10" t="n">
        <v>46043</v>
      </c>
      <c r="B1374" t="inlineStr">
        <is>
          <t>Luiz Fernando de Carvalho Junior</t>
        </is>
      </c>
      <c r="C1374" s="1" t="inlineStr">
        <is>
          <t>Técnico I</t>
        </is>
      </c>
      <c r="D1374" s="3" t="n">
        <v>17</v>
      </c>
      <c r="E1374" s="3" t="n">
        <v>17</v>
      </c>
      <c r="F1374" s="3" t="n">
        <v>22.17</v>
      </c>
      <c r="G1374" s="3" t="n">
        <v>0</v>
      </c>
      <c r="H1374" s="3" t="n">
        <v>0</v>
      </c>
      <c r="I1374" s="3">
        <f>E1374+G1374+H1374</f>
        <v/>
      </c>
      <c r="J1374" s="3">
        <f>ROUND(MIN(IF(C1374="Técnico III",35,IF(C1374="Técnico II",28,IF(C1374="Técnico I",23,IF(C1374="JR",20,IF(C1374="Estágio",10,0))))),IF(C1374="Técnico III",SUMIFS($D:$D,$A:$A,$A1374,$B:$B,"&lt;&gt;Patrícia Karla de Sousa Araújo",$B:$B,"&lt;&gt;Lorena Dias de Araujo",$B:$B,"&lt;&gt;Lucas Luiz Romero")*(35/1083),IF(C1374="Técnico II",SUMIFS($D:$D,$A:$A,$A1374,$B:$B,"&lt;&gt;Patrícia Karla de Sousa Araújo",$B:$B,"&lt;&gt;Lorena Dias de Araujo",$B:$B,"&lt;&gt;Lucas Luiz Romero")*(28/1083),IF(C1374="Técnico I",SUMIFS($D:$D,$A:$A,$A1374,$B:$B,"&lt;&gt;Patrícia Karla de Sousa Araújo",$B:$B,"&lt;&gt;Lorena Dias de Araujo",$B:$B,"&lt;&gt;Lucas Luiz Romero")*(23/1083),IF(C1374="JR",SUMIFS($D:$D,$A:$A,$A1374,$B:$B,"&lt;&gt;Patrícia Karla de Sousa Araújo",$B:$B,"&lt;&gt;Lorena Dias de Araujo",$B:$B,"&lt;&gt;Lucas Luiz Romero")*(20/1083),IF(C1374="Estágio",SUMIFS($D:$D,$A:$A,$A1374,$B:$B,"&lt;&gt;Patrícia Karla de Sousa Araújo",$B:$B,"&lt;&gt;Lorena Dias de Araujo",$B:$B,"&lt;&gt;Lucas Luiz Romero")*(10/1083),0)))))),0)</f>
        <v/>
      </c>
      <c r="K1374" s="3">
        <f>I1374-J1374</f>
        <v/>
      </c>
      <c r="L1374" s="3">
        <f>IF(K1374&lt;-5,"CRÍTICO",IF(K1374&lt;0,"ATENÇÃO",IF(K1374&lt;=5,"BOM","EXCELENTE")))</f>
        <v/>
      </c>
      <c r="M1374" s="3" t="n">
        <v>20</v>
      </c>
      <c r="N1374" s="3" t="n">
        <v>98.89</v>
      </c>
      <c r="O1374" s="12" t="n">
        <v>28.02197802197802</v>
      </c>
    </row>
    <row r="1375">
      <c r="A1375" s="10" t="n">
        <v>46043</v>
      </c>
      <c r="B1375" t="inlineStr">
        <is>
          <t>Maria Eduarda Sousa Costa</t>
        </is>
      </c>
      <c r="C1375" s="1" t="inlineStr">
        <is>
          <t>Estágio</t>
        </is>
      </c>
      <c r="D1375" s="3" t="n">
        <v>8</v>
      </c>
      <c r="E1375" s="3" t="n">
        <v>8</v>
      </c>
      <c r="F1375" s="3" t="n">
        <v>30.44</v>
      </c>
      <c r="G1375" s="3" t="n">
        <v>0</v>
      </c>
      <c r="H1375" s="3" t="n">
        <v>0</v>
      </c>
      <c r="I1375" s="3">
        <f>E1375+G1375+H1375</f>
        <v/>
      </c>
      <c r="J1375" s="3">
        <f>ROUND(MIN(IF(C1375="Técnico III",35,IF(C1375="Técnico II",28,IF(C1375="Técnico I",23,IF(C1375="JR",20,IF(C1375="Estágio",10,0))))),IF(C1375="Técnico III",SUMIFS($D:$D,$A:$A,$A1375,$B:$B,"&lt;&gt;Patrícia Karla de Sousa Araújo",$B:$B,"&lt;&gt;Lorena Dias de Araujo",$B:$B,"&lt;&gt;Lucas Luiz Romero")*(35/1083),IF(C1375="Técnico II",SUMIFS($D:$D,$A:$A,$A1375,$B:$B,"&lt;&gt;Patrícia Karla de Sousa Araújo",$B:$B,"&lt;&gt;Lorena Dias de Araujo",$B:$B,"&lt;&gt;Lucas Luiz Romero")*(28/1083),IF(C1375="Técnico I",SUMIFS($D:$D,$A:$A,$A1375,$B:$B,"&lt;&gt;Patrícia Karla de Sousa Araújo",$B:$B,"&lt;&gt;Lorena Dias de Araujo",$B:$B,"&lt;&gt;Lucas Luiz Romero")*(23/1083),IF(C1375="JR",SUMIFS($D:$D,$A:$A,$A1375,$B:$B,"&lt;&gt;Patrícia Karla de Sousa Araújo",$B:$B,"&lt;&gt;Lorena Dias de Araujo",$B:$B,"&lt;&gt;Lucas Luiz Romero")*(20/1083),IF(C1375="Estágio",SUMIFS($D:$D,$A:$A,$A1375,$B:$B,"&lt;&gt;Patrícia Karla de Sousa Araújo",$B:$B,"&lt;&gt;Lorena Dias de Araujo",$B:$B,"&lt;&gt;Lucas Luiz Romero")*(10/1083),0)))))),0)</f>
        <v/>
      </c>
      <c r="K1375" s="3">
        <f>I1375-J1375</f>
        <v/>
      </c>
      <c r="L1375" s="3">
        <f>IF(K1375&lt;-5,"CRÍTICO",IF(K1375&lt;0,"ATENÇÃO",IF(K1375&lt;=5,"BOM","EXCELENTE")))</f>
        <v/>
      </c>
      <c r="M1375" s="3" t="n">
        <v>4</v>
      </c>
      <c r="N1375" s="3" t="n">
        <v>100</v>
      </c>
      <c r="O1375" s="12" t="n">
        <v>33.33333333333333</v>
      </c>
    </row>
    <row r="1376">
      <c r="A1376" s="10" t="n">
        <v>46043</v>
      </c>
      <c r="B1376" t="inlineStr">
        <is>
          <t>Matheus Farias De Souza</t>
        </is>
      </c>
      <c r="C1376" s="1" t="inlineStr">
        <is>
          <t>Técnico III</t>
        </is>
      </c>
      <c r="D1376" s="3" t="n">
        <v>28</v>
      </c>
      <c r="E1376" s="3" t="n">
        <v>27</v>
      </c>
      <c r="F1376" s="3" t="n">
        <v>11.44</v>
      </c>
      <c r="G1376" s="3" t="n">
        <v>0</v>
      </c>
      <c r="H1376" s="3" t="n">
        <v>0</v>
      </c>
      <c r="I1376" s="3">
        <f>E1376+G1376+H1376</f>
        <v/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/>
      </c>
      <c r="K1376" s="3">
        <f>I1376-J1376</f>
        <v/>
      </c>
      <c r="L1376" s="3">
        <f>IF(K1376&lt;-5,"CRÍTICO",IF(K1376&lt;0,"ATENÇÃO",IF(K1376&lt;=5,"BOM","EXCELENTE")))</f>
        <v/>
      </c>
      <c r="M1376" s="3" t="n">
        <v>25</v>
      </c>
      <c r="N1376" s="3" t="n">
        <v>100</v>
      </c>
      <c r="O1376" s="12" t="n">
        <v>27.43362831858407</v>
      </c>
    </row>
    <row r="1377">
      <c r="A1377" s="10" t="n">
        <v>46043</v>
      </c>
      <c r="B1377" t="inlineStr">
        <is>
          <t>Maysa Victoria Dias Moura</t>
        </is>
      </c>
      <c r="C1377" s="1" t="inlineStr">
        <is>
          <t>Técnico III</t>
        </is>
      </c>
      <c r="D1377" s="3" t="n">
        <v>32</v>
      </c>
      <c r="E1377" s="3" t="n">
        <v>27</v>
      </c>
      <c r="F1377" s="3" t="n">
        <v>9.140000000000001</v>
      </c>
      <c r="G1377" s="3" t="n">
        <v>0</v>
      </c>
      <c r="H1377" s="3" t="n">
        <v>0</v>
      </c>
      <c r="I1377" s="3">
        <f>E1377+G1377+H1377</f>
        <v/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/>
      </c>
      <c r="K1377" s="3">
        <f>I1377-J1377</f>
        <v/>
      </c>
      <c r="L1377" s="3">
        <f>IF(K1377&lt;-5,"CRÍTICO",IF(K1377&lt;0,"ATENÇÃO",IF(K1377&lt;=5,"BOM","EXCELENTE")))</f>
        <v/>
      </c>
      <c r="M1377" s="3" t="n">
        <v>25</v>
      </c>
      <c r="N1377" s="3" t="n">
        <v>98.65000000000001</v>
      </c>
      <c r="O1377" s="12" t="n">
        <v>30.97826086956522</v>
      </c>
    </row>
    <row r="1378">
      <c r="A1378" s="10" t="n">
        <v>46043</v>
      </c>
      <c r="B1378" t="inlineStr">
        <is>
          <t>Michelle G Santos</t>
        </is>
      </c>
      <c r="C1378" s="1" t="inlineStr">
        <is>
          <t>Estágio</t>
        </is>
      </c>
      <c r="D1378" s="3" t="n">
        <v>6</v>
      </c>
      <c r="E1378" s="3" t="n">
        <v>5</v>
      </c>
      <c r="F1378" s="3" t="n">
        <v>27.01</v>
      </c>
      <c r="G1378" s="3" t="n">
        <v>0</v>
      </c>
      <c r="H1378" s="3" t="n">
        <v>0</v>
      </c>
      <c r="I1378" s="3">
        <f>E1378+G1378+H1378</f>
        <v/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/>
      </c>
      <c r="K1378" s="3">
        <f>I1378-J1378</f>
        <v/>
      </c>
      <c r="L1378" s="3">
        <f>IF(K1378&lt;-5,"CRÍTICO",IF(K1378&lt;0,"ATENÇÃO",IF(K1378&lt;=5,"BOM","EXCELENTE")))</f>
        <v/>
      </c>
      <c r="M1378" s="3" t="n">
        <v>2</v>
      </c>
      <c r="N1378" s="3" t="n">
        <v>100</v>
      </c>
      <c r="O1378" s="12" t="n">
        <v>12</v>
      </c>
    </row>
    <row r="1379">
      <c r="A1379" s="10" t="n">
        <v>46043</v>
      </c>
      <c r="B1379" t="inlineStr">
        <is>
          <t>Milena Sales</t>
        </is>
      </c>
      <c r="C1379" s="1" t="inlineStr">
        <is>
          <t>JR</t>
        </is>
      </c>
      <c r="D1379" s="3" t="n">
        <v>0</v>
      </c>
      <c r="E1379" s="3" t="n">
        <v>0</v>
      </c>
      <c r="F1379" s="3" t="n">
        <v>0</v>
      </c>
      <c r="G1379" s="3" t="n">
        <v>0</v>
      </c>
      <c r="H1379" s="3" t="n">
        <v>0</v>
      </c>
      <c r="I1379" s="3" t="n">
        <v>0</v>
      </c>
      <c r="J1379" s="3" t="n">
        <v>0</v>
      </c>
      <c r="K1379" s="3" t="n">
        <v>0</v>
      </c>
      <c r="L1379" s="3">
        <f>IF(K1379&lt;-5,"CRÍTICO",IF(K1379&lt;0,"ATENÇÃO",IF(K1379&lt;=5,"BOM","EXCELENTE")))</f>
        <v/>
      </c>
      <c r="M1379" s="3" t="n">
        <v>0</v>
      </c>
      <c r="N1379" s="3" t="n">
        <v>0</v>
      </c>
      <c r="O1379" s="12" t="n">
        <v>0</v>
      </c>
    </row>
    <row r="1380">
      <c r="A1380" s="10" t="n">
        <v>46043</v>
      </c>
      <c r="B1380" t="inlineStr">
        <is>
          <t>Patrícia Karla de Sousa Araújo</t>
        </is>
      </c>
      <c r="C1380" s="1" t="inlineStr">
        <is>
          <t>Técnico II</t>
        </is>
      </c>
      <c r="D1380" s="3" t="n">
        <v>18</v>
      </c>
      <c r="E1380" s="3" t="n">
        <v>18</v>
      </c>
      <c r="F1380" s="3" t="n">
        <v>23.34</v>
      </c>
      <c r="G1380" s="3" t="n">
        <v>0</v>
      </c>
      <c r="H1380" s="3" t="n">
        <v>0</v>
      </c>
      <c r="I1380" s="3">
        <f>E1380+G1380+H1380</f>
        <v/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/>
      </c>
      <c r="K1380" s="3">
        <f>I1380-J1380</f>
        <v/>
      </c>
      <c r="L1380" s="3">
        <f>IF(K1380&lt;-5,"CRÍTICO",IF(K1380&lt;0,"ATENÇÃO",IF(K1380&lt;=5,"BOM","EXCELENTE")))</f>
        <v/>
      </c>
      <c r="M1380" s="3" t="n">
        <v>16</v>
      </c>
      <c r="N1380" s="3" t="n">
        <v>97.56</v>
      </c>
      <c r="O1380" s="12" t="n">
        <v>31.06796116504854</v>
      </c>
    </row>
    <row r="1381">
      <c r="A1381" s="10" t="n">
        <v>46043</v>
      </c>
      <c r="B1381" t="inlineStr">
        <is>
          <t>Paulo Ricardo Santos</t>
        </is>
      </c>
      <c r="C1381" s="1" t="inlineStr">
        <is>
          <t>JR</t>
        </is>
      </c>
      <c r="D1381" s="3" t="n">
        <v>0</v>
      </c>
      <c r="E1381" s="3" t="n">
        <v>0</v>
      </c>
      <c r="F1381" s="3" t="n">
        <v>0</v>
      </c>
      <c r="G1381" s="3" t="n">
        <v>0</v>
      </c>
      <c r="H1381" s="3" t="n">
        <v>0</v>
      </c>
      <c r="I1381" s="3" t="n">
        <v>0</v>
      </c>
      <c r="J1381" s="3" t="n">
        <v>0</v>
      </c>
      <c r="K1381" s="3" t="n">
        <v>0</v>
      </c>
      <c r="L1381" s="3">
        <f>IF(K1381&lt;-5,"CRÍTICO",IF(K1381&lt;0,"ATENÇÃO",IF(K1381&lt;=5,"BOM","EXCELENTE")))</f>
        <v/>
      </c>
      <c r="M1381" s="3" t="n">
        <v>0</v>
      </c>
      <c r="N1381" s="3" t="n">
        <v>0</v>
      </c>
      <c r="O1381" s="12" t="n">
        <v>0</v>
      </c>
    </row>
    <row r="1382">
      <c r="A1382" s="10" t="n">
        <v>46043</v>
      </c>
      <c r="B1382" t="inlineStr">
        <is>
          <t>Pedro Luiz Mota Sousa</t>
        </is>
      </c>
      <c r="C1382" s="1" t="inlineStr">
        <is>
          <t>JR</t>
        </is>
      </c>
      <c r="D1382" s="3" t="n">
        <v>0</v>
      </c>
      <c r="E1382" s="3" t="n">
        <v>0</v>
      </c>
      <c r="F1382" s="3" t="n">
        <v>0</v>
      </c>
      <c r="G1382" s="3" t="n">
        <v>0</v>
      </c>
      <c r="H1382" s="3" t="n">
        <v>0</v>
      </c>
      <c r="I1382" s="3" t="n">
        <v>0</v>
      </c>
      <c r="J1382" s="3" t="n">
        <v>0</v>
      </c>
      <c r="K1382" s="3" t="n">
        <v>0</v>
      </c>
      <c r="L1382" s="3">
        <f>IF(K1382&lt;-5,"CRÍTICO",IF(K1382&lt;0,"ATENÇÃO",IF(K1382&lt;=5,"BOM","EXCELENTE")))</f>
        <v/>
      </c>
      <c r="M1382" s="3" t="n">
        <v>0</v>
      </c>
      <c r="N1382" s="3" t="n">
        <v>0</v>
      </c>
      <c r="O1382" s="12" t="n">
        <v>0</v>
      </c>
    </row>
    <row r="1383">
      <c r="A1383" s="10" t="n">
        <v>46043</v>
      </c>
      <c r="B1383" t="inlineStr">
        <is>
          <t>Quirino Diogo Leite Torres</t>
        </is>
      </c>
      <c r="C1383" s="1" t="inlineStr">
        <is>
          <t>Estágio</t>
        </is>
      </c>
      <c r="D1383" s="3" t="n">
        <v>0</v>
      </c>
      <c r="E1383" s="3" t="n">
        <v>0</v>
      </c>
      <c r="F1383" s="3" t="n">
        <v>0</v>
      </c>
      <c r="G1383" s="3" t="n">
        <v>0</v>
      </c>
      <c r="H1383" s="3" t="n">
        <v>0</v>
      </c>
      <c r="I1383" s="3" t="n">
        <v>0</v>
      </c>
      <c r="J1383" s="3" t="n">
        <v>0</v>
      </c>
      <c r="K1383" s="3" t="n">
        <v>0</v>
      </c>
      <c r="L1383" s="3">
        <f>IF(K1383&lt;-5,"CRÍTICO",IF(K1383&lt;0,"ATENÇÃO",IF(K1383&lt;=5,"BOM","EXCELENTE")))</f>
        <v/>
      </c>
      <c r="M1383" s="3" t="n">
        <v>0</v>
      </c>
      <c r="N1383" s="3" t="n">
        <v>0</v>
      </c>
      <c r="O1383" s="12" t="n">
        <v>0</v>
      </c>
    </row>
    <row r="1384">
      <c r="A1384" s="10" t="n">
        <v>46043</v>
      </c>
      <c r="B1384" t="inlineStr">
        <is>
          <t>Raane Batista Matos</t>
        </is>
      </c>
      <c r="C1384" s="1" t="inlineStr">
        <is>
          <t>Técnico I</t>
        </is>
      </c>
      <c r="D1384" s="3" t="n">
        <v>0</v>
      </c>
      <c r="E1384" s="3" t="n">
        <v>0</v>
      </c>
      <c r="F1384" s="3" t="n">
        <v>0</v>
      </c>
      <c r="G1384" s="3" t="n">
        <v>0</v>
      </c>
      <c r="H1384" s="3" t="n">
        <v>0</v>
      </c>
      <c r="I1384" s="3" t="n">
        <v>0</v>
      </c>
      <c r="J1384" s="3" t="n">
        <v>0</v>
      </c>
      <c r="K1384" s="3" t="n">
        <v>0</v>
      </c>
      <c r="L1384" s="3">
        <f>IF(K1384&lt;-5,"CRÍTICO",IF(K1384&lt;0,"ATENÇÃO",IF(K1384&lt;=5,"BOM","EXCELENTE")))</f>
        <v/>
      </c>
      <c r="M1384" s="3" t="n">
        <v>0</v>
      </c>
      <c r="N1384" s="3" t="n">
        <v>100</v>
      </c>
      <c r="O1384" s="12" t="n">
        <v>53.84615384615385</v>
      </c>
    </row>
    <row r="1385">
      <c r="A1385" s="10" t="n">
        <v>46043</v>
      </c>
      <c r="B1385" t="inlineStr">
        <is>
          <t>Rafael Gomes de Morais</t>
        </is>
      </c>
      <c r="C1385" s="1" t="inlineStr">
        <is>
          <t>Técnico III</t>
        </is>
      </c>
      <c r="D1385" s="3" t="n">
        <v>24</v>
      </c>
      <c r="E1385" s="3" t="n">
        <v>20</v>
      </c>
      <c r="F1385" s="3" t="n">
        <v>14.06</v>
      </c>
      <c r="G1385" s="3" t="n">
        <v>0</v>
      </c>
      <c r="H1385" s="3" t="n">
        <v>0</v>
      </c>
      <c r="I1385" s="3">
        <f>E1385+G1385+H1385</f>
        <v/>
      </c>
      <c r="J1385" s="3">
        <f>ROUND(MIN(IF(C1385="Técnico III",35,IF(C1385="Técnico II",28,IF(C1385="Técnico I",23,IF(C1385="JR",20,IF(C1385="Estágio",10,0))))),IF(C1385="Técnico III",SUMIFS($D:$D,$A:$A,$A1385,$B:$B,"&lt;&gt;Patrícia Karla de Sousa Araújo",$B:$B,"&lt;&gt;Lorena Dias de Araujo",$B:$B,"&lt;&gt;Lucas Luiz Romero")*(35/1083),IF(C1385="Técnico II",SUMIFS($D:$D,$A:$A,$A1385,$B:$B,"&lt;&gt;Patrícia Karla de Sousa Araújo",$B:$B,"&lt;&gt;Lorena Dias de Araujo",$B:$B,"&lt;&gt;Lucas Luiz Romero")*(28/1083),IF(C1385="Técnico I",SUMIFS($D:$D,$A:$A,$A1385,$B:$B,"&lt;&gt;Patrícia Karla de Sousa Araújo",$B:$B,"&lt;&gt;Lorena Dias de Araujo",$B:$B,"&lt;&gt;Lucas Luiz Romero")*(23/1083),IF(C1385="JR",SUMIFS($D:$D,$A:$A,$A1385,$B:$B,"&lt;&gt;Patrícia Karla de Sousa Araújo",$B:$B,"&lt;&gt;Lorena Dias de Araujo",$B:$B,"&lt;&gt;Lucas Luiz Romero")*(20/1083),IF(C1385="Estágio",SUMIFS($D:$D,$A:$A,$A1385,$B:$B,"&lt;&gt;Patrícia Karla de Sousa Araújo",$B:$B,"&lt;&gt;Lorena Dias de Araujo",$B:$B,"&lt;&gt;Lucas Luiz Romero")*(10/1083),0)))))),0)</f>
        <v/>
      </c>
      <c r="K1385" s="3">
        <f>I1385-J1385</f>
        <v/>
      </c>
      <c r="L1385" s="3">
        <f>IF(K1385&lt;-5,"CRÍTICO",IF(K1385&lt;0,"ATENÇÃO",IF(K1385&lt;=5,"BOM","EXCELENTE")))</f>
        <v/>
      </c>
      <c r="M1385" s="3" t="n">
        <v>19</v>
      </c>
      <c r="N1385" s="3" t="n">
        <v>100</v>
      </c>
      <c r="O1385" s="12" t="n">
        <v>44.05594405594406</v>
      </c>
    </row>
    <row r="1386">
      <c r="A1386" s="10" t="n">
        <v>46043</v>
      </c>
      <c r="B1386" t="inlineStr">
        <is>
          <t>Sara Maria Monteiro Lopes</t>
        </is>
      </c>
      <c r="C1386" s="1" t="inlineStr">
        <is>
          <t>Técnico I</t>
        </is>
      </c>
      <c r="D1386" s="3" t="n">
        <v>14</v>
      </c>
      <c r="E1386" s="3" t="n">
        <v>14</v>
      </c>
      <c r="F1386" s="3" t="n">
        <v>31.53</v>
      </c>
      <c r="G1386" s="3" t="n">
        <v>0</v>
      </c>
      <c r="H1386" s="3" t="n">
        <v>0</v>
      </c>
      <c r="I1386" s="3">
        <f>E1386+G1386+H1386</f>
        <v/>
      </c>
      <c r="J1386" s="3">
        <f>ROUND(MIN(IF(C1386="Técnico III",35,IF(C1386="Técnico II",28,IF(C1386="Técnico I",23,IF(C1386="JR",20,IF(C1386="Estágio",10,0))))),IF(C1386="Técnico III",SUMIFS($D:$D,$A:$A,$A1386,$B:$B,"&lt;&gt;Patrícia Karla de Sousa Araújo",$B:$B,"&lt;&gt;Lorena Dias de Araujo",$B:$B,"&lt;&gt;Lucas Luiz Romero")*(35/1083),IF(C1386="Técnico II",SUMIFS($D:$D,$A:$A,$A1386,$B:$B,"&lt;&gt;Patrícia Karla de Sousa Araújo",$B:$B,"&lt;&gt;Lorena Dias de Araujo",$B:$B,"&lt;&gt;Lucas Luiz Romero")*(28/1083),IF(C1386="Técnico I",SUMIFS($D:$D,$A:$A,$A1386,$B:$B,"&lt;&gt;Patrícia Karla de Sousa Araújo",$B:$B,"&lt;&gt;Lorena Dias de Araujo",$B:$B,"&lt;&gt;Lucas Luiz Romero")*(23/1083),IF(C1386="JR",SUMIFS($D:$D,$A:$A,$A1386,$B:$B,"&lt;&gt;Patrícia Karla de Sousa Araújo",$B:$B,"&lt;&gt;Lorena Dias de Araujo",$B:$B,"&lt;&gt;Lucas Luiz Romero")*(20/1083),IF(C1386="Estágio",SUMIFS($D:$D,$A:$A,$A1386,$B:$B,"&lt;&gt;Patrícia Karla de Sousa Araújo",$B:$B,"&lt;&gt;Lorena Dias de Araujo",$B:$B,"&lt;&gt;Lucas Luiz Romero")*(10/1083),0)))))),0)</f>
        <v/>
      </c>
      <c r="K1386" s="3">
        <f>I1386-J1386</f>
        <v/>
      </c>
      <c r="L1386" s="3">
        <f>IF(K1386&lt;-5,"CRÍTICO",IF(K1386&lt;0,"ATENÇÃO",IF(K1386&lt;=5,"BOM","EXCELENTE")))</f>
        <v/>
      </c>
      <c r="M1386" s="3" t="n">
        <v>15</v>
      </c>
      <c r="N1386" s="3" t="n">
        <v>100</v>
      </c>
      <c r="O1386" s="12" t="n">
        <v>31.87250996015936</v>
      </c>
    </row>
    <row r="1387">
      <c r="A1387" s="10" t="n">
        <v>46043</v>
      </c>
      <c r="B1387" t="inlineStr">
        <is>
          <t>Sarah Steffanie de Lima Borges</t>
        </is>
      </c>
      <c r="C1387" s="1" t="inlineStr">
        <is>
          <t>Técnico III</t>
        </is>
      </c>
      <c r="D1387" s="3" t="n">
        <v>19</v>
      </c>
      <c r="E1387" s="3" t="n">
        <v>18</v>
      </c>
      <c r="F1387" s="3" t="n">
        <v>18.45</v>
      </c>
      <c r="G1387" s="3" t="n">
        <v>0</v>
      </c>
      <c r="H1387" s="3" t="n">
        <v>0</v>
      </c>
      <c r="I1387" s="3">
        <f>E1387+G1387+H1387</f>
        <v/>
      </c>
      <c r="J1387" s="3">
        <f>ROUND(MIN(IF(C1387="Técnico III",35,IF(C1387="Técnico II",28,IF(C1387="Técnico I",23,IF(C1387="JR",20,IF(C1387="Estágio",10,0))))),IF(C1387="Técnico III",SUMIFS($D:$D,$A:$A,$A1387,$B:$B,"&lt;&gt;Patrícia Karla de Sousa Araújo",$B:$B,"&lt;&gt;Lorena Dias de Araujo",$B:$B,"&lt;&gt;Lucas Luiz Romero")*(35/1083),IF(C1387="Técnico II",SUMIFS($D:$D,$A:$A,$A1387,$B:$B,"&lt;&gt;Patrícia Karla de Sousa Araújo",$B:$B,"&lt;&gt;Lorena Dias de Araujo",$B:$B,"&lt;&gt;Lucas Luiz Romero")*(28/1083),IF(C1387="Técnico I",SUMIFS($D:$D,$A:$A,$A1387,$B:$B,"&lt;&gt;Patrícia Karla de Sousa Araújo",$B:$B,"&lt;&gt;Lorena Dias de Araujo",$B:$B,"&lt;&gt;Lucas Luiz Romero")*(23/1083),IF(C1387="JR",SUMIFS($D:$D,$A:$A,$A1387,$B:$B,"&lt;&gt;Patrícia Karla de Sousa Araújo",$B:$B,"&lt;&gt;Lorena Dias de Araujo",$B:$B,"&lt;&gt;Lucas Luiz Romero")*(20/1083),IF(C1387="Estágio",SUMIFS($D:$D,$A:$A,$A1387,$B:$B,"&lt;&gt;Patrícia Karla de Sousa Araújo",$B:$B,"&lt;&gt;Lorena Dias de Araujo",$B:$B,"&lt;&gt;Lucas Luiz Romero")*(10/1083),0)))))),0)</f>
        <v/>
      </c>
      <c r="K1387" s="3">
        <f>I1387-J1387</f>
        <v/>
      </c>
      <c r="L1387" s="3">
        <f>IF(K1387&lt;-5,"CRÍTICO",IF(K1387&lt;0,"ATENÇÃO",IF(K1387&lt;=5,"BOM","EXCELENTE")))</f>
        <v/>
      </c>
      <c r="M1387" s="3" t="n">
        <v>17</v>
      </c>
      <c r="N1387" s="3" t="n">
        <v>98.41</v>
      </c>
      <c r="O1387" s="12" t="n">
        <v>29.22465208747515</v>
      </c>
    </row>
    <row r="1388">
      <c r="A1388" s="10" t="n">
        <v>46044</v>
      </c>
      <c r="B1388" t="inlineStr">
        <is>
          <t>Alisson de Freitas Silva</t>
        </is>
      </c>
      <c r="C1388" s="1" t="inlineStr">
        <is>
          <t>Técnico II</t>
        </is>
      </c>
      <c r="D1388" s="3" t="n">
        <v>33</v>
      </c>
      <c r="E1388" s="3" t="n">
        <v>23</v>
      </c>
      <c r="F1388" s="3" t="n">
        <v>8.210000000000001</v>
      </c>
      <c r="G1388" s="3" t="n">
        <v>0</v>
      </c>
      <c r="H1388" s="3" t="n">
        <v>0</v>
      </c>
      <c r="I1388" s="3">
        <f>E1388+G1388+H1388</f>
        <v/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/>
      </c>
      <c r="K1388" s="3">
        <f>I1388-J1388</f>
        <v/>
      </c>
      <c r="L1388" s="3">
        <f>IF(K1388&lt;-5,"CRÍTICO",IF(K1388&lt;0,"ATENÇÃO",IF(K1388&lt;=5,"BOM","EXCELENTE")))</f>
        <v/>
      </c>
      <c r="M1388" s="3" t="n">
        <v>15</v>
      </c>
      <c r="N1388" s="3" t="n">
        <v>96.81</v>
      </c>
      <c r="O1388" s="12" t="n">
        <v>27.98053527980535</v>
      </c>
    </row>
    <row r="1389">
      <c r="A1389" s="10" t="n">
        <v>46044</v>
      </c>
      <c r="B1389" t="inlineStr">
        <is>
          <t>Amanda Moura Ferreira</t>
        </is>
      </c>
      <c r="C1389" s="1" t="inlineStr">
        <is>
          <t>Técnico III</t>
        </is>
      </c>
      <c r="D1389" s="3" t="n">
        <v>0</v>
      </c>
      <c r="E1389" s="3" t="n">
        <v>0</v>
      </c>
      <c r="F1389" s="3" t="n">
        <v>0</v>
      </c>
      <c r="G1389" s="3" t="n">
        <v>0</v>
      </c>
      <c r="H1389" s="3" t="n">
        <v>0</v>
      </c>
      <c r="I1389" s="3" t="n">
        <v>0</v>
      </c>
      <c r="J1389" s="3" t="n">
        <v>0</v>
      </c>
      <c r="K1389" s="3" t="n">
        <v>0</v>
      </c>
      <c r="L1389" s="3">
        <f>IF(K1389&lt;-5,"CRÍTICO",IF(K1389&lt;0,"ATENÇÃO",IF(K1389&lt;=5,"BOM","EXCELENTE")))</f>
        <v/>
      </c>
      <c r="M1389" s="3" t="n">
        <v>27</v>
      </c>
      <c r="N1389" s="3" t="n">
        <v>98.73</v>
      </c>
      <c r="O1389" s="12" t="n">
        <v>35.75638506876228</v>
      </c>
    </row>
    <row r="1390">
      <c r="A1390" s="10" t="n">
        <v>46044</v>
      </c>
      <c r="B1390" t="inlineStr">
        <is>
          <t>Ana Karollyne Souza Faria</t>
        </is>
      </c>
      <c r="C1390" s="1" t="inlineStr">
        <is>
          <t>Técnico I</t>
        </is>
      </c>
      <c r="D1390" s="3" t="n">
        <v>22</v>
      </c>
      <c r="E1390" s="3" t="n">
        <v>18</v>
      </c>
      <c r="F1390" s="3" t="n">
        <v>24.07</v>
      </c>
      <c r="G1390" s="3" t="n">
        <v>0</v>
      </c>
      <c r="H1390" s="3" t="n">
        <v>0</v>
      </c>
      <c r="I1390" s="3">
        <f>E1390+G1390+H1390</f>
        <v/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/>
      </c>
      <c r="K1390" s="3">
        <f>I1390-J1390</f>
        <v/>
      </c>
      <c r="L1390" s="3">
        <f>IF(K1390&lt;-5,"CRÍTICO",IF(K1390&lt;0,"ATENÇÃO",IF(K1390&lt;=5,"BOM","EXCELENTE")))</f>
        <v/>
      </c>
      <c r="M1390" s="3" t="n">
        <v>20</v>
      </c>
      <c r="N1390" s="3" t="n">
        <v>98.31999999999999</v>
      </c>
      <c r="O1390" s="12" t="n">
        <v>26.76348547717842</v>
      </c>
    </row>
    <row r="1391">
      <c r="A1391" s="10" t="n">
        <v>46044</v>
      </c>
      <c r="B1391" t="inlineStr">
        <is>
          <t>Ana Paula Da Luz Silva Aleixo</t>
        </is>
      </c>
      <c r="C1391" s="1" t="inlineStr">
        <is>
          <t>Técnico III</t>
        </is>
      </c>
      <c r="D1391" s="3" t="n">
        <v>35</v>
      </c>
      <c r="E1391" s="3" t="n">
        <v>29</v>
      </c>
      <c r="F1391" s="3" t="n">
        <v>12.22</v>
      </c>
      <c r="G1391" s="3" t="n">
        <v>0</v>
      </c>
      <c r="H1391" s="3" t="n">
        <v>0</v>
      </c>
      <c r="I1391" s="3">
        <f>E1391+G1391+H1391</f>
        <v/>
      </c>
      <c r="J1391" s="3">
        <f>ROUND(MIN(IF(C1391="Técnico III",35,IF(C1391="Técnico II",28,IF(C1391="Técnico I",23,IF(C1391="JR",20,IF(C1391="Estágio",10,0))))),IF(C1391="Técnico III",SUMIFS($D:$D,$A:$A,$A1391,$B:$B,"&lt;&gt;Patrícia Karla de Sousa Araújo",$B:$B,"&lt;&gt;Lorena Dias de Araujo",$B:$B,"&lt;&gt;Lucas Luiz Romero")*(35/1083),IF(C1391="Técnico II",SUMIFS($D:$D,$A:$A,$A1391,$B:$B,"&lt;&gt;Patrícia Karla de Sousa Araújo",$B:$B,"&lt;&gt;Lorena Dias de Araujo",$B:$B,"&lt;&gt;Lucas Luiz Romero")*(28/1083),IF(C1391="Técnico I",SUMIFS($D:$D,$A:$A,$A1391,$B:$B,"&lt;&gt;Patrícia Karla de Sousa Araújo",$B:$B,"&lt;&gt;Lorena Dias de Araujo",$B:$B,"&lt;&gt;Lucas Luiz Romero")*(23/1083),IF(C1391="JR",SUMIFS($D:$D,$A:$A,$A1391,$B:$B,"&lt;&gt;Patrícia Karla de Sousa Araújo",$B:$B,"&lt;&gt;Lorena Dias de Araujo",$B:$B,"&lt;&gt;Lucas Luiz Romero")*(20/1083),IF(C1391="Estágio",SUMIFS($D:$D,$A:$A,$A1391,$B:$B,"&lt;&gt;Patrícia Karla de Sousa Araújo",$B:$B,"&lt;&gt;Lorena Dias de Araujo",$B:$B,"&lt;&gt;Lucas Luiz Romero")*(10/1083),0)))))),0)</f>
        <v/>
      </c>
      <c r="K1391" s="3">
        <f>I1391-J1391</f>
        <v/>
      </c>
      <c r="L1391" s="3">
        <f>IF(K1391&lt;-5,"CRÍTICO",IF(K1391&lt;0,"ATENÇÃO",IF(K1391&lt;=5,"BOM","EXCELENTE")))</f>
        <v/>
      </c>
      <c r="M1391" s="3" t="n">
        <v>29</v>
      </c>
      <c r="N1391" s="3" t="n">
        <v>99.19</v>
      </c>
      <c r="O1391" s="12" t="n">
        <v>27.63713080168776</v>
      </c>
    </row>
    <row r="1392">
      <c r="A1392" s="10" t="n">
        <v>46044</v>
      </c>
      <c r="B1392" t="inlineStr">
        <is>
          <t>Anna Luiza Rezende Tavares</t>
        </is>
      </c>
      <c r="C1392" s="1" t="inlineStr">
        <is>
          <t>Estágio</t>
        </is>
      </c>
      <c r="D1392" s="3" t="n">
        <v>9</v>
      </c>
      <c r="E1392" s="3" t="n">
        <v>9</v>
      </c>
      <c r="F1392" s="3" t="n">
        <v>26.48</v>
      </c>
      <c r="G1392" s="3" t="n">
        <v>0</v>
      </c>
      <c r="H1392" s="3" t="n">
        <v>0</v>
      </c>
      <c r="I1392" s="3">
        <f>E1392+G1392+H1392</f>
        <v/>
      </c>
      <c r="J1392" s="3">
        <f>ROUND(MIN(IF(C1392="Técnico III",35,IF(C1392="Técnico II",28,IF(C1392="Técnico I",23,IF(C1392="JR",20,IF(C1392="Estágio",10,0))))),IF(C1392="Técnico III",SUMIFS($D:$D,$A:$A,$A1392,$B:$B,"&lt;&gt;Patrícia Karla de Sousa Araújo",$B:$B,"&lt;&gt;Lorena Dias de Araujo",$B:$B,"&lt;&gt;Lucas Luiz Romero")*(35/1083),IF(C1392="Técnico II",SUMIFS($D:$D,$A:$A,$A1392,$B:$B,"&lt;&gt;Patrícia Karla de Sousa Araújo",$B:$B,"&lt;&gt;Lorena Dias de Araujo",$B:$B,"&lt;&gt;Lucas Luiz Romero")*(28/1083),IF(C1392="Técnico I",SUMIFS($D:$D,$A:$A,$A1392,$B:$B,"&lt;&gt;Patrícia Karla de Sousa Araújo",$B:$B,"&lt;&gt;Lorena Dias de Araujo",$B:$B,"&lt;&gt;Lucas Luiz Romero")*(23/1083),IF(C1392="JR",SUMIFS($D:$D,$A:$A,$A1392,$B:$B,"&lt;&gt;Patrícia Karla de Sousa Araújo",$B:$B,"&lt;&gt;Lorena Dias de Araujo",$B:$B,"&lt;&gt;Lucas Luiz Romero")*(20/1083),IF(C1392="Estágio",SUMIFS($D:$D,$A:$A,$A1392,$B:$B,"&lt;&gt;Patrícia Karla de Sousa Araújo",$B:$B,"&lt;&gt;Lorena Dias de Araujo",$B:$B,"&lt;&gt;Lucas Luiz Romero")*(10/1083),0)))))),0)</f>
        <v/>
      </c>
      <c r="K1392" s="3">
        <f>I1392-J1392</f>
        <v/>
      </c>
      <c r="L1392" s="3">
        <f>IF(K1392&lt;-5,"CRÍTICO",IF(K1392&lt;0,"ATENÇÃO",IF(K1392&lt;=5,"BOM","EXCELENTE")))</f>
        <v/>
      </c>
      <c r="M1392" s="3" t="n">
        <v>9</v>
      </c>
      <c r="N1392" s="3" t="n">
        <v>100</v>
      </c>
      <c r="O1392" s="12" t="n">
        <v>39.56834532374101</v>
      </c>
    </row>
    <row r="1393">
      <c r="A1393" s="10" t="n">
        <v>46044</v>
      </c>
      <c r="B1393" t="inlineStr">
        <is>
          <t>Brenda de Menezes Silva</t>
        </is>
      </c>
      <c r="C1393" s="1" t="inlineStr">
        <is>
          <t>Técnico II</t>
        </is>
      </c>
      <c r="D1393" s="3" t="n">
        <v>32</v>
      </c>
      <c r="E1393" s="3" t="n">
        <v>26</v>
      </c>
      <c r="F1393" s="3" t="n">
        <v>11.5</v>
      </c>
      <c r="G1393" s="3" t="n">
        <v>0</v>
      </c>
      <c r="H1393" s="3" t="n">
        <v>0</v>
      </c>
      <c r="I1393" s="3">
        <f>E1393+G1393+H1393</f>
        <v/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/>
      </c>
      <c r="K1393" s="3">
        <f>I1393-J1393</f>
        <v/>
      </c>
      <c r="L1393" s="3">
        <f>IF(K1393&lt;-5,"CRÍTICO",IF(K1393&lt;0,"ATENÇÃO",IF(K1393&lt;=5,"BOM","EXCELENTE")))</f>
        <v/>
      </c>
      <c r="M1393" s="3" t="n">
        <v>25</v>
      </c>
      <c r="N1393" s="3" t="n">
        <v>98.54000000000001</v>
      </c>
      <c r="O1393" s="12" t="n">
        <v>28.54477611940299</v>
      </c>
    </row>
    <row r="1394">
      <c r="A1394" s="10" t="n">
        <v>46044</v>
      </c>
      <c r="B1394" t="inlineStr">
        <is>
          <t>Carlos Mateus Cassimiro Nunes</t>
        </is>
      </c>
      <c r="C1394" s="1" t="inlineStr">
        <is>
          <t>Técnico II</t>
        </is>
      </c>
      <c r="D1394" s="3" t="n">
        <v>15</v>
      </c>
      <c r="E1394" s="3" t="n">
        <v>15</v>
      </c>
      <c r="F1394" s="3" t="n">
        <v>25.08</v>
      </c>
      <c r="G1394" s="3" t="n">
        <v>0</v>
      </c>
      <c r="H1394" s="3" t="n">
        <v>0</v>
      </c>
      <c r="I1394" s="3">
        <f>E1394+G1394+H1394</f>
        <v/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/>
      </c>
      <c r="K1394" s="3">
        <f>I1394-J1394</f>
        <v/>
      </c>
      <c r="L1394" s="3">
        <f>IF(K1394&lt;-5,"CRÍTICO",IF(K1394&lt;0,"ATENÇÃO",IF(K1394&lt;=5,"BOM","EXCELENTE")))</f>
        <v/>
      </c>
      <c r="M1394" s="3" t="n">
        <v>14</v>
      </c>
      <c r="N1394" s="3" t="n">
        <v>100</v>
      </c>
      <c r="O1394" s="12" t="n">
        <v>34.36692506459949</v>
      </c>
    </row>
    <row r="1395">
      <c r="A1395" s="10" t="n">
        <v>46044</v>
      </c>
      <c r="B1395" t="inlineStr">
        <is>
          <t>Claudio de Sousa Velasco Filho</t>
        </is>
      </c>
      <c r="C1395" s="1" t="inlineStr">
        <is>
          <t>Estágio</t>
        </is>
      </c>
      <c r="D1395" s="3" t="n">
        <v>0</v>
      </c>
      <c r="E1395" s="3" t="n">
        <v>0</v>
      </c>
      <c r="F1395" s="3" t="n">
        <v>0</v>
      </c>
      <c r="G1395" s="3" t="n">
        <v>0</v>
      </c>
      <c r="H1395" s="3" t="n">
        <v>0</v>
      </c>
      <c r="I1395" s="3" t="n">
        <v>0</v>
      </c>
      <c r="J1395" s="3" t="n">
        <v>0</v>
      </c>
      <c r="K1395" s="3" t="n">
        <v>0</v>
      </c>
      <c r="L1395" s="3">
        <f>IF(K1395&lt;-5,"CRÍTICO",IF(K1395&lt;0,"ATENÇÃO",IF(K1395&lt;=5,"BOM","EXCELENTE")))</f>
        <v/>
      </c>
      <c r="M1395" s="3" t="n">
        <v>0</v>
      </c>
      <c r="N1395" s="3" t="n">
        <v>0</v>
      </c>
      <c r="O1395" s="12" t="n">
        <v>0</v>
      </c>
    </row>
    <row r="1396">
      <c r="A1396" s="10" t="n">
        <v>46044</v>
      </c>
      <c r="B1396" t="inlineStr">
        <is>
          <t>Clessiane Pereira dos Santos</t>
        </is>
      </c>
      <c r="C1396" s="1" t="inlineStr">
        <is>
          <t>Técnico I</t>
        </is>
      </c>
      <c r="D1396" s="3" t="n">
        <v>23</v>
      </c>
      <c r="E1396" s="3" t="n">
        <v>22</v>
      </c>
      <c r="F1396" s="3" t="n">
        <v>20.43</v>
      </c>
      <c r="G1396" s="3" t="n">
        <v>0</v>
      </c>
      <c r="H1396" s="3" t="n">
        <v>0</v>
      </c>
      <c r="I1396" s="3">
        <f>E1396+G1396+H1396</f>
        <v/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/>
      </c>
      <c r="K1396" s="3">
        <f>I1396-J1396</f>
        <v/>
      </c>
      <c r="L1396" s="3">
        <f>IF(K1396&lt;-5,"CRÍTICO",IF(K1396&lt;0,"ATENÇÃO",IF(K1396&lt;=5,"BOM","EXCELENTE")))</f>
        <v/>
      </c>
      <c r="M1396" s="3" t="n">
        <v>21</v>
      </c>
      <c r="N1396" s="3" t="n">
        <v>100</v>
      </c>
      <c r="O1396" s="12" t="n">
        <v>29.51807228915663</v>
      </c>
    </row>
    <row r="1397">
      <c r="A1397" s="10" t="n">
        <v>46044</v>
      </c>
      <c r="B1397" t="inlineStr">
        <is>
          <t>Cristiane Ramos da Silva Rocha</t>
        </is>
      </c>
      <c r="C1397" s="1" t="inlineStr">
        <is>
          <t>Técnico III</t>
        </is>
      </c>
      <c r="D1397" s="3" t="n">
        <v>34</v>
      </c>
      <c r="E1397" s="3" t="n">
        <v>29</v>
      </c>
      <c r="F1397" s="3" t="n">
        <v>10.21</v>
      </c>
      <c r="G1397" s="3" t="n">
        <v>0</v>
      </c>
      <c r="H1397" s="3" t="n">
        <v>0</v>
      </c>
      <c r="I1397" s="3">
        <f>E1397+G1397+H1397</f>
        <v/>
      </c>
      <c r="J1397" s="3">
        <f>ROUND(MIN(IF(C1397="Técnico III",35,IF(C1397="Técnico II",28,IF(C1397="Técnico I",23,IF(C1397="JR",20,IF(C1397="Estágio",10,0))))),IF(C1397="Técnico III",SUMIFS($D:$D,$A:$A,$A1397,$B:$B,"&lt;&gt;Patrícia Karla de Sousa Araújo",$B:$B,"&lt;&gt;Lorena Dias de Araujo",$B:$B,"&lt;&gt;Lucas Luiz Romero")*(35/1083),IF(C1397="Técnico II",SUMIFS($D:$D,$A:$A,$A1397,$B:$B,"&lt;&gt;Patrícia Karla de Sousa Araújo",$B:$B,"&lt;&gt;Lorena Dias de Araujo",$B:$B,"&lt;&gt;Lucas Luiz Romero")*(28/1083),IF(C1397="Técnico I",SUMIFS($D:$D,$A:$A,$A1397,$B:$B,"&lt;&gt;Patrícia Karla de Sousa Araújo",$B:$B,"&lt;&gt;Lorena Dias de Araujo",$B:$B,"&lt;&gt;Lucas Luiz Romero")*(23/1083),IF(C1397="JR",SUMIFS($D:$D,$A:$A,$A1397,$B:$B,"&lt;&gt;Patrícia Karla de Sousa Araújo",$B:$B,"&lt;&gt;Lorena Dias de Araujo",$B:$B,"&lt;&gt;Lucas Luiz Romero")*(20/1083),IF(C1397="Estágio",SUMIFS($D:$D,$A:$A,$A1397,$B:$B,"&lt;&gt;Patrícia Karla de Sousa Araújo",$B:$B,"&lt;&gt;Lorena Dias de Araujo",$B:$B,"&lt;&gt;Lucas Luiz Romero")*(10/1083),0)))))),0)</f>
        <v/>
      </c>
      <c r="K1397" s="3">
        <f>I1397-J1397</f>
        <v/>
      </c>
      <c r="L1397" s="3">
        <f>IF(K1397&lt;-5,"CRÍTICO",IF(K1397&lt;0,"ATENÇÃO",IF(K1397&lt;=5,"BOM","EXCELENTE")))</f>
        <v/>
      </c>
      <c r="M1397" s="3" t="n">
        <v>24</v>
      </c>
      <c r="N1397" s="3" t="n">
        <v>97.45</v>
      </c>
      <c r="O1397" s="12" t="n">
        <v>41.421143847487</v>
      </c>
    </row>
    <row r="1398">
      <c r="A1398" s="10" t="n">
        <v>46044</v>
      </c>
      <c r="B1398" t="inlineStr">
        <is>
          <t>Damyllis Lorraine de Oliveira Gonçalves</t>
        </is>
      </c>
      <c r="C1398" s="1" t="inlineStr">
        <is>
          <t>Técnico II</t>
        </is>
      </c>
      <c r="D1398" s="3" t="n">
        <v>29</v>
      </c>
      <c r="E1398" s="3" t="n">
        <v>24</v>
      </c>
      <c r="F1398" s="3" t="n">
        <v>12.11</v>
      </c>
      <c r="G1398" s="3" t="n">
        <v>0</v>
      </c>
      <c r="H1398" s="3" t="n">
        <v>0</v>
      </c>
      <c r="I1398" s="3" t="n">
        <v>0</v>
      </c>
      <c r="J1398" s="3" t="n">
        <v>0</v>
      </c>
      <c r="K1398" s="3" t="n">
        <v>0</v>
      </c>
      <c r="L1398" s="3">
        <f>IF(K1398&lt;-5,"CRÍTICO",IF(K1398&lt;0,"ATENÇÃO",IF(K1398&lt;=5,"BOM","EXCELENTE")))</f>
        <v/>
      </c>
      <c r="M1398" s="3" t="n">
        <v>22</v>
      </c>
      <c r="N1398" s="3" t="n">
        <v>96.58</v>
      </c>
      <c r="O1398" s="12" t="n">
        <v>30.39647577092511</v>
      </c>
    </row>
    <row r="1399">
      <c r="A1399" s="10" t="n">
        <v>46044</v>
      </c>
      <c r="B1399" t="inlineStr">
        <is>
          <t>Daniel Gomes da Silva</t>
        </is>
      </c>
      <c r="C1399" s="1" t="inlineStr">
        <is>
          <t>Técnico I</t>
        </is>
      </c>
      <c r="D1399" s="3" t="n">
        <v>5</v>
      </c>
      <c r="E1399" s="3" t="n">
        <v>5</v>
      </c>
      <c r="F1399" s="3" t="n">
        <v>32.39</v>
      </c>
      <c r="G1399" s="3" t="n">
        <v>0</v>
      </c>
      <c r="H1399" s="3" t="n">
        <v>0</v>
      </c>
      <c r="I1399" s="3">
        <f>E1399+G1399+H1399</f>
        <v/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/>
      </c>
      <c r="K1399" s="3">
        <f>I1399-J1399</f>
        <v/>
      </c>
      <c r="L1399" s="3">
        <f>IF(K1399&lt;-5,"CRÍTICO",IF(K1399&lt;0,"ATENÇÃO",IF(K1399&lt;=5,"BOM","EXCELENTE")))</f>
        <v/>
      </c>
      <c r="M1399" s="3" t="n">
        <v>7</v>
      </c>
      <c r="N1399" s="3" t="n">
        <v>100</v>
      </c>
      <c r="O1399" s="12" t="n">
        <v>27.44282744282744</v>
      </c>
    </row>
    <row r="1400">
      <c r="A1400" s="10" t="n">
        <v>46044</v>
      </c>
      <c r="B1400" t="inlineStr">
        <is>
          <t>Davylla Rodrigues Freitas Silva</t>
        </is>
      </c>
      <c r="C1400" s="1" t="inlineStr">
        <is>
          <t>Técnico III</t>
        </is>
      </c>
      <c r="D1400" s="3" t="n">
        <v>23</v>
      </c>
      <c r="E1400" s="3" t="n">
        <v>23</v>
      </c>
      <c r="F1400" s="3" t="n">
        <v>22.17</v>
      </c>
      <c r="G1400" s="3" t="n">
        <v>0</v>
      </c>
      <c r="H1400" s="3" t="n">
        <v>0</v>
      </c>
      <c r="I1400" s="3" t="n">
        <v>0</v>
      </c>
      <c r="J1400" s="3" t="n">
        <v>0</v>
      </c>
      <c r="K1400" s="3" t="n">
        <v>0</v>
      </c>
      <c r="L1400" s="3">
        <f>IF(K1400&lt;-5,"CRÍTICO",IF(K1400&lt;0,"ATENÇÃO",IF(K1400&lt;=5,"BOM","EXCELENTE")))</f>
        <v/>
      </c>
      <c r="M1400" s="3" t="n">
        <v>23</v>
      </c>
      <c r="N1400" s="3" t="n">
        <v>99.48999999999999</v>
      </c>
      <c r="O1400" s="12" t="n">
        <v>40.2</v>
      </c>
    </row>
    <row r="1401">
      <c r="A1401" s="10" t="n">
        <v>46044</v>
      </c>
      <c r="B1401" t="inlineStr">
        <is>
          <t>Emilly Caylane Costa</t>
        </is>
      </c>
      <c r="C1401" s="1" t="inlineStr">
        <is>
          <t>Estágio</t>
        </is>
      </c>
      <c r="D1401" s="3" t="n">
        <v>0</v>
      </c>
      <c r="E1401" s="3" t="n">
        <v>0</v>
      </c>
      <c r="F1401" s="3" t="n">
        <v>0</v>
      </c>
      <c r="G1401" s="3" t="n">
        <v>0</v>
      </c>
      <c r="H1401" s="3" t="n">
        <v>0</v>
      </c>
      <c r="I1401" s="3" t="n">
        <v>0</v>
      </c>
      <c r="J1401" s="3" t="n">
        <v>0</v>
      </c>
      <c r="K1401" s="3" t="n">
        <v>0</v>
      </c>
      <c r="L1401" s="3">
        <f>IF(K1401&lt;-5,"CRÍTICO",IF(K1401&lt;0,"ATENÇÃO",IF(K1401&lt;=5,"BOM","EXCELENTE")))</f>
        <v/>
      </c>
      <c r="M1401" s="3" t="n">
        <v>0</v>
      </c>
      <c r="N1401" s="3" t="n">
        <v>100</v>
      </c>
      <c r="O1401" s="12" t="n">
        <v>25</v>
      </c>
    </row>
    <row r="1402">
      <c r="A1402" s="10" t="n">
        <v>46044</v>
      </c>
      <c r="B1402" t="inlineStr">
        <is>
          <t>Emilly Kamilly Medeiros Miranda</t>
        </is>
      </c>
      <c r="C1402" s="1" t="inlineStr">
        <is>
          <t>Técnico II</t>
        </is>
      </c>
      <c r="D1402" s="3" t="n">
        <v>29</v>
      </c>
      <c r="E1402" s="3" t="n">
        <v>26</v>
      </c>
      <c r="F1402" s="3" t="n">
        <v>14.08</v>
      </c>
      <c r="G1402" s="3" t="n">
        <v>0</v>
      </c>
      <c r="H1402" s="3" t="n">
        <v>0</v>
      </c>
      <c r="I1402" s="3">
        <f>E1402+G1402+H1402</f>
        <v/>
      </c>
      <c r="J1402" s="3">
        <f>ROUND(MIN(IF(C1402="Técnico III",35,IF(C1402="Técnico II",28,IF(C1402="Técnico I",23,IF(C1402="JR",20,IF(C1402="Estágio",10,0))))),IF(C1402="Técnico III",SUMIFS($D:$D,$A:$A,$A1402,$B:$B,"&lt;&gt;Patrícia Karla de Sousa Araújo",$B:$B,"&lt;&gt;Lorena Dias de Araujo",$B:$B,"&lt;&gt;Lucas Luiz Romero")*(35/1083),IF(C1402="Técnico II",SUMIFS($D:$D,$A:$A,$A1402,$B:$B,"&lt;&gt;Patrícia Karla de Sousa Araújo",$B:$B,"&lt;&gt;Lorena Dias de Araujo",$B:$B,"&lt;&gt;Lucas Luiz Romero")*(28/1083),IF(C1402="Técnico I",SUMIFS($D:$D,$A:$A,$A1402,$B:$B,"&lt;&gt;Patrícia Karla de Sousa Araújo",$B:$B,"&lt;&gt;Lorena Dias de Araujo",$B:$B,"&lt;&gt;Lucas Luiz Romero")*(23/1083),IF(C1402="JR",SUMIFS($D:$D,$A:$A,$A1402,$B:$B,"&lt;&gt;Patrícia Karla de Sousa Araújo",$B:$B,"&lt;&gt;Lorena Dias de Araujo",$B:$B,"&lt;&gt;Lucas Luiz Romero")*(20/1083),IF(C1402="Estágio",SUMIFS($D:$D,$A:$A,$A1402,$B:$B,"&lt;&gt;Patrícia Karla de Sousa Araújo",$B:$B,"&lt;&gt;Lorena Dias de Araujo",$B:$B,"&lt;&gt;Lucas Luiz Romero")*(10/1083),0)))))),0)</f>
        <v/>
      </c>
      <c r="K1402" s="3">
        <f>I1402-J1402</f>
        <v/>
      </c>
      <c r="L1402" s="3">
        <f>IF(K1402&lt;-5,"CRÍTICO",IF(K1402&lt;0,"ATENÇÃO",IF(K1402&lt;=5,"BOM","EXCELENTE")))</f>
        <v/>
      </c>
      <c r="M1402" s="3" t="n">
        <v>24</v>
      </c>
      <c r="N1402" s="3" t="n">
        <v>100</v>
      </c>
      <c r="O1402" s="12" t="n">
        <v>34.15094339622641</v>
      </c>
    </row>
    <row r="1403">
      <c r="A1403" s="10" t="n">
        <v>46044</v>
      </c>
      <c r="B1403" t="inlineStr">
        <is>
          <t>Francielson de Oliveira</t>
        </is>
      </c>
      <c r="C1403" s="1" t="inlineStr">
        <is>
          <t>Técnico III</t>
        </is>
      </c>
      <c r="D1403" s="3" t="n">
        <v>19</v>
      </c>
      <c r="E1403" s="3" t="n">
        <v>17</v>
      </c>
      <c r="F1403" s="3" t="n">
        <v>13.4</v>
      </c>
      <c r="G1403" s="3" t="n">
        <v>0</v>
      </c>
      <c r="H1403" s="3" t="n">
        <v>0</v>
      </c>
      <c r="I1403" s="3">
        <f>E1403+G1403+H1403</f>
        <v/>
      </c>
      <c r="J1403" s="3">
        <f>ROUND(MIN(IF(C1403="Técnico III",35,IF(C1403="Técnico II",28,IF(C1403="Técnico I",23,IF(C1403="JR",20,IF(C1403="Estágio",10,0))))),IF(C1403="Técnico III",SUMIFS($D:$D,$A:$A,$A1403,$B:$B,"&lt;&gt;Patrícia Karla de Sousa Araújo",$B:$B,"&lt;&gt;Lorena Dias de Araujo",$B:$B,"&lt;&gt;Lucas Luiz Romero")*(35/1083),IF(C1403="Técnico II",SUMIFS($D:$D,$A:$A,$A1403,$B:$B,"&lt;&gt;Patrícia Karla de Sousa Araújo",$B:$B,"&lt;&gt;Lorena Dias de Araujo",$B:$B,"&lt;&gt;Lucas Luiz Romero")*(28/1083),IF(C1403="Técnico I",SUMIFS($D:$D,$A:$A,$A1403,$B:$B,"&lt;&gt;Patrícia Karla de Sousa Araújo",$B:$B,"&lt;&gt;Lorena Dias de Araujo",$B:$B,"&lt;&gt;Lucas Luiz Romero")*(23/1083),IF(C1403="JR",SUMIFS($D:$D,$A:$A,$A1403,$B:$B,"&lt;&gt;Patrícia Karla de Sousa Araújo",$B:$B,"&lt;&gt;Lorena Dias de Araujo",$B:$B,"&lt;&gt;Lucas Luiz Romero")*(20/1083),IF(C1403="Estágio",SUMIFS($D:$D,$A:$A,$A1403,$B:$B,"&lt;&gt;Patrícia Karla de Sousa Araújo",$B:$B,"&lt;&gt;Lorena Dias de Araujo",$B:$B,"&lt;&gt;Lucas Luiz Romero")*(10/1083),0)))))),0)</f>
        <v/>
      </c>
      <c r="K1403" s="3">
        <f>I1403-J1403</f>
        <v/>
      </c>
      <c r="L1403" s="3">
        <f>IF(K1403&lt;-5,"CRÍTICO",IF(K1403&lt;0,"ATENÇÃO",IF(K1403&lt;=5,"BOM","EXCELENTE")))</f>
        <v/>
      </c>
      <c r="M1403" s="3" t="n">
        <v>17</v>
      </c>
      <c r="N1403" s="3" t="n">
        <v>100</v>
      </c>
      <c r="O1403" s="12" t="n">
        <v>32.7313769751693</v>
      </c>
    </row>
    <row r="1404">
      <c r="A1404" s="10" t="n">
        <v>46044</v>
      </c>
      <c r="B1404" t="inlineStr">
        <is>
          <t>Francilene Ferreira de Jesus</t>
        </is>
      </c>
      <c r="C1404" s="1" t="inlineStr">
        <is>
          <t>Técnico II</t>
        </is>
      </c>
      <c r="D1404" s="3" t="n">
        <v>22</v>
      </c>
      <c r="E1404" s="3" t="n">
        <v>20</v>
      </c>
      <c r="F1404" s="3" t="n">
        <v>18.25</v>
      </c>
      <c r="G1404" s="3" t="n">
        <v>0</v>
      </c>
      <c r="H1404" s="3" t="n">
        <v>0</v>
      </c>
      <c r="I1404" s="3">
        <f>E1404+G1404+H1404</f>
        <v/>
      </c>
      <c r="J1404" s="3">
        <f>ROUND(MIN(IF(C1404="Técnico III",35,IF(C1404="Técnico II",28,IF(C1404="Técnico I",23,IF(C1404="JR",20,IF(C1404="Estágio",10,0))))),IF(C1404="Técnico III",SUMIFS($D:$D,$A:$A,$A1404,$B:$B,"&lt;&gt;Patrícia Karla de Sousa Araújo",$B:$B,"&lt;&gt;Lorena Dias de Araujo",$B:$B,"&lt;&gt;Lucas Luiz Romero")*(35/1083),IF(C1404="Técnico II",SUMIFS($D:$D,$A:$A,$A1404,$B:$B,"&lt;&gt;Patrícia Karla de Sousa Araújo",$B:$B,"&lt;&gt;Lorena Dias de Araujo",$B:$B,"&lt;&gt;Lucas Luiz Romero")*(28/1083),IF(C1404="Técnico I",SUMIFS($D:$D,$A:$A,$A1404,$B:$B,"&lt;&gt;Patrícia Karla de Sousa Araújo",$B:$B,"&lt;&gt;Lorena Dias de Araujo",$B:$B,"&lt;&gt;Lucas Luiz Romero")*(23/1083),IF(C1404="JR",SUMIFS($D:$D,$A:$A,$A1404,$B:$B,"&lt;&gt;Patrícia Karla de Sousa Araújo",$B:$B,"&lt;&gt;Lorena Dias de Araujo",$B:$B,"&lt;&gt;Lucas Luiz Romero")*(20/1083),IF(C1404="Estágio",SUMIFS($D:$D,$A:$A,$A1404,$B:$B,"&lt;&gt;Patrícia Karla de Sousa Araújo",$B:$B,"&lt;&gt;Lorena Dias de Araujo",$B:$B,"&lt;&gt;Lucas Luiz Romero")*(10/1083),0)))))),0)</f>
        <v/>
      </c>
      <c r="K1404" s="3">
        <f>I1404-J1404</f>
        <v/>
      </c>
      <c r="L1404" s="3">
        <f>IF(K1404&lt;-5,"CRÍTICO",IF(K1404&lt;0,"ATENÇÃO",IF(K1404&lt;=5,"BOM","EXCELENTE")))</f>
        <v/>
      </c>
      <c r="M1404" s="3" t="n">
        <v>19</v>
      </c>
      <c r="N1404" s="3" t="n">
        <v>99.31</v>
      </c>
      <c r="O1404" s="12" t="n">
        <v>30.96234309623431</v>
      </c>
    </row>
    <row r="1405">
      <c r="A1405" s="10" t="n">
        <v>46078</v>
      </c>
      <c r="B1405" t="inlineStr">
        <is>
          <t>Gabriel Gomes de Andrade</t>
        </is>
      </c>
      <c r="C1405" s="1" t="inlineStr">
        <is>
          <t>Técnico I</t>
        </is>
      </c>
      <c r="D1405" s="3" t="n">
        <v>17</v>
      </c>
      <c r="E1405" s="3" t="n">
        <v>15</v>
      </c>
      <c r="F1405" s="3" t="n">
        <v>22.11</v>
      </c>
      <c r="G1405" s="3" t="n">
        <v>0</v>
      </c>
      <c r="H1405" s="3" t="n">
        <v>0</v>
      </c>
      <c r="I1405" s="3">
        <f>E1405+G1405+H1405</f>
        <v/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/>
      </c>
      <c r="K1405" s="3">
        <f>I1405-J1405</f>
        <v/>
      </c>
      <c r="L1405" s="3">
        <f>IF(K1405&lt;-5,"CRÍTICO",IF(K1405&lt;0,"ATENÇÃO",IF(K1405&lt;=5,"BOM","EXCELENTE")))</f>
        <v/>
      </c>
      <c r="M1405" s="3" t="n">
        <v>14</v>
      </c>
      <c r="N1405" s="3" t="n">
        <v>96.67</v>
      </c>
      <c r="O1405" s="12" t="n">
        <v>31.45161290322581</v>
      </c>
    </row>
    <row r="1406">
      <c r="A1406" s="10" t="n">
        <v>46044</v>
      </c>
      <c r="B1406" t="inlineStr">
        <is>
          <t>Isabella Borges de Oliveira</t>
        </is>
      </c>
      <c r="C1406" s="1" t="inlineStr">
        <is>
          <t>Técnico II</t>
        </is>
      </c>
      <c r="D1406" s="3" t="n">
        <v>22</v>
      </c>
      <c r="E1406" s="3" t="n">
        <v>20</v>
      </c>
      <c r="F1406" s="3" t="n">
        <v>19.13</v>
      </c>
      <c r="G1406" s="3" t="n">
        <v>0</v>
      </c>
      <c r="H1406" s="3" t="n">
        <v>0</v>
      </c>
      <c r="I1406" s="3">
        <f>E1406+G1406+H1406</f>
        <v/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/>
      </c>
      <c r="K1406" s="3">
        <f>I1406-J1406</f>
        <v/>
      </c>
      <c r="L1406" s="3">
        <f>IF(K1406&lt;-5,"CRÍTICO",IF(K1406&lt;0,"ATENÇÃO",IF(K1406&lt;=5,"BOM","EXCELENTE")))</f>
        <v/>
      </c>
      <c r="M1406" s="3" t="n">
        <v>17</v>
      </c>
      <c r="N1406" s="3" t="n">
        <v>100</v>
      </c>
      <c r="O1406" s="12" t="n">
        <v>27.67676767676768</v>
      </c>
    </row>
    <row r="1407">
      <c r="A1407" s="10" t="n">
        <v>46044</v>
      </c>
      <c r="B1407" t="inlineStr">
        <is>
          <t>Janaina Lima dos Reis Urany</t>
        </is>
      </c>
      <c r="C1407" s="1" t="inlineStr">
        <is>
          <t>Técnico III</t>
        </is>
      </c>
      <c r="D1407" s="3" t="n">
        <v>27</v>
      </c>
      <c r="E1407" s="3" t="n">
        <v>25</v>
      </c>
      <c r="F1407" s="3" t="n">
        <v>14.02</v>
      </c>
      <c r="G1407" s="3" t="n">
        <v>0</v>
      </c>
      <c r="H1407" s="3" t="n">
        <v>0</v>
      </c>
      <c r="I1407" s="3">
        <f>E1407+G1407+H1407</f>
        <v/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/>
      </c>
      <c r="K1407" s="3">
        <f>I1407-J1407</f>
        <v/>
      </c>
      <c r="L1407" s="3">
        <f>IF(K1407&lt;-5,"CRÍTICO",IF(K1407&lt;0,"ATENÇÃO",IF(K1407&lt;=5,"BOM","EXCELENTE")))</f>
        <v/>
      </c>
      <c r="M1407" s="3" t="n">
        <v>23</v>
      </c>
      <c r="N1407" s="3" t="n">
        <v>100</v>
      </c>
      <c r="O1407" s="12" t="n">
        <v>31.17723156532988</v>
      </c>
    </row>
    <row r="1408">
      <c r="A1408" s="10" t="n">
        <v>46044</v>
      </c>
      <c r="B1408" t="inlineStr">
        <is>
          <t>Jaqueline Evangelista da Silva Martins</t>
        </is>
      </c>
      <c r="C1408" s="1" t="inlineStr">
        <is>
          <t>Técnico III</t>
        </is>
      </c>
      <c r="D1408" s="3" t="n">
        <v>10</v>
      </c>
      <c r="E1408" s="3" t="n">
        <v>8</v>
      </c>
      <c r="F1408" s="3" t="n">
        <v>13.39</v>
      </c>
      <c r="G1408" s="3" t="n">
        <v>0</v>
      </c>
      <c r="H1408" s="3" t="n">
        <v>0</v>
      </c>
      <c r="I1408" s="3">
        <f>E1408+G1408+H1408</f>
        <v/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/>
      </c>
      <c r="K1408" s="3">
        <f>I1408-J1408</f>
        <v/>
      </c>
      <c r="L1408" s="3">
        <f>IF(K1408&lt;-5,"CRÍTICO",IF(K1408&lt;0,"ATENÇÃO",IF(K1408&lt;=5,"BOM","EXCELENTE")))</f>
        <v/>
      </c>
      <c r="M1408" s="3" t="n">
        <v>5</v>
      </c>
      <c r="N1408" s="3" t="n">
        <v>100</v>
      </c>
      <c r="O1408" s="12" t="n">
        <v>27.60942760942761</v>
      </c>
    </row>
    <row r="1409">
      <c r="A1409" s="10" t="n">
        <v>46044</v>
      </c>
      <c r="B1409" t="inlineStr">
        <is>
          <t>Jessica Faria da Silveira</t>
        </is>
      </c>
      <c r="C1409" s="1" t="inlineStr">
        <is>
          <t>Técnico II</t>
        </is>
      </c>
      <c r="D1409" s="3" t="n">
        <v>27</v>
      </c>
      <c r="E1409" s="3" t="n">
        <v>20</v>
      </c>
      <c r="F1409" s="3" t="n">
        <v>16.45</v>
      </c>
      <c r="G1409" s="3" t="n">
        <v>0</v>
      </c>
      <c r="H1409" s="3" t="n">
        <v>0</v>
      </c>
      <c r="I1409" s="3">
        <f>E1409+G1409+H1409</f>
        <v/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/>
      </c>
      <c r="K1409" s="3">
        <f>I1409-J1409</f>
        <v/>
      </c>
      <c r="L1409" s="3">
        <f>IF(K1409&lt;-5,"CRÍTICO",IF(K1409&lt;0,"ATENÇÃO",IF(K1409&lt;=5,"BOM","EXCELENTE")))</f>
        <v/>
      </c>
      <c r="M1409" s="3" t="n">
        <v>19</v>
      </c>
      <c r="N1409" s="3" t="n">
        <v>96.40000000000001</v>
      </c>
      <c r="O1409" s="12" t="n">
        <v>28.76404494382023</v>
      </c>
    </row>
    <row r="1410">
      <c r="A1410" s="10" t="n">
        <v>46044</v>
      </c>
      <c r="B1410" t="inlineStr">
        <is>
          <t>Jéssica Fé Moura</t>
        </is>
      </c>
      <c r="C1410" s="1" t="inlineStr">
        <is>
          <t>Técnico III</t>
        </is>
      </c>
      <c r="D1410" s="3" t="n">
        <v>0</v>
      </c>
      <c r="E1410" s="3" t="n">
        <v>0</v>
      </c>
      <c r="F1410" s="3" t="n">
        <v>0</v>
      </c>
      <c r="G1410" s="3" t="n">
        <v>0</v>
      </c>
      <c r="H1410" s="3" t="n">
        <v>0</v>
      </c>
      <c r="I1410" s="3" t="n">
        <v>0</v>
      </c>
      <c r="J1410" s="3" t="n">
        <v>0</v>
      </c>
      <c r="K1410" s="3" t="n">
        <v>0</v>
      </c>
      <c r="L1410" s="3">
        <f>IF(K1410&lt;-5,"CRÍTICO",IF(K1410&lt;0,"ATENÇÃO",IF(K1410&lt;=5,"BOM","EXCELENTE")))</f>
        <v/>
      </c>
      <c r="M1410" s="3" t="n">
        <v>0</v>
      </c>
      <c r="N1410" s="3" t="n">
        <v>100</v>
      </c>
      <c r="O1410" s="12" t="n">
        <v>33.98058252427185</v>
      </c>
    </row>
    <row r="1411">
      <c r="A1411" s="10" t="n">
        <v>46044</v>
      </c>
      <c r="B1411" t="inlineStr">
        <is>
          <t>Karina Gonçalves Martins</t>
        </is>
      </c>
      <c r="C1411" s="1" t="inlineStr">
        <is>
          <t>JR</t>
        </is>
      </c>
      <c r="D1411" s="3" t="n">
        <v>5</v>
      </c>
      <c r="E1411" s="3" t="n">
        <v>4</v>
      </c>
      <c r="F1411" s="3" t="n">
        <v>46.55</v>
      </c>
      <c r="G1411" s="3" t="n">
        <v>0</v>
      </c>
      <c r="H1411" s="3" t="n">
        <v>0</v>
      </c>
      <c r="I1411" s="3">
        <f>E1411+G1411+H1411</f>
        <v/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/>
      </c>
      <c r="K1411" s="3">
        <f>I1411-J1411</f>
        <v/>
      </c>
      <c r="L1411" s="3">
        <f>IF(K1411&lt;-5,"CRÍTICO",IF(K1411&lt;0,"ATENÇÃO",IF(K1411&lt;=5,"BOM","EXCELENTE")))</f>
        <v/>
      </c>
      <c r="M1411" s="3" t="n">
        <v>4</v>
      </c>
      <c r="N1411" s="3" t="n">
        <v>97.56</v>
      </c>
      <c r="O1411" s="12" t="n">
        <v>32.51533742331289</v>
      </c>
    </row>
    <row r="1412">
      <c r="A1412" s="10" t="n">
        <v>46044</v>
      </c>
      <c r="B1412" t="inlineStr">
        <is>
          <t>Kerollen Cristielly de Jesus Siqueira</t>
        </is>
      </c>
      <c r="C1412" s="1" t="inlineStr">
        <is>
          <t>Técnico III</t>
        </is>
      </c>
      <c r="D1412" s="3" t="n">
        <v>19</v>
      </c>
      <c r="E1412" s="3" t="n">
        <v>18</v>
      </c>
      <c r="F1412" s="3" t="n">
        <v>22.19</v>
      </c>
      <c r="G1412" s="3" t="n">
        <v>0</v>
      </c>
      <c r="H1412" s="3" t="n">
        <v>0</v>
      </c>
      <c r="I1412" s="3">
        <f>E1412+G1412+H1412</f>
        <v/>
      </c>
      <c r="J1412" s="3">
        <f>ROUND(MIN(IF(C1412="Técnico III",35,IF(C1412="Técnico II",28,IF(C1412="Técnico I",23,IF(C1412="JR",20,IF(C1412="Estágio",10,0))))),IF(C1412="Técnico III",SUMIFS($D:$D,$A:$A,$A1412,$B:$B,"&lt;&gt;Patrícia Karla de Sousa Araújo",$B:$B,"&lt;&gt;Lorena Dias de Araujo",$B:$B,"&lt;&gt;Lucas Luiz Romero")*(35/1083),IF(C1412="Técnico II",SUMIFS($D:$D,$A:$A,$A1412,$B:$B,"&lt;&gt;Patrícia Karla de Sousa Araújo",$B:$B,"&lt;&gt;Lorena Dias de Araujo",$B:$B,"&lt;&gt;Lucas Luiz Romero")*(28/1083),IF(C1412="Técnico I",SUMIFS($D:$D,$A:$A,$A1412,$B:$B,"&lt;&gt;Patrícia Karla de Sousa Araújo",$B:$B,"&lt;&gt;Lorena Dias de Araujo",$B:$B,"&lt;&gt;Lucas Luiz Romero")*(23/1083),IF(C1412="JR",SUMIFS($D:$D,$A:$A,$A1412,$B:$B,"&lt;&gt;Patrícia Karla de Sousa Araújo",$B:$B,"&lt;&gt;Lorena Dias de Araujo",$B:$B,"&lt;&gt;Lucas Luiz Romero")*(20/1083),IF(C1412="Estágio",SUMIFS($D:$D,$A:$A,$A1412,$B:$B,"&lt;&gt;Patrícia Karla de Sousa Araújo",$B:$B,"&lt;&gt;Lorena Dias de Araujo",$B:$B,"&lt;&gt;Lucas Luiz Romero")*(10/1083),0)))))),0)</f>
        <v/>
      </c>
      <c r="K1412" s="3">
        <f>I1412-J1412</f>
        <v/>
      </c>
      <c r="L1412" s="3">
        <f>IF(K1412&lt;-5,"CRÍTICO",IF(K1412&lt;0,"ATENÇÃO",IF(K1412&lt;=5,"BOM","EXCELENTE")))</f>
        <v/>
      </c>
      <c r="M1412" s="3" t="n">
        <v>18</v>
      </c>
      <c r="N1412" s="3" t="n">
        <v>97.11</v>
      </c>
      <c r="O1412" s="12" t="n">
        <v>37.40831295843521</v>
      </c>
    </row>
    <row r="1413">
      <c r="A1413" s="10" t="n">
        <v>46044</v>
      </c>
      <c r="B1413" t="inlineStr">
        <is>
          <t>Leandro de Souza Silva</t>
        </is>
      </c>
      <c r="C1413" s="1" t="inlineStr">
        <is>
          <t>JR</t>
        </is>
      </c>
      <c r="D1413" s="3" t="n">
        <v>0</v>
      </c>
      <c r="E1413" s="3" t="n">
        <v>0</v>
      </c>
      <c r="F1413" s="3" t="n">
        <v>0</v>
      </c>
      <c r="G1413" s="3" t="n">
        <v>0</v>
      </c>
      <c r="H1413" s="3" t="n">
        <v>0</v>
      </c>
      <c r="I1413" s="3" t="n">
        <v>0</v>
      </c>
      <c r="J1413" s="3" t="n">
        <v>0</v>
      </c>
      <c r="K1413" s="3" t="n">
        <v>0</v>
      </c>
      <c r="L1413" s="3">
        <f>IF(K1413&lt;-5,"CRÍTICO",IF(K1413&lt;0,"ATENÇÃO",IF(K1413&lt;=5,"BOM","EXCELENTE")))</f>
        <v/>
      </c>
      <c r="M1413" s="3" t="n">
        <v>0</v>
      </c>
      <c r="N1413" s="3" t="n">
        <v>0</v>
      </c>
      <c r="O1413" s="12" t="n">
        <v>0</v>
      </c>
    </row>
    <row r="1414">
      <c r="A1414" s="10" t="n">
        <v>46044</v>
      </c>
      <c r="B1414" t="inlineStr">
        <is>
          <t>Leandro Oliveira de Sousa</t>
        </is>
      </c>
      <c r="C1414" s="1" t="inlineStr">
        <is>
          <t>Técnico III</t>
        </is>
      </c>
      <c r="D1414" s="3" t="n">
        <v>25</v>
      </c>
      <c r="E1414" s="3" t="n">
        <v>21</v>
      </c>
      <c r="F1414" s="3" t="n">
        <v>19.1</v>
      </c>
      <c r="G1414" s="3" t="n">
        <v>0</v>
      </c>
      <c r="H1414" s="3" t="n">
        <v>0</v>
      </c>
      <c r="I1414" s="3">
        <f>E1414+G1414+H1414</f>
        <v/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/>
      </c>
      <c r="K1414" s="3">
        <f>I1414-J1414</f>
        <v/>
      </c>
      <c r="L1414" s="3">
        <f>IF(K1414&lt;-5,"CRÍTICO",IF(K1414&lt;0,"ATENÇÃO",IF(K1414&lt;=5,"BOM","EXCELENTE")))</f>
        <v/>
      </c>
      <c r="M1414" s="3" t="n">
        <v>21</v>
      </c>
      <c r="N1414" s="3" t="n">
        <v>100</v>
      </c>
      <c r="O1414" s="12" t="n">
        <v>30.47034764826176</v>
      </c>
    </row>
    <row r="1415">
      <c r="A1415" s="10" t="n">
        <v>46044</v>
      </c>
      <c r="B1415" t="inlineStr">
        <is>
          <t>Lizandra Gomes Duarte</t>
        </is>
      </c>
      <c r="C1415" s="1" t="inlineStr">
        <is>
          <t>Técnico II</t>
        </is>
      </c>
      <c r="D1415" s="3" t="n">
        <v>25</v>
      </c>
      <c r="E1415" s="3" t="n">
        <v>23</v>
      </c>
      <c r="F1415" s="3" t="n">
        <v>18.32</v>
      </c>
      <c r="G1415" s="3" t="n">
        <v>0</v>
      </c>
      <c r="H1415" s="3" t="n">
        <v>0</v>
      </c>
      <c r="I1415" s="3">
        <f>E1415+G1415+H1415</f>
        <v/>
      </c>
      <c r="J1415" s="3">
        <f>ROUND(MIN(IF(C1415="Técnico III",35,IF(C1415="Técnico II",28,IF(C1415="Técnico I",23,IF(C1415="JR",20,IF(C1415="Estágio",10,0))))),IF(C1415="Técnico III",SUMIFS($D:$D,$A:$A,$A1415,$B:$B,"&lt;&gt;Patrícia Karla de Sousa Araújo",$B:$B,"&lt;&gt;Lorena Dias de Araujo",$B:$B,"&lt;&gt;Lucas Luiz Romero")*(35/1083),IF(C1415="Técnico II",SUMIFS($D:$D,$A:$A,$A1415,$B:$B,"&lt;&gt;Patrícia Karla de Sousa Araújo",$B:$B,"&lt;&gt;Lorena Dias de Araujo",$B:$B,"&lt;&gt;Lucas Luiz Romero")*(28/1083),IF(C1415="Técnico I",SUMIFS($D:$D,$A:$A,$A1415,$B:$B,"&lt;&gt;Patrícia Karla de Sousa Araújo",$B:$B,"&lt;&gt;Lorena Dias de Araujo",$B:$B,"&lt;&gt;Lucas Luiz Romero")*(23/1083),IF(C1415="JR",SUMIFS($D:$D,$A:$A,$A1415,$B:$B,"&lt;&gt;Patrícia Karla de Sousa Araújo",$B:$B,"&lt;&gt;Lorena Dias de Araujo",$B:$B,"&lt;&gt;Lucas Luiz Romero")*(20/1083),IF(C1415="Estágio",SUMIFS($D:$D,$A:$A,$A1415,$B:$B,"&lt;&gt;Patrícia Karla de Sousa Araújo",$B:$B,"&lt;&gt;Lorena Dias de Araujo",$B:$B,"&lt;&gt;Lucas Luiz Romero")*(10/1083),0)))))),0)</f>
        <v/>
      </c>
      <c r="K1415" s="3">
        <f>I1415-J1415</f>
        <v/>
      </c>
      <c r="L1415" s="3">
        <f>IF(K1415&lt;-5,"CRÍTICO",IF(K1415&lt;0,"ATENÇÃO",IF(K1415&lt;=5,"BOM","EXCELENTE")))</f>
        <v/>
      </c>
      <c r="M1415" s="3" t="n">
        <v>17</v>
      </c>
      <c r="N1415" s="3" t="n">
        <v>100</v>
      </c>
      <c r="O1415" s="12" t="n">
        <v>32.37113402061856</v>
      </c>
    </row>
    <row r="1416">
      <c r="A1416" s="10" t="n">
        <v>46044</v>
      </c>
      <c r="B1416" t="inlineStr">
        <is>
          <t>Lorena Dias de Araujo</t>
        </is>
      </c>
      <c r="C1416" s="1" t="inlineStr">
        <is>
          <t>Técnico II</t>
        </is>
      </c>
      <c r="D1416" s="3" t="n">
        <v>28</v>
      </c>
      <c r="E1416" s="3" t="n">
        <v>27</v>
      </c>
      <c r="F1416" s="3" t="n">
        <v>17.06</v>
      </c>
      <c r="G1416" s="3" t="n">
        <v>0</v>
      </c>
      <c r="H1416" s="3" t="n">
        <v>0</v>
      </c>
      <c r="I1416" s="3" t="n">
        <v>0</v>
      </c>
      <c r="J1416" s="3" t="n">
        <v>0</v>
      </c>
      <c r="K1416" s="3" t="n">
        <v>0</v>
      </c>
      <c r="L1416" s="3">
        <f>IF(K1416&lt;-5,"CRÍTICO",IF(K1416&lt;0,"ATENÇÃO",IF(K1416&lt;=5,"BOM","EXCELENTE")))</f>
        <v/>
      </c>
      <c r="M1416" s="3" t="n">
        <v>21</v>
      </c>
      <c r="N1416" s="3" t="n">
        <v>98.31999999999999</v>
      </c>
      <c r="O1416" s="12" t="n">
        <v>32.31850117096019</v>
      </c>
    </row>
    <row r="1417">
      <c r="A1417" s="10" t="n">
        <v>46044</v>
      </c>
      <c r="B1417" t="inlineStr">
        <is>
          <t>Lucas Luiz Romero</t>
        </is>
      </c>
      <c r="C1417" s="1" t="inlineStr">
        <is>
          <t>Técnico III</t>
        </is>
      </c>
      <c r="D1417" s="3" t="n">
        <v>47</v>
      </c>
      <c r="E1417" s="3" t="n">
        <v>29</v>
      </c>
      <c r="F1417" s="3" t="n">
        <v>5.45</v>
      </c>
      <c r="G1417" s="3" t="n">
        <v>0</v>
      </c>
      <c r="H1417" s="3" t="n">
        <v>0</v>
      </c>
      <c r="I1417" s="3">
        <f>E1417+G1417+H1417</f>
        <v/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/>
      </c>
      <c r="K1417" s="3">
        <f>I1417-J1417</f>
        <v/>
      </c>
      <c r="L1417" s="3">
        <f>IF(K1417&lt;-5,"CRÍTICO",IF(K1417&lt;0,"ATENÇÃO",IF(K1417&lt;=5,"BOM","EXCELENTE")))</f>
        <v/>
      </c>
      <c r="M1417" s="3" t="n">
        <v>22</v>
      </c>
      <c r="N1417" s="3" t="n">
        <v>96.43000000000001</v>
      </c>
      <c r="O1417" s="12" t="n">
        <v>27.01525054466231</v>
      </c>
    </row>
    <row r="1418">
      <c r="A1418" s="10" t="n">
        <v>46044</v>
      </c>
      <c r="B1418" t="inlineStr">
        <is>
          <t>Luiz Fernando de Carvalho Junior</t>
        </is>
      </c>
      <c r="C1418" s="1" t="inlineStr">
        <is>
          <t>Técnico I</t>
        </is>
      </c>
      <c r="D1418" s="3" t="n">
        <v>25</v>
      </c>
      <c r="E1418" s="3" t="n">
        <v>23</v>
      </c>
      <c r="F1418" s="3" t="n">
        <v>15.11</v>
      </c>
      <c r="G1418" s="3" t="n">
        <v>0</v>
      </c>
      <c r="H1418" s="3" t="n">
        <v>0</v>
      </c>
      <c r="I1418" s="3">
        <f>E1418+G1418+H1418</f>
        <v/>
      </c>
      <c r="J1418" s="3">
        <f>ROUND(MIN(IF(C1418="Técnico III",35,IF(C1418="Técnico II",28,IF(C1418="Técnico I",23,IF(C1418="JR",20,IF(C1418="Estágio",10,0))))),IF(C1418="Técnico III",SUMIFS($D:$D,$A:$A,$A1418,$B:$B,"&lt;&gt;Patrícia Karla de Sousa Araújo",$B:$B,"&lt;&gt;Lorena Dias de Araujo",$B:$B,"&lt;&gt;Lucas Luiz Romero")*(35/1083),IF(C1418="Técnico II",SUMIFS($D:$D,$A:$A,$A1418,$B:$B,"&lt;&gt;Patrícia Karla de Sousa Araújo",$B:$B,"&lt;&gt;Lorena Dias de Araujo",$B:$B,"&lt;&gt;Lucas Luiz Romero")*(28/1083),IF(C1418="Técnico I",SUMIFS($D:$D,$A:$A,$A1418,$B:$B,"&lt;&gt;Patrícia Karla de Sousa Araújo",$B:$B,"&lt;&gt;Lorena Dias de Araujo",$B:$B,"&lt;&gt;Lucas Luiz Romero")*(23/1083),IF(C1418="JR",SUMIFS($D:$D,$A:$A,$A1418,$B:$B,"&lt;&gt;Patrícia Karla de Sousa Araújo",$B:$B,"&lt;&gt;Lorena Dias de Araujo",$B:$B,"&lt;&gt;Lucas Luiz Romero")*(20/1083),IF(C1418="Estágio",SUMIFS($D:$D,$A:$A,$A1418,$B:$B,"&lt;&gt;Patrícia Karla de Sousa Araújo",$B:$B,"&lt;&gt;Lorena Dias de Araujo",$B:$B,"&lt;&gt;Lucas Luiz Romero")*(10/1083),0)))))),0)</f>
        <v/>
      </c>
      <c r="K1418" s="3">
        <f>I1418-J1418</f>
        <v/>
      </c>
      <c r="L1418" s="3">
        <f>IF(K1418&lt;-5,"CRÍTICO",IF(K1418&lt;0,"ATENÇÃO",IF(K1418&lt;=5,"BOM","EXCELENTE")))</f>
        <v/>
      </c>
      <c r="M1418" s="3" t="n">
        <v>23</v>
      </c>
      <c r="N1418" s="3" t="n">
        <v>98.89</v>
      </c>
      <c r="O1418" s="12" t="n">
        <v>28.02197802197802</v>
      </c>
    </row>
    <row r="1419">
      <c r="A1419" s="10" t="n">
        <v>46044</v>
      </c>
      <c r="B1419" t="inlineStr">
        <is>
          <t>Maria Eduarda Sousa Costa</t>
        </is>
      </c>
      <c r="C1419" s="1" t="inlineStr">
        <is>
          <t>Estágio</t>
        </is>
      </c>
      <c r="D1419" s="3" t="n">
        <v>8</v>
      </c>
      <c r="E1419" s="3" t="n">
        <v>8</v>
      </c>
      <c r="F1419" s="3" t="n">
        <v>42.33</v>
      </c>
      <c r="G1419" s="3" t="n">
        <v>0</v>
      </c>
      <c r="H1419" s="3" t="n">
        <v>0</v>
      </c>
      <c r="I1419" s="3">
        <f>E1419+G1419+H1419</f>
        <v/>
      </c>
      <c r="J1419" s="3">
        <f>ROUND(MIN(IF(C1419="Técnico III",35,IF(C1419="Técnico II",28,IF(C1419="Técnico I",23,IF(C1419="JR",20,IF(C1419="Estágio",10,0))))),IF(C1419="Técnico III",SUMIFS($D:$D,$A:$A,$A1419,$B:$B,"&lt;&gt;Patrícia Karla de Sousa Araújo",$B:$B,"&lt;&gt;Lorena Dias de Araujo",$B:$B,"&lt;&gt;Lucas Luiz Romero")*(35/1083),IF(C1419="Técnico II",SUMIFS($D:$D,$A:$A,$A1419,$B:$B,"&lt;&gt;Patrícia Karla de Sousa Araújo",$B:$B,"&lt;&gt;Lorena Dias de Araujo",$B:$B,"&lt;&gt;Lucas Luiz Romero")*(28/1083),IF(C1419="Técnico I",SUMIFS($D:$D,$A:$A,$A1419,$B:$B,"&lt;&gt;Patrícia Karla de Sousa Araújo",$B:$B,"&lt;&gt;Lorena Dias de Araujo",$B:$B,"&lt;&gt;Lucas Luiz Romero")*(23/1083),IF(C1419="JR",SUMIFS($D:$D,$A:$A,$A1419,$B:$B,"&lt;&gt;Patrícia Karla de Sousa Araújo",$B:$B,"&lt;&gt;Lorena Dias de Araujo",$B:$B,"&lt;&gt;Lucas Luiz Romero")*(20/1083),IF(C1419="Estágio",SUMIFS($D:$D,$A:$A,$A1419,$B:$B,"&lt;&gt;Patrícia Karla de Sousa Araújo",$B:$B,"&lt;&gt;Lorena Dias de Araujo",$B:$B,"&lt;&gt;Lucas Luiz Romero")*(10/1083),0)))))),0)</f>
        <v/>
      </c>
      <c r="K1419" s="3">
        <f>I1419-J1419</f>
        <v/>
      </c>
      <c r="L1419" s="3">
        <f>IF(K1419&lt;-5,"CRÍTICO",IF(K1419&lt;0,"ATENÇÃO",IF(K1419&lt;=5,"BOM","EXCELENTE")))</f>
        <v/>
      </c>
      <c r="M1419" s="3" t="n">
        <v>6</v>
      </c>
      <c r="N1419" s="3" t="n">
        <v>100</v>
      </c>
      <c r="O1419" s="12" t="n">
        <v>33.33333333333333</v>
      </c>
    </row>
    <row r="1420">
      <c r="A1420" s="10" t="n">
        <v>46044</v>
      </c>
      <c r="B1420" t="inlineStr">
        <is>
          <t>Matheus Farias De Souza</t>
        </is>
      </c>
      <c r="C1420" s="1" t="inlineStr">
        <is>
          <t>Técnico III</t>
        </is>
      </c>
      <c r="D1420" s="3" t="n">
        <v>24</v>
      </c>
      <c r="E1420" s="3" t="n">
        <v>22</v>
      </c>
      <c r="F1420" s="3" t="n">
        <v>13.4</v>
      </c>
      <c r="G1420" s="3" t="n">
        <v>0</v>
      </c>
      <c r="H1420" s="3" t="n">
        <v>0</v>
      </c>
      <c r="I1420" s="3">
        <f>E1420+G1420+H1420</f>
        <v/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/>
      </c>
      <c r="K1420" s="3">
        <f>I1420-J1420</f>
        <v/>
      </c>
      <c r="L1420" s="3">
        <f>IF(K1420&lt;-5,"CRÍTICO",IF(K1420&lt;0,"ATENÇÃO",IF(K1420&lt;=5,"BOM","EXCELENTE")))</f>
        <v/>
      </c>
      <c r="M1420" s="3" t="n">
        <v>19</v>
      </c>
      <c r="N1420" s="3" t="n">
        <v>100</v>
      </c>
      <c r="O1420" s="12" t="n">
        <v>27.43362831858407</v>
      </c>
    </row>
    <row r="1421">
      <c r="A1421" s="10" t="n">
        <v>46044</v>
      </c>
      <c r="B1421" t="inlineStr">
        <is>
          <t>Maysa Victoria Dias Moura</t>
        </is>
      </c>
      <c r="C1421" s="1" t="inlineStr">
        <is>
          <t>Técnico III</t>
        </is>
      </c>
      <c r="D1421" s="3" t="n">
        <v>27</v>
      </c>
      <c r="E1421" s="3" t="n">
        <v>23</v>
      </c>
      <c r="F1421" s="3" t="n">
        <v>17.31</v>
      </c>
      <c r="G1421" s="3" t="n">
        <v>0</v>
      </c>
      <c r="H1421" s="3" t="n">
        <v>0</v>
      </c>
      <c r="I1421" s="3">
        <f>E1421+G1421+H1421</f>
        <v/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/>
      </c>
      <c r="K1421" s="3">
        <f>I1421-J1421</f>
        <v/>
      </c>
      <c r="L1421" s="3">
        <f>IF(K1421&lt;-5,"CRÍTICO",IF(K1421&lt;0,"ATENÇÃO",IF(K1421&lt;=5,"BOM","EXCELENTE")))</f>
        <v/>
      </c>
      <c r="M1421" s="3" t="n">
        <v>17</v>
      </c>
      <c r="N1421" s="3" t="n">
        <v>98.65000000000001</v>
      </c>
      <c r="O1421" s="12" t="n">
        <v>30.97826086956522</v>
      </c>
    </row>
    <row r="1422">
      <c r="A1422" s="10" t="n">
        <v>46044</v>
      </c>
      <c r="B1422" t="inlineStr">
        <is>
          <t>Michelle G Santos</t>
        </is>
      </c>
      <c r="C1422" s="1" t="inlineStr">
        <is>
          <t>Estágio</t>
        </is>
      </c>
      <c r="D1422" s="3" t="n">
        <v>9</v>
      </c>
      <c r="E1422" s="3" t="n">
        <v>9</v>
      </c>
      <c r="F1422" s="3" t="n">
        <v>22.37</v>
      </c>
      <c r="G1422" s="3" t="n">
        <v>0</v>
      </c>
      <c r="H1422" s="3" t="n">
        <v>0</v>
      </c>
      <c r="I1422" s="3">
        <f>E1422+G1422+H1422</f>
        <v/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/>
      </c>
      <c r="K1422" s="3">
        <f>I1422-J1422</f>
        <v/>
      </c>
      <c r="L1422" s="3">
        <f>IF(K1422&lt;-5,"CRÍTICO",IF(K1422&lt;0,"ATENÇÃO",IF(K1422&lt;=5,"BOM","EXCELENTE")))</f>
        <v/>
      </c>
      <c r="M1422" s="3" t="n">
        <v>2</v>
      </c>
      <c r="N1422" s="3" t="n">
        <v>100</v>
      </c>
      <c r="O1422" s="12" t="n">
        <v>12</v>
      </c>
    </row>
    <row r="1423">
      <c r="A1423" s="10" t="n">
        <v>46044</v>
      </c>
      <c r="B1423" t="inlineStr">
        <is>
          <t>Milena Sales</t>
        </is>
      </c>
      <c r="C1423" s="1" t="inlineStr">
        <is>
          <t>JR</t>
        </is>
      </c>
      <c r="D1423" s="3" t="n">
        <v>0</v>
      </c>
      <c r="E1423" s="3" t="n">
        <v>0</v>
      </c>
      <c r="F1423" s="3" t="n">
        <v>0</v>
      </c>
      <c r="G1423" s="3" t="n">
        <v>0</v>
      </c>
      <c r="H1423" s="3" t="n">
        <v>0</v>
      </c>
      <c r="I1423" s="3" t="n">
        <v>0</v>
      </c>
      <c r="J1423" s="3" t="n">
        <v>0</v>
      </c>
      <c r="K1423" s="3" t="n">
        <v>0</v>
      </c>
      <c r="L1423" s="3">
        <f>IF(K1423&lt;-5,"CRÍTICO",IF(K1423&lt;0,"ATENÇÃO",IF(K1423&lt;=5,"BOM","EXCELENTE")))</f>
        <v/>
      </c>
      <c r="M1423" s="3" t="n">
        <v>0</v>
      </c>
      <c r="N1423" s="3" t="n">
        <v>0</v>
      </c>
      <c r="O1423" s="12" t="n">
        <v>0</v>
      </c>
    </row>
    <row r="1424">
      <c r="A1424" s="10" t="n">
        <v>46044</v>
      </c>
      <c r="B1424" t="inlineStr">
        <is>
          <t>Patrícia Karla de Sousa Araújo</t>
        </is>
      </c>
      <c r="C1424" s="1" t="inlineStr">
        <is>
          <t>Técnico II</t>
        </is>
      </c>
      <c r="D1424" s="3" t="n">
        <v>20</v>
      </c>
      <c r="E1424" s="3" t="n">
        <v>18</v>
      </c>
      <c r="F1424" s="3" t="n">
        <v>22.17</v>
      </c>
      <c r="G1424" s="3" t="n">
        <v>0</v>
      </c>
      <c r="H1424" s="3" t="n">
        <v>0</v>
      </c>
      <c r="I1424" s="3">
        <f>E1424+G1424+H1424</f>
        <v/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/>
      </c>
      <c r="K1424" s="3">
        <f>I1424-J1424</f>
        <v/>
      </c>
      <c r="L1424" s="3">
        <f>IF(K1424&lt;-5,"CRÍTICO",IF(K1424&lt;0,"ATENÇÃO",IF(K1424&lt;=5,"BOM","EXCELENTE")))</f>
        <v/>
      </c>
      <c r="M1424" s="3" t="n">
        <v>20</v>
      </c>
      <c r="N1424" s="3" t="n">
        <v>97.56</v>
      </c>
      <c r="O1424" s="12" t="n">
        <v>31.06796116504854</v>
      </c>
    </row>
    <row r="1425">
      <c r="A1425" s="10" t="n">
        <v>46044</v>
      </c>
      <c r="B1425" t="inlineStr">
        <is>
          <t>Paulo Ricardo Santos</t>
        </is>
      </c>
      <c r="C1425" s="1" t="inlineStr">
        <is>
          <t>JR</t>
        </is>
      </c>
      <c r="D1425" s="3" t="n">
        <v>0</v>
      </c>
      <c r="E1425" s="3" t="n">
        <v>0</v>
      </c>
      <c r="F1425" s="3" t="n">
        <v>0</v>
      </c>
      <c r="G1425" s="3" t="n">
        <v>0</v>
      </c>
      <c r="H1425" s="3" t="n">
        <v>0</v>
      </c>
      <c r="I1425" s="3" t="n">
        <v>0</v>
      </c>
      <c r="J1425" s="3" t="n">
        <v>0</v>
      </c>
      <c r="K1425" s="3" t="n">
        <v>0</v>
      </c>
      <c r="L1425" s="3">
        <f>IF(K1425&lt;-5,"CRÍTICO",IF(K1425&lt;0,"ATENÇÃO",IF(K1425&lt;=5,"BOM","EXCELENTE")))</f>
        <v/>
      </c>
      <c r="M1425" s="3" t="n">
        <v>0</v>
      </c>
      <c r="N1425" s="3" t="n">
        <v>0</v>
      </c>
      <c r="O1425" s="12" t="n">
        <v>0</v>
      </c>
    </row>
    <row r="1426">
      <c r="A1426" s="10" t="n">
        <v>46044</v>
      </c>
      <c r="B1426" t="inlineStr">
        <is>
          <t>Pedro Luiz Mota Sousa</t>
        </is>
      </c>
      <c r="C1426" s="1" t="inlineStr">
        <is>
          <t>JR</t>
        </is>
      </c>
      <c r="D1426" s="3" t="n">
        <v>0</v>
      </c>
      <c r="E1426" s="3" t="n">
        <v>0</v>
      </c>
      <c r="F1426" s="3" t="n">
        <v>0</v>
      </c>
      <c r="G1426" s="3" t="n">
        <v>0</v>
      </c>
      <c r="H1426" s="3" t="n">
        <v>0</v>
      </c>
      <c r="I1426" s="3" t="n">
        <v>0</v>
      </c>
      <c r="J1426" s="3" t="n">
        <v>0</v>
      </c>
      <c r="K1426" s="3" t="n">
        <v>0</v>
      </c>
      <c r="L1426" s="3">
        <f>IF(K1426&lt;-5,"CRÍTICO",IF(K1426&lt;0,"ATENÇÃO",IF(K1426&lt;=5,"BOM","EXCELENTE")))</f>
        <v/>
      </c>
      <c r="M1426" s="3" t="n">
        <v>0</v>
      </c>
      <c r="N1426" s="3" t="n">
        <v>0</v>
      </c>
      <c r="O1426" s="12" t="n">
        <v>0</v>
      </c>
    </row>
    <row r="1427">
      <c r="A1427" s="10" t="n">
        <v>46044</v>
      </c>
      <c r="B1427" t="inlineStr">
        <is>
          <t>Quirino Diogo Leite Torres</t>
        </is>
      </c>
      <c r="C1427" s="1" t="inlineStr">
        <is>
          <t>Estágio</t>
        </is>
      </c>
      <c r="D1427" s="3" t="n">
        <v>0</v>
      </c>
      <c r="E1427" s="3" t="n">
        <v>0</v>
      </c>
      <c r="F1427" s="3" t="n">
        <v>0</v>
      </c>
      <c r="G1427" s="3" t="n">
        <v>0</v>
      </c>
      <c r="H1427" s="3" t="n">
        <v>0</v>
      </c>
      <c r="I1427" s="3" t="n">
        <v>0</v>
      </c>
      <c r="J1427" s="3" t="n">
        <v>0</v>
      </c>
      <c r="K1427" s="3" t="n">
        <v>0</v>
      </c>
      <c r="L1427" s="3">
        <f>IF(K1427&lt;-5,"CRÍTICO",IF(K1427&lt;0,"ATENÇÃO",IF(K1427&lt;=5,"BOM","EXCELENTE")))</f>
        <v/>
      </c>
      <c r="M1427" s="3" t="n">
        <v>0</v>
      </c>
      <c r="N1427" s="3" t="n">
        <v>0</v>
      </c>
      <c r="O1427" s="12" t="n">
        <v>0</v>
      </c>
    </row>
    <row r="1428">
      <c r="A1428" s="10" t="n">
        <v>46044</v>
      </c>
      <c r="B1428" t="inlineStr">
        <is>
          <t>Raane Batista Matos</t>
        </is>
      </c>
      <c r="C1428" s="1" t="inlineStr">
        <is>
          <t>Técnico I</t>
        </is>
      </c>
      <c r="D1428" s="3" t="n">
        <v>0</v>
      </c>
      <c r="E1428" s="3" t="n">
        <v>0</v>
      </c>
      <c r="F1428" s="3" t="n">
        <v>0</v>
      </c>
      <c r="G1428" s="3" t="n">
        <v>0</v>
      </c>
      <c r="H1428" s="3" t="n">
        <v>0</v>
      </c>
      <c r="I1428" s="3" t="n">
        <v>0</v>
      </c>
      <c r="J1428" s="3" t="n">
        <v>0</v>
      </c>
      <c r="K1428" s="3" t="n">
        <v>0</v>
      </c>
      <c r="L1428" s="3">
        <f>IF(K1428&lt;-5,"CRÍTICO",IF(K1428&lt;0,"ATENÇÃO",IF(K1428&lt;=5,"BOM","EXCELENTE")))</f>
        <v/>
      </c>
      <c r="M1428" s="3" t="n">
        <v>0</v>
      </c>
      <c r="N1428" s="3" t="n">
        <v>100</v>
      </c>
      <c r="O1428" s="12" t="n">
        <v>53.84615384615385</v>
      </c>
    </row>
    <row r="1429">
      <c r="A1429" s="10" t="n">
        <v>46044</v>
      </c>
      <c r="B1429" t="inlineStr">
        <is>
          <t>Rafael Gomes de Morais</t>
        </is>
      </c>
      <c r="C1429" s="1" t="inlineStr">
        <is>
          <t>Técnico III</t>
        </is>
      </c>
      <c r="D1429" s="3" t="n">
        <v>25</v>
      </c>
      <c r="E1429" s="3" t="n">
        <v>24</v>
      </c>
      <c r="F1429" s="3" t="n">
        <v>18.31</v>
      </c>
      <c r="G1429" s="3" t="n">
        <v>0</v>
      </c>
      <c r="H1429" s="3" t="n">
        <v>0</v>
      </c>
      <c r="I1429" s="3">
        <f>E1429+G1429+H1429</f>
        <v/>
      </c>
      <c r="J1429" s="3">
        <f>ROUND(MIN(IF(C1429="Técnico III",35,IF(C1429="Técnico II",28,IF(C1429="Técnico I",23,IF(C1429="JR",20,IF(C1429="Estágio",10,0))))),IF(C1429="Técnico III",SUMIFS($D:$D,$A:$A,$A1429,$B:$B,"&lt;&gt;Patrícia Karla de Sousa Araújo",$B:$B,"&lt;&gt;Lorena Dias de Araujo",$B:$B,"&lt;&gt;Lucas Luiz Romero")*(35/1083),IF(C1429="Técnico II",SUMIFS($D:$D,$A:$A,$A1429,$B:$B,"&lt;&gt;Patrícia Karla de Sousa Araújo",$B:$B,"&lt;&gt;Lorena Dias de Araujo",$B:$B,"&lt;&gt;Lucas Luiz Romero")*(28/1083),IF(C1429="Técnico I",SUMIFS($D:$D,$A:$A,$A1429,$B:$B,"&lt;&gt;Patrícia Karla de Sousa Araújo",$B:$B,"&lt;&gt;Lorena Dias de Araujo",$B:$B,"&lt;&gt;Lucas Luiz Romero")*(23/1083),IF(C1429="JR",SUMIFS($D:$D,$A:$A,$A1429,$B:$B,"&lt;&gt;Patrícia Karla de Sousa Araújo",$B:$B,"&lt;&gt;Lorena Dias de Araujo",$B:$B,"&lt;&gt;Lucas Luiz Romero")*(20/1083),IF(C1429="Estágio",SUMIFS($D:$D,$A:$A,$A1429,$B:$B,"&lt;&gt;Patrícia Karla de Sousa Araújo",$B:$B,"&lt;&gt;Lorena Dias de Araujo",$B:$B,"&lt;&gt;Lucas Luiz Romero")*(10/1083),0)))))),0)</f>
        <v/>
      </c>
      <c r="K1429" s="3">
        <f>I1429-J1429</f>
        <v/>
      </c>
      <c r="L1429" s="3">
        <f>IF(K1429&lt;-5,"CRÍTICO",IF(K1429&lt;0,"ATENÇÃO",IF(K1429&lt;=5,"BOM","EXCELENTE")))</f>
        <v/>
      </c>
      <c r="M1429" s="3" t="n">
        <v>24</v>
      </c>
      <c r="N1429" s="3" t="n">
        <v>100</v>
      </c>
      <c r="O1429" s="12" t="n">
        <v>44.05594405594406</v>
      </c>
    </row>
    <row r="1430">
      <c r="A1430" s="10" t="n">
        <v>46044</v>
      </c>
      <c r="B1430" t="inlineStr">
        <is>
          <t>Sara Maria Monteiro Lopes</t>
        </is>
      </c>
      <c r="C1430" s="1" t="inlineStr">
        <is>
          <t>Técnico I</t>
        </is>
      </c>
      <c r="D1430" s="3" t="n">
        <v>13</v>
      </c>
      <c r="E1430" s="3" t="n">
        <v>13</v>
      </c>
      <c r="F1430" s="3" t="n">
        <v>35.58</v>
      </c>
      <c r="G1430" s="3" t="n">
        <v>0</v>
      </c>
      <c r="H1430" s="3" t="n">
        <v>0</v>
      </c>
      <c r="I1430" s="3">
        <f>E1430+G1430+H1430</f>
        <v/>
      </c>
      <c r="J1430" s="3">
        <f>ROUND(MIN(IF(C1430="Técnico III",35,IF(C1430="Técnico II",28,IF(C1430="Técnico I",23,IF(C1430="JR",20,IF(C1430="Estágio",10,0))))),IF(C1430="Técnico III",SUMIFS($D:$D,$A:$A,$A1430,$B:$B,"&lt;&gt;Patrícia Karla de Sousa Araújo",$B:$B,"&lt;&gt;Lorena Dias de Araujo",$B:$B,"&lt;&gt;Lucas Luiz Romero")*(35/1083),IF(C1430="Técnico II",SUMIFS($D:$D,$A:$A,$A1430,$B:$B,"&lt;&gt;Patrícia Karla de Sousa Araújo",$B:$B,"&lt;&gt;Lorena Dias de Araujo",$B:$B,"&lt;&gt;Lucas Luiz Romero")*(28/1083),IF(C1430="Técnico I",SUMIFS($D:$D,$A:$A,$A1430,$B:$B,"&lt;&gt;Patrícia Karla de Sousa Araújo",$B:$B,"&lt;&gt;Lorena Dias de Araujo",$B:$B,"&lt;&gt;Lucas Luiz Romero")*(23/1083),IF(C1430="JR",SUMIFS($D:$D,$A:$A,$A1430,$B:$B,"&lt;&gt;Patrícia Karla de Sousa Araújo",$B:$B,"&lt;&gt;Lorena Dias de Araujo",$B:$B,"&lt;&gt;Lucas Luiz Romero")*(20/1083),IF(C1430="Estágio",SUMIFS($D:$D,$A:$A,$A1430,$B:$B,"&lt;&gt;Patrícia Karla de Sousa Araújo",$B:$B,"&lt;&gt;Lorena Dias de Araujo",$B:$B,"&lt;&gt;Lucas Luiz Romero")*(10/1083),0)))))),0)</f>
        <v/>
      </c>
      <c r="K1430" s="3">
        <f>I1430-J1430</f>
        <v/>
      </c>
      <c r="L1430" s="3">
        <f>IF(K1430&lt;-5,"CRÍTICO",IF(K1430&lt;0,"ATENÇÃO",IF(K1430&lt;=5,"BOM","EXCELENTE")))</f>
        <v/>
      </c>
      <c r="M1430" s="3" t="n">
        <v>10</v>
      </c>
      <c r="N1430" s="3" t="n">
        <v>100</v>
      </c>
      <c r="O1430" s="12" t="n">
        <v>31.87250996015936</v>
      </c>
    </row>
    <row r="1431">
      <c r="A1431" s="10" t="n">
        <v>46044</v>
      </c>
      <c r="B1431" t="inlineStr">
        <is>
          <t>Sarah Steffanie de Lima Borges</t>
        </is>
      </c>
      <c r="C1431" s="1" t="inlineStr">
        <is>
          <t>Técnico III</t>
        </is>
      </c>
      <c r="D1431" s="3" t="n">
        <v>29</v>
      </c>
      <c r="E1431" s="3" t="n">
        <v>27</v>
      </c>
      <c r="F1431" s="3" t="n">
        <v>13.32</v>
      </c>
      <c r="G1431" s="3" t="n">
        <v>0</v>
      </c>
      <c r="H1431" s="3" t="n">
        <v>0</v>
      </c>
      <c r="I1431" s="3">
        <f>E1431+G1431+H1431</f>
        <v/>
      </c>
      <c r="J1431" s="3">
        <f>ROUND(MIN(IF(C1431="Técnico III",35,IF(C1431="Técnico II",28,IF(C1431="Técnico I",23,IF(C1431="JR",20,IF(C1431="Estágio",10,0))))),IF(C1431="Técnico III",SUMIFS($D:$D,$A:$A,$A1431,$B:$B,"&lt;&gt;Patrícia Karla de Sousa Araújo",$B:$B,"&lt;&gt;Lorena Dias de Araujo",$B:$B,"&lt;&gt;Lucas Luiz Romero")*(35/1083),IF(C1431="Técnico II",SUMIFS($D:$D,$A:$A,$A1431,$B:$B,"&lt;&gt;Patrícia Karla de Sousa Araújo",$B:$B,"&lt;&gt;Lorena Dias de Araujo",$B:$B,"&lt;&gt;Lucas Luiz Romero")*(28/1083),IF(C1431="Técnico I",SUMIFS($D:$D,$A:$A,$A1431,$B:$B,"&lt;&gt;Patrícia Karla de Sousa Araújo",$B:$B,"&lt;&gt;Lorena Dias de Araujo",$B:$B,"&lt;&gt;Lucas Luiz Romero")*(23/1083),IF(C1431="JR",SUMIFS($D:$D,$A:$A,$A1431,$B:$B,"&lt;&gt;Patrícia Karla de Sousa Araújo",$B:$B,"&lt;&gt;Lorena Dias de Araujo",$B:$B,"&lt;&gt;Lucas Luiz Romero")*(20/1083),IF(C1431="Estágio",SUMIFS($D:$D,$A:$A,$A1431,$B:$B,"&lt;&gt;Patrícia Karla de Sousa Araújo",$B:$B,"&lt;&gt;Lorena Dias de Araujo",$B:$B,"&lt;&gt;Lucas Luiz Romero")*(10/1083),0)))))),0)</f>
        <v/>
      </c>
      <c r="K1431" s="3">
        <f>I1431-J1431</f>
        <v/>
      </c>
      <c r="L1431" s="3">
        <f>IF(K1431&lt;-5,"CRÍTICO",IF(K1431&lt;0,"ATENÇÃO",IF(K1431&lt;=5,"BOM","EXCELENTE")))</f>
        <v/>
      </c>
      <c r="M1431" s="3" t="n">
        <v>22</v>
      </c>
      <c r="N1431" s="3" t="n">
        <v>98.41</v>
      </c>
      <c r="O1431" s="12" t="n">
        <v>29.22465208747515</v>
      </c>
    </row>
    <row r="1432">
      <c r="A1432" s="10" t="n">
        <v>46045</v>
      </c>
      <c r="B1432" t="inlineStr">
        <is>
          <t>Alisson de Freitas Silva</t>
        </is>
      </c>
      <c r="C1432" s="1" t="inlineStr">
        <is>
          <t>Técnico II</t>
        </is>
      </c>
      <c r="D1432" s="3" t="n">
        <v>25</v>
      </c>
      <c r="E1432" s="3" t="n">
        <v>22</v>
      </c>
      <c r="F1432" s="3" t="n">
        <v>13.3</v>
      </c>
      <c r="G1432" s="3" t="n">
        <v>0</v>
      </c>
      <c r="H1432" s="3" t="n">
        <v>0</v>
      </c>
      <c r="I1432" s="3">
        <f>E1432+G1432+H1432</f>
        <v/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/>
      </c>
      <c r="K1432" s="3">
        <f>I1432-J1432</f>
        <v/>
      </c>
      <c r="L1432" s="3">
        <f>IF(K1432&lt;-5,"CRÍTICO",IF(K1432&lt;0,"ATENÇÃO",IF(K1432&lt;=5,"BOM","EXCELENTE")))</f>
        <v/>
      </c>
      <c r="M1432" s="3" t="n">
        <v>17</v>
      </c>
      <c r="N1432" s="3" t="n">
        <v>96.81</v>
      </c>
      <c r="O1432" s="12" t="n">
        <v>27.98053527980535</v>
      </c>
    </row>
    <row r="1433">
      <c r="A1433" s="10" t="n">
        <v>46045</v>
      </c>
      <c r="B1433" t="inlineStr">
        <is>
          <t>Amanda Moura Ferreira</t>
        </is>
      </c>
      <c r="C1433" s="1" t="inlineStr">
        <is>
          <t>Técnico III</t>
        </is>
      </c>
      <c r="D1433" s="3" t="n">
        <v>0</v>
      </c>
      <c r="E1433" s="3" t="n">
        <v>0</v>
      </c>
      <c r="F1433" s="3" t="n">
        <v>0</v>
      </c>
      <c r="G1433" s="3" t="n">
        <v>0</v>
      </c>
      <c r="H1433" s="3" t="n">
        <v>0</v>
      </c>
      <c r="I1433" s="3" t="n">
        <v>0</v>
      </c>
      <c r="J1433" s="3" t="n">
        <v>0</v>
      </c>
      <c r="K1433" s="3" t="n">
        <v>0</v>
      </c>
      <c r="L1433" s="3">
        <f>IF(K1433&lt;-5,"CRÍTICO",IF(K1433&lt;0,"ATENÇÃO",IF(K1433&lt;=5,"BOM","EXCELENTE")))</f>
        <v/>
      </c>
      <c r="M1433" s="3" t="n">
        <v>22</v>
      </c>
      <c r="N1433" s="3" t="n">
        <v>98.73</v>
      </c>
      <c r="O1433" s="12" t="n">
        <v>35.75638506876228</v>
      </c>
    </row>
    <row r="1434">
      <c r="A1434" s="10" t="n">
        <v>46045</v>
      </c>
      <c r="B1434" t="inlineStr">
        <is>
          <t>Ana Karollyne Souza Faria</t>
        </is>
      </c>
      <c r="C1434" s="1" t="inlineStr">
        <is>
          <t>Técnico I</t>
        </is>
      </c>
      <c r="D1434" s="3" t="n">
        <v>30</v>
      </c>
      <c r="E1434" s="3" t="n">
        <v>29</v>
      </c>
      <c r="F1434" s="3" t="n">
        <v>19.04</v>
      </c>
      <c r="G1434" s="3" t="n">
        <v>0</v>
      </c>
      <c r="H1434" s="3" t="n">
        <v>0</v>
      </c>
      <c r="I1434" s="3">
        <f>E1434+G1434+H1434</f>
        <v/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/>
      </c>
      <c r="K1434" s="3">
        <f>I1434-J1434</f>
        <v/>
      </c>
      <c r="L1434" s="3">
        <f>IF(K1434&lt;-5,"CRÍTICO",IF(K1434&lt;0,"ATENÇÃO",IF(K1434&lt;=5,"BOM","EXCELENTE")))</f>
        <v/>
      </c>
      <c r="M1434" s="3" t="n">
        <v>25</v>
      </c>
      <c r="N1434" s="3" t="n">
        <v>98.31999999999999</v>
      </c>
      <c r="O1434" s="12" t="n">
        <v>26.76348547717842</v>
      </c>
    </row>
    <row r="1435">
      <c r="A1435" s="10" t="n">
        <v>46045</v>
      </c>
      <c r="B1435" t="inlineStr">
        <is>
          <t>Ana Paula Da Luz Silva Aleixo</t>
        </is>
      </c>
      <c r="C1435" s="1" t="inlineStr">
        <is>
          <t>Técnico III</t>
        </is>
      </c>
      <c r="D1435" s="3" t="n">
        <v>24</v>
      </c>
      <c r="E1435" s="3" t="n">
        <v>22</v>
      </c>
      <c r="F1435" s="3" t="n">
        <v>20.23</v>
      </c>
      <c r="G1435" s="3" t="n">
        <v>0</v>
      </c>
      <c r="H1435" s="3" t="n">
        <v>0</v>
      </c>
      <c r="I1435" s="3">
        <f>E1435+G1435+H1435</f>
        <v/>
      </c>
      <c r="J1435" s="3">
        <f>ROUND(MIN(IF(C1435="Técnico III",35,IF(C1435="Técnico II",28,IF(C1435="Técnico I",23,IF(C1435="JR",20,IF(C1435="Estágio",10,0))))),IF(C1435="Técnico III",SUMIFS($D:$D,$A:$A,$A1435,$B:$B,"&lt;&gt;Patrícia Karla de Sousa Araújo",$B:$B,"&lt;&gt;Lorena Dias de Araujo",$B:$B,"&lt;&gt;Lucas Luiz Romero")*(35/1083),IF(C1435="Técnico II",SUMIFS($D:$D,$A:$A,$A1435,$B:$B,"&lt;&gt;Patrícia Karla de Sousa Araújo",$B:$B,"&lt;&gt;Lorena Dias de Araujo",$B:$B,"&lt;&gt;Lucas Luiz Romero")*(28/1083),IF(C1435="Técnico I",SUMIFS($D:$D,$A:$A,$A1435,$B:$B,"&lt;&gt;Patrícia Karla de Sousa Araújo",$B:$B,"&lt;&gt;Lorena Dias de Araujo",$B:$B,"&lt;&gt;Lucas Luiz Romero")*(23/1083),IF(C1435="JR",SUMIFS($D:$D,$A:$A,$A1435,$B:$B,"&lt;&gt;Patrícia Karla de Sousa Araújo",$B:$B,"&lt;&gt;Lorena Dias de Araujo",$B:$B,"&lt;&gt;Lucas Luiz Romero")*(20/1083),IF(C1435="Estágio",SUMIFS($D:$D,$A:$A,$A1435,$B:$B,"&lt;&gt;Patrícia Karla de Sousa Araújo",$B:$B,"&lt;&gt;Lorena Dias de Araujo",$B:$B,"&lt;&gt;Lucas Luiz Romero")*(10/1083),0)))))),0)</f>
        <v/>
      </c>
      <c r="K1435" s="3">
        <f>I1435-J1435</f>
        <v/>
      </c>
      <c r="L1435" s="3">
        <f>IF(K1435&lt;-5,"CRÍTICO",IF(K1435&lt;0,"ATENÇÃO",IF(K1435&lt;=5,"BOM","EXCELENTE")))</f>
        <v/>
      </c>
      <c r="M1435" s="3" t="n">
        <v>21</v>
      </c>
      <c r="N1435" s="3" t="n">
        <v>99.19</v>
      </c>
      <c r="O1435" s="12" t="n">
        <v>27.63713080168776</v>
      </c>
    </row>
    <row r="1436">
      <c r="A1436" s="10" t="n">
        <v>46045</v>
      </c>
      <c r="B1436" t="inlineStr">
        <is>
          <t>Anna Luiza Rezende Tavares</t>
        </is>
      </c>
      <c r="C1436" s="1" t="inlineStr">
        <is>
          <t>Estágio</t>
        </is>
      </c>
      <c r="D1436" s="3" t="n">
        <v>8</v>
      </c>
      <c r="E1436" s="3" t="n">
        <v>8</v>
      </c>
      <c r="F1436" s="3" t="n">
        <v>33.45</v>
      </c>
      <c r="G1436" s="3" t="n">
        <v>0</v>
      </c>
      <c r="H1436" s="3" t="n">
        <v>0</v>
      </c>
      <c r="I1436" s="3">
        <f>E1436+G1436+H1436</f>
        <v/>
      </c>
      <c r="J1436" s="3">
        <f>ROUND(MIN(IF(C1436="Técnico III",35,IF(C1436="Técnico II",28,IF(C1436="Técnico I",23,IF(C1436="JR",20,IF(C1436="Estágio",10,0))))),IF(C1436="Técnico III",SUMIFS($D:$D,$A:$A,$A1436,$B:$B,"&lt;&gt;Patrícia Karla de Sousa Araújo",$B:$B,"&lt;&gt;Lorena Dias de Araujo",$B:$B,"&lt;&gt;Lucas Luiz Romero")*(35/1083),IF(C1436="Técnico II",SUMIFS($D:$D,$A:$A,$A1436,$B:$B,"&lt;&gt;Patrícia Karla de Sousa Araújo",$B:$B,"&lt;&gt;Lorena Dias de Araujo",$B:$B,"&lt;&gt;Lucas Luiz Romero")*(28/1083),IF(C1436="Técnico I",SUMIFS($D:$D,$A:$A,$A1436,$B:$B,"&lt;&gt;Patrícia Karla de Sousa Araújo",$B:$B,"&lt;&gt;Lorena Dias de Araujo",$B:$B,"&lt;&gt;Lucas Luiz Romero")*(23/1083),IF(C1436="JR",SUMIFS($D:$D,$A:$A,$A1436,$B:$B,"&lt;&gt;Patrícia Karla de Sousa Araújo",$B:$B,"&lt;&gt;Lorena Dias de Araujo",$B:$B,"&lt;&gt;Lucas Luiz Romero")*(20/1083),IF(C1436="Estágio",SUMIFS($D:$D,$A:$A,$A1436,$B:$B,"&lt;&gt;Patrícia Karla de Sousa Araújo",$B:$B,"&lt;&gt;Lorena Dias de Araujo",$B:$B,"&lt;&gt;Lucas Luiz Romero")*(10/1083),0)))))),0)</f>
        <v/>
      </c>
      <c r="K1436" s="3">
        <f>I1436-J1436</f>
        <v/>
      </c>
      <c r="L1436" s="3">
        <f>IF(K1436&lt;-5,"CRÍTICO",IF(K1436&lt;0,"ATENÇÃO",IF(K1436&lt;=5,"BOM","EXCELENTE")))</f>
        <v/>
      </c>
      <c r="M1436" s="3" t="n">
        <v>7</v>
      </c>
      <c r="N1436" s="3" t="n">
        <v>100</v>
      </c>
      <c r="O1436" s="12" t="n">
        <v>39.56834532374101</v>
      </c>
    </row>
    <row r="1437">
      <c r="A1437" s="10" t="n">
        <v>46045</v>
      </c>
      <c r="B1437" t="inlineStr">
        <is>
          <t>Brenda de Menezes Silva</t>
        </is>
      </c>
      <c r="C1437" s="1" t="inlineStr">
        <is>
          <t>Técnico II</t>
        </is>
      </c>
      <c r="D1437" s="3" t="n">
        <v>24</v>
      </c>
      <c r="E1437" s="3" t="n">
        <v>21</v>
      </c>
      <c r="F1437" s="3" t="n">
        <v>18.23</v>
      </c>
      <c r="G1437" s="3" t="n">
        <v>0</v>
      </c>
      <c r="H1437" s="3" t="n">
        <v>0</v>
      </c>
      <c r="I1437" s="3">
        <f>E1437+G1437+H1437</f>
        <v/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/>
      </c>
      <c r="K1437" s="3">
        <f>I1437-J1437</f>
        <v/>
      </c>
      <c r="L1437" s="3">
        <f>IF(K1437&lt;-5,"CRÍTICO",IF(K1437&lt;0,"ATENÇÃO",IF(K1437&lt;=5,"BOM","EXCELENTE")))</f>
        <v/>
      </c>
      <c r="M1437" s="3" t="n">
        <v>21</v>
      </c>
      <c r="N1437" s="3" t="n">
        <v>98.54000000000001</v>
      </c>
      <c r="O1437" s="12" t="n">
        <v>28.54477611940299</v>
      </c>
    </row>
    <row r="1438">
      <c r="A1438" s="10" t="n">
        <v>46045</v>
      </c>
      <c r="B1438" t="inlineStr">
        <is>
          <t>Carlos Mateus Cassimiro Nunes</t>
        </is>
      </c>
      <c r="C1438" s="1" t="inlineStr">
        <is>
          <t>Técnico II</t>
        </is>
      </c>
      <c r="D1438" s="3" t="n">
        <v>24</v>
      </c>
      <c r="E1438" s="3" t="n">
        <v>23</v>
      </c>
      <c r="F1438" s="3" t="n">
        <v>20.34</v>
      </c>
      <c r="G1438" s="3" t="n">
        <v>0</v>
      </c>
      <c r="H1438" s="3" t="n">
        <v>0</v>
      </c>
      <c r="I1438" s="3">
        <f>E1438+G1438+H1438</f>
        <v/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/>
      </c>
      <c r="K1438" s="3">
        <f>I1438-J1438</f>
        <v/>
      </c>
      <c r="L1438" s="3">
        <f>IF(K1438&lt;-5,"CRÍTICO",IF(K1438&lt;0,"ATENÇÃO",IF(K1438&lt;=5,"BOM","EXCELENTE")))</f>
        <v/>
      </c>
      <c r="M1438" s="3" t="n">
        <v>21</v>
      </c>
      <c r="N1438" s="3" t="n">
        <v>100</v>
      </c>
      <c r="O1438" s="12" t="n">
        <v>34.36692506459949</v>
      </c>
    </row>
    <row r="1439">
      <c r="A1439" s="10" t="n">
        <v>46045</v>
      </c>
      <c r="B1439" t="inlineStr">
        <is>
          <t>Claudio de Sousa Velasco Filho</t>
        </is>
      </c>
      <c r="C1439" s="1" t="inlineStr">
        <is>
          <t>Estágio</t>
        </is>
      </c>
      <c r="D1439" s="3" t="n">
        <v>0</v>
      </c>
      <c r="E1439" s="3" t="n">
        <v>0</v>
      </c>
      <c r="F1439" s="3" t="n">
        <v>0</v>
      </c>
      <c r="G1439" s="3" t="n">
        <v>0</v>
      </c>
      <c r="H1439" s="3" t="n">
        <v>0</v>
      </c>
      <c r="I1439" s="3" t="n">
        <v>0</v>
      </c>
      <c r="J1439" s="3" t="n">
        <v>0</v>
      </c>
      <c r="K1439" s="3" t="n">
        <v>0</v>
      </c>
      <c r="L1439" s="3">
        <f>IF(K1439&lt;-5,"CRÍTICO",IF(K1439&lt;0,"ATENÇÃO",IF(K1439&lt;=5,"BOM","EXCELENTE")))</f>
        <v/>
      </c>
      <c r="M1439" s="3" t="n">
        <v>0</v>
      </c>
      <c r="N1439" s="3" t="n">
        <v>0</v>
      </c>
      <c r="O1439" s="12" t="n">
        <v>0</v>
      </c>
    </row>
    <row r="1440">
      <c r="A1440" s="10" t="n">
        <v>46045</v>
      </c>
      <c r="B1440" t="inlineStr">
        <is>
          <t>Clessiane Pereira dos Santos</t>
        </is>
      </c>
      <c r="C1440" s="1" t="inlineStr">
        <is>
          <t>Técnico I</t>
        </is>
      </c>
      <c r="D1440" s="3" t="n">
        <v>16</v>
      </c>
      <c r="E1440" s="3" t="n">
        <v>15</v>
      </c>
      <c r="F1440" s="3" t="n">
        <v>19</v>
      </c>
      <c r="G1440" s="3" t="n">
        <v>0</v>
      </c>
      <c r="H1440" s="3" t="n">
        <v>0</v>
      </c>
      <c r="I1440" s="3">
        <f>E1440+G1440+H1440</f>
        <v/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/>
      </c>
      <c r="K1440" s="3">
        <f>I1440-J1440</f>
        <v/>
      </c>
      <c r="L1440" s="3">
        <f>IF(K1440&lt;-5,"CRÍTICO",IF(K1440&lt;0,"ATENÇÃO",IF(K1440&lt;=5,"BOM","EXCELENTE")))</f>
        <v/>
      </c>
      <c r="M1440" s="3" t="n">
        <v>15</v>
      </c>
      <c r="N1440" s="3" t="n">
        <v>100</v>
      </c>
      <c r="O1440" s="12" t="n">
        <v>29.51807228915663</v>
      </c>
    </row>
    <row r="1441">
      <c r="A1441" s="10" t="n">
        <v>46045</v>
      </c>
      <c r="B1441" t="inlineStr">
        <is>
          <t>Cristiane Ramos da Silva Rocha</t>
        </is>
      </c>
      <c r="C1441" s="1" t="inlineStr">
        <is>
          <t>Técnico III</t>
        </is>
      </c>
      <c r="D1441" s="3" t="n">
        <v>28</v>
      </c>
      <c r="E1441" s="3" t="n">
        <v>27</v>
      </c>
      <c r="F1441" s="3" t="n">
        <v>15.1</v>
      </c>
      <c r="G1441" s="3" t="n">
        <v>0</v>
      </c>
      <c r="H1441" s="3" t="n">
        <v>0</v>
      </c>
      <c r="I1441" s="3">
        <f>E1441+G1441+H1441</f>
        <v/>
      </c>
      <c r="J1441" s="3">
        <f>ROUND(MIN(IF(C1441="Técnico III",35,IF(C1441="Técnico II",28,IF(C1441="Técnico I",23,IF(C1441="JR",20,IF(C1441="Estágio",10,0))))),IF(C1441="Técnico III",SUMIFS($D:$D,$A:$A,$A1441,$B:$B,"&lt;&gt;Patrícia Karla de Sousa Araújo",$B:$B,"&lt;&gt;Lorena Dias de Araujo",$B:$B,"&lt;&gt;Lucas Luiz Romero")*(35/1083),IF(C1441="Técnico II",SUMIFS($D:$D,$A:$A,$A1441,$B:$B,"&lt;&gt;Patrícia Karla de Sousa Araújo",$B:$B,"&lt;&gt;Lorena Dias de Araujo",$B:$B,"&lt;&gt;Lucas Luiz Romero")*(28/1083),IF(C1441="Técnico I",SUMIFS($D:$D,$A:$A,$A1441,$B:$B,"&lt;&gt;Patrícia Karla de Sousa Araújo",$B:$B,"&lt;&gt;Lorena Dias de Araujo",$B:$B,"&lt;&gt;Lucas Luiz Romero")*(23/1083),IF(C1441="JR",SUMIFS($D:$D,$A:$A,$A1441,$B:$B,"&lt;&gt;Patrícia Karla de Sousa Araújo",$B:$B,"&lt;&gt;Lorena Dias de Araujo",$B:$B,"&lt;&gt;Lucas Luiz Romero")*(20/1083),IF(C1441="Estágio",SUMIFS($D:$D,$A:$A,$A1441,$B:$B,"&lt;&gt;Patrícia Karla de Sousa Araújo",$B:$B,"&lt;&gt;Lorena Dias de Araujo",$B:$B,"&lt;&gt;Lucas Luiz Romero")*(10/1083),0)))))),0)</f>
        <v/>
      </c>
      <c r="K1441" s="3">
        <f>I1441-J1441</f>
        <v/>
      </c>
      <c r="L1441" s="3">
        <f>IF(K1441&lt;-5,"CRÍTICO",IF(K1441&lt;0,"ATENÇÃO",IF(K1441&lt;=5,"BOM","EXCELENTE")))</f>
        <v/>
      </c>
      <c r="M1441" s="3" t="n">
        <v>20</v>
      </c>
      <c r="N1441" s="3" t="n">
        <v>97.45</v>
      </c>
      <c r="O1441" s="12" t="n">
        <v>41.421143847487</v>
      </c>
    </row>
    <row r="1442">
      <c r="A1442" s="10" t="n">
        <v>46045</v>
      </c>
      <c r="B1442" t="inlineStr">
        <is>
          <t>Damyllis Lorraine de Oliveira Gonçalves</t>
        </is>
      </c>
      <c r="C1442" s="1" t="inlineStr">
        <is>
          <t>Técnico II</t>
        </is>
      </c>
      <c r="D1442" s="3" t="n">
        <v>31</v>
      </c>
      <c r="E1442" s="3" t="n">
        <v>20</v>
      </c>
      <c r="F1442" s="3" t="n">
        <v>11.42</v>
      </c>
      <c r="G1442" s="3" t="n">
        <v>0</v>
      </c>
      <c r="H1442" s="3" t="n">
        <v>0</v>
      </c>
      <c r="I1442" s="3" t="n">
        <v>0</v>
      </c>
      <c r="J1442" s="3" t="n">
        <v>0</v>
      </c>
      <c r="K1442" s="3" t="n">
        <v>0</v>
      </c>
      <c r="L1442" s="3">
        <f>IF(K1442&lt;-5,"CRÍTICO",IF(K1442&lt;0,"ATENÇÃO",IF(K1442&lt;=5,"BOM","EXCELENTE")))</f>
        <v/>
      </c>
      <c r="M1442" s="3" t="n">
        <v>16</v>
      </c>
      <c r="N1442" s="3" t="n">
        <v>96.58</v>
      </c>
      <c r="O1442" s="12" t="n">
        <v>30.39647577092511</v>
      </c>
    </row>
    <row r="1443">
      <c r="A1443" s="10" t="n">
        <v>46045</v>
      </c>
      <c r="B1443" t="inlineStr">
        <is>
          <t>Daniel Gomes da Silva</t>
        </is>
      </c>
      <c r="C1443" s="1" t="inlineStr">
        <is>
          <t>Técnico I</t>
        </is>
      </c>
      <c r="D1443" s="3" t="n">
        <v>29</v>
      </c>
      <c r="E1443" s="3" t="n">
        <v>27</v>
      </c>
      <c r="F1443" s="3" t="n">
        <v>14.13</v>
      </c>
      <c r="G1443" s="3" t="n">
        <v>0</v>
      </c>
      <c r="H1443" s="3" t="n">
        <v>0</v>
      </c>
      <c r="I1443" s="3">
        <f>E1443+G1443+H1443</f>
        <v/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/>
      </c>
      <c r="K1443" s="3">
        <f>I1443-J1443</f>
        <v/>
      </c>
      <c r="L1443" s="3">
        <f>IF(K1443&lt;-5,"CRÍTICO",IF(K1443&lt;0,"ATENÇÃO",IF(K1443&lt;=5,"BOM","EXCELENTE")))</f>
        <v/>
      </c>
      <c r="M1443" s="3" t="n">
        <v>31</v>
      </c>
      <c r="N1443" s="3" t="n">
        <v>100</v>
      </c>
      <c r="O1443" s="12" t="n">
        <v>27.44282744282744</v>
      </c>
    </row>
    <row r="1444">
      <c r="A1444" s="10" t="n">
        <v>46045</v>
      </c>
      <c r="B1444" t="inlineStr">
        <is>
          <t>Davylla Rodrigues Freitas Silva</t>
        </is>
      </c>
      <c r="C1444" s="1" t="inlineStr">
        <is>
          <t>Técnico III</t>
        </is>
      </c>
      <c r="D1444" s="3" t="n">
        <v>25</v>
      </c>
      <c r="E1444" s="3" t="n">
        <v>24</v>
      </c>
      <c r="F1444" s="3" t="n">
        <v>23.24</v>
      </c>
      <c r="G1444" s="3" t="n">
        <v>0</v>
      </c>
      <c r="H1444" s="3" t="n">
        <v>0</v>
      </c>
      <c r="I1444" s="3" t="n">
        <v>0</v>
      </c>
      <c r="J1444" s="3" t="n">
        <v>0</v>
      </c>
      <c r="K1444" s="3" t="n">
        <v>0</v>
      </c>
      <c r="L1444" s="3">
        <f>IF(K1444&lt;-5,"CRÍTICO",IF(K1444&lt;0,"ATENÇÃO",IF(K1444&lt;=5,"BOM","EXCELENTE")))</f>
        <v/>
      </c>
      <c r="M1444" s="3" t="n">
        <v>24</v>
      </c>
      <c r="N1444" s="3" t="n">
        <v>99.48999999999999</v>
      </c>
      <c r="O1444" s="12" t="n">
        <v>40.2</v>
      </c>
    </row>
    <row r="1445">
      <c r="A1445" s="10" t="n">
        <v>46045</v>
      </c>
      <c r="B1445" t="inlineStr">
        <is>
          <t>Emilly Caylane Costa</t>
        </is>
      </c>
      <c r="C1445" s="1" t="inlineStr">
        <is>
          <t>Estágio</t>
        </is>
      </c>
      <c r="D1445" s="3" t="n">
        <v>0</v>
      </c>
      <c r="E1445" s="3" t="n">
        <v>0</v>
      </c>
      <c r="F1445" s="3" t="n">
        <v>0</v>
      </c>
      <c r="G1445" s="3" t="n">
        <v>0</v>
      </c>
      <c r="H1445" s="3" t="n">
        <v>0</v>
      </c>
      <c r="I1445" s="3" t="n">
        <v>0</v>
      </c>
      <c r="J1445" s="3" t="n">
        <v>0</v>
      </c>
      <c r="K1445" s="3" t="n">
        <v>0</v>
      </c>
      <c r="L1445" s="3">
        <f>IF(K1445&lt;-5,"CRÍTICO",IF(K1445&lt;0,"ATENÇÃO",IF(K1445&lt;=5,"BOM","EXCELENTE")))</f>
        <v/>
      </c>
      <c r="M1445" s="3" t="n">
        <v>0</v>
      </c>
      <c r="N1445" s="3" t="n">
        <v>100</v>
      </c>
      <c r="O1445" s="12" t="n">
        <v>25</v>
      </c>
    </row>
    <row r="1446">
      <c r="A1446" s="10" t="n">
        <v>46045</v>
      </c>
      <c r="B1446" t="inlineStr">
        <is>
          <t>Emilly Kamilly Medeiros Miranda</t>
        </is>
      </c>
      <c r="C1446" s="1" t="inlineStr">
        <is>
          <t>Técnico II</t>
        </is>
      </c>
      <c r="D1446" s="3" t="n">
        <v>21</v>
      </c>
      <c r="E1446" s="3" t="n">
        <v>20</v>
      </c>
      <c r="F1446" s="3" t="n">
        <v>23.41</v>
      </c>
      <c r="G1446" s="3" t="n">
        <v>0</v>
      </c>
      <c r="H1446" s="3" t="n">
        <v>0</v>
      </c>
      <c r="I1446" s="3">
        <f>E1446+G1446+H1446</f>
        <v/>
      </c>
      <c r="J1446" s="3">
        <f>ROUND(MIN(IF(C1446="Técnico III",35,IF(C1446="Técnico II",28,IF(C1446="Técnico I",23,IF(C1446="JR",20,IF(C1446="Estágio",10,0))))),IF(C1446="Técnico III",SUMIFS($D:$D,$A:$A,$A1446,$B:$B,"&lt;&gt;Patrícia Karla de Sousa Araújo",$B:$B,"&lt;&gt;Lorena Dias de Araujo",$B:$B,"&lt;&gt;Lucas Luiz Romero")*(35/1083),IF(C1446="Técnico II",SUMIFS($D:$D,$A:$A,$A1446,$B:$B,"&lt;&gt;Patrícia Karla de Sousa Araújo",$B:$B,"&lt;&gt;Lorena Dias de Araujo",$B:$B,"&lt;&gt;Lucas Luiz Romero")*(28/1083),IF(C1446="Técnico I",SUMIFS($D:$D,$A:$A,$A1446,$B:$B,"&lt;&gt;Patrícia Karla de Sousa Araújo",$B:$B,"&lt;&gt;Lorena Dias de Araujo",$B:$B,"&lt;&gt;Lucas Luiz Romero")*(23/1083),IF(C1446="JR",SUMIFS($D:$D,$A:$A,$A1446,$B:$B,"&lt;&gt;Patrícia Karla de Sousa Araújo",$B:$B,"&lt;&gt;Lorena Dias de Araujo",$B:$B,"&lt;&gt;Lucas Luiz Romero")*(20/1083),IF(C1446="Estágio",SUMIFS($D:$D,$A:$A,$A1446,$B:$B,"&lt;&gt;Patrícia Karla de Sousa Araújo",$B:$B,"&lt;&gt;Lorena Dias de Araujo",$B:$B,"&lt;&gt;Lucas Luiz Romero")*(10/1083),0)))))),0)</f>
        <v/>
      </c>
      <c r="K1446" s="3">
        <f>I1446-J1446</f>
        <v/>
      </c>
      <c r="L1446" s="3">
        <f>IF(K1446&lt;-5,"CRÍTICO",IF(K1446&lt;0,"ATENÇÃO",IF(K1446&lt;=5,"BOM","EXCELENTE")))</f>
        <v/>
      </c>
      <c r="M1446" s="3" t="n">
        <v>20</v>
      </c>
      <c r="N1446" s="3" t="n">
        <v>100</v>
      </c>
      <c r="O1446" s="12" t="n">
        <v>34.15094339622641</v>
      </c>
    </row>
    <row r="1447">
      <c r="A1447" s="10" t="n">
        <v>46045</v>
      </c>
      <c r="B1447" t="inlineStr">
        <is>
          <t>Francielson de Oliveira</t>
        </is>
      </c>
      <c r="C1447" s="1" t="inlineStr">
        <is>
          <t>Técnico III</t>
        </is>
      </c>
      <c r="D1447" s="3" t="n">
        <v>15</v>
      </c>
      <c r="E1447" s="3" t="n">
        <v>13</v>
      </c>
      <c r="F1447" s="3" t="n">
        <v>21.45</v>
      </c>
      <c r="G1447" s="3" t="n">
        <v>0</v>
      </c>
      <c r="H1447" s="3" t="n">
        <v>0</v>
      </c>
      <c r="I1447" s="3">
        <f>E1447+G1447+H1447</f>
        <v/>
      </c>
      <c r="J1447" s="3">
        <f>ROUND(MIN(IF(C1447="Técnico III",35,IF(C1447="Técnico II",28,IF(C1447="Técnico I",23,IF(C1447="JR",20,IF(C1447="Estágio",10,0))))),IF(C1447="Técnico III",SUMIFS($D:$D,$A:$A,$A1447,$B:$B,"&lt;&gt;Patrícia Karla de Sousa Araújo",$B:$B,"&lt;&gt;Lorena Dias de Araujo",$B:$B,"&lt;&gt;Lucas Luiz Romero")*(35/1083),IF(C1447="Técnico II",SUMIFS($D:$D,$A:$A,$A1447,$B:$B,"&lt;&gt;Patrícia Karla de Sousa Araújo",$B:$B,"&lt;&gt;Lorena Dias de Araujo",$B:$B,"&lt;&gt;Lucas Luiz Romero")*(28/1083),IF(C1447="Técnico I",SUMIFS($D:$D,$A:$A,$A1447,$B:$B,"&lt;&gt;Patrícia Karla de Sousa Araújo",$B:$B,"&lt;&gt;Lorena Dias de Araujo",$B:$B,"&lt;&gt;Lucas Luiz Romero")*(23/1083),IF(C1447="JR",SUMIFS($D:$D,$A:$A,$A1447,$B:$B,"&lt;&gt;Patrícia Karla de Sousa Araújo",$B:$B,"&lt;&gt;Lorena Dias de Araujo",$B:$B,"&lt;&gt;Lucas Luiz Romero")*(20/1083),IF(C1447="Estágio",SUMIFS($D:$D,$A:$A,$A1447,$B:$B,"&lt;&gt;Patrícia Karla de Sousa Araújo",$B:$B,"&lt;&gt;Lorena Dias de Araujo",$B:$B,"&lt;&gt;Lucas Luiz Romero")*(10/1083),0)))))),0)</f>
        <v/>
      </c>
      <c r="K1447" s="3">
        <f>I1447-J1447</f>
        <v/>
      </c>
      <c r="L1447" s="3">
        <f>IF(K1447&lt;-5,"CRÍTICO",IF(K1447&lt;0,"ATENÇÃO",IF(K1447&lt;=5,"BOM","EXCELENTE")))</f>
        <v/>
      </c>
      <c r="M1447" s="3" t="n">
        <v>15</v>
      </c>
      <c r="N1447" s="3" t="n">
        <v>100</v>
      </c>
      <c r="O1447" s="12" t="n">
        <v>32.7313769751693</v>
      </c>
    </row>
    <row r="1448">
      <c r="A1448" s="10" t="n">
        <v>46045</v>
      </c>
      <c r="B1448" t="inlineStr">
        <is>
          <t>Francilene Ferreira de Jesus</t>
        </is>
      </c>
      <c r="C1448" s="1" t="inlineStr">
        <is>
          <t>Técnico II</t>
        </is>
      </c>
      <c r="D1448" s="3" t="n">
        <v>20</v>
      </c>
      <c r="E1448" s="3" t="n">
        <v>17</v>
      </c>
      <c r="F1448" s="3" t="n">
        <v>23.49</v>
      </c>
      <c r="G1448" s="3" t="n">
        <v>0</v>
      </c>
      <c r="H1448" s="3" t="n">
        <v>0</v>
      </c>
      <c r="I1448" s="3">
        <f>E1448+G1448+H1448</f>
        <v/>
      </c>
      <c r="J1448" s="3">
        <f>ROUND(MIN(IF(C1448="Técnico III",35,IF(C1448="Técnico II",28,IF(C1448="Técnico I",23,IF(C1448="JR",20,IF(C1448="Estágio",10,0))))),IF(C1448="Técnico III",SUMIFS($D:$D,$A:$A,$A1448,$B:$B,"&lt;&gt;Patrícia Karla de Sousa Araújo",$B:$B,"&lt;&gt;Lorena Dias de Araujo",$B:$B,"&lt;&gt;Lucas Luiz Romero")*(35/1083),IF(C1448="Técnico II",SUMIFS($D:$D,$A:$A,$A1448,$B:$B,"&lt;&gt;Patrícia Karla de Sousa Araújo",$B:$B,"&lt;&gt;Lorena Dias de Araujo",$B:$B,"&lt;&gt;Lucas Luiz Romero")*(28/1083),IF(C1448="Técnico I",SUMIFS($D:$D,$A:$A,$A1448,$B:$B,"&lt;&gt;Patrícia Karla de Sousa Araújo",$B:$B,"&lt;&gt;Lorena Dias de Araujo",$B:$B,"&lt;&gt;Lucas Luiz Romero")*(23/1083),IF(C1448="JR",SUMIFS($D:$D,$A:$A,$A1448,$B:$B,"&lt;&gt;Patrícia Karla de Sousa Araújo",$B:$B,"&lt;&gt;Lorena Dias de Araujo",$B:$B,"&lt;&gt;Lucas Luiz Romero")*(20/1083),IF(C1448="Estágio",SUMIFS($D:$D,$A:$A,$A1448,$B:$B,"&lt;&gt;Patrícia Karla de Sousa Araújo",$B:$B,"&lt;&gt;Lorena Dias de Araujo",$B:$B,"&lt;&gt;Lucas Luiz Romero")*(10/1083),0)))))),0)</f>
        <v/>
      </c>
      <c r="K1448" s="3">
        <f>I1448-J1448</f>
        <v/>
      </c>
      <c r="L1448" s="3">
        <f>IF(K1448&lt;-5,"CRÍTICO",IF(K1448&lt;0,"ATENÇÃO",IF(K1448&lt;=5,"BOM","EXCELENTE")))</f>
        <v/>
      </c>
      <c r="M1448" s="3" t="n">
        <v>18</v>
      </c>
      <c r="N1448" s="3" t="n">
        <v>99.31</v>
      </c>
      <c r="O1448" s="12" t="n">
        <v>30.96234309623431</v>
      </c>
    </row>
    <row r="1449">
      <c r="A1449" s="10" t="n">
        <v>46079</v>
      </c>
      <c r="B1449" t="inlineStr">
        <is>
          <t>Gabriel Gomes de Andrade</t>
        </is>
      </c>
      <c r="C1449" s="1" t="inlineStr">
        <is>
          <t>Técnico I</t>
        </is>
      </c>
      <c r="D1449" s="3" t="n">
        <v>13</v>
      </c>
      <c r="E1449" s="3" t="n">
        <v>13</v>
      </c>
      <c r="F1449" s="3" t="n">
        <v>28.57</v>
      </c>
      <c r="G1449" s="3" t="n">
        <v>0</v>
      </c>
      <c r="H1449" s="3" t="n">
        <v>0</v>
      </c>
      <c r="I1449" s="3">
        <f>E1449+G1449+H1449</f>
        <v/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/>
      </c>
      <c r="K1449" s="3">
        <f>I1449-J1449</f>
        <v/>
      </c>
      <c r="L1449" s="3">
        <f>IF(K1449&lt;-5,"CRÍTICO",IF(K1449&lt;0,"ATENÇÃO",IF(K1449&lt;=5,"BOM","EXCELENTE")))</f>
        <v/>
      </c>
      <c r="M1449" s="3" t="n">
        <v>13</v>
      </c>
      <c r="N1449" s="3" t="n">
        <v>96.67</v>
      </c>
      <c r="O1449" s="12" t="n">
        <v>31.45161290322581</v>
      </c>
    </row>
    <row r="1450">
      <c r="A1450" s="10" t="n">
        <v>46045</v>
      </c>
      <c r="B1450" t="inlineStr">
        <is>
          <t>Isabella Borges de Oliveira</t>
        </is>
      </c>
      <c r="C1450" s="1" t="inlineStr">
        <is>
          <t>Técnico II</t>
        </is>
      </c>
      <c r="D1450" s="3" t="n">
        <v>24</v>
      </c>
      <c r="E1450" s="3" t="n">
        <v>23</v>
      </c>
      <c r="F1450" s="3" t="n">
        <v>23.28</v>
      </c>
      <c r="G1450" s="3" t="n">
        <v>0</v>
      </c>
      <c r="H1450" s="3" t="n">
        <v>0</v>
      </c>
      <c r="I1450" s="3">
        <f>E1450+G1450+H1450</f>
        <v/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/>
      </c>
      <c r="K1450" s="3">
        <f>I1450-J1450</f>
        <v/>
      </c>
      <c r="L1450" s="3">
        <f>IF(K1450&lt;-5,"CRÍTICO",IF(K1450&lt;0,"ATENÇÃO",IF(K1450&lt;=5,"BOM","EXCELENTE")))</f>
        <v/>
      </c>
      <c r="M1450" s="3" t="n">
        <v>22</v>
      </c>
      <c r="N1450" s="3" t="n">
        <v>100</v>
      </c>
      <c r="O1450" s="12" t="n">
        <v>27.67676767676768</v>
      </c>
    </row>
    <row r="1451">
      <c r="A1451" s="10" t="n">
        <v>46045</v>
      </c>
      <c r="B1451" t="inlineStr">
        <is>
          <t>Janaina Lima dos Reis Urany</t>
        </is>
      </c>
      <c r="C1451" s="1" t="inlineStr">
        <is>
          <t>Técnico III</t>
        </is>
      </c>
      <c r="D1451" s="3" t="n">
        <v>36</v>
      </c>
      <c r="E1451" s="3" t="n">
        <v>34</v>
      </c>
      <c r="F1451" s="3" t="n">
        <v>18.5</v>
      </c>
      <c r="G1451" s="3" t="n">
        <v>0</v>
      </c>
      <c r="H1451" s="3" t="n">
        <v>0</v>
      </c>
      <c r="I1451" s="3">
        <f>E1451+G1451+H1451</f>
        <v/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/>
      </c>
      <c r="K1451" s="3">
        <f>I1451-J1451</f>
        <v/>
      </c>
      <c r="L1451" s="3">
        <f>IF(K1451&lt;-5,"CRÍTICO",IF(K1451&lt;0,"ATENÇÃO",IF(K1451&lt;=5,"BOM","EXCELENTE")))</f>
        <v/>
      </c>
      <c r="M1451" s="3" t="n">
        <v>29</v>
      </c>
      <c r="N1451" s="3" t="n">
        <v>100</v>
      </c>
      <c r="O1451" s="12" t="n">
        <v>31.17723156532988</v>
      </c>
    </row>
    <row r="1452">
      <c r="A1452" s="10" t="n">
        <v>46045</v>
      </c>
      <c r="B1452" t="inlineStr">
        <is>
          <t>Jaqueline Evangelista da Silva Martins</t>
        </is>
      </c>
      <c r="C1452" s="1" t="inlineStr">
        <is>
          <t>Técnico III</t>
        </is>
      </c>
      <c r="D1452" s="3" t="n">
        <v>9</v>
      </c>
      <c r="E1452" s="3" t="n">
        <v>6</v>
      </c>
      <c r="F1452" s="3" t="n">
        <v>10.51</v>
      </c>
      <c r="G1452" s="3" t="n">
        <v>0</v>
      </c>
      <c r="H1452" s="3" t="n">
        <v>0</v>
      </c>
      <c r="I1452" s="3">
        <f>E1452+G1452+H1452</f>
        <v/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/>
      </c>
      <c r="K1452" s="3">
        <f>I1452-J1452</f>
        <v/>
      </c>
      <c r="L1452" s="3">
        <f>IF(K1452&lt;-5,"CRÍTICO",IF(K1452&lt;0,"ATENÇÃO",IF(K1452&lt;=5,"BOM","EXCELENTE")))</f>
        <v/>
      </c>
      <c r="M1452" s="3" t="n">
        <v>8</v>
      </c>
      <c r="N1452" s="3" t="n">
        <v>100</v>
      </c>
      <c r="O1452" s="12" t="n">
        <v>27.60942760942761</v>
      </c>
    </row>
    <row r="1453">
      <c r="A1453" s="10" t="n">
        <v>46045</v>
      </c>
      <c r="B1453" t="inlineStr">
        <is>
          <t>Jessica Faria da Silveira</t>
        </is>
      </c>
      <c r="C1453" s="1" t="inlineStr">
        <is>
          <t>Técnico II</t>
        </is>
      </c>
      <c r="D1453" s="3" t="n">
        <v>23</v>
      </c>
      <c r="E1453" s="3" t="n">
        <v>17</v>
      </c>
      <c r="F1453" s="3" t="n">
        <v>15.43</v>
      </c>
      <c r="G1453" s="3" t="n">
        <v>0</v>
      </c>
      <c r="H1453" s="3" t="n">
        <v>0</v>
      </c>
      <c r="I1453" s="3">
        <f>E1453+G1453+H1453</f>
        <v/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/>
      </c>
      <c r="K1453" s="3">
        <f>I1453-J1453</f>
        <v/>
      </c>
      <c r="L1453" s="3">
        <f>IF(K1453&lt;-5,"CRÍTICO",IF(K1453&lt;0,"ATENÇÃO",IF(K1453&lt;=5,"BOM","EXCELENTE")))</f>
        <v/>
      </c>
      <c r="M1453" s="3" t="n">
        <v>18</v>
      </c>
      <c r="N1453" s="3" t="n">
        <v>96.40000000000001</v>
      </c>
      <c r="O1453" s="12" t="n">
        <v>28.76404494382023</v>
      </c>
    </row>
    <row r="1454">
      <c r="A1454" s="10" t="n">
        <v>46045</v>
      </c>
      <c r="B1454" t="inlineStr">
        <is>
          <t>Jéssica Fé Moura</t>
        </is>
      </c>
      <c r="C1454" s="1" t="inlineStr">
        <is>
          <t>Técnico III</t>
        </is>
      </c>
      <c r="D1454" s="3" t="n">
        <v>0</v>
      </c>
      <c r="E1454" s="3" t="n">
        <v>0</v>
      </c>
      <c r="F1454" s="3" t="n">
        <v>0</v>
      </c>
      <c r="G1454" s="3" t="n">
        <v>0</v>
      </c>
      <c r="H1454" s="3" t="n">
        <v>0</v>
      </c>
      <c r="I1454" s="3" t="n">
        <v>0</v>
      </c>
      <c r="J1454" s="3" t="n">
        <v>0</v>
      </c>
      <c r="K1454" s="3" t="n">
        <v>0</v>
      </c>
      <c r="L1454" s="3">
        <f>IF(K1454&lt;-5,"CRÍTICO",IF(K1454&lt;0,"ATENÇÃO",IF(K1454&lt;=5,"BOM","EXCELENTE")))</f>
        <v/>
      </c>
      <c r="M1454" s="3" t="n">
        <v>0</v>
      </c>
      <c r="N1454" s="3" t="n">
        <v>100</v>
      </c>
      <c r="O1454" s="12" t="n">
        <v>33.98058252427185</v>
      </c>
    </row>
    <row r="1455">
      <c r="A1455" s="10" t="n">
        <v>46045</v>
      </c>
      <c r="B1455" t="inlineStr">
        <is>
          <t>Karina Gonçalves Martins</t>
        </is>
      </c>
      <c r="C1455" s="1" t="inlineStr">
        <is>
          <t>JR</t>
        </is>
      </c>
      <c r="D1455" s="3" t="n">
        <v>5</v>
      </c>
      <c r="E1455" s="3" t="n">
        <v>5</v>
      </c>
      <c r="F1455" s="3" t="n">
        <v>45.31</v>
      </c>
      <c r="G1455" s="3" t="n">
        <v>0</v>
      </c>
      <c r="H1455" s="3" t="n">
        <v>0</v>
      </c>
      <c r="I1455" s="3">
        <f>E1455+G1455+H1455</f>
        <v/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/>
      </c>
      <c r="K1455" s="3">
        <f>I1455-J1455</f>
        <v/>
      </c>
      <c r="L1455" s="3">
        <f>IF(K1455&lt;-5,"CRÍTICO",IF(K1455&lt;0,"ATENÇÃO",IF(K1455&lt;=5,"BOM","EXCELENTE")))</f>
        <v/>
      </c>
      <c r="M1455" s="3" t="n">
        <v>5</v>
      </c>
      <c r="N1455" s="3" t="n">
        <v>97.56</v>
      </c>
      <c r="O1455" s="12" t="n">
        <v>32.51533742331289</v>
      </c>
    </row>
    <row r="1456">
      <c r="A1456" s="10" t="n">
        <v>46045</v>
      </c>
      <c r="B1456" t="inlineStr">
        <is>
          <t>Kerollen Cristielly de Jesus Siqueira</t>
        </is>
      </c>
      <c r="C1456" s="1" t="inlineStr">
        <is>
          <t>Técnico III</t>
        </is>
      </c>
      <c r="D1456" s="3" t="n">
        <v>24</v>
      </c>
      <c r="E1456" s="3" t="n">
        <v>22</v>
      </c>
      <c r="F1456" s="3" t="n">
        <v>19.05</v>
      </c>
      <c r="G1456" s="3" t="n">
        <v>0</v>
      </c>
      <c r="H1456" s="3" t="n">
        <v>0</v>
      </c>
      <c r="I1456" s="3">
        <f>E1456+G1456+H1456</f>
        <v/>
      </c>
      <c r="J1456" s="3">
        <f>ROUND(MIN(IF(C1456="Técnico III",35,IF(C1456="Técnico II",28,IF(C1456="Técnico I",23,IF(C1456="JR",20,IF(C1456="Estágio",10,0))))),IF(C1456="Técnico III",SUMIFS($D:$D,$A:$A,$A1456,$B:$B,"&lt;&gt;Patrícia Karla de Sousa Araújo",$B:$B,"&lt;&gt;Lorena Dias de Araujo",$B:$B,"&lt;&gt;Lucas Luiz Romero")*(35/1083),IF(C1456="Técnico II",SUMIFS($D:$D,$A:$A,$A1456,$B:$B,"&lt;&gt;Patrícia Karla de Sousa Araújo",$B:$B,"&lt;&gt;Lorena Dias de Araujo",$B:$B,"&lt;&gt;Lucas Luiz Romero")*(28/1083),IF(C1456="Técnico I",SUMIFS($D:$D,$A:$A,$A1456,$B:$B,"&lt;&gt;Patrícia Karla de Sousa Araújo",$B:$B,"&lt;&gt;Lorena Dias de Araujo",$B:$B,"&lt;&gt;Lucas Luiz Romero")*(23/1083),IF(C1456="JR",SUMIFS($D:$D,$A:$A,$A1456,$B:$B,"&lt;&gt;Patrícia Karla de Sousa Araújo",$B:$B,"&lt;&gt;Lorena Dias de Araujo",$B:$B,"&lt;&gt;Lucas Luiz Romero")*(20/1083),IF(C1456="Estágio",SUMIFS($D:$D,$A:$A,$A1456,$B:$B,"&lt;&gt;Patrícia Karla de Sousa Araújo",$B:$B,"&lt;&gt;Lorena Dias de Araujo",$B:$B,"&lt;&gt;Lucas Luiz Romero")*(10/1083),0)))))),0)</f>
        <v/>
      </c>
      <c r="K1456" s="3">
        <f>I1456-J1456</f>
        <v/>
      </c>
      <c r="L1456" s="3">
        <f>IF(K1456&lt;-5,"CRÍTICO",IF(K1456&lt;0,"ATENÇÃO",IF(K1456&lt;=5,"BOM","EXCELENTE")))</f>
        <v/>
      </c>
      <c r="M1456" s="3" t="n">
        <v>23</v>
      </c>
      <c r="N1456" s="3" t="n">
        <v>97.11</v>
      </c>
      <c r="O1456" s="12" t="n">
        <v>37.40831295843521</v>
      </c>
    </row>
    <row r="1457">
      <c r="A1457" s="10" t="n">
        <v>46045</v>
      </c>
      <c r="B1457" t="inlineStr">
        <is>
          <t>Leandro de Souza Silva</t>
        </is>
      </c>
      <c r="C1457" s="1" t="inlineStr">
        <is>
          <t>JR</t>
        </is>
      </c>
      <c r="D1457" s="3" t="n">
        <v>0</v>
      </c>
      <c r="E1457" s="3" t="n">
        <v>0</v>
      </c>
      <c r="F1457" s="3" t="n">
        <v>0</v>
      </c>
      <c r="G1457" s="3" t="n">
        <v>0</v>
      </c>
      <c r="H1457" s="3" t="n">
        <v>0</v>
      </c>
      <c r="I1457" s="3" t="n">
        <v>0</v>
      </c>
      <c r="J1457" s="3" t="n">
        <v>0</v>
      </c>
      <c r="K1457" s="3" t="n">
        <v>0</v>
      </c>
      <c r="L1457" s="3">
        <f>IF(K1457&lt;-5,"CRÍTICO",IF(K1457&lt;0,"ATENÇÃO",IF(K1457&lt;=5,"BOM","EXCELENTE")))</f>
        <v/>
      </c>
      <c r="M1457" s="3" t="n">
        <v>0</v>
      </c>
      <c r="N1457" s="3" t="n">
        <v>0</v>
      </c>
      <c r="O1457" s="12" t="n">
        <v>0</v>
      </c>
    </row>
    <row r="1458">
      <c r="A1458" s="10" t="n">
        <v>46045</v>
      </c>
      <c r="B1458" t="inlineStr">
        <is>
          <t>Leandro Oliveira de Sousa</t>
        </is>
      </c>
      <c r="C1458" s="1" t="inlineStr">
        <is>
          <t>Técnico III</t>
        </is>
      </c>
      <c r="D1458" s="3" t="n">
        <v>12</v>
      </c>
      <c r="E1458" s="3" t="n">
        <v>11</v>
      </c>
      <c r="F1458" s="3" t="n">
        <v>32.12</v>
      </c>
      <c r="G1458" s="3" t="n">
        <v>0</v>
      </c>
      <c r="H1458" s="3" t="n">
        <v>0</v>
      </c>
      <c r="I1458" s="3">
        <f>E1458+G1458+H1458</f>
        <v/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/>
      </c>
      <c r="K1458" s="3">
        <f>I1458-J1458</f>
        <v/>
      </c>
      <c r="L1458" s="3">
        <f>IF(K1458&lt;-5,"CRÍTICO",IF(K1458&lt;0,"ATENÇÃO",IF(K1458&lt;=5,"BOM","EXCELENTE")))</f>
        <v/>
      </c>
      <c r="M1458" s="3" t="n">
        <v>9</v>
      </c>
      <c r="N1458" s="3" t="n">
        <v>100</v>
      </c>
      <c r="O1458" s="12" t="n">
        <v>30.47034764826176</v>
      </c>
    </row>
    <row r="1459">
      <c r="A1459" s="10" t="n">
        <v>46045</v>
      </c>
      <c r="B1459" t="inlineStr">
        <is>
          <t>Lizandra Gomes Duarte</t>
        </is>
      </c>
      <c r="C1459" s="1" t="inlineStr">
        <is>
          <t>Técnico II</t>
        </is>
      </c>
      <c r="D1459" s="3" t="n">
        <v>27</v>
      </c>
      <c r="E1459" s="3" t="n">
        <v>23</v>
      </c>
      <c r="F1459" s="3" t="n">
        <v>17.29</v>
      </c>
      <c r="G1459" s="3" t="n">
        <v>0</v>
      </c>
      <c r="H1459" s="3" t="n">
        <v>0</v>
      </c>
      <c r="I1459" s="3">
        <f>E1459+G1459+H1459</f>
        <v/>
      </c>
      <c r="J1459" s="3">
        <f>ROUND(MIN(IF(C1459="Técnico III",35,IF(C1459="Técnico II",28,IF(C1459="Técnico I",23,IF(C1459="JR",20,IF(C1459="Estágio",10,0))))),IF(C1459="Técnico III",SUMIFS($D:$D,$A:$A,$A1459,$B:$B,"&lt;&gt;Patrícia Karla de Sousa Araújo",$B:$B,"&lt;&gt;Lorena Dias de Araujo",$B:$B,"&lt;&gt;Lucas Luiz Romero")*(35/1083),IF(C1459="Técnico II",SUMIFS($D:$D,$A:$A,$A1459,$B:$B,"&lt;&gt;Patrícia Karla de Sousa Araújo",$B:$B,"&lt;&gt;Lorena Dias de Araujo",$B:$B,"&lt;&gt;Lucas Luiz Romero")*(28/1083),IF(C1459="Técnico I",SUMIFS($D:$D,$A:$A,$A1459,$B:$B,"&lt;&gt;Patrícia Karla de Sousa Araújo",$B:$B,"&lt;&gt;Lorena Dias de Araujo",$B:$B,"&lt;&gt;Lucas Luiz Romero")*(23/1083),IF(C1459="JR",SUMIFS($D:$D,$A:$A,$A1459,$B:$B,"&lt;&gt;Patrícia Karla de Sousa Araújo",$B:$B,"&lt;&gt;Lorena Dias de Araujo",$B:$B,"&lt;&gt;Lucas Luiz Romero")*(20/1083),IF(C1459="Estágio",SUMIFS($D:$D,$A:$A,$A1459,$B:$B,"&lt;&gt;Patrícia Karla de Sousa Araújo",$B:$B,"&lt;&gt;Lorena Dias de Araujo",$B:$B,"&lt;&gt;Lucas Luiz Romero")*(10/1083),0)))))),0)</f>
        <v/>
      </c>
      <c r="K1459" s="3">
        <f>I1459-J1459</f>
        <v/>
      </c>
      <c r="L1459" s="3">
        <f>IF(K1459&lt;-5,"CRÍTICO",IF(K1459&lt;0,"ATENÇÃO",IF(K1459&lt;=5,"BOM","EXCELENTE")))</f>
        <v/>
      </c>
      <c r="M1459" s="3" t="n">
        <v>21</v>
      </c>
      <c r="N1459" s="3" t="n">
        <v>100</v>
      </c>
      <c r="O1459" s="12" t="n">
        <v>32.37113402061856</v>
      </c>
    </row>
    <row r="1460">
      <c r="A1460" s="10" t="n">
        <v>46045</v>
      </c>
      <c r="B1460" t="inlineStr">
        <is>
          <t>Lorena Dias de Araujo</t>
        </is>
      </c>
      <c r="C1460" s="1" t="inlineStr">
        <is>
          <t>Técnico II</t>
        </is>
      </c>
      <c r="D1460" s="3" t="n">
        <v>11</v>
      </c>
      <c r="E1460" s="3" t="n">
        <v>11</v>
      </c>
      <c r="F1460" s="3" t="n">
        <v>18.28</v>
      </c>
      <c r="G1460" s="3" t="n">
        <v>0</v>
      </c>
      <c r="H1460" s="3" t="n">
        <v>0</v>
      </c>
      <c r="I1460" s="3" t="n">
        <v>0</v>
      </c>
      <c r="J1460" s="3" t="n">
        <v>0</v>
      </c>
      <c r="K1460" s="3" t="n">
        <v>0</v>
      </c>
      <c r="L1460" s="3">
        <f>IF(K1460&lt;-5,"CRÍTICO",IF(K1460&lt;0,"ATENÇÃO",IF(K1460&lt;=5,"BOM","EXCELENTE")))</f>
        <v/>
      </c>
      <c r="M1460" s="3" t="n">
        <v>10</v>
      </c>
      <c r="N1460" s="3" t="n">
        <v>98.31999999999999</v>
      </c>
      <c r="O1460" s="12" t="n">
        <v>32.31850117096019</v>
      </c>
    </row>
    <row r="1461">
      <c r="A1461" s="10" t="n">
        <v>46045</v>
      </c>
      <c r="B1461" t="inlineStr">
        <is>
          <t>Lucas Luiz Romero</t>
        </is>
      </c>
      <c r="C1461" s="1" t="inlineStr">
        <is>
          <t>Técnico III</t>
        </is>
      </c>
      <c r="D1461" s="3" t="n">
        <v>23</v>
      </c>
      <c r="E1461" s="3" t="n">
        <v>17</v>
      </c>
      <c r="F1461" s="3" t="n">
        <v>11.47</v>
      </c>
      <c r="G1461" s="3" t="n">
        <v>0</v>
      </c>
      <c r="H1461" s="3" t="n">
        <v>0</v>
      </c>
      <c r="I1461" s="3">
        <f>E1461+G1461+H1461</f>
        <v/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/>
      </c>
      <c r="K1461" s="3">
        <f>I1461-J1461</f>
        <v/>
      </c>
      <c r="L1461" s="3">
        <f>IF(K1461&lt;-5,"CRÍTICO",IF(K1461&lt;0,"ATENÇÃO",IF(K1461&lt;=5,"BOM","EXCELENTE")))</f>
        <v/>
      </c>
      <c r="M1461" s="3" t="n">
        <v>11</v>
      </c>
      <c r="N1461" s="3" t="n">
        <v>96.43000000000001</v>
      </c>
      <c r="O1461" s="12" t="n">
        <v>27.01525054466231</v>
      </c>
    </row>
    <row r="1462">
      <c r="A1462" s="10" t="n">
        <v>46045</v>
      </c>
      <c r="B1462" t="inlineStr">
        <is>
          <t>Luiz Fernando de Carvalho Junior</t>
        </is>
      </c>
      <c r="C1462" s="1" t="inlineStr">
        <is>
          <t>Técnico I</t>
        </is>
      </c>
      <c r="D1462" s="3" t="n">
        <v>18</v>
      </c>
      <c r="E1462" s="3" t="n">
        <v>18</v>
      </c>
      <c r="F1462" s="3" t="n">
        <v>28.28</v>
      </c>
      <c r="G1462" s="3" t="n">
        <v>0</v>
      </c>
      <c r="H1462" s="3" t="n">
        <v>0</v>
      </c>
      <c r="I1462" s="3">
        <f>E1462+G1462+H1462</f>
        <v/>
      </c>
      <c r="J1462" s="3">
        <f>ROUND(MIN(IF(C1462="Técnico III",35,IF(C1462="Técnico II",28,IF(C1462="Técnico I",23,IF(C1462="JR",20,IF(C1462="Estágio",10,0))))),IF(C1462="Técnico III",SUMIFS($D:$D,$A:$A,$A1462,$B:$B,"&lt;&gt;Patrícia Karla de Sousa Araújo",$B:$B,"&lt;&gt;Lorena Dias de Araujo",$B:$B,"&lt;&gt;Lucas Luiz Romero")*(35/1083),IF(C1462="Técnico II",SUMIFS($D:$D,$A:$A,$A1462,$B:$B,"&lt;&gt;Patrícia Karla de Sousa Araújo",$B:$B,"&lt;&gt;Lorena Dias de Araujo",$B:$B,"&lt;&gt;Lucas Luiz Romero")*(28/1083),IF(C1462="Técnico I",SUMIFS($D:$D,$A:$A,$A1462,$B:$B,"&lt;&gt;Patrícia Karla de Sousa Araújo",$B:$B,"&lt;&gt;Lorena Dias de Araujo",$B:$B,"&lt;&gt;Lucas Luiz Romero")*(23/1083),IF(C1462="JR",SUMIFS($D:$D,$A:$A,$A1462,$B:$B,"&lt;&gt;Patrícia Karla de Sousa Araújo",$B:$B,"&lt;&gt;Lorena Dias de Araujo",$B:$B,"&lt;&gt;Lucas Luiz Romero")*(20/1083),IF(C1462="Estágio",SUMIFS($D:$D,$A:$A,$A1462,$B:$B,"&lt;&gt;Patrícia Karla de Sousa Araújo",$B:$B,"&lt;&gt;Lorena Dias de Araujo",$B:$B,"&lt;&gt;Lucas Luiz Romero")*(10/1083),0)))))),0)</f>
        <v/>
      </c>
      <c r="K1462" s="3">
        <f>I1462-J1462</f>
        <v/>
      </c>
      <c r="L1462" s="3">
        <f>IF(K1462&lt;-5,"CRÍTICO",IF(K1462&lt;0,"ATENÇÃO",IF(K1462&lt;=5,"BOM","EXCELENTE")))</f>
        <v/>
      </c>
      <c r="M1462" s="3" t="n">
        <v>14</v>
      </c>
      <c r="N1462" s="3" t="n">
        <v>98.89</v>
      </c>
      <c r="O1462" s="12" t="n">
        <v>28.02197802197802</v>
      </c>
    </row>
    <row r="1463">
      <c r="A1463" s="10" t="n">
        <v>46045</v>
      </c>
      <c r="B1463" t="inlineStr">
        <is>
          <t>Maria Eduarda Sousa Costa</t>
        </is>
      </c>
      <c r="C1463" s="1" t="inlineStr">
        <is>
          <t>Estágio</t>
        </is>
      </c>
      <c r="D1463" s="3" t="n">
        <v>9</v>
      </c>
      <c r="E1463" s="3" t="n">
        <v>9</v>
      </c>
      <c r="F1463" s="3" t="n">
        <v>25.29</v>
      </c>
      <c r="G1463" s="3" t="n">
        <v>0</v>
      </c>
      <c r="H1463" s="3" t="n">
        <v>0</v>
      </c>
      <c r="I1463" s="3">
        <f>E1463+G1463+H1463</f>
        <v/>
      </c>
      <c r="J1463" s="3">
        <f>ROUND(MIN(IF(C1463="Técnico III",35,IF(C1463="Técnico II",28,IF(C1463="Técnico I",23,IF(C1463="JR",20,IF(C1463="Estágio",10,0))))),IF(C1463="Técnico III",SUMIFS($D:$D,$A:$A,$A1463,$B:$B,"&lt;&gt;Patrícia Karla de Sousa Araújo",$B:$B,"&lt;&gt;Lorena Dias de Araujo",$B:$B,"&lt;&gt;Lucas Luiz Romero")*(35/1083),IF(C1463="Técnico II",SUMIFS($D:$D,$A:$A,$A1463,$B:$B,"&lt;&gt;Patrícia Karla de Sousa Araújo",$B:$B,"&lt;&gt;Lorena Dias de Araujo",$B:$B,"&lt;&gt;Lucas Luiz Romero")*(28/1083),IF(C1463="Técnico I",SUMIFS($D:$D,$A:$A,$A1463,$B:$B,"&lt;&gt;Patrícia Karla de Sousa Araújo",$B:$B,"&lt;&gt;Lorena Dias de Araujo",$B:$B,"&lt;&gt;Lucas Luiz Romero")*(23/1083),IF(C1463="JR",SUMIFS($D:$D,$A:$A,$A1463,$B:$B,"&lt;&gt;Patrícia Karla de Sousa Araújo",$B:$B,"&lt;&gt;Lorena Dias de Araujo",$B:$B,"&lt;&gt;Lucas Luiz Romero")*(20/1083),IF(C1463="Estágio",SUMIFS($D:$D,$A:$A,$A1463,$B:$B,"&lt;&gt;Patrícia Karla de Sousa Araújo",$B:$B,"&lt;&gt;Lorena Dias de Araujo",$B:$B,"&lt;&gt;Lucas Luiz Romero")*(10/1083),0)))))),0)</f>
        <v/>
      </c>
      <c r="K1463" s="3">
        <f>I1463-J1463</f>
        <v/>
      </c>
      <c r="L1463" s="3">
        <f>IF(K1463&lt;-5,"CRÍTICO",IF(K1463&lt;0,"ATENÇÃO",IF(K1463&lt;=5,"BOM","EXCELENTE")))</f>
        <v/>
      </c>
      <c r="M1463" s="3" t="n">
        <v>6</v>
      </c>
      <c r="N1463" s="3" t="n">
        <v>100</v>
      </c>
      <c r="O1463" s="12" t="n">
        <v>33.33333333333333</v>
      </c>
    </row>
    <row r="1464">
      <c r="A1464" s="10" t="n">
        <v>46045</v>
      </c>
      <c r="B1464" t="inlineStr">
        <is>
          <t>Matheus Farias De Souza</t>
        </is>
      </c>
      <c r="C1464" s="1" t="inlineStr">
        <is>
          <t>Técnico III</t>
        </is>
      </c>
      <c r="D1464" s="3" t="n">
        <v>26</v>
      </c>
      <c r="E1464" s="3" t="n">
        <v>26</v>
      </c>
      <c r="F1464" s="3" t="n">
        <v>15.42</v>
      </c>
      <c r="G1464" s="3" t="n">
        <v>0</v>
      </c>
      <c r="H1464" s="3" t="n">
        <v>0</v>
      </c>
      <c r="I1464" s="3">
        <f>E1464+G1464+H1464</f>
        <v/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/>
      </c>
      <c r="K1464" s="3">
        <f>I1464-J1464</f>
        <v/>
      </c>
      <c r="L1464" s="3">
        <f>IF(K1464&lt;-5,"CRÍTICO",IF(K1464&lt;0,"ATENÇÃO",IF(K1464&lt;=5,"BOM","EXCELENTE")))</f>
        <v/>
      </c>
      <c r="M1464" s="3" t="n">
        <v>23</v>
      </c>
      <c r="N1464" s="3" t="n">
        <v>100</v>
      </c>
      <c r="O1464" s="12" t="n">
        <v>27.43362831858407</v>
      </c>
    </row>
    <row r="1465">
      <c r="A1465" s="10" t="n">
        <v>46045</v>
      </c>
      <c r="B1465" t="inlineStr">
        <is>
          <t>Maysa Victoria Dias Moura</t>
        </is>
      </c>
      <c r="C1465" s="1" t="inlineStr">
        <is>
          <t>Técnico III</t>
        </is>
      </c>
      <c r="D1465" s="3" t="n">
        <v>25</v>
      </c>
      <c r="E1465" s="3" t="n">
        <v>24</v>
      </c>
      <c r="F1465" s="3" t="n">
        <v>15.24</v>
      </c>
      <c r="G1465" s="3" t="n">
        <v>0</v>
      </c>
      <c r="H1465" s="3" t="n">
        <v>0</v>
      </c>
      <c r="I1465" s="3">
        <f>E1465+G1465+H1465</f>
        <v/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/>
      </c>
      <c r="K1465" s="3">
        <f>I1465-J1465</f>
        <v/>
      </c>
      <c r="L1465" s="3">
        <f>IF(K1465&lt;-5,"CRÍTICO",IF(K1465&lt;0,"ATENÇÃO",IF(K1465&lt;=5,"BOM","EXCELENTE")))</f>
        <v/>
      </c>
      <c r="M1465" s="3" t="n">
        <v>20</v>
      </c>
      <c r="N1465" s="3" t="n">
        <v>98.65000000000001</v>
      </c>
      <c r="O1465" s="12" t="n">
        <v>30.97826086956522</v>
      </c>
    </row>
    <row r="1466">
      <c r="A1466" s="10" t="n">
        <v>46045</v>
      </c>
      <c r="B1466" t="inlineStr">
        <is>
          <t>Michelle G Santos</t>
        </is>
      </c>
      <c r="C1466" s="1" t="inlineStr">
        <is>
          <t>Estágio</t>
        </is>
      </c>
      <c r="D1466" s="3" t="n">
        <v>8</v>
      </c>
      <c r="E1466" s="3" t="n">
        <v>8</v>
      </c>
      <c r="F1466" s="3" t="n">
        <v>32.1</v>
      </c>
      <c r="G1466" s="3" t="n">
        <v>0</v>
      </c>
      <c r="H1466" s="3" t="n">
        <v>0</v>
      </c>
      <c r="I1466" s="3">
        <f>E1466+G1466+H1466</f>
        <v/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/>
      </c>
      <c r="K1466" s="3">
        <f>I1466-J1466</f>
        <v/>
      </c>
      <c r="L1466" s="3">
        <f>IF(K1466&lt;-5,"CRÍTICO",IF(K1466&lt;0,"ATENÇÃO",IF(K1466&lt;=5,"BOM","EXCELENTE")))</f>
        <v/>
      </c>
      <c r="M1466" s="3" t="n">
        <v>4</v>
      </c>
      <c r="N1466" s="3" t="n">
        <v>100</v>
      </c>
      <c r="O1466" s="12" t="n">
        <v>12</v>
      </c>
    </row>
    <row r="1467">
      <c r="A1467" s="10" t="n">
        <v>46045</v>
      </c>
      <c r="B1467" t="inlineStr">
        <is>
          <t>Milena Sales</t>
        </is>
      </c>
      <c r="C1467" s="1" t="inlineStr">
        <is>
          <t>JR</t>
        </is>
      </c>
      <c r="D1467" s="3" t="n">
        <v>0</v>
      </c>
      <c r="E1467" s="3" t="n">
        <v>0</v>
      </c>
      <c r="F1467" s="3" t="n">
        <v>0</v>
      </c>
      <c r="G1467" s="3" t="n">
        <v>0</v>
      </c>
      <c r="H1467" s="3" t="n">
        <v>0</v>
      </c>
      <c r="I1467" s="3" t="n">
        <v>0</v>
      </c>
      <c r="J1467" s="3" t="n">
        <v>0</v>
      </c>
      <c r="K1467" s="3" t="n">
        <v>0</v>
      </c>
      <c r="L1467" s="3">
        <f>IF(K1467&lt;-5,"CRÍTICO",IF(K1467&lt;0,"ATENÇÃO",IF(K1467&lt;=5,"BOM","EXCELENTE")))</f>
        <v/>
      </c>
      <c r="M1467" s="3" t="n">
        <v>0</v>
      </c>
      <c r="N1467" s="3" t="n">
        <v>0</v>
      </c>
      <c r="O1467" s="12" t="n">
        <v>0</v>
      </c>
    </row>
    <row r="1468">
      <c r="A1468" s="10" t="n">
        <v>46045</v>
      </c>
      <c r="B1468" t="inlineStr">
        <is>
          <t>Patrícia Karla de Sousa Araújo</t>
        </is>
      </c>
      <c r="C1468" s="1" t="inlineStr">
        <is>
          <t>Técnico II</t>
        </is>
      </c>
      <c r="D1468" s="3" t="n">
        <v>21</v>
      </c>
      <c r="E1468" s="3" t="n">
        <v>21</v>
      </c>
      <c r="F1468" s="3" t="n">
        <v>18.26</v>
      </c>
      <c r="G1468" s="3" t="n">
        <v>0</v>
      </c>
      <c r="H1468" s="3" t="n">
        <v>0</v>
      </c>
      <c r="I1468" s="3">
        <f>E1468+G1468+H1468</f>
        <v/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/>
      </c>
      <c r="K1468" s="3">
        <f>I1468-J1468</f>
        <v/>
      </c>
      <c r="L1468" s="3">
        <f>IF(K1468&lt;-5,"CRÍTICO",IF(K1468&lt;0,"ATENÇÃO",IF(K1468&lt;=5,"BOM","EXCELENTE")))</f>
        <v/>
      </c>
      <c r="M1468" s="3" t="n">
        <v>16</v>
      </c>
      <c r="N1468" s="3" t="n">
        <v>97.56</v>
      </c>
      <c r="O1468" s="12" t="n">
        <v>31.06796116504854</v>
      </c>
    </row>
    <row r="1469">
      <c r="A1469" s="10" t="n">
        <v>46045</v>
      </c>
      <c r="B1469" t="inlineStr">
        <is>
          <t>Paulo Ricardo Santos</t>
        </is>
      </c>
      <c r="C1469" s="1" t="inlineStr">
        <is>
          <t>JR</t>
        </is>
      </c>
      <c r="D1469" s="3" t="n">
        <v>0</v>
      </c>
      <c r="E1469" s="3" t="n">
        <v>0</v>
      </c>
      <c r="F1469" s="3" t="n">
        <v>0</v>
      </c>
      <c r="G1469" s="3" t="n">
        <v>0</v>
      </c>
      <c r="H1469" s="3" t="n">
        <v>0</v>
      </c>
      <c r="I1469" s="3" t="n">
        <v>0</v>
      </c>
      <c r="J1469" s="3" t="n">
        <v>0</v>
      </c>
      <c r="K1469" s="3" t="n">
        <v>0</v>
      </c>
      <c r="L1469" s="3">
        <f>IF(K1469&lt;-5,"CRÍTICO",IF(K1469&lt;0,"ATENÇÃO",IF(K1469&lt;=5,"BOM","EXCELENTE")))</f>
        <v/>
      </c>
      <c r="M1469" s="3" t="n">
        <v>0</v>
      </c>
      <c r="N1469" s="3" t="n">
        <v>0</v>
      </c>
      <c r="O1469" s="12" t="n">
        <v>0</v>
      </c>
    </row>
    <row r="1470">
      <c r="A1470" s="10" t="n">
        <v>46045</v>
      </c>
      <c r="B1470" t="inlineStr">
        <is>
          <t>Pedro Luiz Mota Sousa</t>
        </is>
      </c>
      <c r="C1470" s="1" t="inlineStr">
        <is>
          <t>JR</t>
        </is>
      </c>
      <c r="D1470" s="3" t="n">
        <v>0</v>
      </c>
      <c r="E1470" s="3" t="n">
        <v>0</v>
      </c>
      <c r="F1470" s="3" t="n">
        <v>0</v>
      </c>
      <c r="G1470" s="3" t="n">
        <v>0</v>
      </c>
      <c r="H1470" s="3" t="n">
        <v>0</v>
      </c>
      <c r="I1470" s="3" t="n">
        <v>0</v>
      </c>
      <c r="J1470" s="3" t="n">
        <v>0</v>
      </c>
      <c r="K1470" s="3" t="n">
        <v>0</v>
      </c>
      <c r="L1470" s="3">
        <f>IF(K1470&lt;-5,"CRÍTICO",IF(K1470&lt;0,"ATENÇÃO",IF(K1470&lt;=5,"BOM","EXCELENTE")))</f>
        <v/>
      </c>
      <c r="M1470" s="3" t="n">
        <v>0</v>
      </c>
      <c r="N1470" s="3" t="n">
        <v>0</v>
      </c>
      <c r="O1470" s="12" t="n">
        <v>0</v>
      </c>
    </row>
    <row r="1471">
      <c r="A1471" s="10" t="n">
        <v>46045</v>
      </c>
      <c r="B1471" t="inlineStr">
        <is>
          <t>Quirino Diogo Leite Torres</t>
        </is>
      </c>
      <c r="C1471" s="1" t="inlineStr">
        <is>
          <t>Estágio</t>
        </is>
      </c>
      <c r="D1471" s="3" t="n">
        <v>0</v>
      </c>
      <c r="E1471" s="3" t="n">
        <v>0</v>
      </c>
      <c r="F1471" s="3" t="n">
        <v>0</v>
      </c>
      <c r="G1471" s="3" t="n">
        <v>0</v>
      </c>
      <c r="H1471" s="3" t="n">
        <v>0</v>
      </c>
      <c r="I1471" s="3" t="n">
        <v>0</v>
      </c>
      <c r="J1471" s="3" t="n">
        <v>0</v>
      </c>
      <c r="K1471" s="3" t="n">
        <v>0</v>
      </c>
      <c r="L1471" s="3">
        <f>IF(K1471&lt;-5,"CRÍTICO",IF(K1471&lt;0,"ATENÇÃO",IF(K1471&lt;=5,"BOM","EXCELENTE")))</f>
        <v/>
      </c>
      <c r="M1471" s="3" t="n">
        <v>0</v>
      </c>
      <c r="N1471" s="3" t="n">
        <v>0</v>
      </c>
      <c r="O1471" s="12" t="n">
        <v>0</v>
      </c>
    </row>
    <row r="1472">
      <c r="A1472" s="10" t="n">
        <v>46045</v>
      </c>
      <c r="B1472" t="inlineStr">
        <is>
          <t>Raane Batista Matos</t>
        </is>
      </c>
      <c r="C1472" s="1" t="inlineStr">
        <is>
          <t>Técnico I</t>
        </is>
      </c>
      <c r="D1472" s="3" t="n">
        <v>0</v>
      </c>
      <c r="E1472" s="3" t="n">
        <v>0</v>
      </c>
      <c r="F1472" s="3" t="n">
        <v>0</v>
      </c>
      <c r="G1472" s="3" t="n">
        <v>0</v>
      </c>
      <c r="H1472" s="3" t="n">
        <v>0</v>
      </c>
      <c r="I1472" s="3" t="n">
        <v>0</v>
      </c>
      <c r="J1472" s="3" t="n">
        <v>0</v>
      </c>
      <c r="K1472" s="3" t="n">
        <v>0</v>
      </c>
      <c r="L1472" s="3">
        <f>IF(K1472&lt;-5,"CRÍTICO",IF(K1472&lt;0,"ATENÇÃO",IF(K1472&lt;=5,"BOM","EXCELENTE")))</f>
        <v/>
      </c>
      <c r="M1472" s="3" t="n">
        <v>0</v>
      </c>
      <c r="N1472" s="3" t="n">
        <v>100</v>
      </c>
      <c r="O1472" s="12" t="n">
        <v>53.84615384615385</v>
      </c>
    </row>
    <row r="1473">
      <c r="A1473" s="10" t="n">
        <v>46045</v>
      </c>
      <c r="B1473" t="inlineStr">
        <is>
          <t>Rafael Gomes de Morais</t>
        </is>
      </c>
      <c r="C1473" s="1" t="inlineStr">
        <is>
          <t>Técnico III</t>
        </is>
      </c>
      <c r="D1473" s="3" t="n">
        <v>30</v>
      </c>
      <c r="E1473" s="3" t="n">
        <v>28</v>
      </c>
      <c r="F1473" s="3" t="n">
        <v>12.09</v>
      </c>
      <c r="G1473" s="3" t="n">
        <v>0</v>
      </c>
      <c r="H1473" s="3" t="n">
        <v>0</v>
      </c>
      <c r="I1473" s="3">
        <f>E1473+G1473+H1473</f>
        <v/>
      </c>
      <c r="J1473" s="3">
        <f>ROUND(MIN(IF(C1473="Técnico III",35,IF(C1473="Técnico II",28,IF(C1473="Técnico I",23,IF(C1473="JR",20,IF(C1473="Estágio",10,0))))),IF(C1473="Técnico III",SUMIFS($D:$D,$A:$A,$A1473,$B:$B,"&lt;&gt;Patrícia Karla de Sousa Araújo",$B:$B,"&lt;&gt;Lorena Dias de Araujo",$B:$B,"&lt;&gt;Lucas Luiz Romero")*(35/1083),IF(C1473="Técnico II",SUMIFS($D:$D,$A:$A,$A1473,$B:$B,"&lt;&gt;Patrícia Karla de Sousa Araújo",$B:$B,"&lt;&gt;Lorena Dias de Araujo",$B:$B,"&lt;&gt;Lucas Luiz Romero")*(28/1083),IF(C1473="Técnico I",SUMIFS($D:$D,$A:$A,$A1473,$B:$B,"&lt;&gt;Patrícia Karla de Sousa Araújo",$B:$B,"&lt;&gt;Lorena Dias de Araujo",$B:$B,"&lt;&gt;Lucas Luiz Romero")*(23/1083),IF(C1473="JR",SUMIFS($D:$D,$A:$A,$A1473,$B:$B,"&lt;&gt;Patrícia Karla de Sousa Araújo",$B:$B,"&lt;&gt;Lorena Dias de Araujo",$B:$B,"&lt;&gt;Lucas Luiz Romero")*(20/1083),IF(C1473="Estágio",SUMIFS($D:$D,$A:$A,$A1473,$B:$B,"&lt;&gt;Patrícia Karla de Sousa Araújo",$B:$B,"&lt;&gt;Lorena Dias de Araujo",$B:$B,"&lt;&gt;Lucas Luiz Romero")*(10/1083),0)))))),0)</f>
        <v/>
      </c>
      <c r="K1473" s="3">
        <f>I1473-J1473</f>
        <v/>
      </c>
      <c r="L1473" s="3">
        <f>IF(K1473&lt;-5,"CRÍTICO",IF(K1473&lt;0,"ATENÇÃO",IF(K1473&lt;=5,"BOM","EXCELENTE")))</f>
        <v/>
      </c>
      <c r="M1473" s="3" t="n">
        <v>26</v>
      </c>
      <c r="N1473" s="3" t="n">
        <v>100</v>
      </c>
      <c r="O1473" s="12" t="n">
        <v>44.05594405594406</v>
      </c>
    </row>
    <row r="1474">
      <c r="A1474" s="10" t="n">
        <v>46045</v>
      </c>
      <c r="B1474" t="inlineStr">
        <is>
          <t>Sara Maria Monteiro Lopes</t>
        </is>
      </c>
      <c r="C1474" s="1" t="inlineStr">
        <is>
          <t>Técnico I</t>
        </is>
      </c>
      <c r="D1474" s="3" t="n">
        <v>15</v>
      </c>
      <c r="E1474" s="3" t="n">
        <v>15</v>
      </c>
      <c r="F1474" s="3" t="n">
        <v>33.52</v>
      </c>
      <c r="G1474" s="3" t="n">
        <v>0</v>
      </c>
      <c r="H1474" s="3" t="n">
        <v>0</v>
      </c>
      <c r="I1474" s="3">
        <f>E1474+G1474+H1474</f>
        <v/>
      </c>
      <c r="J1474" s="3">
        <f>ROUND(MIN(IF(C1474="Técnico III",35,IF(C1474="Técnico II",28,IF(C1474="Técnico I",23,IF(C1474="JR",20,IF(C1474="Estágio",10,0))))),IF(C1474="Técnico III",SUMIFS($D:$D,$A:$A,$A1474,$B:$B,"&lt;&gt;Patrícia Karla de Sousa Araújo",$B:$B,"&lt;&gt;Lorena Dias de Araujo",$B:$B,"&lt;&gt;Lucas Luiz Romero")*(35/1083),IF(C1474="Técnico II",SUMIFS($D:$D,$A:$A,$A1474,$B:$B,"&lt;&gt;Patrícia Karla de Sousa Araújo",$B:$B,"&lt;&gt;Lorena Dias de Araujo",$B:$B,"&lt;&gt;Lucas Luiz Romero")*(28/1083),IF(C1474="Técnico I",SUMIFS($D:$D,$A:$A,$A1474,$B:$B,"&lt;&gt;Patrícia Karla de Sousa Araújo",$B:$B,"&lt;&gt;Lorena Dias de Araujo",$B:$B,"&lt;&gt;Lucas Luiz Romero")*(23/1083),IF(C1474="JR",SUMIFS($D:$D,$A:$A,$A1474,$B:$B,"&lt;&gt;Patrícia Karla de Sousa Araújo",$B:$B,"&lt;&gt;Lorena Dias de Araujo",$B:$B,"&lt;&gt;Lucas Luiz Romero")*(20/1083),IF(C1474="Estágio",SUMIFS($D:$D,$A:$A,$A1474,$B:$B,"&lt;&gt;Patrícia Karla de Sousa Araújo",$B:$B,"&lt;&gt;Lorena Dias de Araujo",$B:$B,"&lt;&gt;Lucas Luiz Romero")*(10/1083),0)))))),0)</f>
        <v/>
      </c>
      <c r="K1474" s="3">
        <f>I1474-J1474</f>
        <v/>
      </c>
      <c r="L1474" s="3">
        <f>IF(K1474&lt;-5,"CRÍTICO",IF(K1474&lt;0,"ATENÇÃO",IF(K1474&lt;=5,"BOM","EXCELENTE")))</f>
        <v/>
      </c>
      <c r="M1474" s="3" t="n">
        <v>14</v>
      </c>
      <c r="N1474" s="3" t="n">
        <v>100</v>
      </c>
      <c r="O1474" s="12" t="n">
        <v>31.87250996015936</v>
      </c>
    </row>
    <row r="1475">
      <c r="A1475" s="10" t="n">
        <v>46045</v>
      </c>
      <c r="B1475" t="inlineStr">
        <is>
          <t>Sarah Steffanie de Lima Borges</t>
        </is>
      </c>
      <c r="C1475" s="1" t="inlineStr">
        <is>
          <t>Técnico III</t>
        </is>
      </c>
      <c r="D1475" s="3" t="n">
        <v>25</v>
      </c>
      <c r="E1475" s="3" t="n">
        <v>25</v>
      </c>
      <c r="F1475" s="3" t="n">
        <v>12.34</v>
      </c>
      <c r="G1475" s="3" t="n">
        <v>0</v>
      </c>
      <c r="H1475" s="3" t="n">
        <v>0</v>
      </c>
      <c r="I1475" s="3">
        <f>E1475+G1475+H1475</f>
        <v/>
      </c>
      <c r="J1475" s="3">
        <f>ROUND(MIN(IF(C1475="Técnico III",35,IF(C1475="Técnico II",28,IF(C1475="Técnico I",23,IF(C1475="JR",20,IF(C1475="Estágio",10,0))))),IF(C1475="Técnico III",SUMIFS($D:$D,$A:$A,$A1475,$B:$B,"&lt;&gt;Patrícia Karla de Sousa Araújo",$B:$B,"&lt;&gt;Lorena Dias de Araujo",$B:$B,"&lt;&gt;Lucas Luiz Romero")*(35/1083),IF(C1475="Técnico II",SUMIFS($D:$D,$A:$A,$A1475,$B:$B,"&lt;&gt;Patrícia Karla de Sousa Araújo",$B:$B,"&lt;&gt;Lorena Dias de Araujo",$B:$B,"&lt;&gt;Lucas Luiz Romero")*(28/1083),IF(C1475="Técnico I",SUMIFS($D:$D,$A:$A,$A1475,$B:$B,"&lt;&gt;Patrícia Karla de Sousa Araújo",$B:$B,"&lt;&gt;Lorena Dias de Araujo",$B:$B,"&lt;&gt;Lucas Luiz Romero")*(23/1083),IF(C1475="JR",SUMIFS($D:$D,$A:$A,$A1475,$B:$B,"&lt;&gt;Patrícia Karla de Sousa Araújo",$B:$B,"&lt;&gt;Lorena Dias de Araujo",$B:$B,"&lt;&gt;Lucas Luiz Romero")*(20/1083),IF(C1475="Estágio",SUMIFS($D:$D,$A:$A,$A1475,$B:$B,"&lt;&gt;Patrícia Karla de Sousa Araújo",$B:$B,"&lt;&gt;Lorena Dias de Araujo",$B:$B,"&lt;&gt;Lucas Luiz Romero")*(10/1083),0)))))),0)</f>
        <v/>
      </c>
      <c r="K1475" s="3">
        <f>I1475-J1475</f>
        <v/>
      </c>
      <c r="L1475" s="3">
        <f>IF(K1475&lt;-5,"CRÍTICO",IF(K1475&lt;0,"ATENÇÃO",IF(K1475&lt;=5,"BOM","EXCELENTE")))</f>
        <v/>
      </c>
      <c r="M1475" s="3" t="n">
        <v>23</v>
      </c>
      <c r="N1475" s="3" t="n">
        <v>98.41</v>
      </c>
      <c r="O1475" s="12" t="n">
        <v>29.22465208747515</v>
      </c>
    </row>
    <row r="1476">
      <c r="A1476" s="10" t="n">
        <v>46048</v>
      </c>
      <c r="B1476" t="inlineStr">
        <is>
          <t>Alisson de Freitas Silva</t>
        </is>
      </c>
      <c r="C1476" s="1" t="inlineStr">
        <is>
          <t>Técnico II</t>
        </is>
      </c>
      <c r="D1476" s="3" t="n">
        <v>26</v>
      </c>
      <c r="E1476" s="3" t="n">
        <v>25</v>
      </c>
      <c r="F1476" s="3" t="n">
        <v>17.2</v>
      </c>
      <c r="G1476" s="3" t="n">
        <v>0</v>
      </c>
      <c r="H1476" s="3" t="n">
        <v>0</v>
      </c>
      <c r="I1476" s="3">
        <f>E1476+G1476+H1476</f>
        <v/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/>
      </c>
      <c r="K1476" s="3">
        <f>I1476-J1476</f>
        <v/>
      </c>
      <c r="L1476" s="3">
        <f>IF(K1476&lt;-5,"CRÍTICO",IF(K1476&lt;0,"ATENÇÃO",IF(K1476&lt;=5,"BOM","EXCELENTE")))</f>
        <v/>
      </c>
      <c r="M1476" s="3" t="n">
        <v>19</v>
      </c>
      <c r="N1476" s="3" t="n">
        <v>96.81</v>
      </c>
      <c r="O1476" s="12" t="n">
        <v>27.98053527980535</v>
      </c>
    </row>
    <row r="1477">
      <c r="A1477" s="10" t="n">
        <v>46048</v>
      </c>
      <c r="B1477" t="inlineStr">
        <is>
          <t>Amanda Moura Ferreira</t>
        </is>
      </c>
      <c r="C1477" s="1" t="inlineStr">
        <is>
          <t>Técnico III</t>
        </is>
      </c>
      <c r="D1477" s="3" t="n">
        <v>0</v>
      </c>
      <c r="E1477" s="3" t="n">
        <v>0</v>
      </c>
      <c r="F1477" s="3" t="n">
        <v>0</v>
      </c>
      <c r="G1477" s="3" t="n">
        <v>0</v>
      </c>
      <c r="H1477" s="3" t="n">
        <v>0</v>
      </c>
      <c r="I1477" s="3" t="n">
        <v>0</v>
      </c>
      <c r="J1477" s="3" t="n">
        <v>0</v>
      </c>
      <c r="K1477" s="3" t="n">
        <v>0</v>
      </c>
      <c r="L1477" s="3">
        <f>IF(K1477&lt;-5,"CRÍTICO",IF(K1477&lt;0,"ATENÇÃO",IF(K1477&lt;=5,"BOM","EXCELENTE")))</f>
        <v/>
      </c>
      <c r="M1477" s="3" t="n">
        <v>21</v>
      </c>
      <c r="N1477" s="3" t="n">
        <v>98.73</v>
      </c>
      <c r="O1477" s="12" t="n">
        <v>35.75638506876228</v>
      </c>
    </row>
    <row r="1478">
      <c r="A1478" s="10" t="n">
        <v>46048</v>
      </c>
      <c r="B1478" t="inlineStr">
        <is>
          <t>Ana Karollyne Souza Faria</t>
        </is>
      </c>
      <c r="C1478" s="1" t="inlineStr">
        <is>
          <t>Técnico I</t>
        </is>
      </c>
      <c r="D1478" s="3" t="n">
        <v>29</v>
      </c>
      <c r="E1478" s="3" t="n">
        <v>26</v>
      </c>
      <c r="F1478" s="3" t="n">
        <v>20.56</v>
      </c>
      <c r="G1478" s="3" t="n">
        <v>0</v>
      </c>
      <c r="H1478" s="3" t="n">
        <v>0</v>
      </c>
      <c r="I1478" s="3">
        <f>E1478+G1478+H1478</f>
        <v/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/>
      </c>
      <c r="K1478" s="3">
        <f>I1478-J1478</f>
        <v/>
      </c>
      <c r="L1478" s="3">
        <f>IF(K1478&lt;-5,"CRÍTICO",IF(K1478&lt;0,"ATENÇÃO",IF(K1478&lt;=5,"BOM","EXCELENTE")))</f>
        <v/>
      </c>
      <c r="M1478" s="3" t="n">
        <v>27</v>
      </c>
      <c r="N1478" s="3" t="n">
        <v>98.31999999999999</v>
      </c>
      <c r="O1478" s="12" t="n">
        <v>26.76348547717842</v>
      </c>
    </row>
    <row r="1479">
      <c r="A1479" s="10" t="n">
        <v>46048</v>
      </c>
      <c r="B1479" t="inlineStr">
        <is>
          <t>Ana Paula Da Luz Silva Aleixo</t>
        </is>
      </c>
      <c r="C1479" s="1" t="inlineStr">
        <is>
          <t>Técnico III</t>
        </is>
      </c>
      <c r="D1479" s="3" t="n">
        <v>28</v>
      </c>
      <c r="E1479" s="3" t="n">
        <v>24</v>
      </c>
      <c r="F1479" s="3" t="n">
        <v>25.26</v>
      </c>
      <c r="G1479" s="3" t="n">
        <v>0</v>
      </c>
      <c r="H1479" s="3" t="n">
        <v>0</v>
      </c>
      <c r="I1479" s="3">
        <f>E1479+G1479+H1479</f>
        <v/>
      </c>
      <c r="J1479" s="3">
        <f>ROUND(MIN(IF(C1479="Técnico III",35,IF(C1479="Técnico II",28,IF(C1479="Técnico I",23,IF(C1479="JR",20,IF(C1479="Estágio",10,0))))),IF(C1479="Técnico III",SUMIFS($D:$D,$A:$A,$A1479,$B:$B,"&lt;&gt;Patrícia Karla de Sousa Araújo",$B:$B,"&lt;&gt;Lorena Dias de Araujo",$B:$B,"&lt;&gt;Lucas Luiz Romero")*(35/1083),IF(C1479="Técnico II",SUMIFS($D:$D,$A:$A,$A1479,$B:$B,"&lt;&gt;Patrícia Karla de Sousa Araújo",$B:$B,"&lt;&gt;Lorena Dias de Araujo",$B:$B,"&lt;&gt;Lucas Luiz Romero")*(28/1083),IF(C1479="Técnico I",SUMIFS($D:$D,$A:$A,$A1479,$B:$B,"&lt;&gt;Patrícia Karla de Sousa Araújo",$B:$B,"&lt;&gt;Lorena Dias de Araujo",$B:$B,"&lt;&gt;Lucas Luiz Romero")*(23/1083),IF(C1479="JR",SUMIFS($D:$D,$A:$A,$A1479,$B:$B,"&lt;&gt;Patrícia Karla de Sousa Araújo",$B:$B,"&lt;&gt;Lorena Dias de Araujo",$B:$B,"&lt;&gt;Lucas Luiz Romero")*(20/1083),IF(C1479="Estágio",SUMIFS($D:$D,$A:$A,$A1479,$B:$B,"&lt;&gt;Patrícia Karla de Sousa Araújo",$B:$B,"&lt;&gt;Lorena Dias de Araujo",$B:$B,"&lt;&gt;Lucas Luiz Romero")*(10/1083),0)))))),0)</f>
        <v/>
      </c>
      <c r="K1479" s="3">
        <f>I1479-J1479</f>
        <v/>
      </c>
      <c r="L1479" s="3">
        <f>IF(K1479&lt;-5,"CRÍTICO",IF(K1479&lt;0,"ATENÇÃO",IF(K1479&lt;=5,"BOM","EXCELENTE")))</f>
        <v/>
      </c>
      <c r="M1479" s="3" t="n">
        <v>16</v>
      </c>
      <c r="N1479" s="3" t="n">
        <v>99.19</v>
      </c>
      <c r="O1479" s="12" t="n">
        <v>27.63713080168776</v>
      </c>
    </row>
    <row r="1480">
      <c r="A1480" s="10" t="n">
        <v>46048</v>
      </c>
      <c r="B1480" t="inlineStr">
        <is>
          <t>Anna Luiza Rezende Tavares</t>
        </is>
      </c>
      <c r="C1480" s="1" t="inlineStr">
        <is>
          <t>Estágio</t>
        </is>
      </c>
      <c r="D1480" s="3" t="n">
        <v>9</v>
      </c>
      <c r="E1480" s="3" t="n">
        <v>9</v>
      </c>
      <c r="F1480" s="3" t="n">
        <v>37.02</v>
      </c>
      <c r="G1480" s="3" t="n">
        <v>0</v>
      </c>
      <c r="H1480" s="3" t="n">
        <v>0</v>
      </c>
      <c r="I1480" s="3">
        <f>E1480+G1480+H1480</f>
        <v/>
      </c>
      <c r="J1480" s="3">
        <f>ROUND(MIN(IF(C1480="Técnico III",35,IF(C1480="Técnico II",28,IF(C1480="Técnico I",23,IF(C1480="JR",20,IF(C1480="Estágio",10,0))))),IF(C1480="Técnico III",SUMIFS($D:$D,$A:$A,$A1480,$B:$B,"&lt;&gt;Patrícia Karla de Sousa Araújo",$B:$B,"&lt;&gt;Lorena Dias de Araujo",$B:$B,"&lt;&gt;Lucas Luiz Romero")*(35/1083),IF(C1480="Técnico II",SUMIFS($D:$D,$A:$A,$A1480,$B:$B,"&lt;&gt;Patrícia Karla de Sousa Araújo",$B:$B,"&lt;&gt;Lorena Dias de Araujo",$B:$B,"&lt;&gt;Lucas Luiz Romero")*(28/1083),IF(C1480="Técnico I",SUMIFS($D:$D,$A:$A,$A1480,$B:$B,"&lt;&gt;Patrícia Karla de Sousa Araújo",$B:$B,"&lt;&gt;Lorena Dias de Araujo",$B:$B,"&lt;&gt;Lucas Luiz Romero")*(23/1083),IF(C1480="JR",SUMIFS($D:$D,$A:$A,$A1480,$B:$B,"&lt;&gt;Patrícia Karla de Sousa Araújo",$B:$B,"&lt;&gt;Lorena Dias de Araujo",$B:$B,"&lt;&gt;Lucas Luiz Romero")*(20/1083),IF(C1480="Estágio",SUMIFS($D:$D,$A:$A,$A1480,$B:$B,"&lt;&gt;Patrícia Karla de Sousa Araújo",$B:$B,"&lt;&gt;Lorena Dias de Araujo",$B:$B,"&lt;&gt;Lucas Luiz Romero")*(10/1083),0)))))),0)</f>
        <v/>
      </c>
      <c r="K1480" s="3">
        <f>I1480-J1480</f>
        <v/>
      </c>
      <c r="L1480" s="3">
        <f>IF(K1480&lt;-5,"CRÍTICO",IF(K1480&lt;0,"ATENÇÃO",IF(K1480&lt;=5,"BOM","EXCELENTE")))</f>
        <v/>
      </c>
      <c r="M1480" s="3" t="n">
        <v>7</v>
      </c>
      <c r="N1480" s="3" t="n">
        <v>100</v>
      </c>
      <c r="O1480" s="12" t="n">
        <v>39.56834532374101</v>
      </c>
    </row>
    <row r="1481">
      <c r="A1481" s="10" t="n">
        <v>46048</v>
      </c>
      <c r="B1481" t="inlineStr">
        <is>
          <t>Brenda de Menezes Silva</t>
        </is>
      </c>
      <c r="C1481" s="1" t="inlineStr">
        <is>
          <t>Técnico II</t>
        </is>
      </c>
      <c r="D1481" s="3" t="n">
        <v>34</v>
      </c>
      <c r="E1481" s="3" t="n">
        <v>30</v>
      </c>
      <c r="F1481" s="3" t="n">
        <v>14.12</v>
      </c>
      <c r="G1481" s="3" t="n">
        <v>0</v>
      </c>
      <c r="H1481" s="3" t="n">
        <v>0</v>
      </c>
      <c r="I1481" s="3">
        <f>E1481+G1481+H1481</f>
        <v/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/>
      </c>
      <c r="K1481" s="3">
        <f>I1481-J1481</f>
        <v/>
      </c>
      <c r="L1481" s="3">
        <f>IF(K1481&lt;-5,"CRÍTICO",IF(K1481&lt;0,"ATENÇÃO",IF(K1481&lt;=5,"BOM","EXCELENTE")))</f>
        <v/>
      </c>
      <c r="M1481" s="3" t="n">
        <v>30</v>
      </c>
      <c r="N1481" s="3" t="n">
        <v>98.54000000000001</v>
      </c>
      <c r="O1481" s="12" t="n">
        <v>28.54477611940299</v>
      </c>
    </row>
    <row r="1482">
      <c r="A1482" s="10" t="n">
        <v>46048</v>
      </c>
      <c r="B1482" t="inlineStr">
        <is>
          <t>Carlos Mateus Cassimiro Nunes</t>
        </is>
      </c>
      <c r="C1482" s="1" t="inlineStr">
        <is>
          <t>Técnico II</t>
        </is>
      </c>
      <c r="D1482" s="3" t="n">
        <v>23</v>
      </c>
      <c r="E1482" s="3" t="n">
        <v>23</v>
      </c>
      <c r="F1482" s="3" t="n">
        <v>28.35</v>
      </c>
      <c r="G1482" s="3" t="n">
        <v>0</v>
      </c>
      <c r="H1482" s="3" t="n">
        <v>0</v>
      </c>
      <c r="I1482" s="3">
        <f>E1482+G1482+H1482</f>
        <v/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/>
      </c>
      <c r="K1482" s="3">
        <f>I1482-J1482</f>
        <v/>
      </c>
      <c r="L1482" s="3">
        <f>IF(K1482&lt;-5,"CRÍTICO",IF(K1482&lt;0,"ATENÇÃO",IF(K1482&lt;=5,"BOM","EXCELENTE")))</f>
        <v/>
      </c>
      <c r="M1482" s="3" t="n">
        <v>21</v>
      </c>
      <c r="N1482" s="3" t="n">
        <v>100</v>
      </c>
      <c r="O1482" s="12" t="n">
        <v>34.36692506459949</v>
      </c>
    </row>
    <row r="1483">
      <c r="A1483" s="10" t="n">
        <v>46048</v>
      </c>
      <c r="B1483" t="inlineStr">
        <is>
          <t>Claudio de Sousa Velasco Filho</t>
        </is>
      </c>
      <c r="C1483" s="1" t="inlineStr">
        <is>
          <t>Estágio</t>
        </is>
      </c>
      <c r="D1483" s="3" t="n">
        <v>0</v>
      </c>
      <c r="E1483" s="3" t="n">
        <v>0</v>
      </c>
      <c r="F1483" s="3" t="n">
        <v>0</v>
      </c>
      <c r="G1483" s="3" t="n">
        <v>0</v>
      </c>
      <c r="H1483" s="3" t="n">
        <v>0</v>
      </c>
      <c r="I1483" s="3" t="n">
        <v>0</v>
      </c>
      <c r="J1483" s="3" t="n">
        <v>0</v>
      </c>
      <c r="K1483" s="3" t="n">
        <v>0</v>
      </c>
      <c r="L1483" s="3">
        <f>IF(K1483&lt;-5,"CRÍTICO",IF(K1483&lt;0,"ATENÇÃO",IF(K1483&lt;=5,"BOM","EXCELENTE")))</f>
        <v/>
      </c>
      <c r="M1483" s="3" t="n">
        <v>0</v>
      </c>
      <c r="N1483" s="3" t="n">
        <v>0</v>
      </c>
      <c r="O1483" s="12" t="n">
        <v>0</v>
      </c>
    </row>
    <row r="1484">
      <c r="A1484" s="10" t="n">
        <v>46048</v>
      </c>
      <c r="B1484" t="inlineStr">
        <is>
          <t>Clessiane Pereira dos Santos</t>
        </is>
      </c>
      <c r="C1484" s="1" t="inlineStr">
        <is>
          <t>Técnico I</t>
        </is>
      </c>
      <c r="D1484" s="3" t="n">
        <v>21</v>
      </c>
      <c r="E1484" s="3" t="n">
        <v>20</v>
      </c>
      <c r="F1484" s="3" t="n">
        <v>25.2</v>
      </c>
      <c r="G1484" s="3" t="n">
        <v>0</v>
      </c>
      <c r="H1484" s="3" t="n">
        <v>0</v>
      </c>
      <c r="I1484" s="3">
        <f>E1484+G1484+H1484</f>
        <v/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/>
      </c>
      <c r="K1484" s="3">
        <f>I1484-J1484</f>
        <v/>
      </c>
      <c r="L1484" s="3">
        <f>IF(K1484&lt;-5,"CRÍTICO",IF(K1484&lt;0,"ATENÇÃO",IF(K1484&lt;=5,"BOM","EXCELENTE")))</f>
        <v/>
      </c>
      <c r="M1484" s="3" t="n">
        <v>19</v>
      </c>
      <c r="N1484" s="3" t="n">
        <v>100</v>
      </c>
      <c r="O1484" s="12" t="n">
        <v>29.51807228915663</v>
      </c>
    </row>
    <row r="1485">
      <c r="A1485" s="10" t="n">
        <v>46048</v>
      </c>
      <c r="B1485" t="inlineStr">
        <is>
          <t>Cristiane Ramos da Silva Rocha</t>
        </is>
      </c>
      <c r="C1485" s="1" t="inlineStr">
        <is>
          <t>Técnico III</t>
        </is>
      </c>
      <c r="D1485" s="3" t="n">
        <v>34</v>
      </c>
      <c r="E1485" s="3" t="n">
        <v>28</v>
      </c>
      <c r="F1485" s="3" t="n">
        <v>13.45</v>
      </c>
      <c r="G1485" s="3" t="n">
        <v>0</v>
      </c>
      <c r="H1485" s="3" t="n">
        <v>0</v>
      </c>
      <c r="I1485" s="3">
        <f>E1485+G1485+H1485</f>
        <v/>
      </c>
      <c r="J1485" s="3">
        <f>ROUND(MIN(IF(C1485="Técnico III",35,IF(C1485="Técnico II",28,IF(C1485="Técnico I",23,IF(C1485="JR",20,IF(C1485="Estágio",10,0))))),IF(C1485="Técnico III",SUMIFS($D:$D,$A:$A,$A1485,$B:$B,"&lt;&gt;Patrícia Karla de Sousa Araújo",$B:$B,"&lt;&gt;Lorena Dias de Araujo",$B:$B,"&lt;&gt;Lucas Luiz Romero")*(35/1083),IF(C1485="Técnico II",SUMIFS($D:$D,$A:$A,$A1485,$B:$B,"&lt;&gt;Patrícia Karla de Sousa Araújo",$B:$B,"&lt;&gt;Lorena Dias de Araujo",$B:$B,"&lt;&gt;Lucas Luiz Romero")*(28/1083),IF(C1485="Técnico I",SUMIFS($D:$D,$A:$A,$A1485,$B:$B,"&lt;&gt;Patrícia Karla de Sousa Araújo",$B:$B,"&lt;&gt;Lorena Dias de Araujo",$B:$B,"&lt;&gt;Lucas Luiz Romero")*(23/1083),IF(C1485="JR",SUMIFS($D:$D,$A:$A,$A1485,$B:$B,"&lt;&gt;Patrícia Karla de Sousa Araújo",$B:$B,"&lt;&gt;Lorena Dias de Araujo",$B:$B,"&lt;&gt;Lucas Luiz Romero")*(20/1083),IF(C1485="Estágio",SUMIFS($D:$D,$A:$A,$A1485,$B:$B,"&lt;&gt;Patrícia Karla de Sousa Araújo",$B:$B,"&lt;&gt;Lorena Dias de Araujo",$B:$B,"&lt;&gt;Lucas Luiz Romero")*(10/1083),0)))))),0)</f>
        <v/>
      </c>
      <c r="K1485" s="3">
        <f>I1485-J1485</f>
        <v/>
      </c>
      <c r="L1485" s="3">
        <f>IF(K1485&lt;-5,"CRÍTICO",IF(K1485&lt;0,"ATENÇÃO",IF(K1485&lt;=5,"BOM","EXCELENTE")))</f>
        <v/>
      </c>
      <c r="M1485" s="3" t="n">
        <v>30</v>
      </c>
      <c r="N1485" s="3" t="n">
        <v>97.45</v>
      </c>
      <c r="O1485" s="12" t="n">
        <v>41.421143847487</v>
      </c>
    </row>
    <row r="1486">
      <c r="A1486" s="10" t="n">
        <v>46048</v>
      </c>
      <c r="B1486" t="inlineStr">
        <is>
          <t>Damyllis Lorraine de Oliveira Gonçalves</t>
        </is>
      </c>
      <c r="C1486" s="1" t="inlineStr">
        <is>
          <t>Técnico II</t>
        </is>
      </c>
      <c r="D1486" s="3" t="n">
        <v>30</v>
      </c>
      <c r="E1486" s="3" t="n">
        <v>21</v>
      </c>
      <c r="F1486" s="3" t="n">
        <v>20.24</v>
      </c>
      <c r="G1486" s="3" t="n">
        <v>0</v>
      </c>
      <c r="H1486" s="3" t="n">
        <v>0</v>
      </c>
      <c r="I1486" s="3" t="n">
        <v>0</v>
      </c>
      <c r="J1486" s="3" t="n">
        <v>0</v>
      </c>
      <c r="K1486" s="3" t="n">
        <v>0</v>
      </c>
      <c r="L1486" s="3">
        <f>IF(K1486&lt;-5,"CRÍTICO",IF(K1486&lt;0,"ATENÇÃO",IF(K1486&lt;=5,"BOM","EXCELENTE")))</f>
        <v/>
      </c>
      <c r="M1486" s="3" t="n">
        <v>21</v>
      </c>
      <c r="N1486" s="3" t="n">
        <v>96.58</v>
      </c>
      <c r="O1486" s="12" t="n">
        <v>30.39647577092511</v>
      </c>
    </row>
    <row r="1487">
      <c r="A1487" s="10" t="n">
        <v>46048</v>
      </c>
      <c r="B1487" t="inlineStr">
        <is>
          <t>Daniel Gomes da Silva</t>
        </is>
      </c>
      <c r="C1487" s="1" t="inlineStr">
        <is>
          <t>Técnico I</t>
        </is>
      </c>
      <c r="D1487" s="3" t="n">
        <v>11</v>
      </c>
      <c r="E1487" s="3" t="n">
        <v>11</v>
      </c>
      <c r="F1487" s="3" t="n">
        <v>60.52</v>
      </c>
      <c r="G1487" s="3" t="n">
        <v>0</v>
      </c>
      <c r="H1487" s="3" t="n">
        <v>0</v>
      </c>
      <c r="I1487" s="3">
        <f>E1487+G1487+H1487</f>
        <v/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/>
      </c>
      <c r="K1487" s="3">
        <f>I1487-J1487</f>
        <v/>
      </c>
      <c r="L1487" s="3">
        <f>IF(K1487&lt;-5,"CRÍTICO",IF(K1487&lt;0,"ATENÇÃO",IF(K1487&lt;=5,"BOM","EXCELENTE")))</f>
        <v/>
      </c>
      <c r="M1487" s="3" t="n">
        <v>11</v>
      </c>
      <c r="N1487" s="3" t="n">
        <v>100</v>
      </c>
      <c r="O1487" s="12" t="n">
        <v>27.44282744282744</v>
      </c>
    </row>
    <row r="1488">
      <c r="A1488" s="10" t="n">
        <v>46048</v>
      </c>
      <c r="B1488" t="inlineStr">
        <is>
          <t>Davylla Rodrigues Freitas Silva</t>
        </is>
      </c>
      <c r="C1488" s="1" t="inlineStr">
        <is>
          <t>Técnico III</t>
        </is>
      </c>
      <c r="D1488" s="3" t="n">
        <v>11</v>
      </c>
      <c r="E1488" s="3" t="n">
        <v>10</v>
      </c>
      <c r="F1488" s="3" t="n">
        <v>18.54</v>
      </c>
      <c r="G1488" s="3" t="n">
        <v>0</v>
      </c>
      <c r="H1488" s="3" t="n">
        <v>0</v>
      </c>
      <c r="I1488" s="3" t="n">
        <v>0</v>
      </c>
      <c r="J1488" s="3" t="n">
        <v>0</v>
      </c>
      <c r="K1488" s="3" t="n">
        <v>0</v>
      </c>
      <c r="L1488" s="3">
        <f>IF(K1488&lt;-5,"CRÍTICO",IF(K1488&lt;0,"ATENÇÃO",IF(K1488&lt;=5,"BOM","EXCELENTE")))</f>
        <v/>
      </c>
      <c r="M1488" s="3" t="n">
        <v>8</v>
      </c>
      <c r="N1488" s="3" t="n">
        <v>99.48999999999999</v>
      </c>
      <c r="O1488" s="12" t="n">
        <v>40.2</v>
      </c>
    </row>
    <row r="1489">
      <c r="A1489" s="10" t="n">
        <v>46048</v>
      </c>
      <c r="B1489" t="inlineStr">
        <is>
          <t>Emilly Caylane Costa</t>
        </is>
      </c>
      <c r="C1489" s="1" t="inlineStr">
        <is>
          <t>Estágio</t>
        </is>
      </c>
      <c r="D1489" s="3" t="n">
        <v>0</v>
      </c>
      <c r="E1489" s="3" t="n">
        <v>0</v>
      </c>
      <c r="F1489" s="3" t="n">
        <v>0</v>
      </c>
      <c r="G1489" s="3" t="n">
        <v>0</v>
      </c>
      <c r="H1489" s="3" t="n">
        <v>0</v>
      </c>
      <c r="I1489" s="3" t="n">
        <v>0</v>
      </c>
      <c r="J1489" s="3" t="n">
        <v>0</v>
      </c>
      <c r="K1489" s="3" t="n">
        <v>0</v>
      </c>
      <c r="L1489" s="3">
        <f>IF(K1489&lt;-5,"CRÍTICO",IF(K1489&lt;0,"ATENÇÃO",IF(K1489&lt;=5,"BOM","EXCELENTE")))</f>
        <v/>
      </c>
      <c r="M1489" s="3" t="n">
        <v>0</v>
      </c>
      <c r="N1489" s="3" t="n">
        <v>100</v>
      </c>
      <c r="O1489" s="12" t="n">
        <v>25</v>
      </c>
    </row>
    <row r="1490">
      <c r="A1490" s="10" t="n">
        <v>46048</v>
      </c>
      <c r="B1490" t="inlineStr">
        <is>
          <t>Emilly Kamilly Medeiros Miranda</t>
        </is>
      </c>
      <c r="C1490" s="1" t="inlineStr">
        <is>
          <t>Técnico II</t>
        </is>
      </c>
      <c r="D1490" s="3" t="n">
        <v>32</v>
      </c>
      <c r="E1490" s="3" t="n">
        <v>31</v>
      </c>
      <c r="F1490" s="3" t="n">
        <v>18.47</v>
      </c>
      <c r="G1490" s="3" t="n">
        <v>0</v>
      </c>
      <c r="H1490" s="3" t="n">
        <v>0</v>
      </c>
      <c r="I1490" s="3">
        <f>E1490+G1490+H1490</f>
        <v/>
      </c>
      <c r="J1490" s="3">
        <f>ROUND(MIN(IF(C1490="Técnico III",35,IF(C1490="Técnico II",28,IF(C1490="Técnico I",23,IF(C1490="JR",20,IF(C1490="Estágio",10,0))))),IF(C1490="Técnico III",SUMIFS($D:$D,$A:$A,$A1490,$B:$B,"&lt;&gt;Patrícia Karla de Sousa Araújo",$B:$B,"&lt;&gt;Lorena Dias de Araujo",$B:$B,"&lt;&gt;Lucas Luiz Romero")*(35/1083),IF(C1490="Técnico II",SUMIFS($D:$D,$A:$A,$A1490,$B:$B,"&lt;&gt;Patrícia Karla de Sousa Araújo",$B:$B,"&lt;&gt;Lorena Dias de Araujo",$B:$B,"&lt;&gt;Lucas Luiz Romero")*(28/1083),IF(C1490="Técnico I",SUMIFS($D:$D,$A:$A,$A1490,$B:$B,"&lt;&gt;Patrícia Karla de Sousa Araújo",$B:$B,"&lt;&gt;Lorena Dias de Araujo",$B:$B,"&lt;&gt;Lucas Luiz Romero")*(23/1083),IF(C1490="JR",SUMIFS($D:$D,$A:$A,$A1490,$B:$B,"&lt;&gt;Patrícia Karla de Sousa Araújo",$B:$B,"&lt;&gt;Lorena Dias de Araujo",$B:$B,"&lt;&gt;Lucas Luiz Romero")*(20/1083),IF(C1490="Estágio",SUMIFS($D:$D,$A:$A,$A1490,$B:$B,"&lt;&gt;Patrícia Karla de Sousa Araújo",$B:$B,"&lt;&gt;Lorena Dias de Araujo",$B:$B,"&lt;&gt;Lucas Luiz Romero")*(10/1083),0)))))),0)</f>
        <v/>
      </c>
      <c r="K1490" s="3">
        <f>I1490-J1490</f>
        <v/>
      </c>
      <c r="L1490" s="3">
        <f>IF(K1490&lt;-5,"CRÍTICO",IF(K1490&lt;0,"ATENÇÃO",IF(K1490&lt;=5,"BOM","EXCELENTE")))</f>
        <v/>
      </c>
      <c r="M1490" s="3" t="n">
        <v>28</v>
      </c>
      <c r="N1490" s="3" t="n">
        <v>100</v>
      </c>
      <c r="O1490" s="12" t="n">
        <v>34.15094339622641</v>
      </c>
    </row>
    <row r="1491">
      <c r="A1491" s="10" t="n">
        <v>46048</v>
      </c>
      <c r="B1491" t="inlineStr">
        <is>
          <t>Francielson de Oliveira</t>
        </is>
      </c>
      <c r="C1491" s="1" t="inlineStr">
        <is>
          <t>Técnico III</t>
        </is>
      </c>
      <c r="D1491" s="3" t="n">
        <v>28</v>
      </c>
      <c r="E1491" s="3" t="n">
        <v>25</v>
      </c>
      <c r="F1491" s="3" t="n">
        <v>15.56</v>
      </c>
      <c r="G1491" s="3" t="n">
        <v>0</v>
      </c>
      <c r="H1491" s="3" t="n">
        <v>0</v>
      </c>
      <c r="I1491" s="3">
        <f>E1491+G1491+H1491</f>
        <v/>
      </c>
      <c r="J1491" s="3">
        <f>ROUND(MIN(IF(C1491="Técnico III",35,IF(C1491="Técnico II",28,IF(C1491="Técnico I",23,IF(C1491="JR",20,IF(C1491="Estágio",10,0))))),IF(C1491="Técnico III",SUMIFS($D:$D,$A:$A,$A1491,$B:$B,"&lt;&gt;Patrícia Karla de Sousa Araújo",$B:$B,"&lt;&gt;Lorena Dias de Araujo",$B:$B,"&lt;&gt;Lucas Luiz Romero")*(35/1083),IF(C1491="Técnico II",SUMIFS($D:$D,$A:$A,$A1491,$B:$B,"&lt;&gt;Patrícia Karla de Sousa Araújo",$B:$B,"&lt;&gt;Lorena Dias de Araujo",$B:$B,"&lt;&gt;Lucas Luiz Romero")*(28/1083),IF(C1491="Técnico I",SUMIFS($D:$D,$A:$A,$A1491,$B:$B,"&lt;&gt;Patrícia Karla de Sousa Araújo",$B:$B,"&lt;&gt;Lorena Dias de Araujo",$B:$B,"&lt;&gt;Lucas Luiz Romero")*(23/1083),IF(C1491="JR",SUMIFS($D:$D,$A:$A,$A1491,$B:$B,"&lt;&gt;Patrícia Karla de Sousa Araújo",$B:$B,"&lt;&gt;Lorena Dias de Araujo",$B:$B,"&lt;&gt;Lucas Luiz Romero")*(20/1083),IF(C1491="Estágio",SUMIFS($D:$D,$A:$A,$A1491,$B:$B,"&lt;&gt;Patrícia Karla de Sousa Araújo",$B:$B,"&lt;&gt;Lorena Dias de Araujo",$B:$B,"&lt;&gt;Lucas Luiz Romero")*(10/1083),0)))))),0)</f>
        <v/>
      </c>
      <c r="K1491" s="3">
        <f>I1491-J1491</f>
        <v/>
      </c>
      <c r="L1491" s="3">
        <f>IF(K1491&lt;-5,"CRÍTICO",IF(K1491&lt;0,"ATENÇÃO",IF(K1491&lt;=5,"BOM","EXCELENTE")))</f>
        <v/>
      </c>
      <c r="M1491" s="3" t="n">
        <v>26</v>
      </c>
      <c r="N1491" s="3" t="n">
        <v>100</v>
      </c>
      <c r="O1491" s="12" t="n">
        <v>32.7313769751693</v>
      </c>
    </row>
    <row r="1492">
      <c r="A1492" s="10" t="n">
        <v>46048</v>
      </c>
      <c r="B1492" t="inlineStr">
        <is>
          <t>Francilene Ferreira de Jesus</t>
        </is>
      </c>
      <c r="C1492" s="1" t="inlineStr">
        <is>
          <t>Técnico II</t>
        </is>
      </c>
      <c r="D1492" s="3" t="n">
        <v>25</v>
      </c>
      <c r="E1492" s="3" t="n">
        <v>24</v>
      </c>
      <c r="F1492" s="3" t="n">
        <v>27.03</v>
      </c>
      <c r="G1492" s="3" t="n">
        <v>0</v>
      </c>
      <c r="H1492" s="3" t="n">
        <v>0</v>
      </c>
      <c r="I1492" s="3">
        <f>E1492+G1492+H1492</f>
        <v/>
      </c>
      <c r="J1492" s="3">
        <f>ROUND(MIN(IF(C1492="Técnico III",35,IF(C1492="Técnico II",28,IF(C1492="Técnico I",23,IF(C1492="JR",20,IF(C1492="Estágio",10,0))))),IF(C1492="Técnico III",SUMIFS($D:$D,$A:$A,$A1492,$B:$B,"&lt;&gt;Patrícia Karla de Sousa Araújo",$B:$B,"&lt;&gt;Lorena Dias de Araujo",$B:$B,"&lt;&gt;Lucas Luiz Romero")*(35/1083),IF(C1492="Técnico II",SUMIFS($D:$D,$A:$A,$A1492,$B:$B,"&lt;&gt;Patrícia Karla de Sousa Araújo",$B:$B,"&lt;&gt;Lorena Dias de Araujo",$B:$B,"&lt;&gt;Lucas Luiz Romero")*(28/1083),IF(C1492="Técnico I",SUMIFS($D:$D,$A:$A,$A1492,$B:$B,"&lt;&gt;Patrícia Karla de Sousa Araújo",$B:$B,"&lt;&gt;Lorena Dias de Araujo",$B:$B,"&lt;&gt;Lucas Luiz Romero")*(23/1083),IF(C1492="JR",SUMIFS($D:$D,$A:$A,$A1492,$B:$B,"&lt;&gt;Patrícia Karla de Sousa Araújo",$B:$B,"&lt;&gt;Lorena Dias de Araujo",$B:$B,"&lt;&gt;Lucas Luiz Romero")*(20/1083),IF(C1492="Estágio",SUMIFS($D:$D,$A:$A,$A1492,$B:$B,"&lt;&gt;Patrícia Karla de Sousa Araújo",$B:$B,"&lt;&gt;Lorena Dias de Araujo",$B:$B,"&lt;&gt;Lucas Luiz Romero")*(10/1083),0)))))),0)</f>
        <v/>
      </c>
      <c r="K1492" s="3">
        <f>I1492-J1492</f>
        <v/>
      </c>
      <c r="L1492" s="3">
        <f>IF(K1492&lt;-5,"CRÍTICO",IF(K1492&lt;0,"ATENÇÃO",IF(K1492&lt;=5,"BOM","EXCELENTE")))</f>
        <v/>
      </c>
      <c r="M1492" s="3" t="n">
        <v>21</v>
      </c>
      <c r="N1492" s="3" t="n">
        <v>99.31</v>
      </c>
      <c r="O1492" s="12" t="n">
        <v>30.96234309623431</v>
      </c>
    </row>
    <row r="1493">
      <c r="A1493" s="10" t="n">
        <v>46080</v>
      </c>
      <c r="B1493" t="inlineStr">
        <is>
          <t>Gabriel Gomes de Andrade</t>
        </is>
      </c>
      <c r="C1493" s="1" t="inlineStr">
        <is>
          <t>Técnico I</t>
        </is>
      </c>
      <c r="D1493" s="3" t="n">
        <v>13</v>
      </c>
      <c r="E1493" s="3" t="n">
        <v>13</v>
      </c>
      <c r="F1493" s="3" t="n">
        <v>24.18</v>
      </c>
      <c r="G1493" s="3" t="n">
        <v>0</v>
      </c>
      <c r="H1493" s="3" t="n">
        <v>0</v>
      </c>
      <c r="I1493" s="3">
        <f>E1493+G1493+H1493</f>
        <v/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/>
      </c>
      <c r="K1493" s="3">
        <f>I1493-J1493</f>
        <v/>
      </c>
      <c r="L1493" s="3">
        <f>IF(K1493&lt;-5,"CRÍTICO",IF(K1493&lt;0,"ATENÇÃO",IF(K1493&lt;=5,"BOM","EXCELENTE")))</f>
        <v/>
      </c>
      <c r="M1493" s="3" t="n">
        <v>12</v>
      </c>
      <c r="N1493" s="3" t="n">
        <v>96.67</v>
      </c>
      <c r="O1493" s="12" t="n">
        <v>31.45161290322581</v>
      </c>
    </row>
    <row r="1494">
      <c r="A1494" s="10" t="n">
        <v>46048</v>
      </c>
      <c r="B1494" t="inlineStr">
        <is>
          <t>Isabella Borges de Oliveira</t>
        </is>
      </c>
      <c r="C1494" s="1" t="inlineStr">
        <is>
          <t>Técnico II</t>
        </is>
      </c>
      <c r="D1494" s="3" t="n">
        <v>32</v>
      </c>
      <c r="E1494" s="3" t="n">
        <v>26</v>
      </c>
      <c r="F1494" s="3" t="n">
        <v>17.29</v>
      </c>
      <c r="G1494" s="3" t="n">
        <v>0</v>
      </c>
      <c r="H1494" s="3" t="n">
        <v>0</v>
      </c>
      <c r="I1494" s="3">
        <f>E1494+G1494+H1494</f>
        <v/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/>
      </c>
      <c r="K1494" s="3">
        <f>I1494-J1494</f>
        <v/>
      </c>
      <c r="L1494" s="3">
        <f>IF(K1494&lt;-5,"CRÍTICO",IF(K1494&lt;0,"ATENÇÃO",IF(K1494&lt;=5,"BOM","EXCELENTE")))</f>
        <v/>
      </c>
      <c r="M1494" s="3" t="n">
        <v>24</v>
      </c>
      <c r="N1494" s="3" t="n">
        <v>100</v>
      </c>
      <c r="O1494" s="12" t="n">
        <v>27.67676767676768</v>
      </c>
    </row>
    <row r="1495">
      <c r="A1495" s="10" t="n">
        <v>46048</v>
      </c>
      <c r="B1495" t="inlineStr">
        <is>
          <t>Janaina Lima dos Reis Urany</t>
        </is>
      </c>
      <c r="C1495" s="1" t="inlineStr">
        <is>
          <t>Técnico III</t>
        </is>
      </c>
      <c r="D1495" s="3" t="n">
        <v>42</v>
      </c>
      <c r="E1495" s="3" t="n">
        <v>38</v>
      </c>
      <c r="F1495" s="3" t="n">
        <v>13.39</v>
      </c>
      <c r="G1495" s="3" t="n">
        <v>0</v>
      </c>
      <c r="H1495" s="3" t="n">
        <v>0</v>
      </c>
      <c r="I1495" s="3">
        <f>E1495+G1495+H1495</f>
        <v/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/>
      </c>
      <c r="K1495" s="3">
        <f>I1495-J1495</f>
        <v/>
      </c>
      <c r="L1495" s="3">
        <f>IF(K1495&lt;-5,"CRÍTICO",IF(K1495&lt;0,"ATENÇÃO",IF(K1495&lt;=5,"BOM","EXCELENTE")))</f>
        <v/>
      </c>
      <c r="M1495" s="3" t="n">
        <v>34</v>
      </c>
      <c r="N1495" s="3" t="n">
        <v>100</v>
      </c>
      <c r="O1495" s="12" t="n">
        <v>31.17723156532988</v>
      </c>
    </row>
    <row r="1496">
      <c r="A1496" s="10" t="n">
        <v>46048</v>
      </c>
      <c r="B1496" t="inlineStr">
        <is>
          <t>Jaqueline Evangelista da Silva Martins</t>
        </is>
      </c>
      <c r="C1496" s="1" t="inlineStr">
        <is>
          <t>Técnico III</t>
        </is>
      </c>
      <c r="D1496" s="3" t="n">
        <v>24</v>
      </c>
      <c r="E1496" s="3" t="n">
        <v>21</v>
      </c>
      <c r="F1496" s="3" t="n">
        <v>11.44</v>
      </c>
      <c r="G1496" s="3" t="n">
        <v>0</v>
      </c>
      <c r="H1496" s="3" t="n">
        <v>0</v>
      </c>
      <c r="I1496" s="3">
        <f>E1496+G1496+H1496</f>
        <v/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/>
      </c>
      <c r="K1496" s="3">
        <f>I1496-J1496</f>
        <v/>
      </c>
      <c r="L1496" s="3">
        <f>IF(K1496&lt;-5,"CRÍTICO",IF(K1496&lt;0,"ATENÇÃO",IF(K1496&lt;=5,"BOM","EXCELENTE")))</f>
        <v/>
      </c>
      <c r="M1496" s="3" t="n">
        <v>18</v>
      </c>
      <c r="N1496" s="3" t="n">
        <v>100</v>
      </c>
      <c r="O1496" s="12" t="n">
        <v>27.60942760942761</v>
      </c>
    </row>
    <row r="1497">
      <c r="A1497" s="10" t="n">
        <v>46048</v>
      </c>
      <c r="B1497" t="inlineStr">
        <is>
          <t>Jessica Faria da Silveira</t>
        </is>
      </c>
      <c r="C1497" s="1" t="inlineStr">
        <is>
          <t>Técnico II</t>
        </is>
      </c>
      <c r="D1497" s="3" t="n">
        <v>33</v>
      </c>
      <c r="E1497" s="3" t="n">
        <v>28</v>
      </c>
      <c r="F1497" s="3" t="n">
        <v>15.02</v>
      </c>
      <c r="G1497" s="3" t="n">
        <v>0</v>
      </c>
      <c r="H1497" s="3" t="n">
        <v>0</v>
      </c>
      <c r="I1497" s="3">
        <f>E1497+G1497+H1497</f>
        <v/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/>
      </c>
      <c r="K1497" s="3">
        <f>I1497-J1497</f>
        <v/>
      </c>
      <c r="L1497" s="3">
        <f>IF(K1497&lt;-5,"CRÍTICO",IF(K1497&lt;0,"ATENÇÃO",IF(K1497&lt;=5,"BOM","EXCELENTE")))</f>
        <v/>
      </c>
      <c r="M1497" s="3" t="n">
        <v>26</v>
      </c>
      <c r="N1497" s="3" t="n">
        <v>96.40000000000001</v>
      </c>
      <c r="O1497" s="12" t="n">
        <v>28.76404494382023</v>
      </c>
    </row>
    <row r="1498">
      <c r="A1498" s="10" t="n">
        <v>46048</v>
      </c>
      <c r="B1498" t="inlineStr">
        <is>
          <t>Jéssica Fé Moura</t>
        </is>
      </c>
      <c r="C1498" s="1" t="inlineStr">
        <is>
          <t>Técnico III</t>
        </is>
      </c>
      <c r="D1498" s="3" t="n">
        <v>0</v>
      </c>
      <c r="E1498" s="3" t="n">
        <v>0</v>
      </c>
      <c r="F1498" s="3" t="n">
        <v>0</v>
      </c>
      <c r="G1498" s="3" t="n">
        <v>0</v>
      </c>
      <c r="H1498" s="3" t="n">
        <v>0</v>
      </c>
      <c r="I1498" s="3" t="n">
        <v>0</v>
      </c>
      <c r="J1498" s="3" t="n">
        <v>0</v>
      </c>
      <c r="K1498" s="3" t="n">
        <v>0</v>
      </c>
      <c r="L1498" s="3">
        <f>IF(K1498&lt;-5,"CRÍTICO",IF(K1498&lt;0,"ATENÇÃO",IF(K1498&lt;=5,"BOM","EXCELENTE")))</f>
        <v/>
      </c>
      <c r="M1498" s="3" t="n">
        <v>0</v>
      </c>
      <c r="N1498" s="3" t="n">
        <v>100</v>
      </c>
      <c r="O1498" s="12" t="n">
        <v>33.98058252427185</v>
      </c>
    </row>
    <row r="1499">
      <c r="A1499" s="10" t="n">
        <v>46048</v>
      </c>
      <c r="B1499" t="inlineStr">
        <is>
          <t>Karina Gonçalves Martins</t>
        </is>
      </c>
      <c r="C1499" s="1" t="inlineStr">
        <is>
          <t>JR</t>
        </is>
      </c>
      <c r="D1499" s="3" t="n">
        <v>8</v>
      </c>
      <c r="E1499" s="3" t="n">
        <v>8</v>
      </c>
      <c r="F1499" s="3" t="n">
        <v>29.18</v>
      </c>
      <c r="G1499" s="3" t="n">
        <v>0</v>
      </c>
      <c r="H1499" s="3" t="n">
        <v>0</v>
      </c>
      <c r="I1499" s="3">
        <f>E1499+G1499+H1499</f>
        <v/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/>
      </c>
      <c r="K1499" s="3">
        <f>I1499-J1499</f>
        <v/>
      </c>
      <c r="L1499" s="3">
        <f>IF(K1499&lt;-5,"CRÍTICO",IF(K1499&lt;0,"ATENÇÃO",IF(K1499&lt;=5,"BOM","EXCELENTE")))</f>
        <v/>
      </c>
      <c r="M1499" s="3" t="n">
        <v>8</v>
      </c>
      <c r="N1499" s="3" t="n">
        <v>97.56</v>
      </c>
      <c r="O1499" s="12" t="n">
        <v>32.51533742331289</v>
      </c>
    </row>
    <row r="1500">
      <c r="A1500" s="10" t="n">
        <v>46048</v>
      </c>
      <c r="B1500" t="inlineStr">
        <is>
          <t>Kerollen Cristielly de Jesus Siqueira</t>
        </is>
      </c>
      <c r="C1500" s="1" t="inlineStr">
        <is>
          <t>Técnico III</t>
        </is>
      </c>
      <c r="D1500" s="3" t="n">
        <v>17</v>
      </c>
      <c r="E1500" s="3" t="n">
        <v>16</v>
      </c>
      <c r="F1500" s="3" t="n">
        <v>27.34</v>
      </c>
      <c r="G1500" s="3" t="n">
        <v>0</v>
      </c>
      <c r="H1500" s="3" t="n">
        <v>0</v>
      </c>
      <c r="I1500" s="3">
        <f>E1500+G1500+H1500</f>
        <v/>
      </c>
      <c r="J1500" s="3">
        <f>ROUND(MIN(IF(C1500="Técnico III",35,IF(C1500="Técnico II",28,IF(C1500="Técnico I",23,IF(C1500="JR",20,IF(C1500="Estágio",10,0))))),IF(C1500="Técnico III",SUMIFS($D:$D,$A:$A,$A1500,$B:$B,"&lt;&gt;Patrícia Karla de Sousa Araújo",$B:$B,"&lt;&gt;Lorena Dias de Araujo",$B:$B,"&lt;&gt;Lucas Luiz Romero")*(35/1083),IF(C1500="Técnico II",SUMIFS($D:$D,$A:$A,$A1500,$B:$B,"&lt;&gt;Patrícia Karla de Sousa Araújo",$B:$B,"&lt;&gt;Lorena Dias de Araujo",$B:$B,"&lt;&gt;Lucas Luiz Romero")*(28/1083),IF(C1500="Técnico I",SUMIFS($D:$D,$A:$A,$A1500,$B:$B,"&lt;&gt;Patrícia Karla de Sousa Araújo",$B:$B,"&lt;&gt;Lorena Dias de Araujo",$B:$B,"&lt;&gt;Lucas Luiz Romero")*(23/1083),IF(C1500="JR",SUMIFS($D:$D,$A:$A,$A1500,$B:$B,"&lt;&gt;Patrícia Karla de Sousa Araújo",$B:$B,"&lt;&gt;Lorena Dias de Araujo",$B:$B,"&lt;&gt;Lucas Luiz Romero")*(20/1083),IF(C1500="Estágio",SUMIFS($D:$D,$A:$A,$A1500,$B:$B,"&lt;&gt;Patrícia Karla de Sousa Araújo",$B:$B,"&lt;&gt;Lorena Dias de Araujo",$B:$B,"&lt;&gt;Lucas Luiz Romero")*(10/1083),0)))))),0)</f>
        <v/>
      </c>
      <c r="K1500" s="3">
        <f>I1500-J1500</f>
        <v/>
      </c>
      <c r="L1500" s="3">
        <f>IF(K1500&lt;-5,"CRÍTICO",IF(K1500&lt;0,"ATENÇÃO",IF(K1500&lt;=5,"BOM","EXCELENTE")))</f>
        <v/>
      </c>
      <c r="M1500" s="3" t="n">
        <v>17</v>
      </c>
      <c r="N1500" s="3" t="n">
        <v>97.11</v>
      </c>
      <c r="O1500" s="12" t="n">
        <v>37.40831295843521</v>
      </c>
    </row>
    <row r="1501">
      <c r="A1501" s="10" t="n">
        <v>46048</v>
      </c>
      <c r="B1501" t="inlineStr">
        <is>
          <t>Leandro de Souza Silva</t>
        </is>
      </c>
      <c r="C1501" s="1" t="inlineStr">
        <is>
          <t>JR</t>
        </is>
      </c>
      <c r="D1501" s="3" t="n">
        <v>0</v>
      </c>
      <c r="E1501" s="3" t="n">
        <v>0</v>
      </c>
      <c r="F1501" s="3" t="n">
        <v>0</v>
      </c>
      <c r="G1501" s="3" t="n">
        <v>0</v>
      </c>
      <c r="H1501" s="3" t="n">
        <v>0</v>
      </c>
      <c r="I1501" s="3" t="n">
        <v>0</v>
      </c>
      <c r="J1501" s="3" t="n">
        <v>0</v>
      </c>
      <c r="K1501" s="3" t="n">
        <v>0</v>
      </c>
      <c r="L1501" s="3">
        <f>IF(K1501&lt;-5,"CRÍTICO",IF(K1501&lt;0,"ATENÇÃO",IF(K1501&lt;=5,"BOM","EXCELENTE")))</f>
        <v/>
      </c>
      <c r="M1501" s="3" t="n">
        <v>0</v>
      </c>
      <c r="N1501" s="3" t="n">
        <v>0</v>
      </c>
      <c r="O1501" s="12" t="n">
        <v>0</v>
      </c>
    </row>
    <row r="1502">
      <c r="A1502" s="10" t="n">
        <v>46048</v>
      </c>
      <c r="B1502" t="inlineStr">
        <is>
          <t>Leandro Oliveira de Sousa</t>
        </is>
      </c>
      <c r="C1502" s="1" t="inlineStr">
        <is>
          <t>Técnico III</t>
        </is>
      </c>
      <c r="D1502" s="3" t="n">
        <v>26</v>
      </c>
      <c r="E1502" s="3" t="n">
        <v>24</v>
      </c>
      <c r="F1502" s="3" t="n">
        <v>17.01</v>
      </c>
      <c r="G1502" s="3" t="n">
        <v>0</v>
      </c>
      <c r="H1502" s="3" t="n">
        <v>0</v>
      </c>
      <c r="I1502" s="3">
        <f>E1502+G1502+H1502</f>
        <v/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/>
      </c>
      <c r="K1502" s="3">
        <f>I1502-J1502</f>
        <v/>
      </c>
      <c r="L1502" s="3">
        <f>IF(K1502&lt;-5,"CRÍTICO",IF(K1502&lt;0,"ATENÇÃO",IF(K1502&lt;=5,"BOM","EXCELENTE")))</f>
        <v/>
      </c>
      <c r="M1502" s="3" t="n">
        <v>24</v>
      </c>
      <c r="N1502" s="3" t="n">
        <v>100</v>
      </c>
      <c r="O1502" s="12" t="n">
        <v>30.47034764826176</v>
      </c>
    </row>
    <row r="1503">
      <c r="A1503" s="10" t="n">
        <v>46048</v>
      </c>
      <c r="B1503" t="inlineStr">
        <is>
          <t>Lizandra Gomes Duarte</t>
        </is>
      </c>
      <c r="C1503" s="1" t="inlineStr">
        <is>
          <t>Técnico II</t>
        </is>
      </c>
      <c r="D1503" s="3" t="n">
        <v>32</v>
      </c>
      <c r="E1503" s="3" t="n">
        <v>30</v>
      </c>
      <c r="F1503" s="3" t="n">
        <v>20.12</v>
      </c>
      <c r="G1503" s="3" t="n">
        <v>0</v>
      </c>
      <c r="H1503" s="3" t="n">
        <v>0</v>
      </c>
      <c r="I1503" s="3">
        <f>E1503+G1503+H1503</f>
        <v/>
      </c>
      <c r="J1503" s="3">
        <f>ROUND(MIN(IF(C1503="Técnico III",35,IF(C1503="Técnico II",28,IF(C1503="Técnico I",23,IF(C1503="JR",20,IF(C1503="Estágio",10,0))))),IF(C1503="Técnico III",SUMIFS($D:$D,$A:$A,$A1503,$B:$B,"&lt;&gt;Patrícia Karla de Sousa Araújo",$B:$B,"&lt;&gt;Lorena Dias de Araujo",$B:$B,"&lt;&gt;Lucas Luiz Romero")*(35/1083),IF(C1503="Técnico II",SUMIFS($D:$D,$A:$A,$A1503,$B:$B,"&lt;&gt;Patrícia Karla de Sousa Araújo",$B:$B,"&lt;&gt;Lorena Dias de Araujo",$B:$B,"&lt;&gt;Lucas Luiz Romero")*(28/1083),IF(C1503="Técnico I",SUMIFS($D:$D,$A:$A,$A1503,$B:$B,"&lt;&gt;Patrícia Karla de Sousa Araújo",$B:$B,"&lt;&gt;Lorena Dias de Araujo",$B:$B,"&lt;&gt;Lucas Luiz Romero")*(23/1083),IF(C1503="JR",SUMIFS($D:$D,$A:$A,$A1503,$B:$B,"&lt;&gt;Patrícia Karla de Sousa Araújo",$B:$B,"&lt;&gt;Lorena Dias de Araujo",$B:$B,"&lt;&gt;Lucas Luiz Romero")*(20/1083),IF(C1503="Estágio",SUMIFS($D:$D,$A:$A,$A1503,$B:$B,"&lt;&gt;Patrícia Karla de Sousa Araújo",$B:$B,"&lt;&gt;Lorena Dias de Araujo",$B:$B,"&lt;&gt;Lucas Luiz Romero")*(10/1083),0)))))),0)</f>
        <v/>
      </c>
      <c r="K1503" s="3">
        <f>I1503-J1503</f>
        <v/>
      </c>
      <c r="L1503" s="3">
        <f>IF(K1503&lt;-5,"CRÍTICO",IF(K1503&lt;0,"ATENÇÃO",IF(K1503&lt;=5,"BOM","EXCELENTE")))</f>
        <v/>
      </c>
      <c r="M1503" s="3" t="n">
        <v>21</v>
      </c>
      <c r="N1503" s="3" t="n">
        <v>100</v>
      </c>
      <c r="O1503" s="12" t="n">
        <v>32.37113402061856</v>
      </c>
    </row>
    <row r="1504">
      <c r="A1504" s="10" t="n">
        <v>46048</v>
      </c>
      <c r="B1504" t="inlineStr">
        <is>
          <t>Lorena Dias de Araujo</t>
        </is>
      </c>
      <c r="C1504" s="1" t="inlineStr">
        <is>
          <t>Técnico II</t>
        </is>
      </c>
      <c r="D1504" s="3" t="n">
        <v>34</v>
      </c>
      <c r="E1504" s="3" t="n">
        <v>33</v>
      </c>
      <c r="F1504" s="3" t="n">
        <v>17.23</v>
      </c>
      <c r="G1504" s="3" t="n">
        <v>0</v>
      </c>
      <c r="H1504" s="3" t="n">
        <v>0</v>
      </c>
      <c r="I1504" s="3" t="n">
        <v>0</v>
      </c>
      <c r="J1504" s="3" t="n">
        <v>0</v>
      </c>
      <c r="K1504" s="3" t="n">
        <v>0</v>
      </c>
      <c r="L1504" s="3">
        <f>IF(K1504&lt;-5,"CRÍTICO",IF(K1504&lt;0,"ATENÇÃO",IF(K1504&lt;=5,"BOM","EXCELENTE")))</f>
        <v/>
      </c>
      <c r="M1504" s="3" t="n">
        <v>29</v>
      </c>
      <c r="N1504" s="3" t="n">
        <v>98.31999999999999</v>
      </c>
      <c r="O1504" s="12" t="n">
        <v>32.31850117096019</v>
      </c>
    </row>
    <row r="1505">
      <c r="A1505" s="10" t="n">
        <v>46048</v>
      </c>
      <c r="B1505" t="inlineStr">
        <is>
          <t>Lucas Luiz Romero</t>
        </is>
      </c>
      <c r="C1505" s="1" t="inlineStr">
        <is>
          <t>Técnico III</t>
        </is>
      </c>
      <c r="D1505" s="3" t="n">
        <v>46</v>
      </c>
      <c r="E1505" s="3" t="n">
        <v>31</v>
      </c>
      <c r="F1505" s="3" t="n">
        <v>13.3</v>
      </c>
      <c r="G1505" s="3" t="n">
        <v>0</v>
      </c>
      <c r="H1505" s="3" t="n">
        <v>0</v>
      </c>
      <c r="I1505" s="3">
        <f>E1505+G1505+H1505</f>
        <v/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/>
      </c>
      <c r="K1505" s="3">
        <f>I1505-J1505</f>
        <v/>
      </c>
      <c r="L1505" s="3">
        <f>IF(K1505&lt;-5,"CRÍTICO",IF(K1505&lt;0,"ATENÇÃO",IF(K1505&lt;=5,"BOM","EXCELENTE")))</f>
        <v/>
      </c>
      <c r="M1505" s="3" t="n">
        <v>28</v>
      </c>
      <c r="N1505" s="3" t="n">
        <v>96.43000000000001</v>
      </c>
      <c r="O1505" s="12" t="n">
        <v>27.01525054466231</v>
      </c>
    </row>
    <row r="1506">
      <c r="A1506" s="10" t="n">
        <v>46048</v>
      </c>
      <c r="B1506" t="inlineStr">
        <is>
          <t>Luiz Fernando de Carvalho Junior</t>
        </is>
      </c>
      <c r="C1506" s="1" t="inlineStr">
        <is>
          <t>Técnico I</t>
        </is>
      </c>
      <c r="D1506" s="3" t="n">
        <v>25</v>
      </c>
      <c r="E1506" s="3" t="n">
        <v>23</v>
      </c>
      <c r="F1506" s="3" t="n">
        <v>13.45</v>
      </c>
      <c r="G1506" s="3" t="n">
        <v>0</v>
      </c>
      <c r="H1506" s="3" t="n">
        <v>0</v>
      </c>
      <c r="I1506" s="3">
        <f>E1506+G1506+H1506</f>
        <v/>
      </c>
      <c r="J1506" s="3">
        <f>ROUND(MIN(IF(C1506="Técnico III",35,IF(C1506="Técnico II",28,IF(C1506="Técnico I",23,IF(C1506="JR",20,IF(C1506="Estágio",10,0))))),IF(C1506="Técnico III",SUMIFS($D:$D,$A:$A,$A1506,$B:$B,"&lt;&gt;Patrícia Karla de Sousa Araújo",$B:$B,"&lt;&gt;Lorena Dias de Araujo",$B:$B,"&lt;&gt;Lucas Luiz Romero")*(35/1083),IF(C1506="Técnico II",SUMIFS($D:$D,$A:$A,$A1506,$B:$B,"&lt;&gt;Patrícia Karla de Sousa Araújo",$B:$B,"&lt;&gt;Lorena Dias de Araujo",$B:$B,"&lt;&gt;Lucas Luiz Romero")*(28/1083),IF(C1506="Técnico I",SUMIFS($D:$D,$A:$A,$A1506,$B:$B,"&lt;&gt;Patrícia Karla de Sousa Araújo",$B:$B,"&lt;&gt;Lorena Dias de Araujo",$B:$B,"&lt;&gt;Lucas Luiz Romero")*(23/1083),IF(C1506="JR",SUMIFS($D:$D,$A:$A,$A1506,$B:$B,"&lt;&gt;Patrícia Karla de Sousa Araújo",$B:$B,"&lt;&gt;Lorena Dias de Araujo",$B:$B,"&lt;&gt;Lucas Luiz Romero")*(20/1083),IF(C1506="Estágio",SUMIFS($D:$D,$A:$A,$A1506,$B:$B,"&lt;&gt;Patrícia Karla de Sousa Araújo",$B:$B,"&lt;&gt;Lorena Dias de Araujo",$B:$B,"&lt;&gt;Lucas Luiz Romero")*(10/1083),0)))))),0)</f>
        <v/>
      </c>
      <c r="K1506" s="3">
        <f>I1506-J1506</f>
        <v/>
      </c>
      <c r="L1506" s="3">
        <f>IF(K1506&lt;-5,"CRÍTICO",IF(K1506&lt;0,"ATENÇÃO",IF(K1506&lt;=5,"BOM","EXCELENTE")))</f>
        <v/>
      </c>
      <c r="M1506" s="3" t="n">
        <v>22</v>
      </c>
      <c r="N1506" s="3" t="n">
        <v>98.89</v>
      </c>
      <c r="O1506" s="12" t="n">
        <v>28.02197802197802</v>
      </c>
    </row>
    <row r="1507">
      <c r="A1507" s="10" t="n">
        <v>46048</v>
      </c>
      <c r="B1507" t="inlineStr">
        <is>
          <t>Maria Eduarda Sousa Costa</t>
        </is>
      </c>
      <c r="C1507" s="1" t="inlineStr">
        <is>
          <t>Estágio</t>
        </is>
      </c>
      <c r="D1507" s="3" t="n">
        <v>0</v>
      </c>
      <c r="E1507" s="3" t="n">
        <v>0</v>
      </c>
      <c r="F1507" s="3" t="n">
        <v>0</v>
      </c>
      <c r="G1507" s="3" t="n">
        <v>0</v>
      </c>
      <c r="H1507" s="3" t="n">
        <v>0</v>
      </c>
      <c r="I1507" s="3" t="n">
        <v>0</v>
      </c>
      <c r="J1507" s="3" t="n">
        <v>0</v>
      </c>
      <c r="K1507" s="3" t="n">
        <v>0</v>
      </c>
      <c r="L1507" s="3">
        <f>IF(K1507&lt;-5,"CRÍTICO",IF(K1507&lt;0,"ATENÇÃO",IF(K1507&lt;=5,"BOM","EXCELENTE")))</f>
        <v/>
      </c>
      <c r="M1507" s="3" t="n">
        <v>0</v>
      </c>
      <c r="N1507" s="3" t="n">
        <v>100</v>
      </c>
      <c r="O1507" s="12" t="n">
        <v>33.33333333333333</v>
      </c>
    </row>
    <row r="1508">
      <c r="A1508" s="10" t="n">
        <v>46048</v>
      </c>
      <c r="B1508" t="inlineStr">
        <is>
          <t>Matheus Farias De Souza</t>
        </is>
      </c>
      <c r="C1508" s="1" t="inlineStr">
        <is>
          <t>Técnico III</t>
        </is>
      </c>
      <c r="D1508" s="3" t="n">
        <v>0</v>
      </c>
      <c r="E1508" s="3" t="n">
        <v>0</v>
      </c>
      <c r="F1508" s="3" t="n">
        <v>0</v>
      </c>
      <c r="G1508" s="3" t="n">
        <v>0</v>
      </c>
      <c r="H1508" s="3" t="n">
        <v>0</v>
      </c>
      <c r="I1508" s="3" t="n">
        <v>0</v>
      </c>
      <c r="J1508" s="3" t="n">
        <v>0</v>
      </c>
      <c r="K1508" s="3" t="n">
        <v>0</v>
      </c>
      <c r="L1508" s="3">
        <f>IF(K1508&lt;-5,"CRÍTICO",IF(K1508&lt;0,"ATENÇÃO",IF(K1508&lt;=5,"BOM","EXCELENTE")))</f>
        <v/>
      </c>
      <c r="M1508" s="3" t="n">
        <v>0</v>
      </c>
      <c r="N1508" s="3" t="n">
        <v>100</v>
      </c>
      <c r="O1508" s="12" t="n">
        <v>27.43362831858407</v>
      </c>
    </row>
    <row r="1509">
      <c r="A1509" s="10" t="n">
        <v>46048</v>
      </c>
      <c r="B1509" t="inlineStr">
        <is>
          <t>Maysa Victoria Dias Moura</t>
        </is>
      </c>
      <c r="C1509" s="1" t="inlineStr">
        <is>
          <t>Técnico III</t>
        </is>
      </c>
      <c r="D1509" s="3" t="n">
        <v>46</v>
      </c>
      <c r="E1509" s="3" t="n">
        <v>33</v>
      </c>
      <c r="F1509" s="3" t="n">
        <v>9.140000000000001</v>
      </c>
      <c r="G1509" s="3" t="n">
        <v>0</v>
      </c>
      <c r="H1509" s="3" t="n">
        <v>0</v>
      </c>
      <c r="I1509" s="3">
        <f>E1509+G1509+H1509</f>
        <v/>
      </c>
      <c r="J1509" s="3">
        <f>ROUND(MIN(IF(C1509="Técnico III",35,IF(C1509="Técnico II",28,IF(C1509="Técnico I",23,IF(C1509="JR",20,IF(C1509="Estágio",10,0))))),IF(C1509="Técnico III",SUMIFS($D:$D,$A:$A,$A1509,$B:$B,"&lt;&gt;Patrícia Karla de Sousa Araújo",$B:$B,"&lt;&gt;Lorena Dias de Araujo",$B:$B,"&lt;&gt;Lucas Luiz Romero")*(35/1083),IF(C1509="Técnico II",SUMIFS($D:$D,$A:$A,$A1509,$B:$B,"&lt;&gt;Patrícia Karla de Sousa Araújo",$B:$B,"&lt;&gt;Lorena Dias de Araujo",$B:$B,"&lt;&gt;Lucas Luiz Romero")*(28/1083),IF(C1509="Técnico I",SUMIFS($D:$D,$A:$A,$A1509,$B:$B,"&lt;&gt;Patrícia Karla de Sousa Araújo",$B:$B,"&lt;&gt;Lorena Dias de Araujo",$B:$B,"&lt;&gt;Lucas Luiz Romero")*(23/1083),IF(C1509="JR",SUMIFS($D:$D,$A:$A,$A1509,$B:$B,"&lt;&gt;Patrícia Karla de Sousa Araújo",$B:$B,"&lt;&gt;Lorena Dias de Araujo",$B:$B,"&lt;&gt;Lucas Luiz Romero")*(20/1083),IF(C1509="Estágio",SUMIFS($D:$D,$A:$A,$A1509,$B:$B,"&lt;&gt;Patrícia Karla de Sousa Araújo",$B:$B,"&lt;&gt;Lorena Dias de Araujo",$B:$B,"&lt;&gt;Lucas Luiz Romero")*(10/1083),0)))))),0)</f>
        <v/>
      </c>
      <c r="K1509" s="3">
        <f>I1509-J1509</f>
        <v/>
      </c>
      <c r="L1509" s="3">
        <f>IF(K1509&lt;-5,"CRÍTICO",IF(K1509&lt;0,"ATENÇÃO",IF(K1509&lt;=5,"BOM","EXCELENTE")))</f>
        <v/>
      </c>
      <c r="M1509" s="3" t="n">
        <v>31</v>
      </c>
      <c r="N1509" s="3" t="n">
        <v>98.65000000000001</v>
      </c>
      <c r="O1509" s="12" t="n">
        <v>30.97826086956522</v>
      </c>
    </row>
    <row r="1510">
      <c r="A1510" s="10" t="n">
        <v>46048</v>
      </c>
      <c r="B1510" t="inlineStr">
        <is>
          <t>Michelle G Santos</t>
        </is>
      </c>
      <c r="C1510" s="1" t="inlineStr">
        <is>
          <t>Estágio</t>
        </is>
      </c>
      <c r="D1510" s="3" t="n">
        <v>3</v>
      </c>
      <c r="E1510" s="3" t="n">
        <v>3</v>
      </c>
      <c r="F1510" s="3" t="n">
        <v>79.17</v>
      </c>
      <c r="G1510" s="3" t="n">
        <v>0</v>
      </c>
      <c r="H1510" s="3" t="n">
        <v>0</v>
      </c>
      <c r="I1510" s="3">
        <f>E1510+G1510+H1510</f>
        <v/>
      </c>
      <c r="J1510" s="3">
        <f>ROUND(MIN(IF(C1510="Técnico III",35,IF(C1510="Técnico II",28,IF(C1510="Técnico I",23,IF(C1510="JR",20,IF(C1510="Estágio",10,0))))),IF(C1510="Técnico III",SUMIFS($D:$D,$A:$A,$A1510,$B:$B,"&lt;&gt;Patrícia Karla de Sousa Araújo",$B:$B,"&lt;&gt;Lorena Dias de Araujo",$B:$B,"&lt;&gt;Lucas Luiz Romero")*(35/1083),IF(C1510="Técnico II",SUMIFS($D:$D,$A:$A,$A1510,$B:$B,"&lt;&gt;Patrícia Karla de Sousa Araújo",$B:$B,"&lt;&gt;Lorena Dias de Araujo",$B:$B,"&lt;&gt;Lucas Luiz Romero")*(28/1083),IF(C1510="Técnico I",SUMIFS($D:$D,$A:$A,$A1510,$B:$B,"&lt;&gt;Patrícia Karla de Sousa Araújo",$B:$B,"&lt;&gt;Lorena Dias de Araujo",$B:$B,"&lt;&gt;Lucas Luiz Romero")*(23/1083),IF(C1510="JR",SUMIFS($D:$D,$A:$A,$A1510,$B:$B,"&lt;&gt;Patrícia Karla de Sousa Araújo",$B:$B,"&lt;&gt;Lorena Dias de Araujo",$B:$B,"&lt;&gt;Lucas Luiz Romero")*(20/1083),IF(C1510="Estágio",SUMIFS($D:$D,$A:$A,$A1510,$B:$B,"&lt;&gt;Patrícia Karla de Sousa Araújo",$B:$B,"&lt;&gt;Lorena Dias de Araujo",$B:$B,"&lt;&gt;Lucas Luiz Romero")*(10/1083),0)))))),0)</f>
        <v/>
      </c>
      <c r="K1510" s="3">
        <f>I1510-J1510</f>
        <v/>
      </c>
      <c r="L1510" s="3">
        <f>IF(K1510&lt;-5,"CRÍTICO",IF(K1510&lt;0,"ATENÇÃO",IF(K1510&lt;=5,"BOM","EXCELENTE")))</f>
        <v/>
      </c>
      <c r="M1510" s="3" t="n">
        <v>0</v>
      </c>
      <c r="N1510" s="3" t="n">
        <v>100</v>
      </c>
      <c r="O1510" s="12" t="n">
        <v>12</v>
      </c>
    </row>
    <row r="1511">
      <c r="A1511" s="10" t="n">
        <v>46048</v>
      </c>
      <c r="B1511" t="inlineStr">
        <is>
          <t>Milena Sales</t>
        </is>
      </c>
      <c r="C1511" s="1" t="inlineStr">
        <is>
          <t>JR</t>
        </is>
      </c>
      <c r="D1511" s="3" t="n">
        <v>0</v>
      </c>
      <c r="E1511" s="3" t="n">
        <v>0</v>
      </c>
      <c r="F1511" s="3" t="n">
        <v>0</v>
      </c>
      <c r="G1511" s="3" t="n">
        <v>0</v>
      </c>
      <c r="H1511" s="3" t="n">
        <v>0</v>
      </c>
      <c r="I1511" s="3" t="n">
        <v>0</v>
      </c>
      <c r="J1511" s="3" t="n">
        <v>0</v>
      </c>
      <c r="K1511" s="3" t="n">
        <v>0</v>
      </c>
      <c r="L1511" s="3">
        <f>IF(K1511&lt;-5,"CRÍTICO",IF(K1511&lt;0,"ATENÇÃO",IF(K1511&lt;=5,"BOM","EXCELENTE")))</f>
        <v/>
      </c>
      <c r="M1511" s="3" t="n">
        <v>0</v>
      </c>
      <c r="N1511" s="3" t="n">
        <v>0</v>
      </c>
      <c r="O1511" s="12" t="n">
        <v>0</v>
      </c>
    </row>
    <row r="1512">
      <c r="A1512" s="10" t="n">
        <v>46048</v>
      </c>
      <c r="B1512" t="inlineStr">
        <is>
          <t>Patrícia Karla de Sousa Araújo</t>
        </is>
      </c>
      <c r="C1512" s="1" t="inlineStr">
        <is>
          <t>Técnico II</t>
        </is>
      </c>
      <c r="D1512" s="3" t="n">
        <v>20</v>
      </c>
      <c r="E1512" s="3" t="n">
        <v>19</v>
      </c>
      <c r="F1512" s="3" t="n">
        <v>15.51</v>
      </c>
      <c r="G1512" s="3" t="n">
        <v>0</v>
      </c>
      <c r="H1512" s="3" t="n">
        <v>0</v>
      </c>
      <c r="I1512" s="3">
        <f>E1512+G1512+H1512</f>
        <v/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/>
      </c>
      <c r="K1512" s="3">
        <f>I1512-J1512</f>
        <v/>
      </c>
      <c r="L1512" s="3">
        <f>IF(K1512&lt;-5,"CRÍTICO",IF(K1512&lt;0,"ATENÇÃO",IF(K1512&lt;=5,"BOM","EXCELENTE")))</f>
        <v/>
      </c>
      <c r="M1512" s="3" t="n">
        <v>17</v>
      </c>
      <c r="N1512" s="3" t="n">
        <v>97.56</v>
      </c>
      <c r="O1512" s="12" t="n">
        <v>31.06796116504854</v>
      </c>
    </row>
    <row r="1513">
      <c r="A1513" s="10" t="n">
        <v>46048</v>
      </c>
      <c r="B1513" t="inlineStr">
        <is>
          <t>Paulo Ricardo Santos</t>
        </is>
      </c>
      <c r="C1513" s="1" t="inlineStr">
        <is>
          <t>JR</t>
        </is>
      </c>
      <c r="D1513" s="3" t="n">
        <v>0</v>
      </c>
      <c r="E1513" s="3" t="n">
        <v>0</v>
      </c>
      <c r="F1513" s="3" t="n">
        <v>0</v>
      </c>
      <c r="G1513" s="3" t="n">
        <v>0</v>
      </c>
      <c r="H1513" s="3" t="n">
        <v>0</v>
      </c>
      <c r="I1513" s="3" t="n">
        <v>0</v>
      </c>
      <c r="J1513" s="3" t="n">
        <v>0</v>
      </c>
      <c r="K1513" s="3" t="n">
        <v>0</v>
      </c>
      <c r="L1513" s="3">
        <f>IF(K1513&lt;-5,"CRÍTICO",IF(K1513&lt;0,"ATENÇÃO",IF(K1513&lt;=5,"BOM","EXCELENTE")))</f>
        <v/>
      </c>
      <c r="M1513" s="3" t="n">
        <v>0</v>
      </c>
      <c r="N1513" s="3" t="n">
        <v>0</v>
      </c>
      <c r="O1513" s="12" t="n">
        <v>0</v>
      </c>
    </row>
    <row r="1514">
      <c r="A1514" s="10" t="n">
        <v>46048</v>
      </c>
      <c r="B1514" t="inlineStr">
        <is>
          <t>Pedro Luiz Mota Sousa</t>
        </is>
      </c>
      <c r="C1514" s="1" t="inlineStr">
        <is>
          <t>JR</t>
        </is>
      </c>
      <c r="D1514" s="3" t="n">
        <v>0</v>
      </c>
      <c r="E1514" s="3" t="n">
        <v>0</v>
      </c>
      <c r="F1514" s="3" t="n">
        <v>0</v>
      </c>
      <c r="G1514" s="3" t="n">
        <v>0</v>
      </c>
      <c r="H1514" s="3" t="n">
        <v>0</v>
      </c>
      <c r="I1514" s="3" t="n">
        <v>0</v>
      </c>
      <c r="J1514" s="3" t="n">
        <v>0</v>
      </c>
      <c r="K1514" s="3" t="n">
        <v>0</v>
      </c>
      <c r="L1514" s="3">
        <f>IF(K1514&lt;-5,"CRÍTICO",IF(K1514&lt;0,"ATENÇÃO",IF(K1514&lt;=5,"BOM","EXCELENTE")))</f>
        <v/>
      </c>
      <c r="M1514" s="3" t="n">
        <v>0</v>
      </c>
      <c r="N1514" s="3" t="n">
        <v>0</v>
      </c>
      <c r="O1514" s="12" t="n">
        <v>0</v>
      </c>
    </row>
    <row r="1515">
      <c r="A1515" s="10" t="n">
        <v>46048</v>
      </c>
      <c r="B1515" t="inlineStr">
        <is>
          <t>Quirino Diogo Leite Torres</t>
        </is>
      </c>
      <c r="C1515" s="1" t="inlineStr">
        <is>
          <t>Estágio</t>
        </is>
      </c>
      <c r="D1515" s="3" t="n">
        <v>0</v>
      </c>
      <c r="E1515" s="3" t="n">
        <v>0</v>
      </c>
      <c r="F1515" s="3" t="n">
        <v>0</v>
      </c>
      <c r="G1515" s="3" t="n">
        <v>0</v>
      </c>
      <c r="H1515" s="3" t="n">
        <v>0</v>
      </c>
      <c r="I1515" s="3" t="n">
        <v>0</v>
      </c>
      <c r="J1515" s="3" t="n">
        <v>0</v>
      </c>
      <c r="K1515" s="3" t="n">
        <v>0</v>
      </c>
      <c r="L1515" s="3">
        <f>IF(K1515&lt;-5,"CRÍTICO",IF(K1515&lt;0,"ATENÇÃO",IF(K1515&lt;=5,"BOM","EXCELENTE")))</f>
        <v/>
      </c>
      <c r="M1515" s="3" t="n">
        <v>0</v>
      </c>
      <c r="N1515" s="3" t="n">
        <v>0</v>
      </c>
      <c r="O1515" s="12" t="n">
        <v>0</v>
      </c>
    </row>
    <row r="1516">
      <c r="A1516" s="10" t="n">
        <v>46048</v>
      </c>
      <c r="B1516" t="inlineStr">
        <is>
          <t>Raane Batista Matos</t>
        </is>
      </c>
      <c r="C1516" s="1" t="inlineStr">
        <is>
          <t>Técnico I</t>
        </is>
      </c>
      <c r="D1516" s="3" t="n">
        <v>0</v>
      </c>
      <c r="E1516" s="3" t="n">
        <v>0</v>
      </c>
      <c r="F1516" s="3" t="n">
        <v>0</v>
      </c>
      <c r="G1516" s="3" t="n">
        <v>0</v>
      </c>
      <c r="H1516" s="3" t="n">
        <v>0</v>
      </c>
      <c r="I1516" s="3" t="n">
        <v>0</v>
      </c>
      <c r="J1516" s="3" t="n">
        <v>0</v>
      </c>
      <c r="K1516" s="3" t="n">
        <v>0</v>
      </c>
      <c r="L1516" s="3">
        <f>IF(K1516&lt;-5,"CRÍTICO",IF(K1516&lt;0,"ATENÇÃO",IF(K1516&lt;=5,"BOM","EXCELENTE")))</f>
        <v/>
      </c>
      <c r="M1516" s="3" t="n">
        <v>0</v>
      </c>
      <c r="N1516" s="3" t="n">
        <v>100</v>
      </c>
      <c r="O1516" s="12" t="n">
        <v>53.84615384615385</v>
      </c>
    </row>
    <row r="1517">
      <c r="A1517" s="10" t="n">
        <v>46048</v>
      </c>
      <c r="B1517" t="inlineStr">
        <is>
          <t>Rafael Gomes de Morais</t>
        </is>
      </c>
      <c r="C1517" s="1" t="inlineStr">
        <is>
          <t>Técnico III</t>
        </is>
      </c>
      <c r="D1517" s="3" t="n">
        <v>35</v>
      </c>
      <c r="E1517" s="3" t="n">
        <v>33</v>
      </c>
      <c r="F1517" s="3" t="n">
        <v>12.1</v>
      </c>
      <c r="G1517" s="3" t="n">
        <v>0</v>
      </c>
      <c r="H1517" s="3" t="n">
        <v>0</v>
      </c>
      <c r="I1517" s="3">
        <f>E1517+G1517+H1517</f>
        <v/>
      </c>
      <c r="J1517" s="3">
        <f>ROUND(MIN(IF(C1517="Técnico III",35,IF(C1517="Técnico II",28,IF(C1517="Técnico I",23,IF(C1517="JR",20,IF(C1517="Estágio",10,0))))),IF(C1517="Técnico III",SUMIFS($D:$D,$A:$A,$A1517,$B:$B,"&lt;&gt;Patrícia Karla de Sousa Araújo",$B:$B,"&lt;&gt;Lorena Dias de Araujo",$B:$B,"&lt;&gt;Lucas Luiz Romero")*(35/1083),IF(C1517="Técnico II",SUMIFS($D:$D,$A:$A,$A1517,$B:$B,"&lt;&gt;Patrícia Karla de Sousa Araújo",$B:$B,"&lt;&gt;Lorena Dias de Araujo",$B:$B,"&lt;&gt;Lucas Luiz Romero")*(28/1083),IF(C1517="Técnico I",SUMIFS($D:$D,$A:$A,$A1517,$B:$B,"&lt;&gt;Patrícia Karla de Sousa Araújo",$B:$B,"&lt;&gt;Lorena Dias de Araujo",$B:$B,"&lt;&gt;Lucas Luiz Romero")*(23/1083),IF(C1517="JR",SUMIFS($D:$D,$A:$A,$A1517,$B:$B,"&lt;&gt;Patrícia Karla de Sousa Araújo",$B:$B,"&lt;&gt;Lorena Dias de Araujo",$B:$B,"&lt;&gt;Lucas Luiz Romero")*(20/1083),IF(C1517="Estágio",SUMIFS($D:$D,$A:$A,$A1517,$B:$B,"&lt;&gt;Patrícia Karla de Sousa Araújo",$B:$B,"&lt;&gt;Lorena Dias de Araujo",$B:$B,"&lt;&gt;Lucas Luiz Romero")*(10/1083),0)))))),0)</f>
        <v/>
      </c>
      <c r="K1517" s="3">
        <f>I1517-J1517</f>
        <v/>
      </c>
      <c r="L1517" s="3">
        <f>IF(K1517&lt;-5,"CRÍTICO",IF(K1517&lt;0,"ATENÇÃO",IF(K1517&lt;=5,"BOM","EXCELENTE")))</f>
        <v/>
      </c>
      <c r="M1517" s="3" t="n">
        <v>33</v>
      </c>
      <c r="N1517" s="3" t="n">
        <v>100</v>
      </c>
      <c r="O1517" s="12" t="n">
        <v>44.05594405594406</v>
      </c>
    </row>
    <row r="1518">
      <c r="A1518" s="10" t="n">
        <v>46048</v>
      </c>
      <c r="B1518" t="inlineStr">
        <is>
          <t>Sara Maria Monteiro Lopes</t>
        </is>
      </c>
      <c r="C1518" s="1" t="inlineStr">
        <is>
          <t>Técnico I</t>
        </is>
      </c>
      <c r="D1518" s="3" t="n">
        <v>13</v>
      </c>
      <c r="E1518" s="3" t="n">
        <v>13</v>
      </c>
      <c r="F1518" s="3" t="n">
        <v>23.44</v>
      </c>
      <c r="G1518" s="3" t="n">
        <v>0</v>
      </c>
      <c r="H1518" s="3" t="n">
        <v>0</v>
      </c>
      <c r="I1518" s="3">
        <f>E1518+G1518+H1518</f>
        <v/>
      </c>
      <c r="J1518" s="3">
        <f>ROUND(MIN(IF(C1518="Técnico III",35,IF(C1518="Técnico II",28,IF(C1518="Técnico I",23,IF(C1518="JR",20,IF(C1518="Estágio",10,0))))),IF(C1518="Técnico III",SUMIFS($D:$D,$A:$A,$A1518,$B:$B,"&lt;&gt;Patrícia Karla de Sousa Araújo",$B:$B,"&lt;&gt;Lorena Dias de Araujo",$B:$B,"&lt;&gt;Lucas Luiz Romero")*(35/1083),IF(C1518="Técnico II",SUMIFS($D:$D,$A:$A,$A1518,$B:$B,"&lt;&gt;Patrícia Karla de Sousa Araújo",$B:$B,"&lt;&gt;Lorena Dias de Araujo",$B:$B,"&lt;&gt;Lucas Luiz Romero")*(28/1083),IF(C1518="Técnico I",SUMIFS($D:$D,$A:$A,$A1518,$B:$B,"&lt;&gt;Patrícia Karla de Sousa Araújo",$B:$B,"&lt;&gt;Lorena Dias de Araujo",$B:$B,"&lt;&gt;Lucas Luiz Romero")*(23/1083),IF(C1518="JR",SUMIFS($D:$D,$A:$A,$A1518,$B:$B,"&lt;&gt;Patrícia Karla de Sousa Araújo",$B:$B,"&lt;&gt;Lorena Dias de Araujo",$B:$B,"&lt;&gt;Lucas Luiz Romero")*(20/1083),IF(C1518="Estágio",SUMIFS($D:$D,$A:$A,$A1518,$B:$B,"&lt;&gt;Patrícia Karla de Sousa Araújo",$B:$B,"&lt;&gt;Lorena Dias de Araujo",$B:$B,"&lt;&gt;Lucas Luiz Romero")*(10/1083),0)))))),0)</f>
        <v/>
      </c>
      <c r="K1518" s="3">
        <f>I1518-J1518</f>
        <v/>
      </c>
      <c r="L1518" s="3">
        <f>IF(K1518&lt;-5,"CRÍTICO",IF(K1518&lt;0,"ATENÇÃO",IF(K1518&lt;=5,"BOM","EXCELENTE")))</f>
        <v/>
      </c>
      <c r="M1518" s="3" t="n">
        <v>13</v>
      </c>
      <c r="N1518" s="3" t="n">
        <v>100</v>
      </c>
      <c r="O1518" s="12" t="n">
        <v>31.87250996015936</v>
      </c>
    </row>
    <row r="1519">
      <c r="A1519" s="10" t="n">
        <v>46048</v>
      </c>
      <c r="B1519" t="inlineStr">
        <is>
          <t>Sarah Steffanie de Lima Borges</t>
        </is>
      </c>
      <c r="C1519" s="1" t="inlineStr">
        <is>
          <t>Técnico III</t>
        </is>
      </c>
      <c r="D1519" s="3" t="n">
        <v>26</v>
      </c>
      <c r="E1519" s="3" t="n">
        <v>26</v>
      </c>
      <c r="F1519" s="3" t="n">
        <v>17.21</v>
      </c>
      <c r="G1519" s="3" t="n">
        <v>0</v>
      </c>
      <c r="H1519" s="3" t="n">
        <v>0</v>
      </c>
      <c r="I1519" s="3">
        <f>E1519+G1519+H1519</f>
        <v/>
      </c>
      <c r="J1519" s="3">
        <f>ROUND(MIN(IF(C1519="Técnico III",35,IF(C1519="Técnico II",28,IF(C1519="Técnico I",23,IF(C1519="JR",20,IF(C1519="Estágio",10,0))))),IF(C1519="Técnico III",SUMIFS($D:$D,$A:$A,$A1519,$B:$B,"&lt;&gt;Patrícia Karla de Sousa Araújo",$B:$B,"&lt;&gt;Lorena Dias de Araujo",$B:$B,"&lt;&gt;Lucas Luiz Romero")*(35/1083),IF(C1519="Técnico II",SUMIFS($D:$D,$A:$A,$A1519,$B:$B,"&lt;&gt;Patrícia Karla de Sousa Araújo",$B:$B,"&lt;&gt;Lorena Dias de Araujo",$B:$B,"&lt;&gt;Lucas Luiz Romero")*(28/1083),IF(C1519="Técnico I",SUMIFS($D:$D,$A:$A,$A1519,$B:$B,"&lt;&gt;Patrícia Karla de Sousa Araújo",$B:$B,"&lt;&gt;Lorena Dias de Araujo",$B:$B,"&lt;&gt;Lucas Luiz Romero")*(23/1083),IF(C1519="JR",SUMIFS($D:$D,$A:$A,$A1519,$B:$B,"&lt;&gt;Patrícia Karla de Sousa Araújo",$B:$B,"&lt;&gt;Lorena Dias de Araujo",$B:$B,"&lt;&gt;Lucas Luiz Romero")*(20/1083),IF(C1519="Estágio",SUMIFS($D:$D,$A:$A,$A1519,$B:$B,"&lt;&gt;Patrícia Karla de Sousa Araújo",$B:$B,"&lt;&gt;Lorena Dias de Araujo",$B:$B,"&lt;&gt;Lucas Luiz Romero")*(10/1083),0)))))),0)</f>
        <v/>
      </c>
      <c r="K1519" s="3">
        <f>I1519-J1519</f>
        <v/>
      </c>
      <c r="L1519" s="3">
        <f>IF(K1519&lt;-5,"CRÍTICO",IF(K1519&lt;0,"ATENÇÃO",IF(K1519&lt;=5,"BOM","EXCELENTE")))</f>
        <v/>
      </c>
      <c r="M1519" s="3" t="n">
        <v>24</v>
      </c>
      <c r="N1519" s="3" t="n">
        <v>98.41</v>
      </c>
      <c r="O1519" s="12" t="n">
        <v>29.22465208747515</v>
      </c>
    </row>
    <row r="1520">
      <c r="A1520" s="10" t="n">
        <v>46049</v>
      </c>
      <c r="B1520" t="inlineStr">
        <is>
          <t>Alisson de Freitas Silva</t>
        </is>
      </c>
      <c r="C1520" s="1" t="inlineStr">
        <is>
          <t>Técnico II</t>
        </is>
      </c>
      <c r="D1520" s="3" t="n">
        <v>30</v>
      </c>
      <c r="E1520" s="3" t="n">
        <v>28</v>
      </c>
      <c r="F1520" s="3" t="n">
        <v>22.28</v>
      </c>
      <c r="G1520" s="3" t="n">
        <v>0</v>
      </c>
      <c r="H1520" s="3" t="n">
        <v>0</v>
      </c>
      <c r="I1520" s="3">
        <f>E1520+G1520+H1520</f>
        <v/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/>
      </c>
      <c r="K1520" s="3">
        <f>I1520-J1520</f>
        <v/>
      </c>
      <c r="L1520" s="3">
        <f>IF(K1520&lt;-5,"CRÍTICO",IF(K1520&lt;0,"ATENÇÃO",IF(K1520&lt;=5,"BOM","EXCELENTE")))</f>
        <v/>
      </c>
      <c r="M1520" s="3" t="n">
        <v>21</v>
      </c>
      <c r="N1520" s="3" t="n">
        <v>96.81</v>
      </c>
      <c r="O1520" s="12" t="n">
        <v>27.98053527980535</v>
      </c>
    </row>
    <row r="1521">
      <c r="A1521" s="10" t="n">
        <v>46049</v>
      </c>
      <c r="B1521" t="inlineStr">
        <is>
          <t>Amanda Moura Ferreira</t>
        </is>
      </c>
      <c r="C1521" s="1" t="inlineStr">
        <is>
          <t>Técnico III</t>
        </is>
      </c>
      <c r="D1521" s="3" t="n">
        <v>0</v>
      </c>
      <c r="E1521" s="3" t="n">
        <v>0</v>
      </c>
      <c r="F1521" s="3" t="n">
        <v>0</v>
      </c>
      <c r="G1521" s="3" t="n">
        <v>0</v>
      </c>
      <c r="H1521" s="3" t="n">
        <v>0</v>
      </c>
      <c r="I1521" s="3" t="n">
        <v>0</v>
      </c>
      <c r="J1521" s="3" t="n">
        <v>0</v>
      </c>
      <c r="K1521" s="3" t="n">
        <v>0</v>
      </c>
      <c r="L1521" s="3">
        <f>IF(K1521&lt;-5,"CRÍTICO",IF(K1521&lt;0,"ATENÇÃO",IF(K1521&lt;=5,"BOM","EXCELENTE")))</f>
        <v/>
      </c>
      <c r="M1521" s="3" t="n">
        <v>29</v>
      </c>
      <c r="N1521" s="3" t="n">
        <v>98.73</v>
      </c>
      <c r="O1521" s="12" t="n">
        <v>35.75638506876228</v>
      </c>
    </row>
    <row r="1522">
      <c r="A1522" s="10" t="n">
        <v>46049</v>
      </c>
      <c r="B1522" t="inlineStr">
        <is>
          <t>Ana Karollyne Souza Faria</t>
        </is>
      </c>
      <c r="C1522" s="1" t="inlineStr">
        <is>
          <t>Técnico I</t>
        </is>
      </c>
      <c r="D1522" s="3" t="n">
        <v>26</v>
      </c>
      <c r="E1522" s="3" t="n">
        <v>26</v>
      </c>
      <c r="F1522" s="3" t="n">
        <v>27.04</v>
      </c>
      <c r="G1522" s="3" t="n">
        <v>0</v>
      </c>
      <c r="H1522" s="3" t="n">
        <v>0</v>
      </c>
      <c r="I1522" s="3">
        <f>E1522+G1522+H1522</f>
        <v/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/>
      </c>
      <c r="K1522" s="3">
        <f>I1522-J1522</f>
        <v/>
      </c>
      <c r="L1522" s="3">
        <f>IF(K1522&lt;-5,"CRÍTICO",IF(K1522&lt;0,"ATENÇÃO",IF(K1522&lt;=5,"BOM","EXCELENTE")))</f>
        <v/>
      </c>
      <c r="M1522" s="3" t="n">
        <v>24</v>
      </c>
      <c r="N1522" s="3" t="n">
        <v>98.31999999999999</v>
      </c>
      <c r="O1522" s="12" t="n">
        <v>26.76348547717842</v>
      </c>
    </row>
    <row r="1523">
      <c r="A1523" s="10" t="n">
        <v>46049</v>
      </c>
      <c r="B1523" t="inlineStr">
        <is>
          <t>Ana Paula Da Luz Silva Aleixo</t>
        </is>
      </c>
      <c r="C1523" s="1" t="inlineStr">
        <is>
          <t>Técnico III</t>
        </is>
      </c>
      <c r="D1523" s="3" t="n">
        <v>41</v>
      </c>
      <c r="E1523" s="3" t="n">
        <v>37</v>
      </c>
      <c r="F1523" s="3" t="n">
        <v>15.36</v>
      </c>
      <c r="G1523" s="3" t="n">
        <v>0</v>
      </c>
      <c r="H1523" s="3" t="n">
        <v>0</v>
      </c>
      <c r="I1523" s="3">
        <f>E1523+G1523+H1523</f>
        <v/>
      </c>
      <c r="J1523" s="3">
        <f>ROUND(MIN(IF(C1523="Técnico III",35,IF(C1523="Técnico II",28,IF(C1523="Técnico I",23,IF(C1523="JR",20,IF(C1523="Estágio",10,0))))),IF(C1523="Técnico III",SUMIFS($D:$D,$A:$A,$A1523,$B:$B,"&lt;&gt;Patrícia Karla de Sousa Araújo",$B:$B,"&lt;&gt;Lorena Dias de Araujo",$B:$B,"&lt;&gt;Lucas Luiz Romero")*(35/1083),IF(C1523="Técnico II",SUMIFS($D:$D,$A:$A,$A1523,$B:$B,"&lt;&gt;Patrícia Karla de Sousa Araújo",$B:$B,"&lt;&gt;Lorena Dias de Araujo",$B:$B,"&lt;&gt;Lucas Luiz Romero")*(28/1083),IF(C1523="Técnico I",SUMIFS($D:$D,$A:$A,$A1523,$B:$B,"&lt;&gt;Patrícia Karla de Sousa Araújo",$B:$B,"&lt;&gt;Lorena Dias de Araujo",$B:$B,"&lt;&gt;Lucas Luiz Romero")*(23/1083),IF(C1523="JR",SUMIFS($D:$D,$A:$A,$A1523,$B:$B,"&lt;&gt;Patrícia Karla de Sousa Araújo",$B:$B,"&lt;&gt;Lorena Dias de Araujo",$B:$B,"&lt;&gt;Lucas Luiz Romero")*(20/1083),IF(C1523="Estágio",SUMIFS($D:$D,$A:$A,$A1523,$B:$B,"&lt;&gt;Patrícia Karla de Sousa Araújo",$B:$B,"&lt;&gt;Lorena Dias de Araujo",$B:$B,"&lt;&gt;Lucas Luiz Romero")*(10/1083),0)))))),0)</f>
        <v/>
      </c>
      <c r="K1523" s="3">
        <f>I1523-J1523</f>
        <v/>
      </c>
      <c r="L1523" s="3">
        <f>IF(K1523&lt;-5,"CRÍTICO",IF(K1523&lt;0,"ATENÇÃO",IF(K1523&lt;=5,"BOM","EXCELENTE")))</f>
        <v/>
      </c>
      <c r="M1523" s="3" t="n">
        <v>31</v>
      </c>
      <c r="N1523" s="3" t="n">
        <v>99.19</v>
      </c>
      <c r="O1523" s="12" t="n">
        <v>27.63713080168776</v>
      </c>
    </row>
    <row r="1524">
      <c r="A1524" s="10" t="n">
        <v>46049</v>
      </c>
      <c r="B1524" t="inlineStr">
        <is>
          <t>Anna Luiza Rezende Tavares</t>
        </is>
      </c>
      <c r="C1524" s="1" t="inlineStr">
        <is>
          <t>Estágio</t>
        </is>
      </c>
      <c r="D1524" s="3" t="n">
        <v>13</v>
      </c>
      <c r="E1524" s="3" t="n">
        <v>12</v>
      </c>
      <c r="F1524" s="3" t="n">
        <v>17.16</v>
      </c>
      <c r="G1524" s="3" t="n">
        <v>0</v>
      </c>
      <c r="H1524" s="3" t="n">
        <v>0</v>
      </c>
      <c r="I1524" s="3">
        <f>E1524+G1524+H1524</f>
        <v/>
      </c>
      <c r="J1524" s="3">
        <f>ROUND(MIN(IF(C1524="Técnico III",35,IF(C1524="Técnico II",28,IF(C1524="Técnico I",23,IF(C1524="JR",20,IF(C1524="Estágio",10,0))))),IF(C1524="Técnico III",SUMIFS($D:$D,$A:$A,$A1524,$B:$B,"&lt;&gt;Patrícia Karla de Sousa Araújo",$B:$B,"&lt;&gt;Lorena Dias de Araujo",$B:$B,"&lt;&gt;Lucas Luiz Romero")*(35/1083),IF(C1524="Técnico II",SUMIFS($D:$D,$A:$A,$A1524,$B:$B,"&lt;&gt;Patrícia Karla de Sousa Araújo",$B:$B,"&lt;&gt;Lorena Dias de Araujo",$B:$B,"&lt;&gt;Lucas Luiz Romero")*(28/1083),IF(C1524="Técnico I",SUMIFS($D:$D,$A:$A,$A1524,$B:$B,"&lt;&gt;Patrícia Karla de Sousa Araújo",$B:$B,"&lt;&gt;Lorena Dias de Araujo",$B:$B,"&lt;&gt;Lucas Luiz Romero")*(23/1083),IF(C1524="JR",SUMIFS($D:$D,$A:$A,$A1524,$B:$B,"&lt;&gt;Patrícia Karla de Sousa Araújo",$B:$B,"&lt;&gt;Lorena Dias de Araujo",$B:$B,"&lt;&gt;Lucas Luiz Romero")*(20/1083),IF(C1524="Estágio",SUMIFS($D:$D,$A:$A,$A1524,$B:$B,"&lt;&gt;Patrícia Karla de Sousa Araújo",$B:$B,"&lt;&gt;Lorena Dias de Araujo",$B:$B,"&lt;&gt;Lucas Luiz Romero")*(10/1083),0)))))),0)</f>
        <v/>
      </c>
      <c r="K1524" s="3">
        <f>I1524-J1524</f>
        <v/>
      </c>
      <c r="L1524" s="3">
        <f>IF(K1524&lt;-5,"CRÍTICO",IF(K1524&lt;0,"ATENÇÃO",IF(K1524&lt;=5,"BOM","EXCELENTE")))</f>
        <v/>
      </c>
      <c r="M1524" s="3" t="n">
        <v>10</v>
      </c>
      <c r="N1524" s="3" t="n">
        <v>100</v>
      </c>
      <c r="O1524" s="12" t="n">
        <v>39.56834532374101</v>
      </c>
    </row>
    <row r="1525">
      <c r="A1525" s="10" t="n">
        <v>46049</v>
      </c>
      <c r="B1525" t="inlineStr">
        <is>
          <t>Brenda de Menezes Silva</t>
        </is>
      </c>
      <c r="C1525" s="1" t="inlineStr">
        <is>
          <t>Técnico II</t>
        </is>
      </c>
      <c r="D1525" s="3" t="n">
        <v>35</v>
      </c>
      <c r="E1525" s="3" t="n">
        <v>30</v>
      </c>
      <c r="F1525" s="3" t="n">
        <v>12.37</v>
      </c>
      <c r="G1525" s="3" t="n">
        <v>0</v>
      </c>
      <c r="H1525" s="3" t="n">
        <v>0</v>
      </c>
      <c r="I1525" s="3">
        <f>E1525+G1525+H1525</f>
        <v/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/>
      </c>
      <c r="K1525" s="3">
        <f>I1525-J1525</f>
        <v/>
      </c>
      <c r="L1525" s="3">
        <f>IF(K1525&lt;-5,"CRÍTICO",IF(K1525&lt;0,"ATENÇÃO",IF(K1525&lt;=5,"BOM","EXCELENTE")))</f>
        <v/>
      </c>
      <c r="M1525" s="3" t="n">
        <v>26</v>
      </c>
      <c r="N1525" s="3" t="n">
        <v>98.54000000000001</v>
      </c>
      <c r="O1525" s="12" t="n">
        <v>28.54477611940299</v>
      </c>
    </row>
    <row r="1526">
      <c r="A1526" s="10" t="n">
        <v>46049</v>
      </c>
      <c r="B1526" t="inlineStr">
        <is>
          <t>Carlos Mateus Cassimiro Nunes</t>
        </is>
      </c>
      <c r="C1526" s="1" t="inlineStr">
        <is>
          <t>Técnico II</t>
        </is>
      </c>
      <c r="D1526" s="3" t="n">
        <v>24</v>
      </c>
      <c r="E1526" s="3" t="n">
        <v>24</v>
      </c>
      <c r="F1526" s="3" t="n">
        <v>32.26</v>
      </c>
      <c r="G1526" s="3" t="n">
        <v>0</v>
      </c>
      <c r="H1526" s="3" t="n">
        <v>0</v>
      </c>
      <c r="I1526" s="3">
        <f>E1526+G1526+H1526</f>
        <v/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/>
      </c>
      <c r="K1526" s="3">
        <f>I1526-J1526</f>
        <v/>
      </c>
      <c r="L1526" s="3">
        <f>IF(K1526&lt;-5,"CRÍTICO",IF(K1526&lt;0,"ATENÇÃO",IF(K1526&lt;=5,"BOM","EXCELENTE")))</f>
        <v/>
      </c>
      <c r="M1526" s="3" t="n">
        <v>22</v>
      </c>
      <c r="N1526" s="3" t="n">
        <v>100</v>
      </c>
      <c r="O1526" s="12" t="n">
        <v>34.36692506459949</v>
      </c>
    </row>
    <row r="1527">
      <c r="A1527" s="10" t="n">
        <v>46049</v>
      </c>
      <c r="B1527" t="inlineStr">
        <is>
          <t>Claudio de Sousa Velasco Filho</t>
        </is>
      </c>
      <c r="C1527" s="1" t="inlineStr">
        <is>
          <t>Estágio</t>
        </is>
      </c>
      <c r="D1527" s="3" t="n">
        <v>0</v>
      </c>
      <c r="E1527" s="3" t="n">
        <v>0</v>
      </c>
      <c r="F1527" s="3" t="n">
        <v>0</v>
      </c>
      <c r="G1527" s="3" t="n">
        <v>0</v>
      </c>
      <c r="H1527" s="3" t="n">
        <v>0</v>
      </c>
      <c r="I1527" s="3" t="n">
        <v>0</v>
      </c>
      <c r="J1527" s="3" t="n">
        <v>0</v>
      </c>
      <c r="K1527" s="3" t="n">
        <v>0</v>
      </c>
      <c r="L1527" s="3">
        <f>IF(K1527&lt;-5,"CRÍTICO",IF(K1527&lt;0,"ATENÇÃO",IF(K1527&lt;=5,"BOM","EXCELENTE")))</f>
        <v/>
      </c>
      <c r="M1527" s="3" t="n">
        <v>0</v>
      </c>
      <c r="N1527" s="3" t="n">
        <v>0</v>
      </c>
      <c r="O1527" s="12" t="n">
        <v>0</v>
      </c>
    </row>
    <row r="1528">
      <c r="A1528" s="10" t="n">
        <v>46049</v>
      </c>
      <c r="B1528" t="inlineStr">
        <is>
          <t>Clessiane Pereira dos Santos</t>
        </is>
      </c>
      <c r="C1528" s="1" t="inlineStr">
        <is>
          <t>Técnico I</t>
        </is>
      </c>
      <c r="D1528" s="3" t="n">
        <v>28</v>
      </c>
      <c r="E1528" s="3" t="n">
        <v>26</v>
      </c>
      <c r="F1528" s="3" t="n">
        <v>17.39</v>
      </c>
      <c r="G1528" s="3" t="n">
        <v>0</v>
      </c>
      <c r="H1528" s="3" t="n">
        <v>0</v>
      </c>
      <c r="I1528" s="3">
        <f>E1528+G1528+H1528</f>
        <v/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/>
      </c>
      <c r="K1528" s="3">
        <f>I1528-J1528</f>
        <v/>
      </c>
      <c r="L1528" s="3">
        <f>IF(K1528&lt;-5,"CRÍTICO",IF(K1528&lt;0,"ATENÇÃO",IF(K1528&lt;=5,"BOM","EXCELENTE")))</f>
        <v/>
      </c>
      <c r="M1528" s="3" t="n">
        <v>22</v>
      </c>
      <c r="N1528" s="3" t="n">
        <v>100</v>
      </c>
      <c r="O1528" s="12" t="n">
        <v>29.51807228915663</v>
      </c>
    </row>
    <row r="1529">
      <c r="A1529" s="10" t="n">
        <v>46049</v>
      </c>
      <c r="B1529" t="inlineStr">
        <is>
          <t>Cristiane Ramos da Silva Rocha</t>
        </is>
      </c>
      <c r="C1529" s="1" t="inlineStr">
        <is>
          <t>Técnico III</t>
        </is>
      </c>
      <c r="D1529" s="3" t="n">
        <v>29</v>
      </c>
      <c r="E1529" s="3" t="n">
        <v>28</v>
      </c>
      <c r="F1529" s="3" t="n">
        <v>18.44</v>
      </c>
      <c r="G1529" s="3" t="n">
        <v>0</v>
      </c>
      <c r="H1529" s="3" t="n">
        <v>0</v>
      </c>
      <c r="I1529" s="3">
        <f>E1529+G1529+H1529</f>
        <v/>
      </c>
      <c r="J1529" s="3">
        <f>ROUND(MIN(IF(C1529="Técnico III",35,IF(C1529="Técnico II",28,IF(C1529="Técnico I",23,IF(C1529="JR",20,IF(C1529="Estágio",10,0))))),IF(C1529="Técnico III",SUMIFS($D:$D,$A:$A,$A1529,$B:$B,"&lt;&gt;Patrícia Karla de Sousa Araújo",$B:$B,"&lt;&gt;Lorena Dias de Araujo",$B:$B,"&lt;&gt;Lucas Luiz Romero")*(35/1083),IF(C1529="Técnico II",SUMIFS($D:$D,$A:$A,$A1529,$B:$B,"&lt;&gt;Patrícia Karla de Sousa Araújo",$B:$B,"&lt;&gt;Lorena Dias de Araujo",$B:$B,"&lt;&gt;Lucas Luiz Romero")*(28/1083),IF(C1529="Técnico I",SUMIFS($D:$D,$A:$A,$A1529,$B:$B,"&lt;&gt;Patrícia Karla de Sousa Araújo",$B:$B,"&lt;&gt;Lorena Dias de Araujo",$B:$B,"&lt;&gt;Lucas Luiz Romero")*(23/1083),IF(C1529="JR",SUMIFS($D:$D,$A:$A,$A1529,$B:$B,"&lt;&gt;Patrícia Karla de Sousa Araújo",$B:$B,"&lt;&gt;Lorena Dias de Araujo",$B:$B,"&lt;&gt;Lucas Luiz Romero")*(20/1083),IF(C1529="Estágio",SUMIFS($D:$D,$A:$A,$A1529,$B:$B,"&lt;&gt;Patrícia Karla de Sousa Araújo",$B:$B,"&lt;&gt;Lorena Dias de Araujo",$B:$B,"&lt;&gt;Lucas Luiz Romero")*(10/1083),0)))))),0)</f>
        <v/>
      </c>
      <c r="K1529" s="3">
        <f>I1529-J1529</f>
        <v/>
      </c>
      <c r="L1529" s="3">
        <f>IF(K1529&lt;-5,"CRÍTICO",IF(K1529&lt;0,"ATENÇÃO",IF(K1529&lt;=5,"BOM","EXCELENTE")))</f>
        <v/>
      </c>
      <c r="M1529" s="3" t="n">
        <v>25</v>
      </c>
      <c r="N1529" s="3" t="n">
        <v>97.45</v>
      </c>
      <c r="O1529" s="12" t="n">
        <v>41.421143847487</v>
      </c>
    </row>
    <row r="1530">
      <c r="A1530" s="10" t="n">
        <v>46049</v>
      </c>
      <c r="B1530" t="inlineStr">
        <is>
          <t>Damyllis Lorraine de Oliveira Gonçalves</t>
        </is>
      </c>
      <c r="C1530" s="1" t="inlineStr">
        <is>
          <t>Técnico II</t>
        </is>
      </c>
      <c r="D1530" s="3" t="n">
        <v>35</v>
      </c>
      <c r="E1530" s="3" t="n">
        <v>25</v>
      </c>
      <c r="F1530" s="3" t="n">
        <v>13.29</v>
      </c>
      <c r="G1530" s="3" t="n">
        <v>0</v>
      </c>
      <c r="H1530" s="3" t="n">
        <v>0</v>
      </c>
      <c r="I1530" s="3" t="n">
        <v>0</v>
      </c>
      <c r="J1530" s="3" t="n">
        <v>0</v>
      </c>
      <c r="K1530" s="3" t="n">
        <v>0</v>
      </c>
      <c r="L1530" s="3">
        <f>IF(K1530&lt;-5,"CRÍTICO",IF(K1530&lt;0,"ATENÇÃO",IF(K1530&lt;=5,"BOM","EXCELENTE")))</f>
        <v/>
      </c>
      <c r="M1530" s="3" t="n">
        <v>19</v>
      </c>
      <c r="N1530" s="3" t="n">
        <v>96.58</v>
      </c>
      <c r="O1530" s="12" t="n">
        <v>30.39647577092511</v>
      </c>
    </row>
    <row r="1531">
      <c r="A1531" s="10" t="n">
        <v>46049</v>
      </c>
      <c r="B1531" t="inlineStr">
        <is>
          <t>Daniel Gomes da Silva</t>
        </is>
      </c>
      <c r="C1531" s="1" t="inlineStr">
        <is>
          <t>Técnico I</t>
        </is>
      </c>
      <c r="D1531" s="3" t="n">
        <v>22</v>
      </c>
      <c r="E1531" s="3" t="n">
        <v>22</v>
      </c>
      <c r="F1531" s="3" t="n">
        <v>22.29</v>
      </c>
      <c r="G1531" s="3" t="n">
        <v>0</v>
      </c>
      <c r="H1531" s="3" t="n">
        <v>0</v>
      </c>
      <c r="I1531" s="3">
        <f>E1531+G1531+H1531</f>
        <v/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/>
      </c>
      <c r="K1531" s="3">
        <f>I1531-J1531</f>
        <v/>
      </c>
      <c r="L1531" s="3">
        <f>IF(K1531&lt;-5,"CRÍTICO",IF(K1531&lt;0,"ATENÇÃO",IF(K1531&lt;=5,"BOM","EXCELENTE")))</f>
        <v/>
      </c>
      <c r="M1531" s="3" t="n">
        <v>27</v>
      </c>
      <c r="N1531" s="3" t="n">
        <v>100</v>
      </c>
      <c r="O1531" s="12" t="n">
        <v>27.44282744282744</v>
      </c>
    </row>
    <row r="1532">
      <c r="A1532" s="10" t="n">
        <v>46049</v>
      </c>
      <c r="B1532" t="inlineStr">
        <is>
          <t>Davylla Rodrigues Freitas Silva</t>
        </is>
      </c>
      <c r="C1532" s="1" t="inlineStr">
        <is>
          <t>Técnico III</t>
        </is>
      </c>
      <c r="D1532" s="3" t="n">
        <v>29</v>
      </c>
      <c r="E1532" s="3" t="n">
        <v>28</v>
      </c>
      <c r="F1532" s="3" t="n">
        <v>26.43</v>
      </c>
      <c r="G1532" s="3" t="n">
        <v>0</v>
      </c>
      <c r="H1532" s="3" t="n">
        <v>0</v>
      </c>
      <c r="I1532" s="3" t="n">
        <v>0</v>
      </c>
      <c r="J1532" s="3" t="n">
        <v>0</v>
      </c>
      <c r="K1532" s="3" t="n">
        <v>0</v>
      </c>
      <c r="L1532" s="3">
        <f>IF(K1532&lt;-5,"CRÍTICO",IF(K1532&lt;0,"ATENÇÃO",IF(K1532&lt;=5,"BOM","EXCELENTE")))</f>
        <v/>
      </c>
      <c r="M1532" s="3" t="n">
        <v>26</v>
      </c>
      <c r="N1532" s="3" t="n">
        <v>99.48999999999999</v>
      </c>
      <c r="O1532" s="12" t="n">
        <v>40.2</v>
      </c>
    </row>
    <row r="1533">
      <c r="A1533" s="10" t="n">
        <v>46049</v>
      </c>
      <c r="B1533" t="inlineStr">
        <is>
          <t>Emilly Caylane Costa</t>
        </is>
      </c>
      <c r="C1533" s="1" t="inlineStr">
        <is>
          <t>Estágio</t>
        </is>
      </c>
      <c r="D1533" s="3" t="n">
        <v>0</v>
      </c>
      <c r="E1533" s="3" t="n">
        <v>0</v>
      </c>
      <c r="F1533" s="3" t="n">
        <v>0</v>
      </c>
      <c r="G1533" s="3" t="n">
        <v>0</v>
      </c>
      <c r="H1533" s="3" t="n">
        <v>0</v>
      </c>
      <c r="I1533" s="3" t="n">
        <v>0</v>
      </c>
      <c r="J1533" s="3" t="n">
        <v>0</v>
      </c>
      <c r="K1533" s="3" t="n">
        <v>0</v>
      </c>
      <c r="L1533" s="3">
        <f>IF(K1533&lt;-5,"CRÍTICO",IF(K1533&lt;0,"ATENÇÃO",IF(K1533&lt;=5,"BOM","EXCELENTE")))</f>
        <v/>
      </c>
      <c r="M1533" s="3" t="n">
        <v>0</v>
      </c>
      <c r="N1533" s="3" t="n">
        <v>100</v>
      </c>
      <c r="O1533" s="12" t="n">
        <v>25</v>
      </c>
    </row>
    <row r="1534">
      <c r="A1534" s="10" t="n">
        <v>46049</v>
      </c>
      <c r="B1534" t="inlineStr">
        <is>
          <t>Emilly Kamilly Medeiros Miranda</t>
        </is>
      </c>
      <c r="C1534" s="1" t="inlineStr">
        <is>
          <t>Técnico II</t>
        </is>
      </c>
      <c r="D1534" s="3" t="n">
        <v>38</v>
      </c>
      <c r="E1534" s="3" t="n">
        <v>34</v>
      </c>
      <c r="F1534" s="3" t="n">
        <v>15.32</v>
      </c>
      <c r="G1534" s="3" t="n">
        <v>0</v>
      </c>
      <c r="H1534" s="3" t="n">
        <v>0</v>
      </c>
      <c r="I1534" s="3">
        <f>E1534+G1534+H1534</f>
        <v/>
      </c>
      <c r="J1534" s="3">
        <f>ROUND(MIN(IF(C1534="Técnico III",35,IF(C1534="Técnico II",28,IF(C1534="Técnico I",23,IF(C1534="JR",20,IF(C1534="Estágio",10,0))))),IF(C1534="Técnico III",SUMIFS($D:$D,$A:$A,$A1534,$B:$B,"&lt;&gt;Patrícia Karla de Sousa Araújo",$B:$B,"&lt;&gt;Lorena Dias de Araujo",$B:$B,"&lt;&gt;Lucas Luiz Romero")*(35/1083),IF(C1534="Técnico II",SUMIFS($D:$D,$A:$A,$A1534,$B:$B,"&lt;&gt;Patrícia Karla de Sousa Araújo",$B:$B,"&lt;&gt;Lorena Dias de Araujo",$B:$B,"&lt;&gt;Lucas Luiz Romero")*(28/1083),IF(C1534="Técnico I",SUMIFS($D:$D,$A:$A,$A1534,$B:$B,"&lt;&gt;Patrícia Karla de Sousa Araújo",$B:$B,"&lt;&gt;Lorena Dias de Araujo",$B:$B,"&lt;&gt;Lucas Luiz Romero")*(23/1083),IF(C1534="JR",SUMIFS($D:$D,$A:$A,$A1534,$B:$B,"&lt;&gt;Patrícia Karla de Sousa Araújo",$B:$B,"&lt;&gt;Lorena Dias de Araujo",$B:$B,"&lt;&gt;Lucas Luiz Romero")*(20/1083),IF(C1534="Estágio",SUMIFS($D:$D,$A:$A,$A1534,$B:$B,"&lt;&gt;Patrícia Karla de Sousa Araújo",$B:$B,"&lt;&gt;Lorena Dias de Araujo",$B:$B,"&lt;&gt;Lucas Luiz Romero")*(10/1083),0)))))),0)</f>
        <v/>
      </c>
      <c r="K1534" s="3">
        <f>I1534-J1534</f>
        <v/>
      </c>
      <c r="L1534" s="3">
        <f>IF(K1534&lt;-5,"CRÍTICO",IF(K1534&lt;0,"ATENÇÃO",IF(K1534&lt;=5,"BOM","EXCELENTE")))</f>
        <v/>
      </c>
      <c r="M1534" s="3" t="n">
        <v>30</v>
      </c>
      <c r="N1534" s="3" t="n">
        <v>100</v>
      </c>
      <c r="O1534" s="12" t="n">
        <v>34.15094339622641</v>
      </c>
    </row>
    <row r="1535">
      <c r="A1535" s="10" t="n">
        <v>46049</v>
      </c>
      <c r="B1535" t="inlineStr">
        <is>
          <t>Francielson de Oliveira</t>
        </is>
      </c>
      <c r="C1535" s="1" t="inlineStr">
        <is>
          <t>Técnico III</t>
        </is>
      </c>
      <c r="D1535" s="3" t="n">
        <v>25</v>
      </c>
      <c r="E1535" s="3" t="n">
        <v>23</v>
      </c>
      <c r="F1535" s="3" t="n">
        <v>15.08</v>
      </c>
      <c r="G1535" s="3" t="n">
        <v>0</v>
      </c>
      <c r="H1535" s="3" t="n">
        <v>0</v>
      </c>
      <c r="I1535" s="3">
        <f>E1535+G1535+H1535</f>
        <v/>
      </c>
      <c r="J1535" s="3">
        <f>ROUND(MIN(IF(C1535="Técnico III",35,IF(C1535="Técnico II",28,IF(C1535="Técnico I",23,IF(C1535="JR",20,IF(C1535="Estágio",10,0))))),IF(C1535="Técnico III",SUMIFS($D:$D,$A:$A,$A1535,$B:$B,"&lt;&gt;Patrícia Karla de Sousa Araújo",$B:$B,"&lt;&gt;Lorena Dias de Araujo",$B:$B,"&lt;&gt;Lucas Luiz Romero")*(35/1083),IF(C1535="Técnico II",SUMIFS($D:$D,$A:$A,$A1535,$B:$B,"&lt;&gt;Patrícia Karla de Sousa Araújo",$B:$B,"&lt;&gt;Lorena Dias de Araujo",$B:$B,"&lt;&gt;Lucas Luiz Romero")*(28/1083),IF(C1535="Técnico I",SUMIFS($D:$D,$A:$A,$A1535,$B:$B,"&lt;&gt;Patrícia Karla de Sousa Araújo",$B:$B,"&lt;&gt;Lorena Dias de Araujo",$B:$B,"&lt;&gt;Lucas Luiz Romero")*(23/1083),IF(C1535="JR",SUMIFS($D:$D,$A:$A,$A1535,$B:$B,"&lt;&gt;Patrícia Karla de Sousa Araújo",$B:$B,"&lt;&gt;Lorena Dias de Araujo",$B:$B,"&lt;&gt;Lucas Luiz Romero")*(20/1083),IF(C1535="Estágio",SUMIFS($D:$D,$A:$A,$A1535,$B:$B,"&lt;&gt;Patrícia Karla de Sousa Araújo",$B:$B,"&lt;&gt;Lorena Dias de Araujo",$B:$B,"&lt;&gt;Lucas Luiz Romero")*(10/1083),0)))))),0)</f>
        <v/>
      </c>
      <c r="K1535" s="3">
        <f>I1535-J1535</f>
        <v/>
      </c>
      <c r="L1535" s="3">
        <f>IF(K1535&lt;-5,"CRÍTICO",IF(K1535&lt;0,"ATENÇÃO",IF(K1535&lt;=5,"BOM","EXCELENTE")))</f>
        <v/>
      </c>
      <c r="M1535" s="3" t="n">
        <v>25</v>
      </c>
      <c r="N1535" s="3" t="n">
        <v>100</v>
      </c>
      <c r="O1535" s="12" t="n">
        <v>32.7313769751693</v>
      </c>
    </row>
    <row r="1536">
      <c r="A1536" s="10" t="n">
        <v>46049</v>
      </c>
      <c r="B1536" t="inlineStr">
        <is>
          <t>Francilene Ferreira de Jesus</t>
        </is>
      </c>
      <c r="C1536" s="1" t="inlineStr">
        <is>
          <t>Técnico II</t>
        </is>
      </c>
      <c r="D1536" s="3" t="n">
        <v>34</v>
      </c>
      <c r="E1536" s="3" t="n">
        <v>33</v>
      </c>
      <c r="F1536" s="3" t="n">
        <v>21.52</v>
      </c>
      <c r="G1536" s="3" t="n">
        <v>0</v>
      </c>
      <c r="H1536" s="3" t="n">
        <v>0</v>
      </c>
      <c r="I1536" s="3">
        <f>E1536+G1536+H1536</f>
        <v/>
      </c>
      <c r="J1536" s="3">
        <f>ROUND(MIN(IF(C1536="Técnico III",35,IF(C1536="Técnico II",28,IF(C1536="Técnico I",23,IF(C1536="JR",20,IF(C1536="Estágio",10,0))))),IF(C1536="Técnico III",SUMIFS($D:$D,$A:$A,$A1536,$B:$B,"&lt;&gt;Patrícia Karla de Sousa Araújo",$B:$B,"&lt;&gt;Lorena Dias de Araujo",$B:$B,"&lt;&gt;Lucas Luiz Romero")*(35/1083),IF(C1536="Técnico II",SUMIFS($D:$D,$A:$A,$A1536,$B:$B,"&lt;&gt;Patrícia Karla de Sousa Araújo",$B:$B,"&lt;&gt;Lorena Dias de Araujo",$B:$B,"&lt;&gt;Lucas Luiz Romero")*(28/1083),IF(C1536="Técnico I",SUMIFS($D:$D,$A:$A,$A1536,$B:$B,"&lt;&gt;Patrícia Karla de Sousa Araújo",$B:$B,"&lt;&gt;Lorena Dias de Araujo",$B:$B,"&lt;&gt;Lucas Luiz Romero")*(23/1083),IF(C1536="JR",SUMIFS($D:$D,$A:$A,$A1536,$B:$B,"&lt;&gt;Patrícia Karla de Sousa Araújo",$B:$B,"&lt;&gt;Lorena Dias de Araujo",$B:$B,"&lt;&gt;Lucas Luiz Romero")*(20/1083),IF(C1536="Estágio",SUMIFS($D:$D,$A:$A,$A1536,$B:$B,"&lt;&gt;Patrícia Karla de Sousa Araújo",$B:$B,"&lt;&gt;Lorena Dias de Araujo",$B:$B,"&lt;&gt;Lucas Luiz Romero")*(10/1083),0)))))),0)</f>
        <v/>
      </c>
      <c r="K1536" s="3">
        <f>I1536-J1536</f>
        <v/>
      </c>
      <c r="L1536" s="3">
        <f>IF(K1536&lt;-5,"CRÍTICO",IF(K1536&lt;0,"ATENÇÃO",IF(K1536&lt;=5,"BOM","EXCELENTE")))</f>
        <v/>
      </c>
      <c r="M1536" s="3" t="n">
        <v>25</v>
      </c>
      <c r="N1536" s="3" t="n">
        <v>99.31</v>
      </c>
      <c r="O1536" s="12" t="n">
        <v>30.96234309623431</v>
      </c>
    </row>
    <row r="1537">
      <c r="A1537" s="10" t="n">
        <v>46083</v>
      </c>
      <c r="B1537" t="inlineStr">
        <is>
          <t>Gabriel Gomes de Andrade</t>
        </is>
      </c>
      <c r="C1537" s="1" t="inlineStr">
        <is>
          <t>Técnico I</t>
        </is>
      </c>
      <c r="D1537" s="3" t="n">
        <v>22</v>
      </c>
      <c r="E1537" s="3" t="n">
        <v>21</v>
      </c>
      <c r="F1537" s="3" t="n">
        <v>20.11</v>
      </c>
      <c r="G1537" s="3" t="n">
        <v>0</v>
      </c>
      <c r="H1537" s="3" t="n">
        <v>0</v>
      </c>
      <c r="I1537" s="3">
        <f>E1537+G1537+H1537</f>
        <v/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/>
      </c>
      <c r="K1537" s="3">
        <f>I1537-J1537</f>
        <v/>
      </c>
      <c r="L1537" s="3">
        <f>IF(K1537&lt;-5,"CRÍTICO",IF(K1537&lt;0,"ATENÇÃO",IF(K1537&lt;=5,"BOM","EXCELENTE")))</f>
        <v/>
      </c>
      <c r="M1537" s="3" t="n">
        <v>20</v>
      </c>
      <c r="N1537" s="3" t="n">
        <v>99.05</v>
      </c>
      <c r="O1537" s="12" t="n">
        <v>26.62192393736018</v>
      </c>
    </row>
    <row r="1538">
      <c r="A1538" s="10" t="n">
        <v>46049</v>
      </c>
      <c r="B1538" t="inlineStr">
        <is>
          <t>Isabella Borges de Oliveira</t>
        </is>
      </c>
      <c r="C1538" s="1" t="inlineStr">
        <is>
          <t>Técnico II</t>
        </is>
      </c>
      <c r="D1538" s="3" t="n">
        <v>36</v>
      </c>
      <c r="E1538" s="3" t="n">
        <v>32</v>
      </c>
      <c r="F1538" s="3" t="n">
        <v>17.36</v>
      </c>
      <c r="G1538" s="3" t="n">
        <v>0</v>
      </c>
      <c r="H1538" s="3" t="n">
        <v>0</v>
      </c>
      <c r="I1538" s="3">
        <f>E1538+G1538+H1538</f>
        <v/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/>
      </c>
      <c r="K1538" s="3">
        <f>I1538-J1538</f>
        <v/>
      </c>
      <c r="L1538" s="3">
        <f>IF(K1538&lt;-5,"CRÍTICO",IF(K1538&lt;0,"ATENÇÃO",IF(K1538&lt;=5,"BOM","EXCELENTE")))</f>
        <v/>
      </c>
      <c r="M1538" s="3" t="n">
        <v>28</v>
      </c>
      <c r="N1538" s="3" t="n">
        <v>100</v>
      </c>
      <c r="O1538" s="12" t="n">
        <v>27.67676767676768</v>
      </c>
    </row>
    <row r="1539">
      <c r="A1539" s="10" t="n">
        <v>46049</v>
      </c>
      <c r="B1539" t="inlineStr">
        <is>
          <t>Janaina Lima dos Reis Urany</t>
        </is>
      </c>
      <c r="C1539" s="1" t="inlineStr">
        <is>
          <t>Técnico III</t>
        </is>
      </c>
      <c r="D1539" s="3" t="n">
        <v>38</v>
      </c>
      <c r="E1539" s="3" t="n">
        <v>36</v>
      </c>
      <c r="F1539" s="3" t="n">
        <v>18.37</v>
      </c>
      <c r="G1539" s="3" t="n">
        <v>0</v>
      </c>
      <c r="H1539" s="3" t="n">
        <v>0</v>
      </c>
      <c r="I1539" s="3">
        <f>E1539+G1539+H1539</f>
        <v/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/>
      </c>
      <c r="K1539" s="3">
        <f>I1539-J1539</f>
        <v/>
      </c>
      <c r="L1539" s="3">
        <f>IF(K1539&lt;-5,"CRÍTICO",IF(K1539&lt;0,"ATENÇÃO",IF(K1539&lt;=5,"BOM","EXCELENTE")))</f>
        <v/>
      </c>
      <c r="M1539" s="3" t="n">
        <v>30</v>
      </c>
      <c r="N1539" s="3" t="n">
        <v>100</v>
      </c>
      <c r="O1539" s="12" t="n">
        <v>31.17723156532988</v>
      </c>
    </row>
    <row r="1540">
      <c r="A1540" s="10" t="n">
        <v>46049</v>
      </c>
      <c r="B1540" t="inlineStr">
        <is>
          <t>Jaqueline Evangelista da Silva Martins</t>
        </is>
      </c>
      <c r="C1540" s="1" t="inlineStr">
        <is>
          <t>Técnico III</t>
        </is>
      </c>
      <c r="D1540" s="3" t="n">
        <v>17</v>
      </c>
      <c r="E1540" s="3" t="n">
        <v>15</v>
      </c>
      <c r="F1540" s="3" t="n">
        <v>10.24</v>
      </c>
      <c r="G1540" s="3" t="n">
        <v>0</v>
      </c>
      <c r="H1540" s="3" t="n">
        <v>0</v>
      </c>
      <c r="I1540" s="3">
        <f>E1540+G1540+H1540</f>
        <v/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/>
      </c>
      <c r="K1540" s="3">
        <f>I1540-J1540</f>
        <v/>
      </c>
      <c r="L1540" s="3">
        <f>IF(K1540&lt;-5,"CRÍTICO",IF(K1540&lt;0,"ATENÇÃO",IF(K1540&lt;=5,"BOM","EXCELENTE")))</f>
        <v/>
      </c>
      <c r="M1540" s="3" t="n">
        <v>14</v>
      </c>
      <c r="N1540" s="3" t="n">
        <v>100</v>
      </c>
      <c r="O1540" s="12" t="n">
        <v>27.60942760942761</v>
      </c>
    </row>
    <row r="1541">
      <c r="A1541" s="10" t="n">
        <v>46049</v>
      </c>
      <c r="B1541" t="inlineStr">
        <is>
          <t>Jessica Faria da Silveira</t>
        </is>
      </c>
      <c r="C1541" s="1" t="inlineStr">
        <is>
          <t>Técnico II</t>
        </is>
      </c>
      <c r="D1541" s="3" t="n">
        <v>32</v>
      </c>
      <c r="E1541" s="3" t="n">
        <v>23</v>
      </c>
      <c r="F1541" s="3" t="n">
        <v>15.2</v>
      </c>
      <c r="G1541" s="3" t="n">
        <v>0</v>
      </c>
      <c r="H1541" s="3" t="n">
        <v>0</v>
      </c>
      <c r="I1541" s="3">
        <f>E1541+G1541+H1541</f>
        <v/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/>
      </c>
      <c r="K1541" s="3">
        <f>I1541-J1541</f>
        <v/>
      </c>
      <c r="L1541" s="3">
        <f>IF(K1541&lt;-5,"CRÍTICO",IF(K1541&lt;0,"ATENÇÃO",IF(K1541&lt;=5,"BOM","EXCELENTE")))</f>
        <v/>
      </c>
      <c r="M1541" s="3" t="n">
        <v>23</v>
      </c>
      <c r="N1541" s="3" t="n">
        <v>96.40000000000001</v>
      </c>
      <c r="O1541" s="12" t="n">
        <v>28.76404494382023</v>
      </c>
    </row>
    <row r="1542">
      <c r="A1542" s="10" t="n">
        <v>46049</v>
      </c>
      <c r="B1542" t="inlineStr">
        <is>
          <t>Jéssica Fé Moura</t>
        </is>
      </c>
      <c r="C1542" s="1" t="inlineStr">
        <is>
          <t>Técnico III</t>
        </is>
      </c>
      <c r="D1542" s="3" t="n">
        <v>0</v>
      </c>
      <c r="E1542" s="3" t="n">
        <v>0</v>
      </c>
      <c r="F1542" s="3" t="n">
        <v>0</v>
      </c>
      <c r="G1542" s="3" t="n">
        <v>0</v>
      </c>
      <c r="H1542" s="3" t="n">
        <v>0</v>
      </c>
      <c r="I1542" s="3" t="n">
        <v>0</v>
      </c>
      <c r="J1542" s="3" t="n">
        <v>0</v>
      </c>
      <c r="K1542" s="3" t="n">
        <v>0</v>
      </c>
      <c r="L1542" s="3">
        <f>IF(K1542&lt;-5,"CRÍTICO",IF(K1542&lt;0,"ATENÇÃO",IF(K1542&lt;=5,"BOM","EXCELENTE")))</f>
        <v/>
      </c>
      <c r="M1542" s="3" t="n">
        <v>0</v>
      </c>
      <c r="N1542" s="3" t="n">
        <v>100</v>
      </c>
      <c r="O1542" s="12" t="n">
        <v>33.98058252427185</v>
      </c>
    </row>
    <row r="1543">
      <c r="A1543" s="10" t="n">
        <v>46049</v>
      </c>
      <c r="B1543" t="inlineStr">
        <is>
          <t>Karina Gonçalves Martins</t>
        </is>
      </c>
      <c r="C1543" s="1" t="inlineStr">
        <is>
          <t>JR</t>
        </is>
      </c>
      <c r="D1543" s="3" t="n">
        <v>8</v>
      </c>
      <c r="E1543" s="3" t="n">
        <v>8</v>
      </c>
      <c r="F1543" s="3" t="n">
        <v>32.2</v>
      </c>
      <c r="G1543" s="3" t="n">
        <v>0</v>
      </c>
      <c r="H1543" s="3" t="n">
        <v>0</v>
      </c>
      <c r="I1543" s="3">
        <f>E1543+G1543+H1543</f>
        <v/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/>
      </c>
      <c r="K1543" s="3">
        <f>I1543-J1543</f>
        <v/>
      </c>
      <c r="L1543" s="3">
        <f>IF(K1543&lt;-5,"CRÍTICO",IF(K1543&lt;0,"ATENÇÃO",IF(K1543&lt;=5,"BOM","EXCELENTE")))</f>
        <v/>
      </c>
      <c r="M1543" s="3" t="n">
        <v>5</v>
      </c>
      <c r="N1543" s="3" t="n">
        <v>97.56</v>
      </c>
      <c r="O1543" s="12" t="n">
        <v>32.51533742331289</v>
      </c>
    </row>
    <row r="1544">
      <c r="A1544" s="10" t="n">
        <v>46049</v>
      </c>
      <c r="B1544" t="inlineStr">
        <is>
          <t>Kerollen Cristielly de Jesus Siqueira</t>
        </is>
      </c>
      <c r="C1544" s="1" t="inlineStr">
        <is>
          <t>Técnico III</t>
        </is>
      </c>
      <c r="D1544" s="3" t="n">
        <v>14</v>
      </c>
      <c r="E1544" s="3" t="n">
        <v>14</v>
      </c>
      <c r="F1544" s="3" t="n">
        <v>20.52</v>
      </c>
      <c r="G1544" s="3" t="n">
        <v>0</v>
      </c>
      <c r="H1544" s="3" t="n">
        <v>0</v>
      </c>
      <c r="I1544" s="3">
        <f>E1544+G1544+H1544</f>
        <v/>
      </c>
      <c r="J1544" s="3">
        <f>ROUND(MIN(IF(C1544="Técnico III",35,IF(C1544="Técnico II",28,IF(C1544="Técnico I",23,IF(C1544="JR",20,IF(C1544="Estágio",10,0))))),IF(C1544="Técnico III",SUMIFS($D:$D,$A:$A,$A1544,$B:$B,"&lt;&gt;Patrícia Karla de Sousa Araújo",$B:$B,"&lt;&gt;Lorena Dias de Araujo",$B:$B,"&lt;&gt;Lucas Luiz Romero")*(35/1083),IF(C1544="Técnico II",SUMIFS($D:$D,$A:$A,$A1544,$B:$B,"&lt;&gt;Patrícia Karla de Sousa Araújo",$B:$B,"&lt;&gt;Lorena Dias de Araujo",$B:$B,"&lt;&gt;Lucas Luiz Romero")*(28/1083),IF(C1544="Técnico I",SUMIFS($D:$D,$A:$A,$A1544,$B:$B,"&lt;&gt;Patrícia Karla de Sousa Araújo",$B:$B,"&lt;&gt;Lorena Dias de Araujo",$B:$B,"&lt;&gt;Lucas Luiz Romero")*(23/1083),IF(C1544="JR",SUMIFS($D:$D,$A:$A,$A1544,$B:$B,"&lt;&gt;Patrícia Karla de Sousa Araújo",$B:$B,"&lt;&gt;Lorena Dias de Araujo",$B:$B,"&lt;&gt;Lucas Luiz Romero")*(20/1083),IF(C1544="Estágio",SUMIFS($D:$D,$A:$A,$A1544,$B:$B,"&lt;&gt;Patrícia Karla de Sousa Araújo",$B:$B,"&lt;&gt;Lorena Dias de Araujo",$B:$B,"&lt;&gt;Lucas Luiz Romero")*(10/1083),0)))))),0)</f>
        <v/>
      </c>
      <c r="K1544" s="3">
        <f>I1544-J1544</f>
        <v/>
      </c>
      <c r="L1544" s="3">
        <f>IF(K1544&lt;-5,"CRÍTICO",IF(K1544&lt;0,"ATENÇÃO",IF(K1544&lt;=5,"BOM","EXCELENTE")))</f>
        <v/>
      </c>
      <c r="M1544" s="3" t="n">
        <v>14</v>
      </c>
      <c r="N1544" s="3" t="n">
        <v>97.11</v>
      </c>
      <c r="O1544" s="12" t="n">
        <v>37.40831295843521</v>
      </c>
    </row>
    <row r="1545">
      <c r="A1545" s="10" t="n">
        <v>46049</v>
      </c>
      <c r="B1545" t="inlineStr">
        <is>
          <t>Leandro de Souza Silva</t>
        </is>
      </c>
      <c r="C1545" s="1" t="inlineStr">
        <is>
          <t>JR</t>
        </is>
      </c>
      <c r="D1545" s="3" t="n">
        <v>0</v>
      </c>
      <c r="E1545" s="3" t="n">
        <v>0</v>
      </c>
      <c r="F1545" s="3" t="n">
        <v>0</v>
      </c>
      <c r="G1545" s="3" t="n">
        <v>0</v>
      </c>
      <c r="H1545" s="3" t="n">
        <v>0</v>
      </c>
      <c r="I1545" s="3" t="n">
        <v>0</v>
      </c>
      <c r="J1545" s="3" t="n">
        <v>0</v>
      </c>
      <c r="K1545" s="3" t="n">
        <v>0</v>
      </c>
      <c r="L1545" s="3">
        <f>IF(K1545&lt;-5,"CRÍTICO",IF(K1545&lt;0,"ATENÇÃO",IF(K1545&lt;=5,"BOM","EXCELENTE")))</f>
        <v/>
      </c>
      <c r="M1545" s="3" t="n">
        <v>0</v>
      </c>
      <c r="N1545" s="3" t="n">
        <v>0</v>
      </c>
      <c r="O1545" s="12" t="n">
        <v>0</v>
      </c>
    </row>
    <row r="1546">
      <c r="A1546" s="10" t="n">
        <v>46049</v>
      </c>
      <c r="B1546" t="inlineStr">
        <is>
          <t>Leandro Oliveira de Sousa</t>
        </is>
      </c>
      <c r="C1546" s="1" t="inlineStr">
        <is>
          <t>Técnico III</t>
        </is>
      </c>
      <c r="D1546" s="3" t="n">
        <v>25</v>
      </c>
      <c r="E1546" s="3" t="n">
        <v>25</v>
      </c>
      <c r="F1546" s="3" t="n">
        <v>18.42</v>
      </c>
      <c r="G1546" s="3" t="n">
        <v>0</v>
      </c>
      <c r="H1546" s="3" t="n">
        <v>0</v>
      </c>
      <c r="I1546" s="3">
        <f>E1546+G1546+H1546</f>
        <v/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/>
      </c>
      <c r="K1546" s="3">
        <f>I1546-J1546</f>
        <v/>
      </c>
      <c r="L1546" s="3">
        <f>IF(K1546&lt;-5,"CRÍTICO",IF(K1546&lt;0,"ATENÇÃO",IF(K1546&lt;=5,"BOM","EXCELENTE")))</f>
        <v/>
      </c>
      <c r="M1546" s="3" t="n">
        <v>18</v>
      </c>
      <c r="N1546" s="3" t="n">
        <v>100</v>
      </c>
      <c r="O1546" s="12" t="n">
        <v>30.47034764826176</v>
      </c>
    </row>
    <row r="1547">
      <c r="A1547" s="10" t="n">
        <v>46049</v>
      </c>
      <c r="B1547" t="inlineStr">
        <is>
          <t>Lizandra Gomes Duarte</t>
        </is>
      </c>
      <c r="C1547" s="1" t="inlineStr">
        <is>
          <t>Técnico II</t>
        </is>
      </c>
      <c r="D1547" s="3" t="n">
        <v>39</v>
      </c>
      <c r="E1547" s="3" t="n">
        <v>37</v>
      </c>
      <c r="F1547" s="3" t="n">
        <v>18.31</v>
      </c>
      <c r="G1547" s="3" t="n">
        <v>0</v>
      </c>
      <c r="H1547" s="3" t="n">
        <v>0</v>
      </c>
      <c r="I1547" s="3">
        <f>E1547+G1547+H1547</f>
        <v/>
      </c>
      <c r="J1547" s="3">
        <f>ROUND(MIN(IF(C1547="Técnico III",35,IF(C1547="Técnico II",28,IF(C1547="Técnico I",23,IF(C1547="JR",20,IF(C1547="Estágio",10,0))))),IF(C1547="Técnico III",SUMIFS($D:$D,$A:$A,$A1547,$B:$B,"&lt;&gt;Patrícia Karla de Sousa Araújo",$B:$B,"&lt;&gt;Lorena Dias de Araujo",$B:$B,"&lt;&gt;Lucas Luiz Romero")*(35/1083),IF(C1547="Técnico II",SUMIFS($D:$D,$A:$A,$A1547,$B:$B,"&lt;&gt;Patrícia Karla de Sousa Araújo",$B:$B,"&lt;&gt;Lorena Dias de Araujo",$B:$B,"&lt;&gt;Lucas Luiz Romero")*(28/1083),IF(C1547="Técnico I",SUMIFS($D:$D,$A:$A,$A1547,$B:$B,"&lt;&gt;Patrícia Karla de Sousa Araújo",$B:$B,"&lt;&gt;Lorena Dias de Araujo",$B:$B,"&lt;&gt;Lucas Luiz Romero")*(23/1083),IF(C1547="JR",SUMIFS($D:$D,$A:$A,$A1547,$B:$B,"&lt;&gt;Patrícia Karla de Sousa Araújo",$B:$B,"&lt;&gt;Lorena Dias de Araujo",$B:$B,"&lt;&gt;Lucas Luiz Romero")*(20/1083),IF(C1547="Estágio",SUMIFS($D:$D,$A:$A,$A1547,$B:$B,"&lt;&gt;Patrícia Karla de Sousa Araújo",$B:$B,"&lt;&gt;Lorena Dias de Araujo",$B:$B,"&lt;&gt;Lucas Luiz Romero")*(10/1083),0)))))),0)</f>
        <v/>
      </c>
      <c r="K1547" s="3">
        <f>I1547-J1547</f>
        <v/>
      </c>
      <c r="L1547" s="3">
        <f>IF(K1547&lt;-5,"CRÍTICO",IF(K1547&lt;0,"ATENÇÃO",IF(K1547&lt;=5,"BOM","EXCELENTE")))</f>
        <v/>
      </c>
      <c r="M1547" s="3" t="n">
        <v>24</v>
      </c>
      <c r="N1547" s="3" t="n">
        <v>100</v>
      </c>
      <c r="O1547" s="12" t="n">
        <v>32.37113402061856</v>
      </c>
    </row>
    <row r="1548">
      <c r="A1548" s="10" t="n">
        <v>46049</v>
      </c>
      <c r="B1548" t="inlineStr">
        <is>
          <t>Lorena Dias de Araujo</t>
        </is>
      </c>
      <c r="C1548" s="1" t="inlineStr">
        <is>
          <t>Técnico II</t>
        </is>
      </c>
      <c r="D1548" s="3" t="n">
        <v>25</v>
      </c>
      <c r="E1548" s="3" t="n">
        <v>23</v>
      </c>
      <c r="F1548" s="3" t="n">
        <v>20.28</v>
      </c>
      <c r="G1548" s="3" t="n">
        <v>0</v>
      </c>
      <c r="H1548" s="3" t="n">
        <v>0</v>
      </c>
      <c r="I1548" s="3" t="n">
        <v>0</v>
      </c>
      <c r="J1548" s="3" t="n">
        <v>0</v>
      </c>
      <c r="K1548" s="3" t="n">
        <v>0</v>
      </c>
      <c r="L1548" s="3">
        <f>IF(K1548&lt;-5,"CRÍTICO",IF(K1548&lt;0,"ATENÇÃO",IF(K1548&lt;=5,"BOM","EXCELENTE")))</f>
        <v/>
      </c>
      <c r="M1548" s="3" t="n">
        <v>19</v>
      </c>
      <c r="N1548" s="3" t="n">
        <v>98.31999999999999</v>
      </c>
      <c r="O1548" s="12" t="n">
        <v>32.31850117096019</v>
      </c>
    </row>
    <row r="1549">
      <c r="A1549" s="10" t="n">
        <v>46049</v>
      </c>
      <c r="B1549" t="inlineStr">
        <is>
          <t>Lucas Luiz Romero</t>
        </is>
      </c>
      <c r="C1549" s="1" t="inlineStr">
        <is>
          <t>Técnico III</t>
        </is>
      </c>
      <c r="D1549" s="3" t="n">
        <v>169</v>
      </c>
      <c r="E1549" s="3" t="n">
        <v>32</v>
      </c>
      <c r="F1549" s="3" t="n">
        <v>2</v>
      </c>
      <c r="G1549" s="3" t="n">
        <v>0</v>
      </c>
      <c r="H1549" s="3" t="n">
        <v>0</v>
      </c>
      <c r="I1549" s="3">
        <f>E1549+G1549+H1549</f>
        <v/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/>
      </c>
      <c r="K1549" s="3">
        <f>I1549-J1549</f>
        <v/>
      </c>
      <c r="L1549" s="3">
        <f>IF(K1549&lt;-5,"CRÍTICO",IF(K1549&lt;0,"ATENÇÃO",IF(K1549&lt;=5,"BOM","EXCELENTE")))</f>
        <v/>
      </c>
      <c r="M1549" s="3" t="n">
        <v>13</v>
      </c>
      <c r="N1549" s="3" t="n">
        <v>96.43000000000001</v>
      </c>
      <c r="O1549" s="12" t="n">
        <v>27.01525054466231</v>
      </c>
    </row>
    <row r="1550">
      <c r="A1550" s="10" t="n">
        <v>46049</v>
      </c>
      <c r="B1550" t="inlineStr">
        <is>
          <t>Luiz Fernando de Carvalho Junior</t>
        </is>
      </c>
      <c r="C1550" s="1" t="inlineStr">
        <is>
          <t>Técnico I</t>
        </is>
      </c>
      <c r="D1550" s="3" t="n">
        <v>15</v>
      </c>
      <c r="E1550" s="3" t="n">
        <v>15</v>
      </c>
      <c r="F1550" s="3" t="n">
        <v>32.16</v>
      </c>
      <c r="G1550" s="3" t="n">
        <v>0</v>
      </c>
      <c r="H1550" s="3" t="n">
        <v>0</v>
      </c>
      <c r="I1550" s="3">
        <f>E1550+G1550+H1550</f>
        <v/>
      </c>
      <c r="J1550" s="3">
        <f>ROUND(MIN(IF(C1550="Técnico III",35,IF(C1550="Técnico II",28,IF(C1550="Técnico I",23,IF(C1550="JR",20,IF(C1550="Estágio",10,0))))),IF(C1550="Técnico III",SUMIFS($D:$D,$A:$A,$A1550,$B:$B,"&lt;&gt;Patrícia Karla de Sousa Araújo",$B:$B,"&lt;&gt;Lorena Dias de Araujo",$B:$B,"&lt;&gt;Lucas Luiz Romero")*(35/1083),IF(C1550="Técnico II",SUMIFS($D:$D,$A:$A,$A1550,$B:$B,"&lt;&gt;Patrícia Karla de Sousa Araújo",$B:$B,"&lt;&gt;Lorena Dias de Araujo",$B:$B,"&lt;&gt;Lucas Luiz Romero")*(28/1083),IF(C1550="Técnico I",SUMIFS($D:$D,$A:$A,$A1550,$B:$B,"&lt;&gt;Patrícia Karla de Sousa Araújo",$B:$B,"&lt;&gt;Lorena Dias de Araujo",$B:$B,"&lt;&gt;Lucas Luiz Romero")*(23/1083),IF(C1550="JR",SUMIFS($D:$D,$A:$A,$A1550,$B:$B,"&lt;&gt;Patrícia Karla de Sousa Araújo",$B:$B,"&lt;&gt;Lorena Dias de Araujo",$B:$B,"&lt;&gt;Lucas Luiz Romero")*(20/1083),IF(C1550="Estágio",SUMIFS($D:$D,$A:$A,$A1550,$B:$B,"&lt;&gt;Patrícia Karla de Sousa Araújo",$B:$B,"&lt;&gt;Lorena Dias de Araujo",$B:$B,"&lt;&gt;Lucas Luiz Romero")*(10/1083),0)))))),0)</f>
        <v/>
      </c>
      <c r="K1550" s="3">
        <f>I1550-J1550</f>
        <v/>
      </c>
      <c r="L1550" s="3">
        <f>IF(K1550&lt;-5,"CRÍTICO",IF(K1550&lt;0,"ATENÇÃO",IF(K1550&lt;=5,"BOM","EXCELENTE")))</f>
        <v/>
      </c>
      <c r="M1550" s="3" t="n">
        <v>13</v>
      </c>
      <c r="N1550" s="3" t="n">
        <v>98.89</v>
      </c>
      <c r="O1550" s="12" t="n">
        <v>28.02197802197802</v>
      </c>
    </row>
    <row r="1551">
      <c r="A1551" s="10" t="n">
        <v>46049</v>
      </c>
      <c r="B1551" t="inlineStr">
        <is>
          <t>Maria Eduarda Sousa Costa</t>
        </is>
      </c>
      <c r="C1551" s="1" t="inlineStr">
        <is>
          <t>Estágio</t>
        </is>
      </c>
      <c r="D1551" s="3" t="n">
        <v>7</v>
      </c>
      <c r="E1551" s="3" t="n">
        <v>5</v>
      </c>
      <c r="F1551" s="3" t="n">
        <v>40.53</v>
      </c>
      <c r="G1551" s="3" t="n">
        <v>0</v>
      </c>
      <c r="H1551" s="3" t="n">
        <v>0</v>
      </c>
      <c r="I1551" s="3">
        <f>E1551+G1551+H1551</f>
        <v/>
      </c>
      <c r="J1551" s="3">
        <f>ROUND(MIN(IF(C1551="Técnico III",35,IF(C1551="Técnico II",28,IF(C1551="Técnico I",23,IF(C1551="JR",20,IF(C1551="Estágio",10,0))))),IF(C1551="Técnico III",SUMIFS($D:$D,$A:$A,$A1551,$B:$B,"&lt;&gt;Patrícia Karla de Sousa Araújo",$B:$B,"&lt;&gt;Lorena Dias de Araujo",$B:$B,"&lt;&gt;Lucas Luiz Romero")*(35/1083),IF(C1551="Técnico II",SUMIFS($D:$D,$A:$A,$A1551,$B:$B,"&lt;&gt;Patrícia Karla de Sousa Araújo",$B:$B,"&lt;&gt;Lorena Dias de Araujo",$B:$B,"&lt;&gt;Lucas Luiz Romero")*(28/1083),IF(C1551="Técnico I",SUMIFS($D:$D,$A:$A,$A1551,$B:$B,"&lt;&gt;Patrícia Karla de Sousa Araújo",$B:$B,"&lt;&gt;Lorena Dias de Araujo",$B:$B,"&lt;&gt;Lucas Luiz Romero")*(23/1083),IF(C1551="JR",SUMIFS($D:$D,$A:$A,$A1551,$B:$B,"&lt;&gt;Patrícia Karla de Sousa Araújo",$B:$B,"&lt;&gt;Lorena Dias de Araujo",$B:$B,"&lt;&gt;Lucas Luiz Romero")*(20/1083),IF(C1551="Estágio",SUMIFS($D:$D,$A:$A,$A1551,$B:$B,"&lt;&gt;Patrícia Karla de Sousa Araújo",$B:$B,"&lt;&gt;Lorena Dias de Araujo",$B:$B,"&lt;&gt;Lucas Luiz Romero")*(10/1083),0)))))),0)</f>
        <v/>
      </c>
      <c r="K1551" s="3">
        <f>I1551-J1551</f>
        <v/>
      </c>
      <c r="L1551" s="3">
        <f>IF(K1551&lt;-5,"CRÍTICO",IF(K1551&lt;0,"ATENÇÃO",IF(K1551&lt;=5,"BOM","EXCELENTE")))</f>
        <v/>
      </c>
      <c r="M1551" s="3" t="n">
        <v>4</v>
      </c>
      <c r="N1551" s="3" t="n">
        <v>100</v>
      </c>
      <c r="O1551" s="12" t="n">
        <v>33.33333333333333</v>
      </c>
    </row>
    <row r="1552">
      <c r="A1552" s="10" t="n">
        <v>46049</v>
      </c>
      <c r="B1552" t="inlineStr">
        <is>
          <t>Matheus Farias De Souza</t>
        </is>
      </c>
      <c r="C1552" s="1" t="inlineStr">
        <is>
          <t>Técnico III</t>
        </is>
      </c>
      <c r="D1552" s="3" t="n">
        <v>0</v>
      </c>
      <c r="E1552" s="3" t="n">
        <v>0</v>
      </c>
      <c r="F1552" s="3" t="n">
        <v>0</v>
      </c>
      <c r="G1552" s="3" t="n">
        <v>0</v>
      </c>
      <c r="H1552" s="3" t="n">
        <v>0</v>
      </c>
      <c r="I1552" s="3" t="n">
        <v>0</v>
      </c>
      <c r="J1552" s="3" t="n">
        <v>0</v>
      </c>
      <c r="K1552" s="3" t="n">
        <v>0</v>
      </c>
      <c r="L1552" s="3">
        <f>IF(K1552&lt;-5,"CRÍTICO",IF(K1552&lt;0,"ATENÇÃO",IF(K1552&lt;=5,"BOM","EXCELENTE")))</f>
        <v/>
      </c>
      <c r="M1552" s="3" t="n">
        <v>0</v>
      </c>
      <c r="N1552" s="3" t="n">
        <v>100</v>
      </c>
      <c r="O1552" s="12" t="n">
        <v>27.43362831858407</v>
      </c>
    </row>
    <row r="1553">
      <c r="A1553" s="10" t="n">
        <v>46049</v>
      </c>
      <c r="B1553" t="inlineStr">
        <is>
          <t>Maysa Victoria Dias Moura</t>
        </is>
      </c>
      <c r="C1553" s="1" t="inlineStr">
        <is>
          <t>Técnico III</t>
        </is>
      </c>
      <c r="D1553" s="3" t="n">
        <v>24</v>
      </c>
      <c r="E1553" s="3" t="n">
        <v>22</v>
      </c>
      <c r="F1553" s="3" t="n">
        <v>18.24</v>
      </c>
      <c r="G1553" s="3" t="n">
        <v>0</v>
      </c>
      <c r="H1553" s="3" t="n">
        <v>0</v>
      </c>
      <c r="I1553" s="3">
        <f>E1553+G1553+H1553</f>
        <v/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/>
      </c>
      <c r="K1553" s="3">
        <f>I1553-J1553</f>
        <v/>
      </c>
      <c r="L1553" s="3">
        <f>IF(K1553&lt;-5,"CRÍTICO",IF(K1553&lt;0,"ATENÇÃO",IF(K1553&lt;=5,"BOM","EXCELENTE")))</f>
        <v/>
      </c>
      <c r="M1553" s="3" t="n">
        <v>18</v>
      </c>
      <c r="N1553" s="3" t="n">
        <v>98.65000000000001</v>
      </c>
      <c r="O1553" s="12" t="n">
        <v>30.97826086956522</v>
      </c>
    </row>
    <row r="1554">
      <c r="A1554" s="10" t="n">
        <v>46049</v>
      </c>
      <c r="B1554" t="inlineStr">
        <is>
          <t>Michelle G Santos</t>
        </is>
      </c>
      <c r="C1554" s="1" t="inlineStr">
        <is>
          <t>Estágio</t>
        </is>
      </c>
      <c r="D1554" s="3" t="n">
        <v>6</v>
      </c>
      <c r="E1554" s="3" t="n">
        <v>6</v>
      </c>
      <c r="F1554" s="3" t="n">
        <v>45.33</v>
      </c>
      <c r="G1554" s="3" t="n">
        <v>0</v>
      </c>
      <c r="H1554" s="3" t="n">
        <v>0</v>
      </c>
      <c r="I1554" s="3">
        <f>E1554+G1554+H1554</f>
        <v/>
      </c>
      <c r="J1554" s="3">
        <f>ROUND(MIN(IF(C1554="Técnico III",35,IF(C1554="Técnico II",28,IF(C1554="Técnico I",23,IF(C1554="JR",20,IF(C1554="Estágio",10,0))))),IF(C1554="Técnico III",SUMIFS($D:$D,$A:$A,$A1554,$B:$B,"&lt;&gt;Patrícia Karla de Sousa Araújo",$B:$B,"&lt;&gt;Lorena Dias de Araujo",$B:$B,"&lt;&gt;Lucas Luiz Romero")*(35/1083),IF(C1554="Técnico II",SUMIFS($D:$D,$A:$A,$A1554,$B:$B,"&lt;&gt;Patrícia Karla de Sousa Araújo",$B:$B,"&lt;&gt;Lorena Dias de Araujo",$B:$B,"&lt;&gt;Lucas Luiz Romero")*(28/1083),IF(C1554="Técnico I",SUMIFS($D:$D,$A:$A,$A1554,$B:$B,"&lt;&gt;Patrícia Karla de Sousa Araújo",$B:$B,"&lt;&gt;Lorena Dias de Araujo",$B:$B,"&lt;&gt;Lucas Luiz Romero")*(23/1083),IF(C1554="JR",SUMIFS($D:$D,$A:$A,$A1554,$B:$B,"&lt;&gt;Patrícia Karla de Sousa Araújo",$B:$B,"&lt;&gt;Lorena Dias de Araujo",$B:$B,"&lt;&gt;Lucas Luiz Romero")*(20/1083),IF(C1554="Estágio",SUMIFS($D:$D,$A:$A,$A1554,$B:$B,"&lt;&gt;Patrícia Karla de Sousa Araújo",$B:$B,"&lt;&gt;Lorena Dias de Araujo",$B:$B,"&lt;&gt;Lucas Luiz Romero")*(10/1083),0)))))),0)</f>
        <v/>
      </c>
      <c r="K1554" s="3">
        <f>I1554-J1554</f>
        <v/>
      </c>
      <c r="L1554" s="3">
        <f>IF(K1554&lt;-5,"CRÍTICO",IF(K1554&lt;0,"ATENÇÃO",IF(K1554&lt;=5,"BOM","EXCELENTE")))</f>
        <v/>
      </c>
      <c r="M1554" s="3" t="n">
        <v>5</v>
      </c>
      <c r="N1554" s="3" t="n">
        <v>100</v>
      </c>
      <c r="O1554" s="12" t="n">
        <v>12</v>
      </c>
    </row>
    <row r="1555">
      <c r="A1555" s="10" t="n">
        <v>46049</v>
      </c>
      <c r="B1555" t="inlineStr">
        <is>
          <t>Milena Sales</t>
        </is>
      </c>
      <c r="C1555" s="1" t="inlineStr">
        <is>
          <t>JR</t>
        </is>
      </c>
      <c r="D1555" s="3" t="n">
        <v>0</v>
      </c>
      <c r="E1555" s="3" t="n">
        <v>0</v>
      </c>
      <c r="F1555" s="3" t="n">
        <v>0</v>
      </c>
      <c r="G1555" s="3" t="n">
        <v>0</v>
      </c>
      <c r="H1555" s="3" t="n">
        <v>0</v>
      </c>
      <c r="I1555" s="3" t="n">
        <v>0</v>
      </c>
      <c r="J1555" s="3" t="n">
        <v>0</v>
      </c>
      <c r="K1555" s="3" t="n">
        <v>0</v>
      </c>
      <c r="L1555" s="3">
        <f>IF(K1555&lt;-5,"CRÍTICO",IF(K1555&lt;0,"ATENÇÃO",IF(K1555&lt;=5,"BOM","EXCELENTE")))</f>
        <v/>
      </c>
      <c r="M1555" s="3" t="n">
        <v>0</v>
      </c>
      <c r="N1555" s="3" t="n">
        <v>0</v>
      </c>
      <c r="O1555" s="12" t="n">
        <v>0</v>
      </c>
    </row>
    <row r="1556">
      <c r="A1556" s="10" t="n">
        <v>46049</v>
      </c>
      <c r="B1556" t="inlineStr">
        <is>
          <t>Patrícia Karla de Sousa Araújo</t>
        </is>
      </c>
      <c r="C1556" s="1" t="inlineStr">
        <is>
          <t>Técnico II</t>
        </is>
      </c>
      <c r="D1556" s="3" t="n">
        <v>11</v>
      </c>
      <c r="E1556" s="3" t="n">
        <v>11</v>
      </c>
      <c r="F1556" s="3" t="n">
        <v>24.09</v>
      </c>
      <c r="G1556" s="3" t="n">
        <v>0</v>
      </c>
      <c r="H1556" s="3" t="n">
        <v>0</v>
      </c>
      <c r="I1556" s="3">
        <f>E1556+G1556+H1556</f>
        <v/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/>
      </c>
      <c r="K1556" s="3">
        <f>I1556-J1556</f>
        <v/>
      </c>
      <c r="L1556" s="3">
        <f>IF(K1556&lt;-5,"CRÍTICO",IF(K1556&lt;0,"ATENÇÃO",IF(K1556&lt;=5,"BOM","EXCELENTE")))</f>
        <v/>
      </c>
      <c r="M1556" s="3" t="n">
        <v>8</v>
      </c>
      <c r="N1556" s="3" t="n">
        <v>97.56</v>
      </c>
      <c r="O1556" s="12" t="n">
        <v>31.06796116504854</v>
      </c>
    </row>
    <row r="1557">
      <c r="A1557" s="10" t="n">
        <v>46049</v>
      </c>
      <c r="B1557" t="inlineStr">
        <is>
          <t>Paulo Ricardo Santos</t>
        </is>
      </c>
      <c r="C1557" s="1" t="inlineStr">
        <is>
          <t>JR</t>
        </is>
      </c>
      <c r="D1557" s="3" t="n">
        <v>0</v>
      </c>
      <c r="E1557" s="3" t="n">
        <v>0</v>
      </c>
      <c r="F1557" s="3" t="n">
        <v>0</v>
      </c>
      <c r="G1557" s="3" t="n">
        <v>0</v>
      </c>
      <c r="H1557" s="3" t="n">
        <v>0</v>
      </c>
      <c r="I1557" s="3" t="n">
        <v>0</v>
      </c>
      <c r="J1557" s="3" t="n">
        <v>0</v>
      </c>
      <c r="K1557" s="3" t="n">
        <v>0</v>
      </c>
      <c r="L1557" s="3">
        <f>IF(K1557&lt;-5,"CRÍTICO",IF(K1557&lt;0,"ATENÇÃO",IF(K1557&lt;=5,"BOM","EXCELENTE")))</f>
        <v/>
      </c>
      <c r="M1557" s="3" t="n">
        <v>0</v>
      </c>
      <c r="N1557" s="3" t="n">
        <v>0</v>
      </c>
      <c r="O1557" s="12" t="n">
        <v>0</v>
      </c>
    </row>
    <row r="1558">
      <c r="A1558" s="10" t="n">
        <v>46049</v>
      </c>
      <c r="B1558" t="inlineStr">
        <is>
          <t>Pedro Luiz Mota Sousa</t>
        </is>
      </c>
      <c r="C1558" s="1" t="inlineStr">
        <is>
          <t>JR</t>
        </is>
      </c>
      <c r="D1558" s="3" t="n">
        <v>0</v>
      </c>
      <c r="E1558" s="3" t="n">
        <v>0</v>
      </c>
      <c r="F1558" s="3" t="n">
        <v>0</v>
      </c>
      <c r="G1558" s="3" t="n">
        <v>0</v>
      </c>
      <c r="H1558" s="3" t="n">
        <v>0</v>
      </c>
      <c r="I1558" s="3" t="n">
        <v>0</v>
      </c>
      <c r="J1558" s="3" t="n">
        <v>0</v>
      </c>
      <c r="K1558" s="3" t="n">
        <v>0</v>
      </c>
      <c r="L1558" s="3">
        <f>IF(K1558&lt;-5,"CRÍTICO",IF(K1558&lt;0,"ATENÇÃO",IF(K1558&lt;=5,"BOM","EXCELENTE")))</f>
        <v/>
      </c>
      <c r="M1558" s="3" t="n">
        <v>0</v>
      </c>
      <c r="N1558" s="3" t="n">
        <v>0</v>
      </c>
      <c r="O1558" s="12" t="n">
        <v>0</v>
      </c>
    </row>
    <row r="1559">
      <c r="A1559" s="10" t="n">
        <v>46049</v>
      </c>
      <c r="B1559" t="inlineStr">
        <is>
          <t>Quirino Diogo Leite Torres</t>
        </is>
      </c>
      <c r="C1559" s="1" t="inlineStr">
        <is>
          <t>Estágio</t>
        </is>
      </c>
      <c r="D1559" s="3" t="n">
        <v>0</v>
      </c>
      <c r="E1559" s="3" t="n">
        <v>0</v>
      </c>
      <c r="F1559" s="3" t="n">
        <v>0</v>
      </c>
      <c r="G1559" s="3" t="n">
        <v>0</v>
      </c>
      <c r="H1559" s="3" t="n">
        <v>0</v>
      </c>
      <c r="I1559" s="3" t="n">
        <v>0</v>
      </c>
      <c r="J1559" s="3" t="n">
        <v>0</v>
      </c>
      <c r="K1559" s="3" t="n">
        <v>0</v>
      </c>
      <c r="L1559" s="3">
        <f>IF(K1559&lt;-5,"CRÍTICO",IF(K1559&lt;0,"ATENÇÃO",IF(K1559&lt;=5,"BOM","EXCELENTE")))</f>
        <v/>
      </c>
      <c r="M1559" s="3" t="n">
        <v>0</v>
      </c>
      <c r="N1559" s="3" t="n">
        <v>0</v>
      </c>
      <c r="O1559" s="12" t="n">
        <v>0</v>
      </c>
    </row>
    <row r="1560">
      <c r="A1560" s="10" t="n">
        <v>46049</v>
      </c>
      <c r="B1560" t="inlineStr">
        <is>
          <t>Raane Batista Matos</t>
        </is>
      </c>
      <c r="C1560" s="1" t="inlineStr">
        <is>
          <t>Técnico I</t>
        </is>
      </c>
      <c r="D1560" s="3" t="n">
        <v>0</v>
      </c>
      <c r="E1560" s="3" t="n">
        <v>0</v>
      </c>
      <c r="F1560" s="3" t="n">
        <v>0</v>
      </c>
      <c r="G1560" s="3" t="n">
        <v>0</v>
      </c>
      <c r="H1560" s="3" t="n">
        <v>0</v>
      </c>
      <c r="I1560" s="3" t="n">
        <v>0</v>
      </c>
      <c r="J1560" s="3" t="n">
        <v>0</v>
      </c>
      <c r="K1560" s="3" t="n">
        <v>0</v>
      </c>
      <c r="L1560" s="3">
        <f>IF(K1560&lt;-5,"CRÍTICO",IF(K1560&lt;0,"ATENÇÃO",IF(K1560&lt;=5,"BOM","EXCELENTE")))</f>
        <v/>
      </c>
      <c r="M1560" s="3" t="n">
        <v>0</v>
      </c>
      <c r="N1560" s="3" t="n">
        <v>100</v>
      </c>
      <c r="O1560" s="12" t="n">
        <v>53.84615384615385</v>
      </c>
    </row>
    <row r="1561">
      <c r="A1561" s="10" t="n">
        <v>46049</v>
      </c>
      <c r="B1561" t="inlineStr">
        <is>
          <t>Rafael Gomes de Morais</t>
        </is>
      </c>
      <c r="C1561" s="1" t="inlineStr">
        <is>
          <t>Técnico III</t>
        </is>
      </c>
      <c r="D1561" s="3" t="n">
        <v>39</v>
      </c>
      <c r="E1561" s="3" t="n">
        <v>34</v>
      </c>
      <c r="F1561" s="3" t="n">
        <v>13.44</v>
      </c>
      <c r="G1561" s="3" t="n">
        <v>0</v>
      </c>
      <c r="H1561" s="3" t="n">
        <v>0</v>
      </c>
      <c r="I1561" s="3">
        <f>E1561+G1561+H1561</f>
        <v/>
      </c>
      <c r="J1561" s="3">
        <f>ROUND(MIN(IF(C1561="Técnico III",35,IF(C1561="Técnico II",28,IF(C1561="Técnico I",23,IF(C1561="JR",20,IF(C1561="Estágio",10,0))))),IF(C1561="Técnico III",SUMIFS($D:$D,$A:$A,$A1561,$B:$B,"&lt;&gt;Patrícia Karla de Sousa Araújo",$B:$B,"&lt;&gt;Lorena Dias de Araujo",$B:$B,"&lt;&gt;Lucas Luiz Romero")*(35/1083),IF(C1561="Técnico II",SUMIFS($D:$D,$A:$A,$A1561,$B:$B,"&lt;&gt;Patrícia Karla de Sousa Araújo",$B:$B,"&lt;&gt;Lorena Dias de Araujo",$B:$B,"&lt;&gt;Lucas Luiz Romero")*(28/1083),IF(C1561="Técnico I",SUMIFS($D:$D,$A:$A,$A1561,$B:$B,"&lt;&gt;Patrícia Karla de Sousa Araújo",$B:$B,"&lt;&gt;Lorena Dias de Araujo",$B:$B,"&lt;&gt;Lucas Luiz Romero")*(23/1083),IF(C1561="JR",SUMIFS($D:$D,$A:$A,$A1561,$B:$B,"&lt;&gt;Patrícia Karla de Sousa Araújo",$B:$B,"&lt;&gt;Lorena Dias de Araujo",$B:$B,"&lt;&gt;Lucas Luiz Romero")*(20/1083),IF(C1561="Estágio",SUMIFS($D:$D,$A:$A,$A1561,$B:$B,"&lt;&gt;Patrícia Karla de Sousa Araújo",$B:$B,"&lt;&gt;Lorena Dias de Araujo",$B:$B,"&lt;&gt;Lucas Luiz Romero")*(10/1083),0)))))),0)</f>
        <v/>
      </c>
      <c r="K1561" s="3">
        <f>I1561-J1561</f>
        <v/>
      </c>
      <c r="L1561" s="3">
        <f>IF(K1561&lt;-5,"CRÍTICO",IF(K1561&lt;0,"ATENÇÃO",IF(K1561&lt;=5,"BOM","EXCELENTE")))</f>
        <v/>
      </c>
      <c r="M1561" s="3" t="n">
        <v>28</v>
      </c>
      <c r="N1561" s="3" t="n">
        <v>100</v>
      </c>
      <c r="O1561" s="12" t="n">
        <v>44.05594405594406</v>
      </c>
    </row>
    <row r="1562">
      <c r="A1562" s="10" t="n">
        <v>46049</v>
      </c>
      <c r="B1562" t="inlineStr">
        <is>
          <t>Sara Maria Monteiro Lopes</t>
        </is>
      </c>
      <c r="C1562" s="1" t="inlineStr">
        <is>
          <t>Técnico I</t>
        </is>
      </c>
      <c r="D1562" s="3" t="n">
        <v>21</v>
      </c>
      <c r="E1562" s="3" t="n">
        <v>20</v>
      </c>
      <c r="F1562" s="3" t="n">
        <v>21.58</v>
      </c>
      <c r="G1562" s="3" t="n">
        <v>0</v>
      </c>
      <c r="H1562" s="3" t="n">
        <v>0</v>
      </c>
      <c r="I1562" s="3">
        <f>E1562+G1562+H1562</f>
        <v/>
      </c>
      <c r="J1562" s="3">
        <f>ROUND(MIN(IF(C1562="Técnico III",35,IF(C1562="Técnico II",28,IF(C1562="Técnico I",23,IF(C1562="JR",20,IF(C1562="Estágio",10,0))))),IF(C1562="Técnico III",SUMIFS($D:$D,$A:$A,$A1562,$B:$B,"&lt;&gt;Patrícia Karla de Sousa Araújo",$B:$B,"&lt;&gt;Lorena Dias de Araujo",$B:$B,"&lt;&gt;Lucas Luiz Romero")*(35/1083),IF(C1562="Técnico II",SUMIFS($D:$D,$A:$A,$A1562,$B:$B,"&lt;&gt;Patrícia Karla de Sousa Araújo",$B:$B,"&lt;&gt;Lorena Dias de Araujo",$B:$B,"&lt;&gt;Lucas Luiz Romero")*(28/1083),IF(C1562="Técnico I",SUMIFS($D:$D,$A:$A,$A1562,$B:$B,"&lt;&gt;Patrícia Karla de Sousa Araújo",$B:$B,"&lt;&gt;Lorena Dias de Araujo",$B:$B,"&lt;&gt;Lucas Luiz Romero")*(23/1083),IF(C1562="JR",SUMIFS($D:$D,$A:$A,$A1562,$B:$B,"&lt;&gt;Patrícia Karla de Sousa Araújo",$B:$B,"&lt;&gt;Lorena Dias de Araujo",$B:$B,"&lt;&gt;Lucas Luiz Romero")*(20/1083),IF(C1562="Estágio",SUMIFS($D:$D,$A:$A,$A1562,$B:$B,"&lt;&gt;Patrícia Karla de Sousa Araújo",$B:$B,"&lt;&gt;Lorena Dias de Araujo",$B:$B,"&lt;&gt;Lucas Luiz Romero")*(10/1083),0)))))),0)</f>
        <v/>
      </c>
      <c r="K1562" s="3">
        <f>I1562-J1562</f>
        <v/>
      </c>
      <c r="L1562" s="3">
        <f>IF(K1562&lt;-5,"CRÍTICO",IF(K1562&lt;0,"ATENÇÃO",IF(K1562&lt;=5,"BOM","EXCELENTE")))</f>
        <v/>
      </c>
      <c r="M1562" s="3" t="n">
        <v>17</v>
      </c>
      <c r="N1562" s="3" t="n">
        <v>100</v>
      </c>
      <c r="O1562" s="12" t="n">
        <v>31.87250996015936</v>
      </c>
    </row>
    <row r="1563">
      <c r="A1563" s="10" t="n">
        <v>46049</v>
      </c>
      <c r="B1563" t="inlineStr">
        <is>
          <t>Sarah Steffanie de Lima Borges</t>
        </is>
      </c>
      <c r="C1563" s="1" t="inlineStr">
        <is>
          <t>Técnico III</t>
        </is>
      </c>
      <c r="D1563" s="3" t="n">
        <v>32</v>
      </c>
      <c r="E1563" s="3" t="n">
        <v>31</v>
      </c>
      <c r="F1563" s="3" t="n">
        <v>16.49</v>
      </c>
      <c r="G1563" s="3" t="n">
        <v>0</v>
      </c>
      <c r="H1563" s="3" t="n">
        <v>0</v>
      </c>
      <c r="I1563" s="3">
        <f>E1563+G1563+H1563</f>
        <v/>
      </c>
      <c r="J1563" s="3">
        <f>ROUND(MIN(IF(C1563="Técnico III",35,IF(C1563="Técnico II",28,IF(C1563="Técnico I",23,IF(C1563="JR",20,IF(C1563="Estágio",10,0))))),IF(C1563="Técnico III",SUMIFS($D:$D,$A:$A,$A1563,$B:$B,"&lt;&gt;Patrícia Karla de Sousa Araújo",$B:$B,"&lt;&gt;Lorena Dias de Araujo",$B:$B,"&lt;&gt;Lucas Luiz Romero")*(35/1083),IF(C1563="Técnico II",SUMIFS($D:$D,$A:$A,$A1563,$B:$B,"&lt;&gt;Patrícia Karla de Sousa Araújo",$B:$B,"&lt;&gt;Lorena Dias de Araujo",$B:$B,"&lt;&gt;Lucas Luiz Romero")*(28/1083),IF(C1563="Técnico I",SUMIFS($D:$D,$A:$A,$A1563,$B:$B,"&lt;&gt;Patrícia Karla de Sousa Araújo",$B:$B,"&lt;&gt;Lorena Dias de Araujo",$B:$B,"&lt;&gt;Lucas Luiz Romero")*(23/1083),IF(C1563="JR",SUMIFS($D:$D,$A:$A,$A1563,$B:$B,"&lt;&gt;Patrícia Karla de Sousa Araújo",$B:$B,"&lt;&gt;Lorena Dias de Araujo",$B:$B,"&lt;&gt;Lucas Luiz Romero")*(20/1083),IF(C1563="Estágio",SUMIFS($D:$D,$A:$A,$A1563,$B:$B,"&lt;&gt;Patrícia Karla de Sousa Araújo",$B:$B,"&lt;&gt;Lorena Dias de Araujo",$B:$B,"&lt;&gt;Lucas Luiz Romero")*(10/1083),0)))))),0)</f>
        <v/>
      </c>
      <c r="K1563" s="3">
        <f>I1563-J1563</f>
        <v/>
      </c>
      <c r="L1563" s="3">
        <f>IF(K1563&lt;-5,"CRÍTICO",IF(K1563&lt;0,"ATENÇÃO",IF(K1563&lt;=5,"BOM","EXCELENTE")))</f>
        <v/>
      </c>
      <c r="M1563" s="3" t="n">
        <v>29</v>
      </c>
      <c r="N1563" s="3" t="n">
        <v>98.41</v>
      </c>
      <c r="O1563" s="12" t="n">
        <v>29.22465208747515</v>
      </c>
    </row>
    <row r="1564">
      <c r="A1564" s="10" t="n">
        <v>46050</v>
      </c>
      <c r="B1564" t="inlineStr">
        <is>
          <t>Alisson de Freitas Silva</t>
        </is>
      </c>
      <c r="C1564" s="1" t="inlineStr">
        <is>
          <t>Técnico II</t>
        </is>
      </c>
      <c r="D1564" s="3" t="n">
        <v>45</v>
      </c>
      <c r="E1564" s="3" t="n">
        <v>40</v>
      </c>
      <c r="F1564" s="3" t="n">
        <v>12.1</v>
      </c>
      <c r="G1564" s="3" t="n">
        <v>0</v>
      </c>
      <c r="H1564" s="3" t="n">
        <v>0</v>
      </c>
      <c r="I1564" s="3">
        <f>E1564+G1564+H1564</f>
        <v/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/>
      </c>
      <c r="K1564" s="3">
        <f>I1564-J1564</f>
        <v/>
      </c>
      <c r="L1564" s="3">
        <f>IF(K1564&lt;-5,"CRÍTICO",IF(K1564&lt;0,"ATENÇÃO",IF(K1564&lt;=5,"BOM","EXCELENTE")))</f>
        <v/>
      </c>
      <c r="M1564" s="3" t="n">
        <v>39</v>
      </c>
      <c r="N1564" s="3" t="n">
        <v>96.81</v>
      </c>
      <c r="O1564" s="12" t="n">
        <v>27.98053527980535</v>
      </c>
    </row>
    <row r="1565">
      <c r="A1565" s="10" t="n">
        <v>46050</v>
      </c>
      <c r="B1565" t="inlineStr">
        <is>
          <t>Amanda Moura Ferreira</t>
        </is>
      </c>
      <c r="C1565" s="1" t="inlineStr">
        <is>
          <t>Técnico III</t>
        </is>
      </c>
      <c r="D1565" s="3" t="n">
        <v>0</v>
      </c>
      <c r="E1565" s="3" t="n">
        <v>0</v>
      </c>
      <c r="F1565" s="3" t="n">
        <v>0</v>
      </c>
      <c r="G1565" s="3" t="n">
        <v>0</v>
      </c>
      <c r="H1565" s="3" t="n">
        <v>0</v>
      </c>
      <c r="I1565" s="3" t="n">
        <v>0</v>
      </c>
      <c r="J1565" s="3" t="n">
        <v>0</v>
      </c>
      <c r="K1565" s="3" t="n">
        <v>0</v>
      </c>
      <c r="L1565" s="3">
        <f>IF(K1565&lt;-5,"CRÍTICO",IF(K1565&lt;0,"ATENÇÃO",IF(K1565&lt;=5,"BOM","EXCELENTE")))</f>
        <v/>
      </c>
      <c r="M1565" s="3" t="n">
        <v>36</v>
      </c>
      <c r="N1565" s="3" t="n">
        <v>98.73</v>
      </c>
      <c r="O1565" s="12" t="n">
        <v>35.75638506876228</v>
      </c>
    </row>
    <row r="1566">
      <c r="A1566" s="10" t="n">
        <v>46050</v>
      </c>
      <c r="B1566" t="inlineStr">
        <is>
          <t>Ana Karollyne Souza Faria</t>
        </is>
      </c>
      <c r="C1566" s="1" t="inlineStr">
        <is>
          <t>Técnico I</t>
        </is>
      </c>
      <c r="D1566" s="3" t="n">
        <v>28</v>
      </c>
      <c r="E1566" s="3" t="n">
        <v>28</v>
      </c>
      <c r="F1566" s="3" t="n">
        <v>22.02</v>
      </c>
      <c r="G1566" s="3" t="n">
        <v>0</v>
      </c>
      <c r="H1566" s="3" t="n">
        <v>0</v>
      </c>
      <c r="I1566" s="3">
        <f>E1566+G1566+H1566</f>
        <v/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/>
      </c>
      <c r="K1566" s="3">
        <f>I1566-J1566</f>
        <v/>
      </c>
      <c r="L1566" s="3">
        <f>IF(K1566&lt;-5,"CRÍTICO",IF(K1566&lt;0,"ATENÇÃO",IF(K1566&lt;=5,"BOM","EXCELENTE")))</f>
        <v/>
      </c>
      <c r="M1566" s="3" t="n">
        <v>24</v>
      </c>
      <c r="N1566" s="3" t="n">
        <v>98.31999999999999</v>
      </c>
      <c r="O1566" s="12" t="n">
        <v>26.76348547717842</v>
      </c>
    </row>
    <row r="1567">
      <c r="A1567" s="10" t="n">
        <v>46050</v>
      </c>
      <c r="B1567" t="inlineStr">
        <is>
          <t>Ana Paula Da Luz Silva Aleixo</t>
        </is>
      </c>
      <c r="C1567" s="1" t="inlineStr">
        <is>
          <t>Técnico III</t>
        </is>
      </c>
      <c r="D1567" s="3" t="n">
        <v>26</v>
      </c>
      <c r="E1567" s="3" t="n">
        <v>23</v>
      </c>
      <c r="F1567" s="3" t="n">
        <v>25.17</v>
      </c>
      <c r="G1567" s="3" t="n">
        <v>0</v>
      </c>
      <c r="H1567" s="3" t="n">
        <v>0</v>
      </c>
      <c r="I1567" s="3">
        <f>E1567+G1567+H1567</f>
        <v/>
      </c>
      <c r="J1567" s="3">
        <f>ROUND(MIN(IF(C1567="Técnico III",35,IF(C1567="Técnico II",28,IF(C1567="Técnico I",23,IF(C1567="JR",20,IF(C1567="Estágio",10,0))))),IF(C1567="Técnico III",SUMIFS($D:$D,$A:$A,$A1567,$B:$B,"&lt;&gt;Patrícia Karla de Sousa Araújo",$B:$B,"&lt;&gt;Lorena Dias de Araujo",$B:$B,"&lt;&gt;Lucas Luiz Romero")*(35/1083),IF(C1567="Técnico II",SUMIFS($D:$D,$A:$A,$A1567,$B:$B,"&lt;&gt;Patrícia Karla de Sousa Araújo",$B:$B,"&lt;&gt;Lorena Dias de Araujo",$B:$B,"&lt;&gt;Lucas Luiz Romero")*(28/1083),IF(C1567="Técnico I",SUMIFS($D:$D,$A:$A,$A1567,$B:$B,"&lt;&gt;Patrícia Karla de Sousa Araújo",$B:$B,"&lt;&gt;Lorena Dias de Araujo",$B:$B,"&lt;&gt;Lucas Luiz Romero")*(23/1083),IF(C1567="JR",SUMIFS($D:$D,$A:$A,$A1567,$B:$B,"&lt;&gt;Patrícia Karla de Sousa Araújo",$B:$B,"&lt;&gt;Lorena Dias de Araujo",$B:$B,"&lt;&gt;Lucas Luiz Romero")*(20/1083),IF(C1567="Estágio",SUMIFS($D:$D,$A:$A,$A1567,$B:$B,"&lt;&gt;Patrícia Karla de Sousa Araújo",$B:$B,"&lt;&gt;Lorena Dias de Araujo",$B:$B,"&lt;&gt;Lucas Luiz Romero")*(10/1083),0)))))),0)</f>
        <v/>
      </c>
      <c r="K1567" s="3">
        <f>I1567-J1567</f>
        <v/>
      </c>
      <c r="L1567" s="3">
        <f>IF(K1567&lt;-5,"CRÍTICO",IF(K1567&lt;0,"ATENÇÃO",IF(K1567&lt;=5,"BOM","EXCELENTE")))</f>
        <v/>
      </c>
      <c r="M1567" s="3" t="n">
        <v>20</v>
      </c>
      <c r="N1567" s="3" t="n">
        <v>99.19</v>
      </c>
      <c r="O1567" s="12" t="n">
        <v>27.63713080168776</v>
      </c>
    </row>
    <row r="1568">
      <c r="A1568" s="10" t="n">
        <v>46050</v>
      </c>
      <c r="B1568" t="inlineStr">
        <is>
          <t>Anna Luiza Rezende Tavares</t>
        </is>
      </c>
      <c r="C1568" s="1" t="inlineStr">
        <is>
          <t>Estágio</t>
        </is>
      </c>
      <c r="D1568" s="3" t="n">
        <v>13</v>
      </c>
      <c r="E1568" s="3" t="n">
        <v>13</v>
      </c>
      <c r="F1568" s="3" t="n">
        <v>20.5</v>
      </c>
      <c r="G1568" s="3" t="n">
        <v>0</v>
      </c>
      <c r="H1568" s="3" t="n">
        <v>0</v>
      </c>
      <c r="I1568" s="3">
        <f>E1568+G1568+H1568</f>
        <v/>
      </c>
      <c r="J1568" s="3">
        <f>ROUND(MIN(IF(C1568="Técnico III",35,IF(C1568="Técnico II",28,IF(C1568="Técnico I",23,IF(C1568="JR",20,IF(C1568="Estágio",10,0))))),IF(C1568="Técnico III",SUMIFS($D:$D,$A:$A,$A1568,$B:$B,"&lt;&gt;Patrícia Karla de Sousa Araújo",$B:$B,"&lt;&gt;Lorena Dias de Araujo",$B:$B,"&lt;&gt;Lucas Luiz Romero")*(35/1083),IF(C1568="Técnico II",SUMIFS($D:$D,$A:$A,$A1568,$B:$B,"&lt;&gt;Patrícia Karla de Sousa Araújo",$B:$B,"&lt;&gt;Lorena Dias de Araujo",$B:$B,"&lt;&gt;Lucas Luiz Romero")*(28/1083),IF(C1568="Técnico I",SUMIFS($D:$D,$A:$A,$A1568,$B:$B,"&lt;&gt;Patrícia Karla de Sousa Araújo",$B:$B,"&lt;&gt;Lorena Dias de Araujo",$B:$B,"&lt;&gt;Lucas Luiz Romero")*(23/1083),IF(C1568="JR",SUMIFS($D:$D,$A:$A,$A1568,$B:$B,"&lt;&gt;Patrícia Karla de Sousa Araújo",$B:$B,"&lt;&gt;Lorena Dias de Araujo",$B:$B,"&lt;&gt;Lucas Luiz Romero")*(20/1083),IF(C1568="Estágio",SUMIFS($D:$D,$A:$A,$A1568,$B:$B,"&lt;&gt;Patrícia Karla de Sousa Araújo",$B:$B,"&lt;&gt;Lorena Dias de Araujo",$B:$B,"&lt;&gt;Lucas Luiz Romero")*(10/1083),0)))))),0)</f>
        <v/>
      </c>
      <c r="K1568" s="3">
        <f>I1568-J1568</f>
        <v/>
      </c>
      <c r="L1568" s="3">
        <f>IF(K1568&lt;-5,"CRÍTICO",IF(K1568&lt;0,"ATENÇÃO",IF(K1568&lt;=5,"BOM","EXCELENTE")))</f>
        <v/>
      </c>
      <c r="M1568" s="3" t="n">
        <v>13</v>
      </c>
      <c r="N1568" s="3" t="n">
        <v>100</v>
      </c>
      <c r="O1568" s="12" t="n">
        <v>39.56834532374101</v>
      </c>
    </row>
    <row r="1569">
      <c r="A1569" s="10" t="n">
        <v>46050</v>
      </c>
      <c r="B1569" t="inlineStr">
        <is>
          <t>Brenda de Menezes Silva</t>
        </is>
      </c>
      <c r="C1569" s="1" t="inlineStr">
        <is>
          <t>Técnico II</t>
        </is>
      </c>
      <c r="D1569" s="3" t="n">
        <v>46</v>
      </c>
      <c r="E1569" s="3" t="n">
        <v>35</v>
      </c>
      <c r="F1569" s="3" t="n">
        <v>13.3</v>
      </c>
      <c r="G1569" s="3" t="n">
        <v>0</v>
      </c>
      <c r="H1569" s="3" t="n">
        <v>0</v>
      </c>
      <c r="I1569" s="3">
        <f>E1569+G1569+H1569</f>
        <v/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/>
      </c>
      <c r="K1569" s="3">
        <f>I1569-J1569</f>
        <v/>
      </c>
      <c r="L1569" s="3">
        <f>IF(K1569&lt;-5,"CRÍTICO",IF(K1569&lt;0,"ATENÇÃO",IF(K1569&lt;=5,"BOM","EXCELENTE")))</f>
        <v/>
      </c>
      <c r="M1569" s="3" t="n">
        <v>38</v>
      </c>
      <c r="N1569" s="3" t="n">
        <v>98.54000000000001</v>
      </c>
      <c r="O1569" s="12" t="n">
        <v>28.54477611940299</v>
      </c>
    </row>
    <row r="1570">
      <c r="A1570" s="10" t="n">
        <v>46050</v>
      </c>
      <c r="B1570" t="inlineStr">
        <is>
          <t>Carlos Mateus Cassimiro Nunes</t>
        </is>
      </c>
      <c r="C1570" s="1" t="inlineStr">
        <is>
          <t>Técnico II</t>
        </is>
      </c>
      <c r="D1570" s="3" t="n">
        <v>24</v>
      </c>
      <c r="E1570" s="3" t="n">
        <v>24</v>
      </c>
      <c r="F1570" s="3" t="n">
        <v>25.34</v>
      </c>
      <c r="G1570" s="3" t="n">
        <v>0</v>
      </c>
      <c r="H1570" s="3" t="n">
        <v>0</v>
      </c>
      <c r="I1570" s="3">
        <f>E1570+G1570+H1570</f>
        <v/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/>
      </c>
      <c r="K1570" s="3">
        <f>I1570-J1570</f>
        <v/>
      </c>
      <c r="L1570" s="3">
        <f>IF(K1570&lt;-5,"CRÍTICO",IF(K1570&lt;0,"ATENÇÃO",IF(K1570&lt;=5,"BOM","EXCELENTE")))</f>
        <v/>
      </c>
      <c r="M1570" s="3" t="n">
        <v>20</v>
      </c>
      <c r="N1570" s="3" t="n">
        <v>100</v>
      </c>
      <c r="O1570" s="12" t="n">
        <v>34.36692506459949</v>
      </c>
    </row>
    <row r="1571">
      <c r="A1571" s="10" t="n">
        <v>46050</v>
      </c>
      <c r="B1571" t="inlineStr">
        <is>
          <t>Claudio de Sousa Velasco Filho</t>
        </is>
      </c>
      <c r="C1571" s="1" t="inlineStr">
        <is>
          <t>Estágio</t>
        </is>
      </c>
      <c r="D1571" s="3" t="n">
        <v>0</v>
      </c>
      <c r="E1571" s="3" t="n">
        <v>0</v>
      </c>
      <c r="F1571" s="3" t="n">
        <v>0</v>
      </c>
      <c r="G1571" s="3" t="n">
        <v>0</v>
      </c>
      <c r="H1571" s="3" t="n">
        <v>0</v>
      </c>
      <c r="I1571" s="3" t="n">
        <v>0</v>
      </c>
      <c r="J1571" s="3" t="n">
        <v>0</v>
      </c>
      <c r="K1571" s="3" t="n">
        <v>0</v>
      </c>
      <c r="L1571" s="3">
        <f>IF(K1571&lt;-5,"CRÍTICO",IF(K1571&lt;0,"ATENÇÃO",IF(K1571&lt;=5,"BOM","EXCELENTE")))</f>
        <v/>
      </c>
      <c r="M1571" s="3" t="n">
        <v>0</v>
      </c>
      <c r="N1571" s="3" t="n">
        <v>0</v>
      </c>
      <c r="O1571" s="12" t="n">
        <v>0</v>
      </c>
    </row>
    <row r="1572">
      <c r="A1572" s="10" t="n">
        <v>46050</v>
      </c>
      <c r="B1572" t="inlineStr">
        <is>
          <t>Clessiane Pereira dos Santos</t>
        </is>
      </c>
      <c r="C1572" s="1" t="inlineStr">
        <is>
          <t>Técnico I</t>
        </is>
      </c>
      <c r="D1572" s="3" t="n">
        <v>28</v>
      </c>
      <c r="E1572" s="3" t="n">
        <v>25</v>
      </c>
      <c r="F1572" s="3" t="n">
        <v>18.56</v>
      </c>
      <c r="G1572" s="3" t="n">
        <v>0</v>
      </c>
      <c r="H1572" s="3" t="n">
        <v>0</v>
      </c>
      <c r="I1572" s="3">
        <f>E1572+G1572+H1572</f>
        <v/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/>
      </c>
      <c r="K1572" s="3">
        <f>I1572-J1572</f>
        <v/>
      </c>
      <c r="L1572" s="3">
        <f>IF(K1572&lt;-5,"CRÍTICO",IF(K1572&lt;0,"ATENÇÃO",IF(K1572&lt;=5,"BOM","EXCELENTE")))</f>
        <v/>
      </c>
      <c r="M1572" s="3" t="n">
        <v>26</v>
      </c>
      <c r="N1572" s="3" t="n">
        <v>100</v>
      </c>
      <c r="O1572" s="12" t="n">
        <v>29.51807228915663</v>
      </c>
    </row>
    <row r="1573">
      <c r="A1573" s="10" t="n">
        <v>46050</v>
      </c>
      <c r="B1573" t="inlineStr">
        <is>
          <t>Cristiane Ramos da Silva Rocha</t>
        </is>
      </c>
      <c r="C1573" s="1" t="inlineStr">
        <is>
          <t>Técnico III</t>
        </is>
      </c>
      <c r="D1573" s="3" t="n">
        <v>43</v>
      </c>
      <c r="E1573" s="3" t="n">
        <v>37</v>
      </c>
      <c r="F1573" s="3" t="n">
        <v>12.12</v>
      </c>
      <c r="G1573" s="3" t="n">
        <v>0</v>
      </c>
      <c r="H1573" s="3" t="n">
        <v>0</v>
      </c>
      <c r="I1573" s="3">
        <f>E1573+G1573+H1573</f>
        <v/>
      </c>
      <c r="J1573" s="3">
        <f>ROUND(MIN(IF(C1573="Técnico III",35,IF(C1573="Técnico II",28,IF(C1573="Técnico I",23,IF(C1573="JR",20,IF(C1573="Estágio",10,0))))),IF(C1573="Técnico III",SUMIFS($D:$D,$A:$A,$A1573,$B:$B,"&lt;&gt;Patrícia Karla de Sousa Araújo",$B:$B,"&lt;&gt;Lorena Dias de Araujo",$B:$B,"&lt;&gt;Lucas Luiz Romero")*(35/1083),IF(C1573="Técnico II",SUMIFS($D:$D,$A:$A,$A1573,$B:$B,"&lt;&gt;Patrícia Karla de Sousa Araújo",$B:$B,"&lt;&gt;Lorena Dias de Araujo",$B:$B,"&lt;&gt;Lucas Luiz Romero")*(28/1083),IF(C1573="Técnico I",SUMIFS($D:$D,$A:$A,$A1573,$B:$B,"&lt;&gt;Patrícia Karla de Sousa Araújo",$B:$B,"&lt;&gt;Lorena Dias de Araujo",$B:$B,"&lt;&gt;Lucas Luiz Romero")*(23/1083),IF(C1573="JR",SUMIFS($D:$D,$A:$A,$A1573,$B:$B,"&lt;&gt;Patrícia Karla de Sousa Araújo",$B:$B,"&lt;&gt;Lorena Dias de Araujo",$B:$B,"&lt;&gt;Lucas Luiz Romero")*(20/1083),IF(C1573="Estágio",SUMIFS($D:$D,$A:$A,$A1573,$B:$B,"&lt;&gt;Patrícia Karla de Sousa Araújo",$B:$B,"&lt;&gt;Lorena Dias de Araujo",$B:$B,"&lt;&gt;Lucas Luiz Romero")*(10/1083),0)))))),0)</f>
        <v/>
      </c>
      <c r="K1573" s="3">
        <f>I1573-J1573</f>
        <v/>
      </c>
      <c r="L1573" s="3">
        <f>IF(K1573&lt;-5,"CRÍTICO",IF(K1573&lt;0,"ATENÇÃO",IF(K1573&lt;=5,"BOM","EXCELENTE")))</f>
        <v/>
      </c>
      <c r="M1573" s="3" t="n">
        <v>36</v>
      </c>
      <c r="N1573" s="3" t="n">
        <v>97.45</v>
      </c>
      <c r="O1573" s="12" t="n">
        <v>41.421143847487</v>
      </c>
    </row>
    <row r="1574">
      <c r="A1574" s="10" t="n">
        <v>46050</v>
      </c>
      <c r="B1574" t="inlineStr">
        <is>
          <t>Damyllis Lorraine de Oliveira Gonçalves</t>
        </is>
      </c>
      <c r="C1574" s="1" t="inlineStr">
        <is>
          <t>Técnico II</t>
        </is>
      </c>
      <c r="D1574" s="3" t="n">
        <v>41</v>
      </c>
      <c r="E1574" s="3" t="n">
        <v>32</v>
      </c>
      <c r="F1574" s="3" t="n">
        <v>13.51</v>
      </c>
      <c r="G1574" s="3" t="n">
        <v>0</v>
      </c>
      <c r="H1574" s="3" t="n">
        <v>0</v>
      </c>
      <c r="I1574" s="3" t="n">
        <v>0</v>
      </c>
      <c r="J1574" s="3" t="n">
        <v>0</v>
      </c>
      <c r="K1574" s="3" t="n">
        <v>0</v>
      </c>
      <c r="L1574" s="3">
        <f>IF(K1574&lt;-5,"CRÍTICO",IF(K1574&lt;0,"ATENÇÃO",IF(K1574&lt;=5,"BOM","EXCELENTE")))</f>
        <v/>
      </c>
      <c r="M1574" s="3" t="n">
        <v>30</v>
      </c>
      <c r="N1574" s="3" t="n">
        <v>96.58</v>
      </c>
      <c r="O1574" s="12" t="n">
        <v>30.39647577092511</v>
      </c>
    </row>
    <row r="1575">
      <c r="A1575" s="10" t="n">
        <v>46050</v>
      </c>
      <c r="B1575" t="inlineStr">
        <is>
          <t>Daniel Gomes da Silva</t>
        </is>
      </c>
      <c r="C1575" s="1" t="inlineStr">
        <is>
          <t>Técnico I</t>
        </is>
      </c>
      <c r="D1575" s="3" t="n">
        <v>26</v>
      </c>
      <c r="E1575" s="3" t="n">
        <v>23</v>
      </c>
      <c r="F1575" s="3" t="n">
        <v>24.19</v>
      </c>
      <c r="G1575" s="3" t="n">
        <v>0</v>
      </c>
      <c r="H1575" s="3" t="n">
        <v>0</v>
      </c>
      <c r="I1575" s="3">
        <f>E1575+G1575+H1575</f>
        <v/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/>
      </c>
      <c r="K1575" s="3">
        <f>I1575-J1575</f>
        <v/>
      </c>
      <c r="L1575" s="3">
        <f>IF(K1575&lt;-5,"CRÍTICO",IF(K1575&lt;0,"ATENÇÃO",IF(K1575&lt;=5,"BOM","EXCELENTE")))</f>
        <v/>
      </c>
      <c r="M1575" s="3" t="n">
        <v>28</v>
      </c>
      <c r="N1575" s="3" t="n">
        <v>100</v>
      </c>
      <c r="O1575" s="12" t="n">
        <v>27.44282744282744</v>
      </c>
    </row>
    <row r="1576">
      <c r="A1576" s="10" t="n">
        <v>46050</v>
      </c>
      <c r="B1576" t="inlineStr">
        <is>
          <t>Davylla Rodrigues Freitas Silva</t>
        </is>
      </c>
      <c r="C1576" s="1" t="inlineStr">
        <is>
          <t>Técnico III</t>
        </is>
      </c>
      <c r="D1576" s="3" t="n">
        <v>32</v>
      </c>
      <c r="E1576" s="3" t="n">
        <v>32</v>
      </c>
      <c r="F1576" s="3" t="n">
        <v>22.01</v>
      </c>
      <c r="G1576" s="3" t="n">
        <v>0</v>
      </c>
      <c r="H1576" s="3" t="n">
        <v>0</v>
      </c>
      <c r="I1576" s="3" t="n">
        <v>0</v>
      </c>
      <c r="J1576" s="3" t="n">
        <v>0</v>
      </c>
      <c r="K1576" s="3" t="n">
        <v>0</v>
      </c>
      <c r="L1576" s="3">
        <f>IF(K1576&lt;-5,"CRÍTICO",IF(K1576&lt;0,"ATENÇÃO",IF(K1576&lt;=5,"BOM","EXCELENTE")))</f>
        <v/>
      </c>
      <c r="M1576" s="3" t="n">
        <v>31</v>
      </c>
      <c r="N1576" s="3" t="n">
        <v>99.48999999999999</v>
      </c>
      <c r="O1576" s="12" t="n">
        <v>40.2</v>
      </c>
    </row>
    <row r="1577">
      <c r="A1577" s="10" t="n">
        <v>46050</v>
      </c>
      <c r="B1577" t="inlineStr">
        <is>
          <t>Emilly Caylane Costa</t>
        </is>
      </c>
      <c r="C1577" s="1" t="inlineStr">
        <is>
          <t>Estágio</t>
        </is>
      </c>
      <c r="D1577" s="3" t="n">
        <v>2</v>
      </c>
      <c r="E1577" s="3" t="n">
        <v>2</v>
      </c>
      <c r="F1577" s="3" t="n">
        <v>55.02</v>
      </c>
      <c r="G1577" s="3" t="n">
        <v>0</v>
      </c>
      <c r="H1577" s="3" t="n">
        <v>0</v>
      </c>
      <c r="I1577" s="3">
        <f>E1577+G1577+H1577</f>
        <v/>
      </c>
      <c r="J1577" s="3">
        <f>ROUND(MIN(IF(C1577="Técnico III",35,IF(C1577="Técnico II",28,IF(C1577="Técnico I",23,IF(C1577="JR",20,IF(C1577="Estágio",10,0))))),IF(C1577="Técnico III",SUMIFS($D:$D,$A:$A,$A1577,$B:$B,"&lt;&gt;Patrícia Karla de Sousa Araújo",$B:$B,"&lt;&gt;Lorena Dias de Araujo",$B:$B,"&lt;&gt;Lucas Luiz Romero")*(35/1083),IF(C1577="Técnico II",SUMIFS($D:$D,$A:$A,$A1577,$B:$B,"&lt;&gt;Patrícia Karla de Sousa Araújo",$B:$B,"&lt;&gt;Lorena Dias de Araujo",$B:$B,"&lt;&gt;Lucas Luiz Romero")*(28/1083),IF(C1577="Técnico I",SUMIFS($D:$D,$A:$A,$A1577,$B:$B,"&lt;&gt;Patrícia Karla de Sousa Araújo",$B:$B,"&lt;&gt;Lorena Dias de Araujo",$B:$B,"&lt;&gt;Lucas Luiz Romero")*(23/1083),IF(C1577="JR",SUMIFS($D:$D,$A:$A,$A1577,$B:$B,"&lt;&gt;Patrícia Karla de Sousa Araújo",$B:$B,"&lt;&gt;Lorena Dias de Araujo",$B:$B,"&lt;&gt;Lucas Luiz Romero")*(20/1083),IF(C1577="Estágio",SUMIFS($D:$D,$A:$A,$A1577,$B:$B,"&lt;&gt;Patrícia Karla de Sousa Araújo",$B:$B,"&lt;&gt;Lorena Dias de Araujo",$B:$B,"&lt;&gt;Lucas Luiz Romero")*(10/1083),0)))))),0)</f>
        <v/>
      </c>
      <c r="K1577" s="3">
        <f>I1577-J1577</f>
        <v/>
      </c>
      <c r="L1577" s="3">
        <f>IF(K1577&lt;-5,"CRÍTICO",IF(K1577&lt;0,"ATENÇÃO",IF(K1577&lt;=5,"BOM","EXCELENTE")))</f>
        <v/>
      </c>
      <c r="M1577" s="3" t="n">
        <v>0</v>
      </c>
      <c r="N1577" s="3" t="n">
        <v>100</v>
      </c>
      <c r="O1577" s="12" t="n">
        <v>25</v>
      </c>
    </row>
    <row r="1578">
      <c r="A1578" s="10" t="n">
        <v>46050</v>
      </c>
      <c r="B1578" t="inlineStr">
        <is>
          <t>Emilly Kamilly Medeiros Miranda</t>
        </is>
      </c>
      <c r="C1578" s="1" t="inlineStr">
        <is>
          <t>Técnico II</t>
        </is>
      </c>
      <c r="D1578" s="3" t="n">
        <v>33</v>
      </c>
      <c r="E1578" s="3" t="n">
        <v>31</v>
      </c>
      <c r="F1578" s="3" t="n">
        <v>20.15</v>
      </c>
      <c r="G1578" s="3" t="n">
        <v>0</v>
      </c>
      <c r="H1578" s="3" t="n">
        <v>0</v>
      </c>
      <c r="I1578" s="3">
        <f>E1578+G1578+H1578</f>
        <v/>
      </c>
      <c r="J1578" s="3">
        <f>ROUND(MIN(IF(C1578="Técnico III",35,IF(C1578="Técnico II",28,IF(C1578="Técnico I",23,IF(C1578="JR",20,IF(C1578="Estágio",10,0))))),IF(C1578="Técnico III",SUMIFS($D:$D,$A:$A,$A1578,$B:$B,"&lt;&gt;Patrícia Karla de Sousa Araújo",$B:$B,"&lt;&gt;Lorena Dias de Araujo",$B:$B,"&lt;&gt;Lucas Luiz Romero")*(35/1083),IF(C1578="Técnico II",SUMIFS($D:$D,$A:$A,$A1578,$B:$B,"&lt;&gt;Patrícia Karla de Sousa Araújo",$B:$B,"&lt;&gt;Lorena Dias de Araujo",$B:$B,"&lt;&gt;Lucas Luiz Romero")*(28/1083),IF(C1578="Técnico I",SUMIFS($D:$D,$A:$A,$A1578,$B:$B,"&lt;&gt;Patrícia Karla de Sousa Araújo",$B:$B,"&lt;&gt;Lorena Dias de Araujo",$B:$B,"&lt;&gt;Lucas Luiz Romero")*(23/1083),IF(C1578="JR",SUMIFS($D:$D,$A:$A,$A1578,$B:$B,"&lt;&gt;Patrícia Karla de Sousa Araújo",$B:$B,"&lt;&gt;Lorena Dias de Araujo",$B:$B,"&lt;&gt;Lucas Luiz Romero")*(20/1083),IF(C1578="Estágio",SUMIFS($D:$D,$A:$A,$A1578,$B:$B,"&lt;&gt;Patrícia Karla de Sousa Araújo",$B:$B,"&lt;&gt;Lorena Dias de Araujo",$B:$B,"&lt;&gt;Lucas Luiz Romero")*(10/1083),0)))))),0)</f>
        <v/>
      </c>
      <c r="K1578" s="3">
        <f>I1578-J1578</f>
        <v/>
      </c>
      <c r="L1578" s="3">
        <f>IF(K1578&lt;-5,"CRÍTICO",IF(K1578&lt;0,"ATENÇÃO",IF(K1578&lt;=5,"BOM","EXCELENTE")))</f>
        <v/>
      </c>
      <c r="M1578" s="3" t="n">
        <v>31</v>
      </c>
      <c r="N1578" s="3" t="n">
        <v>100</v>
      </c>
      <c r="O1578" s="12" t="n">
        <v>34.15094339622641</v>
      </c>
    </row>
    <row r="1579">
      <c r="A1579" s="10" t="n">
        <v>46050</v>
      </c>
      <c r="B1579" t="inlineStr">
        <is>
          <t>Francielson de Oliveira</t>
        </is>
      </c>
      <c r="C1579" s="1" t="inlineStr">
        <is>
          <t>Técnico III</t>
        </is>
      </c>
      <c r="D1579" s="3" t="n">
        <v>33</v>
      </c>
      <c r="E1579" s="3" t="n">
        <v>30</v>
      </c>
      <c r="F1579" s="3" t="n">
        <v>15.08</v>
      </c>
      <c r="G1579" s="3" t="n">
        <v>0</v>
      </c>
      <c r="H1579" s="3" t="n">
        <v>0</v>
      </c>
      <c r="I1579" s="3">
        <f>E1579+G1579+H1579</f>
        <v/>
      </c>
      <c r="J1579" s="3">
        <f>ROUND(MIN(IF(C1579="Técnico III",35,IF(C1579="Técnico II",28,IF(C1579="Técnico I",23,IF(C1579="JR",20,IF(C1579="Estágio",10,0))))),IF(C1579="Técnico III",SUMIFS($D:$D,$A:$A,$A1579,$B:$B,"&lt;&gt;Patrícia Karla de Sousa Araújo",$B:$B,"&lt;&gt;Lorena Dias de Araujo",$B:$B,"&lt;&gt;Lucas Luiz Romero")*(35/1083),IF(C1579="Técnico II",SUMIFS($D:$D,$A:$A,$A1579,$B:$B,"&lt;&gt;Patrícia Karla de Sousa Araújo",$B:$B,"&lt;&gt;Lorena Dias de Araujo",$B:$B,"&lt;&gt;Lucas Luiz Romero")*(28/1083),IF(C1579="Técnico I",SUMIFS($D:$D,$A:$A,$A1579,$B:$B,"&lt;&gt;Patrícia Karla de Sousa Araújo",$B:$B,"&lt;&gt;Lorena Dias de Araujo",$B:$B,"&lt;&gt;Lucas Luiz Romero")*(23/1083),IF(C1579="JR",SUMIFS($D:$D,$A:$A,$A1579,$B:$B,"&lt;&gt;Patrícia Karla de Sousa Araújo",$B:$B,"&lt;&gt;Lorena Dias de Araujo",$B:$B,"&lt;&gt;Lucas Luiz Romero")*(20/1083),IF(C1579="Estágio",SUMIFS($D:$D,$A:$A,$A1579,$B:$B,"&lt;&gt;Patrícia Karla de Sousa Araújo",$B:$B,"&lt;&gt;Lorena Dias de Araujo",$B:$B,"&lt;&gt;Lucas Luiz Romero")*(10/1083),0)))))),0)</f>
        <v/>
      </c>
      <c r="K1579" s="3">
        <f>I1579-J1579</f>
        <v/>
      </c>
      <c r="L1579" s="3">
        <f>IF(K1579&lt;-5,"CRÍTICO",IF(K1579&lt;0,"ATENÇÃO",IF(K1579&lt;=5,"BOM","EXCELENTE")))</f>
        <v/>
      </c>
      <c r="M1579" s="3" t="n">
        <v>32</v>
      </c>
      <c r="N1579" s="3" t="n">
        <v>100</v>
      </c>
      <c r="O1579" s="12" t="n">
        <v>32.7313769751693</v>
      </c>
    </row>
    <row r="1580">
      <c r="A1580" s="10" t="n">
        <v>46050</v>
      </c>
      <c r="B1580" t="inlineStr">
        <is>
          <t>Francilene Ferreira de Jesus</t>
        </is>
      </c>
      <c r="C1580" s="1" t="inlineStr">
        <is>
          <t>Técnico II</t>
        </is>
      </c>
      <c r="D1580" s="3" t="n">
        <v>32</v>
      </c>
      <c r="E1580" s="3" t="n">
        <v>30</v>
      </c>
      <c r="F1580" s="3" t="n">
        <v>20.37</v>
      </c>
      <c r="G1580" s="3" t="n">
        <v>0</v>
      </c>
      <c r="H1580" s="3" t="n">
        <v>0</v>
      </c>
      <c r="I1580" s="3">
        <f>E1580+G1580+H1580</f>
        <v/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/>
      </c>
      <c r="K1580" s="3">
        <f>I1580-J1580</f>
        <v/>
      </c>
      <c r="L1580" s="3">
        <f>IF(K1580&lt;-5,"CRÍTICO",IF(K1580&lt;0,"ATENÇÃO",IF(K1580&lt;=5,"BOM","EXCELENTE")))</f>
        <v/>
      </c>
      <c r="M1580" s="3" t="n">
        <v>28</v>
      </c>
      <c r="N1580" s="3" t="n">
        <v>99.31</v>
      </c>
      <c r="O1580" s="12" t="n">
        <v>30.96234309623431</v>
      </c>
    </row>
    <row r="1581">
      <c r="A1581" s="10" t="n">
        <v>46084</v>
      </c>
      <c r="B1581" t="inlineStr">
        <is>
          <t>Gabriel Gomes de Andrade</t>
        </is>
      </c>
      <c r="C1581" s="1" t="inlineStr">
        <is>
          <t>Técnico I</t>
        </is>
      </c>
      <c r="D1581" s="3" t="n">
        <v>21</v>
      </c>
      <c r="E1581" s="3" t="n">
        <v>21</v>
      </c>
      <c r="F1581" s="3" t="n">
        <v>27.26</v>
      </c>
      <c r="G1581" s="3" t="n">
        <v>0</v>
      </c>
      <c r="H1581" s="3" t="n">
        <v>0</v>
      </c>
      <c r="I1581" s="3">
        <f>E1581+G1581+H1581</f>
        <v/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/>
      </c>
      <c r="K1581" s="3">
        <f>I1581-J1581</f>
        <v/>
      </c>
      <c r="L1581" s="3">
        <f>IF(K1581&lt;-5,"CRÍTICO",IF(K1581&lt;0,"ATENÇÃO",IF(K1581&lt;=5,"BOM","EXCELENTE")))</f>
        <v/>
      </c>
      <c r="M1581" s="3" t="n">
        <v>21</v>
      </c>
      <c r="N1581" s="3" t="n">
        <v>99.05</v>
      </c>
      <c r="O1581" s="12" t="n">
        <v>26.62192393736018</v>
      </c>
    </row>
    <row r="1582">
      <c r="A1582" s="10" t="n">
        <v>46050</v>
      </c>
      <c r="B1582" t="inlineStr">
        <is>
          <t>Isabella Borges de Oliveira</t>
        </is>
      </c>
      <c r="C1582" s="1" t="inlineStr">
        <is>
          <t>Técnico II</t>
        </is>
      </c>
      <c r="D1582" s="3" t="n">
        <v>36</v>
      </c>
      <c r="E1582" s="3" t="n">
        <v>34</v>
      </c>
      <c r="F1582" s="3" t="n">
        <v>18.46</v>
      </c>
      <c r="G1582" s="3" t="n">
        <v>0</v>
      </c>
      <c r="H1582" s="3" t="n">
        <v>0</v>
      </c>
      <c r="I1582" s="3">
        <f>E1582+G1582+H1582</f>
        <v/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/>
      </c>
      <c r="K1582" s="3">
        <f>I1582-J1582</f>
        <v/>
      </c>
      <c r="L1582" s="3">
        <f>IF(K1582&lt;-5,"CRÍTICO",IF(K1582&lt;0,"ATENÇÃO",IF(K1582&lt;=5,"BOM","EXCELENTE")))</f>
        <v/>
      </c>
      <c r="M1582" s="3" t="n">
        <v>30</v>
      </c>
      <c r="N1582" s="3" t="n">
        <v>100</v>
      </c>
      <c r="O1582" s="12" t="n">
        <v>27.67676767676768</v>
      </c>
    </row>
    <row r="1583">
      <c r="A1583" s="10" t="n">
        <v>46050</v>
      </c>
      <c r="B1583" t="inlineStr">
        <is>
          <t>Janaina Lima dos Reis Urany</t>
        </is>
      </c>
      <c r="C1583" s="1" t="inlineStr">
        <is>
          <t>Técnico III</t>
        </is>
      </c>
      <c r="D1583" s="3" t="n">
        <v>55</v>
      </c>
      <c r="E1583" s="3" t="n">
        <v>50</v>
      </c>
      <c r="F1583" s="3" t="n">
        <v>11.53</v>
      </c>
      <c r="G1583" s="3" t="n">
        <v>0</v>
      </c>
      <c r="H1583" s="3" t="n">
        <v>0</v>
      </c>
      <c r="I1583" s="3">
        <f>E1583+G1583+H1583</f>
        <v/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/>
      </c>
      <c r="K1583" s="3">
        <f>I1583-J1583</f>
        <v/>
      </c>
      <c r="L1583" s="3">
        <f>IF(K1583&lt;-5,"CRÍTICO",IF(K1583&lt;0,"ATENÇÃO",IF(K1583&lt;=5,"BOM","EXCELENTE")))</f>
        <v/>
      </c>
      <c r="M1583" s="3" t="n">
        <v>47</v>
      </c>
      <c r="N1583" s="3" t="n">
        <v>100</v>
      </c>
      <c r="O1583" s="12" t="n">
        <v>31.17723156532988</v>
      </c>
    </row>
    <row r="1584">
      <c r="A1584" s="10" t="n">
        <v>46050</v>
      </c>
      <c r="B1584" t="inlineStr">
        <is>
          <t>Jaqueline Evangelista da Silva Martins</t>
        </is>
      </c>
      <c r="C1584" s="1" t="inlineStr">
        <is>
          <t>Técnico III</t>
        </is>
      </c>
      <c r="D1584" s="3" t="n">
        <v>18</v>
      </c>
      <c r="E1584" s="3" t="n">
        <v>15</v>
      </c>
      <c r="F1584" s="3" t="n">
        <v>12.07</v>
      </c>
      <c r="G1584" s="3" t="n">
        <v>0</v>
      </c>
      <c r="H1584" s="3" t="n">
        <v>0</v>
      </c>
      <c r="I1584" s="3">
        <f>E1584+G1584+H1584</f>
        <v/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/>
      </c>
      <c r="K1584" s="3">
        <f>I1584-J1584</f>
        <v/>
      </c>
      <c r="L1584" s="3">
        <f>IF(K1584&lt;-5,"CRÍTICO",IF(K1584&lt;0,"ATENÇÃO",IF(K1584&lt;=5,"BOM","EXCELENTE")))</f>
        <v/>
      </c>
      <c r="M1584" s="3" t="n">
        <v>16</v>
      </c>
      <c r="N1584" s="3" t="n">
        <v>100</v>
      </c>
      <c r="O1584" s="12" t="n">
        <v>27.60942760942761</v>
      </c>
    </row>
    <row r="1585">
      <c r="A1585" s="10" t="n">
        <v>46050</v>
      </c>
      <c r="B1585" t="inlineStr">
        <is>
          <t>Jessica Faria da Silveira</t>
        </is>
      </c>
      <c r="C1585" s="1" t="inlineStr">
        <is>
          <t>Técnico II</t>
        </is>
      </c>
      <c r="D1585" s="3" t="n">
        <v>47</v>
      </c>
      <c r="E1585" s="3" t="n">
        <v>38</v>
      </c>
      <c r="F1585" s="3" t="n">
        <v>12.23</v>
      </c>
      <c r="G1585" s="3" t="n">
        <v>0</v>
      </c>
      <c r="H1585" s="3" t="n">
        <v>0</v>
      </c>
      <c r="I1585" s="3">
        <f>E1585+G1585+H1585</f>
        <v/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/>
      </c>
      <c r="K1585" s="3">
        <f>I1585-J1585</f>
        <v/>
      </c>
      <c r="L1585" s="3">
        <f>IF(K1585&lt;-5,"CRÍTICO",IF(K1585&lt;0,"ATENÇÃO",IF(K1585&lt;=5,"BOM","EXCELENTE")))</f>
        <v/>
      </c>
      <c r="M1585" s="3" t="n">
        <v>37</v>
      </c>
      <c r="N1585" s="3" t="n">
        <v>96.40000000000001</v>
      </c>
      <c r="O1585" s="12" t="n">
        <v>28.76404494382023</v>
      </c>
    </row>
    <row r="1586">
      <c r="A1586" s="10" t="n">
        <v>46050</v>
      </c>
      <c r="B1586" t="inlineStr">
        <is>
          <t>Jéssica Fé Moura</t>
        </is>
      </c>
      <c r="C1586" s="1" t="inlineStr">
        <is>
          <t>Técnico III</t>
        </is>
      </c>
      <c r="D1586" s="3" t="n">
        <v>0</v>
      </c>
      <c r="E1586" s="3" t="n">
        <v>0</v>
      </c>
      <c r="F1586" s="3" t="n">
        <v>0</v>
      </c>
      <c r="G1586" s="3" t="n">
        <v>0</v>
      </c>
      <c r="H1586" s="3" t="n">
        <v>0</v>
      </c>
      <c r="I1586" s="3" t="n">
        <v>0</v>
      </c>
      <c r="J1586" s="3" t="n">
        <v>0</v>
      </c>
      <c r="K1586" s="3" t="n">
        <v>0</v>
      </c>
      <c r="L1586" s="3">
        <f>IF(K1586&lt;-5,"CRÍTICO",IF(K1586&lt;0,"ATENÇÃO",IF(K1586&lt;=5,"BOM","EXCELENTE")))</f>
        <v/>
      </c>
      <c r="M1586" s="3" t="n">
        <v>0</v>
      </c>
      <c r="N1586" s="3" t="n">
        <v>100</v>
      </c>
      <c r="O1586" s="12" t="n">
        <v>33.98058252427185</v>
      </c>
    </row>
    <row r="1587">
      <c r="A1587" s="10" t="n">
        <v>46050</v>
      </c>
      <c r="B1587" t="inlineStr">
        <is>
          <t>Karina Gonçalves Martins</t>
        </is>
      </c>
      <c r="C1587" s="1" t="inlineStr">
        <is>
          <t>JR</t>
        </is>
      </c>
      <c r="D1587" s="3" t="n">
        <v>9</v>
      </c>
      <c r="E1587" s="3" t="n">
        <v>9</v>
      </c>
      <c r="F1587" s="3" t="n">
        <v>23.36</v>
      </c>
      <c r="G1587" s="3" t="n">
        <v>0</v>
      </c>
      <c r="H1587" s="3" t="n">
        <v>0</v>
      </c>
      <c r="I1587" s="3">
        <f>E1587+G1587+H1587</f>
        <v/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/>
      </c>
      <c r="K1587" s="3">
        <f>I1587-J1587</f>
        <v/>
      </c>
      <c r="L1587" s="3">
        <f>IF(K1587&lt;-5,"CRÍTICO",IF(K1587&lt;0,"ATENÇÃO",IF(K1587&lt;=5,"BOM","EXCELENTE")))</f>
        <v/>
      </c>
      <c r="M1587" s="3" t="n">
        <v>10</v>
      </c>
      <c r="N1587" s="3" t="n">
        <v>97.56</v>
      </c>
      <c r="O1587" s="12" t="n">
        <v>32.51533742331289</v>
      </c>
    </row>
    <row r="1588">
      <c r="A1588" s="10" t="n">
        <v>46050</v>
      </c>
      <c r="B1588" t="inlineStr">
        <is>
          <t>Kerollen Cristielly de Jesus Siqueira</t>
        </is>
      </c>
      <c r="C1588" s="1" t="inlineStr">
        <is>
          <t>Técnico III</t>
        </is>
      </c>
      <c r="D1588" s="3" t="n">
        <v>18</v>
      </c>
      <c r="E1588" s="3" t="n">
        <v>18</v>
      </c>
      <c r="F1588" s="3" t="n">
        <v>19.17</v>
      </c>
      <c r="G1588" s="3" t="n">
        <v>0</v>
      </c>
      <c r="H1588" s="3" t="n">
        <v>0</v>
      </c>
      <c r="I1588" s="3">
        <f>E1588+G1588+H1588</f>
        <v/>
      </c>
      <c r="J1588" s="3">
        <f>ROUND(MIN(IF(C1588="Técnico III",35,IF(C1588="Técnico II",28,IF(C1588="Técnico I",23,IF(C1588="JR",20,IF(C1588="Estágio",10,0))))),IF(C1588="Técnico III",SUMIFS($D:$D,$A:$A,$A1588,$B:$B,"&lt;&gt;Patrícia Karla de Sousa Araújo",$B:$B,"&lt;&gt;Lorena Dias de Araujo",$B:$B,"&lt;&gt;Lucas Luiz Romero")*(35/1083),IF(C1588="Técnico II",SUMIFS($D:$D,$A:$A,$A1588,$B:$B,"&lt;&gt;Patrícia Karla de Sousa Araújo",$B:$B,"&lt;&gt;Lorena Dias de Araujo",$B:$B,"&lt;&gt;Lucas Luiz Romero")*(28/1083),IF(C1588="Técnico I",SUMIFS($D:$D,$A:$A,$A1588,$B:$B,"&lt;&gt;Patrícia Karla de Sousa Araújo",$B:$B,"&lt;&gt;Lorena Dias de Araujo",$B:$B,"&lt;&gt;Lucas Luiz Romero")*(23/1083),IF(C1588="JR",SUMIFS($D:$D,$A:$A,$A1588,$B:$B,"&lt;&gt;Patrícia Karla de Sousa Araújo",$B:$B,"&lt;&gt;Lorena Dias de Araujo",$B:$B,"&lt;&gt;Lucas Luiz Romero")*(20/1083),IF(C1588="Estágio",SUMIFS($D:$D,$A:$A,$A1588,$B:$B,"&lt;&gt;Patrícia Karla de Sousa Araújo",$B:$B,"&lt;&gt;Lorena Dias de Araujo",$B:$B,"&lt;&gt;Lucas Luiz Romero")*(10/1083),0)))))),0)</f>
        <v/>
      </c>
      <c r="K1588" s="3">
        <f>I1588-J1588</f>
        <v/>
      </c>
      <c r="L1588" s="3">
        <f>IF(K1588&lt;-5,"CRÍTICO",IF(K1588&lt;0,"ATENÇÃO",IF(K1588&lt;=5,"BOM","EXCELENTE")))</f>
        <v/>
      </c>
      <c r="M1588" s="3" t="n">
        <v>18</v>
      </c>
      <c r="N1588" s="3" t="n">
        <v>97.11</v>
      </c>
      <c r="O1588" s="12" t="n">
        <v>37.40831295843521</v>
      </c>
    </row>
    <row r="1589">
      <c r="A1589" s="10" t="n">
        <v>46050</v>
      </c>
      <c r="B1589" t="inlineStr">
        <is>
          <t>Leandro de Souza Silva</t>
        </is>
      </c>
      <c r="C1589" s="1" t="inlineStr">
        <is>
          <t>JR</t>
        </is>
      </c>
      <c r="D1589" s="3" t="n">
        <v>0</v>
      </c>
      <c r="E1589" s="3" t="n">
        <v>0</v>
      </c>
      <c r="F1589" s="3" t="n">
        <v>0</v>
      </c>
      <c r="G1589" s="3" t="n">
        <v>0</v>
      </c>
      <c r="H1589" s="3" t="n">
        <v>0</v>
      </c>
      <c r="I1589" s="3" t="n">
        <v>0</v>
      </c>
      <c r="J1589" s="3" t="n">
        <v>0</v>
      </c>
      <c r="K1589" s="3" t="n">
        <v>0</v>
      </c>
      <c r="L1589" s="3">
        <f>IF(K1589&lt;-5,"CRÍTICO",IF(K1589&lt;0,"ATENÇÃO",IF(K1589&lt;=5,"BOM","EXCELENTE")))</f>
        <v/>
      </c>
      <c r="M1589" s="3" t="n">
        <v>0</v>
      </c>
      <c r="N1589" s="3" t="n">
        <v>0</v>
      </c>
      <c r="O1589" s="12" t="n">
        <v>0</v>
      </c>
    </row>
    <row r="1590">
      <c r="A1590" s="10" t="n">
        <v>46050</v>
      </c>
      <c r="B1590" t="inlineStr">
        <is>
          <t>Leandro Oliveira de Sousa</t>
        </is>
      </c>
      <c r="C1590" s="1" t="inlineStr">
        <is>
          <t>Técnico III</t>
        </is>
      </c>
      <c r="D1590" s="3" t="n">
        <v>29</v>
      </c>
      <c r="E1590" s="3" t="n">
        <v>26</v>
      </c>
      <c r="F1590" s="3" t="n">
        <v>17.18</v>
      </c>
      <c r="G1590" s="3" t="n">
        <v>0</v>
      </c>
      <c r="H1590" s="3" t="n">
        <v>0</v>
      </c>
      <c r="I1590" s="3">
        <f>E1590+G1590+H1590</f>
        <v/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/>
      </c>
      <c r="K1590" s="3">
        <f>I1590-J1590</f>
        <v/>
      </c>
      <c r="L1590" s="3">
        <f>IF(K1590&lt;-5,"CRÍTICO",IF(K1590&lt;0,"ATENÇÃO",IF(K1590&lt;=5,"BOM","EXCELENTE")))</f>
        <v/>
      </c>
      <c r="M1590" s="3" t="n">
        <v>28</v>
      </c>
      <c r="N1590" s="3" t="n">
        <v>100</v>
      </c>
      <c r="O1590" s="12" t="n">
        <v>30.47034764826176</v>
      </c>
    </row>
    <row r="1591">
      <c r="A1591" s="10" t="n">
        <v>46050</v>
      </c>
      <c r="B1591" t="inlineStr">
        <is>
          <t>Lizandra Gomes Duarte</t>
        </is>
      </c>
      <c r="C1591" s="1" t="inlineStr">
        <is>
          <t>Técnico II</t>
        </is>
      </c>
      <c r="D1591" s="3" t="n">
        <v>35</v>
      </c>
      <c r="E1591" s="3" t="n">
        <v>30</v>
      </c>
      <c r="F1591" s="3" t="n">
        <v>16.51</v>
      </c>
      <c r="G1591" s="3" t="n">
        <v>0</v>
      </c>
      <c r="H1591" s="3" t="n">
        <v>0</v>
      </c>
      <c r="I1591" s="3">
        <f>E1591+G1591+H1591</f>
        <v/>
      </c>
      <c r="J1591" s="3">
        <f>ROUND(MIN(IF(C1591="Técnico III",35,IF(C1591="Técnico II",28,IF(C1591="Técnico I",23,IF(C1591="JR",20,IF(C1591="Estágio",10,0))))),IF(C1591="Técnico III",SUMIFS($D:$D,$A:$A,$A1591,$B:$B,"&lt;&gt;Patrícia Karla de Sousa Araújo",$B:$B,"&lt;&gt;Lorena Dias de Araujo",$B:$B,"&lt;&gt;Lucas Luiz Romero")*(35/1083),IF(C1591="Técnico II",SUMIFS($D:$D,$A:$A,$A1591,$B:$B,"&lt;&gt;Patrícia Karla de Sousa Araújo",$B:$B,"&lt;&gt;Lorena Dias de Araujo",$B:$B,"&lt;&gt;Lucas Luiz Romero")*(28/1083),IF(C1591="Técnico I",SUMIFS($D:$D,$A:$A,$A1591,$B:$B,"&lt;&gt;Patrícia Karla de Sousa Araújo",$B:$B,"&lt;&gt;Lorena Dias de Araujo",$B:$B,"&lt;&gt;Lucas Luiz Romero")*(23/1083),IF(C1591="JR",SUMIFS($D:$D,$A:$A,$A1591,$B:$B,"&lt;&gt;Patrícia Karla de Sousa Araújo",$B:$B,"&lt;&gt;Lorena Dias de Araujo",$B:$B,"&lt;&gt;Lucas Luiz Romero")*(20/1083),IF(C1591="Estágio",SUMIFS($D:$D,$A:$A,$A1591,$B:$B,"&lt;&gt;Patrícia Karla de Sousa Araújo",$B:$B,"&lt;&gt;Lorena Dias de Araujo",$B:$B,"&lt;&gt;Lucas Luiz Romero")*(10/1083),0)))))),0)</f>
        <v/>
      </c>
      <c r="K1591" s="3">
        <f>I1591-J1591</f>
        <v/>
      </c>
      <c r="L1591" s="3">
        <f>IF(K1591&lt;-5,"CRÍTICO",IF(K1591&lt;0,"ATENÇÃO",IF(K1591&lt;=5,"BOM","EXCELENTE")))</f>
        <v/>
      </c>
      <c r="M1591" s="3" t="n">
        <v>25</v>
      </c>
      <c r="N1591" s="3" t="n">
        <v>100</v>
      </c>
      <c r="O1591" s="12" t="n">
        <v>32.37113402061856</v>
      </c>
    </row>
    <row r="1592">
      <c r="A1592" s="10" t="n">
        <v>46050</v>
      </c>
      <c r="B1592" t="inlineStr">
        <is>
          <t>Lorena Dias de Araujo</t>
        </is>
      </c>
      <c r="C1592" s="1" t="inlineStr">
        <is>
          <t>Técnico II</t>
        </is>
      </c>
      <c r="D1592" s="3" t="n">
        <v>42</v>
      </c>
      <c r="E1592" s="3" t="n">
        <v>40</v>
      </c>
      <c r="F1592" s="3" t="n">
        <v>13.55</v>
      </c>
      <c r="G1592" s="3" t="n">
        <v>0</v>
      </c>
      <c r="H1592" s="3" t="n">
        <v>0</v>
      </c>
      <c r="I1592" s="3" t="n">
        <v>0</v>
      </c>
      <c r="J1592" s="3" t="n">
        <v>0</v>
      </c>
      <c r="K1592" s="3" t="n">
        <v>0</v>
      </c>
      <c r="L1592" s="3">
        <f>IF(K1592&lt;-5,"CRÍTICO",IF(K1592&lt;0,"ATENÇÃO",IF(K1592&lt;=5,"BOM","EXCELENTE")))</f>
        <v/>
      </c>
      <c r="M1592" s="3" t="n">
        <v>35</v>
      </c>
      <c r="N1592" s="3" t="n">
        <v>98.31999999999999</v>
      </c>
      <c r="O1592" s="12" t="n">
        <v>32.31850117096019</v>
      </c>
    </row>
    <row r="1593">
      <c r="A1593" s="10" t="n">
        <v>46050</v>
      </c>
      <c r="B1593" t="inlineStr">
        <is>
          <t>Lucas Luiz Romero</t>
        </is>
      </c>
      <c r="C1593" s="1" t="inlineStr">
        <is>
          <t>Técnico III</t>
        </is>
      </c>
      <c r="D1593" s="3" t="n">
        <v>137</v>
      </c>
      <c r="E1593" s="3" t="n">
        <v>28</v>
      </c>
      <c r="F1593" s="3" t="n">
        <v>2.36</v>
      </c>
      <c r="G1593" s="3" t="n">
        <v>0</v>
      </c>
      <c r="H1593" s="3" t="n">
        <v>0</v>
      </c>
      <c r="I1593" s="3">
        <f>E1593+G1593+H1593</f>
        <v/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/>
      </c>
      <c r="K1593" s="3">
        <f>I1593-J1593</f>
        <v/>
      </c>
      <c r="L1593" s="3">
        <f>IF(K1593&lt;-5,"CRÍTICO",IF(K1593&lt;0,"ATENÇÃO",IF(K1593&lt;=5,"BOM","EXCELENTE")))</f>
        <v/>
      </c>
      <c r="M1593" s="3" t="n">
        <v>13</v>
      </c>
      <c r="N1593" s="3" t="n">
        <v>96.43000000000001</v>
      </c>
      <c r="O1593" s="12" t="n">
        <v>27.01525054466231</v>
      </c>
    </row>
    <row r="1594">
      <c r="A1594" s="10" t="n">
        <v>46050</v>
      </c>
      <c r="B1594" t="inlineStr">
        <is>
          <t>Luiz Fernando de Carvalho Junior</t>
        </is>
      </c>
      <c r="C1594" s="1" t="inlineStr">
        <is>
          <t>Técnico I</t>
        </is>
      </c>
      <c r="D1594" s="3" t="n">
        <v>19</v>
      </c>
      <c r="E1594" s="3" t="n">
        <v>19</v>
      </c>
      <c r="F1594" s="3" t="n">
        <v>22.33</v>
      </c>
      <c r="G1594" s="3" t="n">
        <v>0</v>
      </c>
      <c r="H1594" s="3" t="n">
        <v>0</v>
      </c>
      <c r="I1594" s="3">
        <f>E1594+G1594+H1594</f>
        <v/>
      </c>
      <c r="J1594" s="3">
        <f>ROUND(MIN(IF(C1594="Técnico III",35,IF(C1594="Técnico II",28,IF(C1594="Técnico I",23,IF(C1594="JR",20,IF(C1594="Estágio",10,0))))),IF(C1594="Técnico III",SUMIFS($D:$D,$A:$A,$A1594,$B:$B,"&lt;&gt;Patrícia Karla de Sousa Araújo",$B:$B,"&lt;&gt;Lorena Dias de Araujo",$B:$B,"&lt;&gt;Lucas Luiz Romero")*(35/1083),IF(C1594="Técnico II",SUMIFS($D:$D,$A:$A,$A1594,$B:$B,"&lt;&gt;Patrícia Karla de Sousa Araújo",$B:$B,"&lt;&gt;Lorena Dias de Araujo",$B:$B,"&lt;&gt;Lucas Luiz Romero")*(28/1083),IF(C1594="Técnico I",SUMIFS($D:$D,$A:$A,$A1594,$B:$B,"&lt;&gt;Patrícia Karla de Sousa Araújo",$B:$B,"&lt;&gt;Lorena Dias de Araujo",$B:$B,"&lt;&gt;Lucas Luiz Romero")*(23/1083),IF(C1594="JR",SUMIFS($D:$D,$A:$A,$A1594,$B:$B,"&lt;&gt;Patrícia Karla de Sousa Araújo",$B:$B,"&lt;&gt;Lorena Dias de Araujo",$B:$B,"&lt;&gt;Lucas Luiz Romero")*(20/1083),IF(C1594="Estágio",SUMIFS($D:$D,$A:$A,$A1594,$B:$B,"&lt;&gt;Patrícia Karla de Sousa Araújo",$B:$B,"&lt;&gt;Lorena Dias de Araujo",$B:$B,"&lt;&gt;Lucas Luiz Romero")*(10/1083),0)))))),0)</f>
        <v/>
      </c>
      <c r="K1594" s="3">
        <f>I1594-J1594</f>
        <v/>
      </c>
      <c r="L1594" s="3">
        <f>IF(K1594&lt;-5,"CRÍTICO",IF(K1594&lt;0,"ATENÇÃO",IF(K1594&lt;=5,"BOM","EXCELENTE")))</f>
        <v/>
      </c>
      <c r="M1594" s="3" t="n">
        <v>16</v>
      </c>
      <c r="N1594" s="3" t="n">
        <v>98.89</v>
      </c>
      <c r="O1594" s="12" t="n">
        <v>28.02197802197802</v>
      </c>
    </row>
    <row r="1595">
      <c r="A1595" s="10" t="n">
        <v>46050</v>
      </c>
      <c r="B1595" t="inlineStr">
        <is>
          <t>Maria Eduarda Sousa Costa</t>
        </is>
      </c>
      <c r="C1595" s="1" t="inlineStr">
        <is>
          <t>Estágio</t>
        </is>
      </c>
      <c r="D1595" s="3" t="n">
        <v>0</v>
      </c>
      <c r="E1595" s="3" t="n">
        <v>0</v>
      </c>
      <c r="F1595" s="3" t="n">
        <v>0</v>
      </c>
      <c r="G1595" s="3" t="n">
        <v>0</v>
      </c>
      <c r="H1595" s="3" t="n">
        <v>0</v>
      </c>
      <c r="I1595" s="3" t="n">
        <v>0</v>
      </c>
      <c r="J1595" s="3" t="n">
        <v>0</v>
      </c>
      <c r="K1595" s="3" t="n">
        <v>0</v>
      </c>
      <c r="L1595" s="3">
        <f>IF(K1595&lt;-5,"CRÍTICO",IF(K1595&lt;0,"ATENÇÃO",IF(K1595&lt;=5,"BOM","EXCELENTE")))</f>
        <v/>
      </c>
      <c r="M1595" s="3" t="n">
        <v>0</v>
      </c>
      <c r="N1595" s="3" t="n">
        <v>100</v>
      </c>
      <c r="O1595" s="12" t="n">
        <v>33.33333333333333</v>
      </c>
    </row>
    <row r="1596">
      <c r="A1596" s="10" t="n">
        <v>46050</v>
      </c>
      <c r="B1596" t="inlineStr">
        <is>
          <t>Matheus Farias De Souza</t>
        </is>
      </c>
      <c r="C1596" s="1" t="inlineStr">
        <is>
          <t>Técnico III</t>
        </is>
      </c>
      <c r="D1596" s="3" t="n">
        <v>0</v>
      </c>
      <c r="E1596" s="3" t="n">
        <v>0</v>
      </c>
      <c r="F1596" s="3" t="n">
        <v>0</v>
      </c>
      <c r="G1596" s="3" t="n">
        <v>0</v>
      </c>
      <c r="H1596" s="3" t="n">
        <v>0</v>
      </c>
      <c r="I1596" s="3" t="n">
        <v>0</v>
      </c>
      <c r="J1596" s="3" t="n">
        <v>0</v>
      </c>
      <c r="K1596" s="3" t="n">
        <v>0</v>
      </c>
      <c r="L1596" s="3">
        <f>IF(K1596&lt;-5,"CRÍTICO",IF(K1596&lt;0,"ATENÇÃO",IF(K1596&lt;=5,"BOM","EXCELENTE")))</f>
        <v/>
      </c>
      <c r="M1596" s="3" t="n">
        <v>0</v>
      </c>
      <c r="N1596" s="3" t="n">
        <v>100</v>
      </c>
      <c r="O1596" s="12" t="n">
        <v>27.43362831858407</v>
      </c>
    </row>
    <row r="1597">
      <c r="A1597" s="10" t="n">
        <v>46050</v>
      </c>
      <c r="B1597" t="inlineStr">
        <is>
          <t>Maysa Victoria Dias Moura</t>
        </is>
      </c>
      <c r="C1597" s="1" t="inlineStr">
        <is>
          <t>Técnico III</t>
        </is>
      </c>
      <c r="D1597" s="3" t="n">
        <v>49</v>
      </c>
      <c r="E1597" s="3" t="n">
        <v>42</v>
      </c>
      <c r="F1597" s="3" t="n">
        <v>10.25</v>
      </c>
      <c r="G1597" s="3" t="n">
        <v>0</v>
      </c>
      <c r="H1597" s="3" t="n">
        <v>0</v>
      </c>
      <c r="I1597" s="3">
        <f>E1597+G1597+H1597</f>
        <v/>
      </c>
      <c r="J1597" s="3">
        <f>ROUND(MIN(IF(C1597="Técnico III",35,IF(C1597="Técnico II",28,IF(C1597="Técnico I",23,IF(C1597="JR",20,IF(C1597="Estágio",10,0))))),IF(C1597="Técnico III",SUMIFS($D:$D,$A:$A,$A1597,$B:$B,"&lt;&gt;Patrícia Karla de Sousa Araújo",$B:$B,"&lt;&gt;Lorena Dias de Araujo",$B:$B,"&lt;&gt;Lucas Luiz Romero")*(35/1083),IF(C1597="Técnico II",SUMIFS($D:$D,$A:$A,$A1597,$B:$B,"&lt;&gt;Patrícia Karla de Sousa Araújo",$B:$B,"&lt;&gt;Lorena Dias de Araujo",$B:$B,"&lt;&gt;Lucas Luiz Romero")*(28/1083),IF(C1597="Técnico I",SUMIFS($D:$D,$A:$A,$A1597,$B:$B,"&lt;&gt;Patrícia Karla de Sousa Araújo",$B:$B,"&lt;&gt;Lorena Dias de Araujo",$B:$B,"&lt;&gt;Lucas Luiz Romero")*(23/1083),IF(C1597="JR",SUMIFS($D:$D,$A:$A,$A1597,$B:$B,"&lt;&gt;Patrícia Karla de Sousa Araújo",$B:$B,"&lt;&gt;Lorena Dias de Araujo",$B:$B,"&lt;&gt;Lucas Luiz Romero")*(20/1083),IF(C1597="Estágio",SUMIFS($D:$D,$A:$A,$A1597,$B:$B,"&lt;&gt;Patrícia Karla de Sousa Araújo",$B:$B,"&lt;&gt;Lorena Dias de Araujo",$B:$B,"&lt;&gt;Lucas Luiz Romero")*(10/1083),0)))))),0)</f>
        <v/>
      </c>
      <c r="K1597" s="3">
        <f>I1597-J1597</f>
        <v/>
      </c>
      <c r="L1597" s="3">
        <f>IF(K1597&lt;-5,"CRÍTICO",IF(K1597&lt;0,"ATENÇÃO",IF(K1597&lt;=5,"BOM","EXCELENTE")))</f>
        <v/>
      </c>
      <c r="M1597" s="3" t="n">
        <v>31</v>
      </c>
      <c r="N1597" s="3" t="n">
        <v>98.65000000000001</v>
      </c>
      <c r="O1597" s="12" t="n">
        <v>30.97826086956522</v>
      </c>
    </row>
    <row r="1598">
      <c r="A1598" s="10" t="n">
        <v>46050</v>
      </c>
      <c r="B1598" t="inlineStr">
        <is>
          <t>Michelle G Santos</t>
        </is>
      </c>
      <c r="C1598" s="1" t="inlineStr">
        <is>
          <t>Estágio</t>
        </is>
      </c>
      <c r="D1598" s="3" t="n">
        <v>8</v>
      </c>
      <c r="E1598" s="3" t="n">
        <v>7</v>
      </c>
      <c r="F1598" s="3" t="n">
        <v>37.04</v>
      </c>
      <c r="G1598" s="3" t="n">
        <v>0</v>
      </c>
      <c r="H1598" s="3" t="n">
        <v>0</v>
      </c>
      <c r="I1598" s="3">
        <f>E1598+G1598+H1598</f>
        <v/>
      </c>
      <c r="J1598" s="3">
        <f>ROUND(MIN(IF(C1598="Técnico III",35,IF(C1598="Técnico II",28,IF(C1598="Técnico I",23,IF(C1598="JR",20,IF(C1598="Estágio",10,0))))),IF(C1598="Técnico III",SUMIFS($D:$D,$A:$A,$A1598,$B:$B,"&lt;&gt;Patrícia Karla de Sousa Araújo",$B:$B,"&lt;&gt;Lorena Dias de Araujo",$B:$B,"&lt;&gt;Lucas Luiz Romero")*(35/1083),IF(C1598="Técnico II",SUMIFS($D:$D,$A:$A,$A1598,$B:$B,"&lt;&gt;Patrícia Karla de Sousa Araújo",$B:$B,"&lt;&gt;Lorena Dias de Araujo",$B:$B,"&lt;&gt;Lucas Luiz Romero")*(28/1083),IF(C1598="Técnico I",SUMIFS($D:$D,$A:$A,$A1598,$B:$B,"&lt;&gt;Patrícia Karla de Sousa Araújo",$B:$B,"&lt;&gt;Lorena Dias de Araujo",$B:$B,"&lt;&gt;Lucas Luiz Romero")*(23/1083),IF(C1598="JR",SUMIFS($D:$D,$A:$A,$A1598,$B:$B,"&lt;&gt;Patrícia Karla de Sousa Araújo",$B:$B,"&lt;&gt;Lorena Dias de Araujo",$B:$B,"&lt;&gt;Lucas Luiz Romero")*(20/1083),IF(C1598="Estágio",SUMIFS($D:$D,$A:$A,$A1598,$B:$B,"&lt;&gt;Patrícia Karla de Sousa Araújo",$B:$B,"&lt;&gt;Lorena Dias de Araujo",$B:$B,"&lt;&gt;Lucas Luiz Romero")*(10/1083),0)))))),0)</f>
        <v/>
      </c>
      <c r="K1598" s="3">
        <f>I1598-J1598</f>
        <v/>
      </c>
      <c r="L1598" s="3">
        <f>IF(K1598&lt;-5,"CRÍTICO",IF(K1598&lt;0,"ATENÇÃO",IF(K1598&lt;=5,"BOM","EXCELENTE")))</f>
        <v/>
      </c>
      <c r="M1598" s="3" t="n">
        <v>3</v>
      </c>
      <c r="N1598" s="3" t="n">
        <v>100</v>
      </c>
      <c r="O1598" s="12" t="n">
        <v>12</v>
      </c>
    </row>
    <row r="1599">
      <c r="A1599" s="10" t="n">
        <v>46050</v>
      </c>
      <c r="B1599" t="inlineStr">
        <is>
          <t>Milena Sales</t>
        </is>
      </c>
      <c r="C1599" s="1" t="inlineStr">
        <is>
          <t>JR</t>
        </is>
      </c>
      <c r="D1599" s="3" t="n">
        <v>0</v>
      </c>
      <c r="E1599" s="3" t="n">
        <v>0</v>
      </c>
      <c r="F1599" s="3" t="n">
        <v>0</v>
      </c>
      <c r="G1599" s="3" t="n">
        <v>0</v>
      </c>
      <c r="H1599" s="3" t="n">
        <v>0</v>
      </c>
      <c r="I1599" s="3" t="n">
        <v>0</v>
      </c>
      <c r="J1599" s="3" t="n">
        <v>0</v>
      </c>
      <c r="K1599" s="3" t="n">
        <v>0</v>
      </c>
      <c r="L1599" s="3">
        <f>IF(K1599&lt;-5,"CRÍTICO",IF(K1599&lt;0,"ATENÇÃO",IF(K1599&lt;=5,"BOM","EXCELENTE")))</f>
        <v/>
      </c>
      <c r="M1599" s="3" t="n">
        <v>0</v>
      </c>
      <c r="N1599" s="3" t="n">
        <v>0</v>
      </c>
      <c r="O1599" s="12" t="n">
        <v>0</v>
      </c>
    </row>
    <row r="1600">
      <c r="A1600" s="10" t="n">
        <v>46050</v>
      </c>
      <c r="B1600" t="inlineStr">
        <is>
          <t>Patrícia Karla de Sousa Araújo</t>
        </is>
      </c>
      <c r="C1600" s="1" t="inlineStr">
        <is>
          <t>Técnico II</t>
        </is>
      </c>
      <c r="D1600" s="3" t="n">
        <v>30</v>
      </c>
      <c r="E1600" s="3" t="n">
        <v>30</v>
      </c>
      <c r="F1600" s="3" t="n">
        <v>18.43</v>
      </c>
      <c r="G1600" s="3" t="n">
        <v>0</v>
      </c>
      <c r="H1600" s="3" t="n">
        <v>0</v>
      </c>
      <c r="I1600" s="3">
        <f>E1600+G1600+H1600</f>
        <v/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/>
      </c>
      <c r="K1600" s="3">
        <f>I1600-J1600</f>
        <v/>
      </c>
      <c r="L1600" s="3">
        <f>IF(K1600&lt;-5,"CRÍTICO",IF(K1600&lt;0,"ATENÇÃO",IF(K1600&lt;=5,"BOM","EXCELENTE")))</f>
        <v/>
      </c>
      <c r="M1600" s="3" t="n">
        <v>25</v>
      </c>
      <c r="N1600" s="3" t="n">
        <v>97.56</v>
      </c>
      <c r="O1600" s="12" t="n">
        <v>31.06796116504854</v>
      </c>
    </row>
    <row r="1601">
      <c r="A1601" s="10" t="n">
        <v>46050</v>
      </c>
      <c r="B1601" t="inlineStr">
        <is>
          <t>Paulo Ricardo Santos</t>
        </is>
      </c>
      <c r="C1601" s="1" t="inlineStr">
        <is>
          <t>JR</t>
        </is>
      </c>
      <c r="D1601" s="3" t="n">
        <v>0</v>
      </c>
      <c r="E1601" s="3" t="n">
        <v>0</v>
      </c>
      <c r="F1601" s="3" t="n">
        <v>0</v>
      </c>
      <c r="G1601" s="3" t="n">
        <v>0</v>
      </c>
      <c r="H1601" s="3" t="n">
        <v>0</v>
      </c>
      <c r="I1601" s="3" t="n">
        <v>0</v>
      </c>
      <c r="J1601" s="3" t="n">
        <v>0</v>
      </c>
      <c r="K1601" s="3" t="n">
        <v>0</v>
      </c>
      <c r="L1601" s="3">
        <f>IF(K1601&lt;-5,"CRÍTICO",IF(K1601&lt;0,"ATENÇÃO",IF(K1601&lt;=5,"BOM","EXCELENTE")))</f>
        <v/>
      </c>
      <c r="M1601" s="3" t="n">
        <v>0</v>
      </c>
      <c r="N1601" s="3" t="n">
        <v>0</v>
      </c>
      <c r="O1601" s="12" t="n">
        <v>0</v>
      </c>
    </row>
    <row r="1602">
      <c r="A1602" s="10" t="n">
        <v>46050</v>
      </c>
      <c r="B1602" t="inlineStr">
        <is>
          <t>Pedro Luiz Mota Sousa</t>
        </is>
      </c>
      <c r="C1602" s="1" t="inlineStr">
        <is>
          <t>JR</t>
        </is>
      </c>
      <c r="D1602" s="3" t="n">
        <v>0</v>
      </c>
      <c r="E1602" s="3" t="n">
        <v>0</v>
      </c>
      <c r="F1602" s="3" t="n">
        <v>0</v>
      </c>
      <c r="G1602" s="3" t="n">
        <v>0</v>
      </c>
      <c r="H1602" s="3" t="n">
        <v>0</v>
      </c>
      <c r="I1602" s="3" t="n">
        <v>0</v>
      </c>
      <c r="J1602" s="3" t="n">
        <v>0</v>
      </c>
      <c r="K1602" s="3" t="n">
        <v>0</v>
      </c>
      <c r="L1602" s="3">
        <f>IF(K1602&lt;-5,"CRÍTICO",IF(K1602&lt;0,"ATENÇÃO",IF(K1602&lt;=5,"BOM","EXCELENTE")))</f>
        <v/>
      </c>
      <c r="M1602" s="3" t="n">
        <v>0</v>
      </c>
      <c r="N1602" s="3" t="n">
        <v>0</v>
      </c>
      <c r="O1602" s="12" t="n">
        <v>0</v>
      </c>
    </row>
    <row r="1603">
      <c r="A1603" s="10" t="n">
        <v>46050</v>
      </c>
      <c r="B1603" t="inlineStr">
        <is>
          <t>Quirino Diogo Leite Torres</t>
        </is>
      </c>
      <c r="C1603" s="1" t="inlineStr">
        <is>
          <t>Estágio</t>
        </is>
      </c>
      <c r="D1603" s="3" t="n">
        <v>0</v>
      </c>
      <c r="E1603" s="3" t="n">
        <v>0</v>
      </c>
      <c r="F1603" s="3" t="n">
        <v>0</v>
      </c>
      <c r="G1603" s="3" t="n">
        <v>0</v>
      </c>
      <c r="H1603" s="3" t="n">
        <v>0</v>
      </c>
      <c r="I1603" s="3" t="n">
        <v>0</v>
      </c>
      <c r="J1603" s="3" t="n">
        <v>0</v>
      </c>
      <c r="K1603" s="3" t="n">
        <v>0</v>
      </c>
      <c r="L1603" s="3">
        <f>IF(K1603&lt;-5,"CRÍTICO",IF(K1603&lt;0,"ATENÇÃO",IF(K1603&lt;=5,"BOM","EXCELENTE")))</f>
        <v/>
      </c>
      <c r="M1603" s="3" t="n">
        <v>0</v>
      </c>
      <c r="N1603" s="3" t="n">
        <v>0</v>
      </c>
      <c r="O1603" s="12" t="n">
        <v>0</v>
      </c>
    </row>
    <row r="1604">
      <c r="A1604" s="10" t="n">
        <v>46050</v>
      </c>
      <c r="B1604" t="inlineStr">
        <is>
          <t>Raane Batista Matos</t>
        </is>
      </c>
      <c r="C1604" s="1" t="inlineStr">
        <is>
          <t>Técnico I</t>
        </is>
      </c>
      <c r="D1604" s="3" t="n">
        <v>2</v>
      </c>
      <c r="E1604" s="3" t="n">
        <v>2</v>
      </c>
      <c r="F1604" s="3" t="n">
        <v>13.56</v>
      </c>
      <c r="G1604" s="3" t="n">
        <v>0</v>
      </c>
      <c r="H1604" s="3" t="n">
        <v>0</v>
      </c>
      <c r="I1604" s="3">
        <f>E1604+G1604+H1604</f>
        <v/>
      </c>
      <c r="J1604" s="3">
        <f>ROUND(MIN(IF(C1604="Técnico III",35,IF(C1604="Técnico II",28,IF(C1604="Técnico I",23,IF(C1604="JR",20,IF(C1604="Estágio",10,0))))),IF(C1604="Técnico III",SUMIFS($D:$D,$A:$A,$A1604,$B:$B,"&lt;&gt;Patrícia Karla de Sousa Araújo",$B:$B,"&lt;&gt;Lorena Dias de Araujo",$B:$B,"&lt;&gt;Lucas Luiz Romero")*(35/1083),IF(C1604="Técnico II",SUMIFS($D:$D,$A:$A,$A1604,$B:$B,"&lt;&gt;Patrícia Karla de Sousa Araújo",$B:$B,"&lt;&gt;Lorena Dias de Araujo",$B:$B,"&lt;&gt;Lucas Luiz Romero")*(28/1083),IF(C1604="Técnico I",SUMIFS($D:$D,$A:$A,$A1604,$B:$B,"&lt;&gt;Patrícia Karla de Sousa Araújo",$B:$B,"&lt;&gt;Lorena Dias de Araujo",$B:$B,"&lt;&gt;Lucas Luiz Romero")*(23/1083),IF(C1604="JR",SUMIFS($D:$D,$A:$A,$A1604,$B:$B,"&lt;&gt;Patrícia Karla de Sousa Araújo",$B:$B,"&lt;&gt;Lorena Dias de Araujo",$B:$B,"&lt;&gt;Lucas Luiz Romero")*(20/1083),IF(C1604="Estágio",SUMIFS($D:$D,$A:$A,$A1604,$B:$B,"&lt;&gt;Patrícia Karla de Sousa Araújo",$B:$B,"&lt;&gt;Lorena Dias de Araujo",$B:$B,"&lt;&gt;Lucas Luiz Romero")*(10/1083),0)))))),0)</f>
        <v/>
      </c>
      <c r="K1604" s="3">
        <f>I1604-J1604</f>
        <v/>
      </c>
      <c r="L1604" s="3">
        <f>IF(K1604&lt;-5,"CRÍTICO",IF(K1604&lt;0,"ATENÇÃO",IF(K1604&lt;=5,"BOM","EXCELENTE")))</f>
        <v/>
      </c>
      <c r="M1604" s="3" t="n">
        <v>2</v>
      </c>
      <c r="N1604" s="3" t="n">
        <v>100</v>
      </c>
      <c r="O1604" s="12" t="n">
        <v>53.84615384615385</v>
      </c>
    </row>
    <row r="1605">
      <c r="A1605" s="10" t="n">
        <v>46050</v>
      </c>
      <c r="B1605" t="inlineStr">
        <is>
          <t>Rafael Gomes de Morais</t>
        </is>
      </c>
      <c r="C1605" s="1" t="inlineStr">
        <is>
          <t>Técnico III</t>
        </is>
      </c>
      <c r="D1605" s="3" t="n">
        <v>39</v>
      </c>
      <c r="E1605" s="3" t="n">
        <v>36</v>
      </c>
      <c r="F1605" s="3" t="n">
        <v>14.18</v>
      </c>
      <c r="G1605" s="3" t="n">
        <v>0</v>
      </c>
      <c r="H1605" s="3" t="n">
        <v>0</v>
      </c>
      <c r="I1605" s="3">
        <f>E1605+G1605+H1605</f>
        <v/>
      </c>
      <c r="J1605" s="3">
        <f>ROUND(MIN(IF(C1605="Técnico III",35,IF(C1605="Técnico II",28,IF(C1605="Técnico I",23,IF(C1605="JR",20,IF(C1605="Estágio",10,0))))),IF(C1605="Técnico III",SUMIFS($D:$D,$A:$A,$A1605,$B:$B,"&lt;&gt;Patrícia Karla de Sousa Araújo",$B:$B,"&lt;&gt;Lorena Dias de Araujo",$B:$B,"&lt;&gt;Lucas Luiz Romero")*(35/1083),IF(C1605="Técnico II",SUMIFS($D:$D,$A:$A,$A1605,$B:$B,"&lt;&gt;Patrícia Karla de Sousa Araújo",$B:$B,"&lt;&gt;Lorena Dias de Araujo",$B:$B,"&lt;&gt;Lucas Luiz Romero")*(28/1083),IF(C1605="Técnico I",SUMIFS($D:$D,$A:$A,$A1605,$B:$B,"&lt;&gt;Patrícia Karla de Sousa Araújo",$B:$B,"&lt;&gt;Lorena Dias de Araujo",$B:$B,"&lt;&gt;Lucas Luiz Romero")*(23/1083),IF(C1605="JR",SUMIFS($D:$D,$A:$A,$A1605,$B:$B,"&lt;&gt;Patrícia Karla de Sousa Araújo",$B:$B,"&lt;&gt;Lorena Dias de Araujo",$B:$B,"&lt;&gt;Lucas Luiz Romero")*(20/1083),IF(C1605="Estágio",SUMIFS($D:$D,$A:$A,$A1605,$B:$B,"&lt;&gt;Patrícia Karla de Sousa Araújo",$B:$B,"&lt;&gt;Lorena Dias de Araujo",$B:$B,"&lt;&gt;Lucas Luiz Romero")*(10/1083),0)))))),0)</f>
        <v/>
      </c>
      <c r="K1605" s="3">
        <f>I1605-J1605</f>
        <v/>
      </c>
      <c r="L1605" s="3">
        <f>IF(K1605&lt;-5,"CRÍTICO",IF(K1605&lt;0,"ATENÇÃO",IF(K1605&lt;=5,"BOM","EXCELENTE")))</f>
        <v/>
      </c>
      <c r="M1605" s="3" t="n">
        <v>40</v>
      </c>
      <c r="N1605" s="3" t="n">
        <v>100</v>
      </c>
      <c r="O1605" s="12" t="n">
        <v>44.05594405594406</v>
      </c>
    </row>
    <row r="1606">
      <c r="A1606" s="10" t="n">
        <v>46050</v>
      </c>
      <c r="B1606" t="inlineStr">
        <is>
          <t>Sara Maria Monteiro Lopes</t>
        </is>
      </c>
      <c r="C1606" s="1" t="inlineStr">
        <is>
          <t>Técnico I</t>
        </is>
      </c>
      <c r="D1606" s="3" t="n">
        <v>13</v>
      </c>
      <c r="E1606" s="3" t="n">
        <v>13</v>
      </c>
      <c r="F1606" s="3" t="n">
        <v>40.5</v>
      </c>
      <c r="G1606" s="3" t="n">
        <v>0</v>
      </c>
      <c r="H1606" s="3" t="n">
        <v>0</v>
      </c>
      <c r="I1606" s="3">
        <f>E1606+G1606+H1606</f>
        <v/>
      </c>
      <c r="J1606" s="3">
        <f>ROUND(MIN(IF(C1606="Técnico III",35,IF(C1606="Técnico II",28,IF(C1606="Técnico I",23,IF(C1606="JR",20,IF(C1606="Estágio",10,0))))),IF(C1606="Técnico III",SUMIFS($D:$D,$A:$A,$A1606,$B:$B,"&lt;&gt;Patrícia Karla de Sousa Araújo",$B:$B,"&lt;&gt;Lorena Dias de Araujo",$B:$B,"&lt;&gt;Lucas Luiz Romero")*(35/1083),IF(C1606="Técnico II",SUMIFS($D:$D,$A:$A,$A1606,$B:$B,"&lt;&gt;Patrícia Karla de Sousa Araújo",$B:$B,"&lt;&gt;Lorena Dias de Araujo",$B:$B,"&lt;&gt;Lucas Luiz Romero")*(28/1083),IF(C1606="Técnico I",SUMIFS($D:$D,$A:$A,$A1606,$B:$B,"&lt;&gt;Patrícia Karla de Sousa Araújo",$B:$B,"&lt;&gt;Lorena Dias de Araujo",$B:$B,"&lt;&gt;Lucas Luiz Romero")*(23/1083),IF(C1606="JR",SUMIFS($D:$D,$A:$A,$A1606,$B:$B,"&lt;&gt;Patrícia Karla de Sousa Araújo",$B:$B,"&lt;&gt;Lorena Dias de Araujo",$B:$B,"&lt;&gt;Lucas Luiz Romero")*(20/1083),IF(C1606="Estágio",SUMIFS($D:$D,$A:$A,$A1606,$B:$B,"&lt;&gt;Patrícia Karla de Sousa Araújo",$B:$B,"&lt;&gt;Lorena Dias de Araujo",$B:$B,"&lt;&gt;Lucas Luiz Romero")*(10/1083),0)))))),0)</f>
        <v/>
      </c>
      <c r="K1606" s="3">
        <f>I1606-J1606</f>
        <v/>
      </c>
      <c r="L1606" s="3">
        <f>IF(K1606&lt;-5,"CRÍTICO",IF(K1606&lt;0,"ATENÇÃO",IF(K1606&lt;=5,"BOM","EXCELENTE")))</f>
        <v/>
      </c>
      <c r="M1606" s="3" t="n">
        <v>7</v>
      </c>
      <c r="N1606" s="3" t="n">
        <v>100</v>
      </c>
      <c r="O1606" s="12" t="n">
        <v>31.87250996015936</v>
      </c>
    </row>
    <row r="1607">
      <c r="A1607" s="10" t="n">
        <v>46050</v>
      </c>
      <c r="B1607" t="inlineStr">
        <is>
          <t>Sarah Steffanie de Lima Borges</t>
        </is>
      </c>
      <c r="C1607" s="1" t="inlineStr">
        <is>
          <t>Técnico III</t>
        </is>
      </c>
      <c r="D1607" s="3" t="n">
        <v>30</v>
      </c>
      <c r="E1607" s="3" t="n">
        <v>30</v>
      </c>
      <c r="F1607" s="3" t="n">
        <v>17.19</v>
      </c>
      <c r="G1607" s="3" t="n">
        <v>0</v>
      </c>
      <c r="H1607" s="3" t="n">
        <v>0</v>
      </c>
      <c r="I1607" s="3">
        <f>E1607+G1607+H1607</f>
        <v/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/>
      </c>
      <c r="K1607" s="3">
        <f>I1607-J1607</f>
        <v/>
      </c>
      <c r="L1607" s="3">
        <f>IF(K1607&lt;-5,"CRÍTICO",IF(K1607&lt;0,"ATENÇÃO",IF(K1607&lt;=5,"BOM","EXCELENTE")))</f>
        <v/>
      </c>
      <c r="M1607" s="3" t="n">
        <v>27</v>
      </c>
      <c r="N1607" s="3" t="n">
        <v>98.41</v>
      </c>
      <c r="O1607" s="12" t="n">
        <v>29.22465208747515</v>
      </c>
    </row>
    <row r="1608">
      <c r="A1608" s="10" t="n">
        <v>46051</v>
      </c>
      <c r="B1608" t="inlineStr">
        <is>
          <t>Alisson de Freitas Silva</t>
        </is>
      </c>
      <c r="C1608" s="1" t="inlineStr">
        <is>
          <t>Técnico II</t>
        </is>
      </c>
      <c r="D1608" s="3" t="n">
        <v>26</v>
      </c>
      <c r="E1608" s="3" t="n">
        <v>22</v>
      </c>
      <c r="F1608" s="3" t="n">
        <v>15.41</v>
      </c>
      <c r="G1608" s="3" t="n">
        <v>0</v>
      </c>
      <c r="H1608" s="3" t="n">
        <v>0</v>
      </c>
      <c r="I1608" s="3">
        <f>E1608+G1608+H1608</f>
        <v/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/>
      </c>
      <c r="K1608" s="3">
        <f>I1608-J1608</f>
        <v/>
      </c>
      <c r="L1608" s="3">
        <f>IF(K1608&lt;-5,"CRÍTICO",IF(K1608&lt;0,"ATENÇÃO",IF(K1608&lt;=5,"BOM","EXCELENTE")))</f>
        <v/>
      </c>
      <c r="M1608" s="3" t="n">
        <v>21</v>
      </c>
      <c r="N1608" s="3" t="n">
        <v>96.81</v>
      </c>
      <c r="O1608" s="12" t="n">
        <v>27.98053527980535</v>
      </c>
    </row>
    <row r="1609">
      <c r="A1609" s="10" t="n">
        <v>46051</v>
      </c>
      <c r="B1609" t="inlineStr">
        <is>
          <t>Amanda Moura Ferreira</t>
        </is>
      </c>
      <c r="C1609" s="1" t="inlineStr">
        <is>
          <t>Técnico III</t>
        </is>
      </c>
      <c r="D1609" s="3" t="n">
        <v>0</v>
      </c>
      <c r="E1609" s="3" t="n">
        <v>0</v>
      </c>
      <c r="F1609" s="3" t="n">
        <v>0</v>
      </c>
      <c r="G1609" s="3" t="n">
        <v>0</v>
      </c>
      <c r="H1609" s="3" t="n">
        <v>0</v>
      </c>
      <c r="I1609" s="3" t="n">
        <v>0</v>
      </c>
      <c r="J1609" s="3" t="n">
        <v>0</v>
      </c>
      <c r="K1609" s="3" t="n">
        <v>0</v>
      </c>
      <c r="L1609" s="3">
        <f>IF(K1609&lt;-5,"CRÍTICO",IF(K1609&lt;0,"ATENÇÃO",IF(K1609&lt;=5,"BOM","EXCELENTE")))</f>
        <v/>
      </c>
      <c r="M1609" s="3" t="n">
        <v>28</v>
      </c>
      <c r="N1609" s="3" t="n">
        <v>98.73</v>
      </c>
      <c r="O1609" s="12" t="n">
        <v>35.75638506876228</v>
      </c>
    </row>
    <row r="1610">
      <c r="A1610" s="10" t="n">
        <v>46051</v>
      </c>
      <c r="B1610" t="inlineStr">
        <is>
          <t>Ana Karollyne Souza Faria</t>
        </is>
      </c>
      <c r="C1610" s="1" t="inlineStr">
        <is>
          <t>Técnico I</t>
        </is>
      </c>
      <c r="D1610" s="3" t="n">
        <v>33</v>
      </c>
      <c r="E1610" s="3" t="n">
        <v>28</v>
      </c>
      <c r="F1610" s="3" t="n">
        <v>15.09</v>
      </c>
      <c r="G1610" s="3" t="n">
        <v>0</v>
      </c>
      <c r="H1610" s="3" t="n">
        <v>0</v>
      </c>
      <c r="I1610" s="3">
        <f>E1610+G1610+H1610</f>
        <v/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/>
      </c>
      <c r="K1610" s="3">
        <f>I1610-J1610</f>
        <v/>
      </c>
      <c r="L1610" s="3">
        <f>IF(K1610&lt;-5,"CRÍTICO",IF(K1610&lt;0,"ATENÇÃO",IF(K1610&lt;=5,"BOM","EXCELENTE")))</f>
        <v/>
      </c>
      <c r="M1610" s="3" t="n">
        <v>29</v>
      </c>
      <c r="N1610" s="3" t="n">
        <v>98.31999999999999</v>
      </c>
      <c r="O1610" s="12" t="n">
        <v>26.76348547717842</v>
      </c>
    </row>
    <row r="1611">
      <c r="A1611" s="10" t="n">
        <v>46051</v>
      </c>
      <c r="B1611" t="inlineStr">
        <is>
          <t>Ana Paula Da Luz Silva Aleixo</t>
        </is>
      </c>
      <c r="C1611" s="1" t="inlineStr">
        <is>
          <t>Técnico III</t>
        </is>
      </c>
      <c r="D1611" s="3" t="n">
        <v>32</v>
      </c>
      <c r="E1611" s="3" t="n">
        <v>27</v>
      </c>
      <c r="F1611" s="3" t="n">
        <v>17.06</v>
      </c>
      <c r="G1611" s="3" t="n">
        <v>0</v>
      </c>
      <c r="H1611" s="3" t="n">
        <v>0</v>
      </c>
      <c r="I1611" s="3">
        <f>E1611+G1611+H1611</f>
        <v/>
      </c>
      <c r="J1611" s="3">
        <f>ROUND(MIN(IF(C1611="Técnico III",35,IF(C1611="Técnico II",28,IF(C1611="Técnico I",23,IF(C1611="JR",20,IF(C1611="Estágio",10,0))))),IF(C1611="Técnico III",SUMIFS($D:$D,$A:$A,$A1611,$B:$B,"&lt;&gt;Patrícia Karla de Sousa Araújo",$B:$B,"&lt;&gt;Lorena Dias de Araujo",$B:$B,"&lt;&gt;Lucas Luiz Romero")*(35/1083),IF(C1611="Técnico II",SUMIFS($D:$D,$A:$A,$A1611,$B:$B,"&lt;&gt;Patrícia Karla de Sousa Araújo",$B:$B,"&lt;&gt;Lorena Dias de Araujo",$B:$B,"&lt;&gt;Lucas Luiz Romero")*(28/1083),IF(C1611="Técnico I",SUMIFS($D:$D,$A:$A,$A1611,$B:$B,"&lt;&gt;Patrícia Karla de Sousa Araújo",$B:$B,"&lt;&gt;Lorena Dias de Araujo",$B:$B,"&lt;&gt;Lucas Luiz Romero")*(23/1083),IF(C1611="JR",SUMIFS($D:$D,$A:$A,$A1611,$B:$B,"&lt;&gt;Patrícia Karla de Sousa Araújo",$B:$B,"&lt;&gt;Lorena Dias de Araujo",$B:$B,"&lt;&gt;Lucas Luiz Romero")*(20/1083),IF(C1611="Estágio",SUMIFS($D:$D,$A:$A,$A1611,$B:$B,"&lt;&gt;Patrícia Karla de Sousa Araújo",$B:$B,"&lt;&gt;Lorena Dias de Araujo",$B:$B,"&lt;&gt;Lucas Luiz Romero")*(10/1083),0)))))),0)</f>
        <v/>
      </c>
      <c r="K1611" s="3">
        <f>I1611-J1611</f>
        <v/>
      </c>
      <c r="L1611" s="3">
        <f>IF(K1611&lt;-5,"CRÍTICO",IF(K1611&lt;0,"ATENÇÃO",IF(K1611&lt;=5,"BOM","EXCELENTE")))</f>
        <v/>
      </c>
      <c r="M1611" s="3" t="n">
        <v>21</v>
      </c>
      <c r="N1611" s="3" t="n">
        <v>99.19</v>
      </c>
      <c r="O1611" s="12" t="n">
        <v>27.63713080168776</v>
      </c>
    </row>
    <row r="1612">
      <c r="A1612" s="10" t="n">
        <v>46051</v>
      </c>
      <c r="B1612" t="inlineStr">
        <is>
          <t>Anna Luiza Rezende Tavares</t>
        </is>
      </c>
      <c r="C1612" s="1" t="inlineStr">
        <is>
          <t>Estágio</t>
        </is>
      </c>
      <c r="D1612" s="3" t="n">
        <v>11</v>
      </c>
      <c r="E1612" s="3" t="n">
        <v>10</v>
      </c>
      <c r="F1612" s="3" t="n">
        <v>29.13</v>
      </c>
      <c r="G1612" s="3" t="n">
        <v>0</v>
      </c>
      <c r="H1612" s="3" t="n">
        <v>0</v>
      </c>
      <c r="I1612" s="3">
        <f>E1612+G1612+H1612</f>
        <v/>
      </c>
      <c r="J1612" s="3">
        <f>ROUND(MIN(IF(C1612="Técnico III",35,IF(C1612="Técnico II",28,IF(C1612="Técnico I",23,IF(C1612="JR",20,IF(C1612="Estágio",10,0))))),IF(C1612="Técnico III",SUMIFS($D:$D,$A:$A,$A1612,$B:$B,"&lt;&gt;Patrícia Karla de Sousa Araújo",$B:$B,"&lt;&gt;Lorena Dias de Araujo",$B:$B,"&lt;&gt;Lucas Luiz Romero")*(35/1083),IF(C1612="Técnico II",SUMIFS($D:$D,$A:$A,$A1612,$B:$B,"&lt;&gt;Patrícia Karla de Sousa Araújo",$B:$B,"&lt;&gt;Lorena Dias de Araujo",$B:$B,"&lt;&gt;Lucas Luiz Romero")*(28/1083),IF(C1612="Técnico I",SUMIFS($D:$D,$A:$A,$A1612,$B:$B,"&lt;&gt;Patrícia Karla de Sousa Araújo",$B:$B,"&lt;&gt;Lorena Dias de Araujo",$B:$B,"&lt;&gt;Lucas Luiz Romero")*(23/1083),IF(C1612="JR",SUMIFS($D:$D,$A:$A,$A1612,$B:$B,"&lt;&gt;Patrícia Karla de Sousa Araújo",$B:$B,"&lt;&gt;Lorena Dias de Araujo",$B:$B,"&lt;&gt;Lucas Luiz Romero")*(20/1083),IF(C1612="Estágio",SUMIFS($D:$D,$A:$A,$A1612,$B:$B,"&lt;&gt;Patrícia Karla de Sousa Araújo",$B:$B,"&lt;&gt;Lorena Dias de Araujo",$B:$B,"&lt;&gt;Lucas Luiz Romero")*(10/1083),0)))))),0)</f>
        <v/>
      </c>
      <c r="K1612" s="3">
        <f>I1612-J1612</f>
        <v/>
      </c>
      <c r="L1612" s="3">
        <f>IF(K1612&lt;-5,"CRÍTICO",IF(K1612&lt;0,"ATENÇÃO",IF(K1612&lt;=5,"BOM","EXCELENTE")))</f>
        <v/>
      </c>
      <c r="M1612" s="3" t="n">
        <v>8</v>
      </c>
      <c r="N1612" s="3" t="n">
        <v>100</v>
      </c>
      <c r="O1612" s="12" t="n">
        <v>39.56834532374101</v>
      </c>
    </row>
    <row r="1613">
      <c r="A1613" s="10" t="n">
        <v>46051</v>
      </c>
      <c r="B1613" t="inlineStr">
        <is>
          <t>Brenda de Menezes Silva</t>
        </is>
      </c>
      <c r="C1613" s="1" t="inlineStr">
        <is>
          <t>Técnico II</t>
        </is>
      </c>
      <c r="D1613" s="3" t="n">
        <v>33</v>
      </c>
      <c r="E1613" s="3" t="n">
        <v>28</v>
      </c>
      <c r="F1613" s="3" t="n">
        <v>13.55</v>
      </c>
      <c r="G1613" s="3" t="n">
        <v>0</v>
      </c>
      <c r="H1613" s="3" t="n">
        <v>0</v>
      </c>
      <c r="I1613" s="3">
        <f>E1613+G1613+H1613</f>
        <v/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/>
      </c>
      <c r="K1613" s="3">
        <f>I1613-J1613</f>
        <v/>
      </c>
      <c r="L1613" s="3">
        <f>IF(K1613&lt;-5,"CRÍTICO",IF(K1613&lt;0,"ATENÇÃO",IF(K1613&lt;=5,"BOM","EXCELENTE")))</f>
        <v/>
      </c>
      <c r="M1613" s="3" t="n">
        <v>30</v>
      </c>
      <c r="N1613" s="3" t="n">
        <v>98.54000000000001</v>
      </c>
      <c r="O1613" s="12" t="n">
        <v>28.54477611940299</v>
      </c>
    </row>
    <row r="1614">
      <c r="A1614" s="10" t="n">
        <v>46051</v>
      </c>
      <c r="B1614" t="inlineStr">
        <is>
          <t>Carlos Mateus Cassimiro Nunes</t>
        </is>
      </c>
      <c r="C1614" s="1" t="inlineStr">
        <is>
          <t>Técnico II</t>
        </is>
      </c>
      <c r="D1614" s="3" t="n">
        <v>32</v>
      </c>
      <c r="E1614" s="3" t="n">
        <v>29</v>
      </c>
      <c r="F1614" s="3" t="n">
        <v>18.49</v>
      </c>
      <c r="G1614" s="3" t="n">
        <v>0</v>
      </c>
      <c r="H1614" s="3" t="n">
        <v>0</v>
      </c>
      <c r="I1614" s="3">
        <f>E1614+G1614+H1614</f>
        <v/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/>
      </c>
      <c r="K1614" s="3">
        <f>I1614-J1614</f>
        <v/>
      </c>
      <c r="L1614" s="3">
        <f>IF(K1614&lt;-5,"CRÍTICO",IF(K1614&lt;0,"ATENÇÃO",IF(K1614&lt;=5,"BOM","EXCELENTE")))</f>
        <v/>
      </c>
      <c r="M1614" s="3" t="n">
        <v>27</v>
      </c>
      <c r="N1614" s="3" t="n">
        <v>100</v>
      </c>
      <c r="O1614" s="12" t="n">
        <v>34.36692506459949</v>
      </c>
    </row>
    <row r="1615">
      <c r="A1615" s="10" t="n">
        <v>46051</v>
      </c>
      <c r="B1615" t="inlineStr">
        <is>
          <t>Claudio de Sousa Velasco Filho</t>
        </is>
      </c>
      <c r="C1615" s="1" t="inlineStr">
        <is>
          <t>Estágio</t>
        </is>
      </c>
      <c r="D1615" s="3" t="n">
        <v>0</v>
      </c>
      <c r="E1615" s="3" t="n">
        <v>0</v>
      </c>
      <c r="F1615" s="3" t="n">
        <v>0</v>
      </c>
      <c r="G1615" s="3" t="n">
        <v>0</v>
      </c>
      <c r="H1615" s="3" t="n">
        <v>0</v>
      </c>
      <c r="I1615" s="3" t="n">
        <v>0</v>
      </c>
      <c r="J1615" s="3" t="n">
        <v>0</v>
      </c>
      <c r="K1615" s="3" t="n">
        <v>0</v>
      </c>
      <c r="L1615" s="3">
        <f>IF(K1615&lt;-5,"CRÍTICO",IF(K1615&lt;0,"ATENÇÃO",IF(K1615&lt;=5,"BOM","EXCELENTE")))</f>
        <v/>
      </c>
      <c r="M1615" s="3" t="n">
        <v>0</v>
      </c>
      <c r="N1615" s="3" t="n">
        <v>0</v>
      </c>
      <c r="O1615" s="12" t="n">
        <v>0</v>
      </c>
    </row>
    <row r="1616">
      <c r="A1616" s="10" t="n">
        <v>46051</v>
      </c>
      <c r="B1616" t="inlineStr">
        <is>
          <t>Clessiane Pereira dos Santos</t>
        </is>
      </c>
      <c r="C1616" s="1" t="inlineStr">
        <is>
          <t>Técnico I</t>
        </is>
      </c>
      <c r="D1616" s="3" t="n">
        <v>15</v>
      </c>
      <c r="E1616" s="3" t="n">
        <v>14</v>
      </c>
      <c r="F1616" s="3" t="n">
        <v>40.43</v>
      </c>
      <c r="G1616" s="3" t="n">
        <v>0</v>
      </c>
      <c r="H1616" s="3" t="n">
        <v>0</v>
      </c>
      <c r="I1616" s="3">
        <f>E1616+G1616+H1616</f>
        <v/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/>
      </c>
      <c r="K1616" s="3">
        <f>I1616-J1616</f>
        <v/>
      </c>
      <c r="L1616" s="3">
        <f>IF(K1616&lt;-5,"CRÍTICO",IF(K1616&lt;0,"ATENÇÃO",IF(K1616&lt;=5,"BOM","EXCELENTE")))</f>
        <v/>
      </c>
      <c r="M1616" s="3" t="n">
        <v>12</v>
      </c>
      <c r="N1616" s="3" t="n">
        <v>100</v>
      </c>
      <c r="O1616" s="12" t="n">
        <v>29.51807228915663</v>
      </c>
    </row>
    <row r="1617">
      <c r="A1617" s="10" t="n">
        <v>46051</v>
      </c>
      <c r="B1617" t="inlineStr">
        <is>
          <t>Cristiane Ramos da Silva Rocha</t>
        </is>
      </c>
      <c r="C1617" s="1" t="inlineStr">
        <is>
          <t>Técnico III</t>
        </is>
      </c>
      <c r="D1617" s="3" t="n">
        <v>38</v>
      </c>
      <c r="E1617" s="3" t="n">
        <v>31</v>
      </c>
      <c r="F1617" s="3" t="n">
        <v>12.01</v>
      </c>
      <c r="G1617" s="3" t="n">
        <v>0</v>
      </c>
      <c r="H1617" s="3" t="n">
        <v>0</v>
      </c>
      <c r="I1617" s="3">
        <f>E1617+G1617+H1617</f>
        <v/>
      </c>
      <c r="J1617" s="3">
        <f>ROUND(MIN(IF(C1617="Técnico III",35,IF(C1617="Técnico II",28,IF(C1617="Técnico I",23,IF(C1617="JR",20,IF(C1617="Estágio",10,0))))),IF(C1617="Técnico III",SUMIFS($D:$D,$A:$A,$A1617,$B:$B,"&lt;&gt;Patrícia Karla de Sousa Araújo",$B:$B,"&lt;&gt;Lorena Dias de Araujo",$B:$B,"&lt;&gt;Lucas Luiz Romero")*(35/1083),IF(C1617="Técnico II",SUMIFS($D:$D,$A:$A,$A1617,$B:$B,"&lt;&gt;Patrícia Karla de Sousa Araújo",$B:$B,"&lt;&gt;Lorena Dias de Araujo",$B:$B,"&lt;&gt;Lucas Luiz Romero")*(28/1083),IF(C1617="Técnico I",SUMIFS($D:$D,$A:$A,$A1617,$B:$B,"&lt;&gt;Patrícia Karla de Sousa Araújo",$B:$B,"&lt;&gt;Lorena Dias de Araujo",$B:$B,"&lt;&gt;Lucas Luiz Romero")*(23/1083),IF(C1617="JR",SUMIFS($D:$D,$A:$A,$A1617,$B:$B,"&lt;&gt;Patrícia Karla de Sousa Araújo",$B:$B,"&lt;&gt;Lorena Dias de Araujo",$B:$B,"&lt;&gt;Lucas Luiz Romero")*(20/1083),IF(C1617="Estágio",SUMIFS($D:$D,$A:$A,$A1617,$B:$B,"&lt;&gt;Patrícia Karla de Sousa Araújo",$B:$B,"&lt;&gt;Lorena Dias de Araujo",$B:$B,"&lt;&gt;Lucas Luiz Romero")*(10/1083),0)))))),0)</f>
        <v/>
      </c>
      <c r="K1617" s="3">
        <f>I1617-J1617</f>
        <v/>
      </c>
      <c r="L1617" s="3">
        <f>IF(K1617&lt;-5,"CRÍTICO",IF(K1617&lt;0,"ATENÇÃO",IF(K1617&lt;=5,"BOM","EXCELENTE")))</f>
        <v/>
      </c>
      <c r="M1617" s="3" t="n">
        <v>25</v>
      </c>
      <c r="N1617" s="3" t="n">
        <v>97.45</v>
      </c>
      <c r="O1617" s="12" t="n">
        <v>41.421143847487</v>
      </c>
    </row>
    <row r="1618">
      <c r="A1618" s="10" t="n">
        <v>46051</v>
      </c>
      <c r="B1618" t="inlineStr">
        <is>
          <t>Damyllis Lorraine de Oliveira Gonçalves</t>
        </is>
      </c>
      <c r="C1618" s="1" t="inlineStr">
        <is>
          <t>Técnico II</t>
        </is>
      </c>
      <c r="D1618" s="3" t="n">
        <v>40</v>
      </c>
      <c r="E1618" s="3" t="n">
        <v>33</v>
      </c>
      <c r="F1618" s="3" t="n">
        <v>13.31</v>
      </c>
      <c r="G1618" s="3" t="n">
        <v>0</v>
      </c>
      <c r="H1618" s="3" t="n">
        <v>0</v>
      </c>
      <c r="I1618" s="3" t="n">
        <v>0</v>
      </c>
      <c r="J1618" s="3" t="n">
        <v>0</v>
      </c>
      <c r="K1618" s="3" t="n">
        <v>0</v>
      </c>
      <c r="L1618" s="3">
        <f>IF(K1618&lt;-5,"CRÍTICO",IF(K1618&lt;0,"ATENÇÃO",IF(K1618&lt;=5,"BOM","EXCELENTE")))</f>
        <v/>
      </c>
      <c r="M1618" s="3" t="n">
        <v>28</v>
      </c>
      <c r="N1618" s="3" t="n">
        <v>96.58</v>
      </c>
      <c r="O1618" s="12" t="n">
        <v>30.39647577092511</v>
      </c>
    </row>
    <row r="1619">
      <c r="A1619" s="10" t="n">
        <v>46051</v>
      </c>
      <c r="B1619" t="inlineStr">
        <is>
          <t>Daniel Gomes da Silva</t>
        </is>
      </c>
      <c r="C1619" s="1" t="inlineStr">
        <is>
          <t>Técnico I</t>
        </is>
      </c>
      <c r="D1619" s="3" t="n">
        <v>22</v>
      </c>
      <c r="E1619" s="3" t="n">
        <v>21</v>
      </c>
      <c r="F1619" s="3" t="n">
        <v>20.19</v>
      </c>
      <c r="G1619" s="3" t="n">
        <v>0</v>
      </c>
      <c r="H1619" s="3" t="n">
        <v>0</v>
      </c>
      <c r="I1619" s="3">
        <f>E1619+G1619+H1619</f>
        <v/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/>
      </c>
      <c r="K1619" s="3">
        <f>I1619-J1619</f>
        <v/>
      </c>
      <c r="L1619" s="3">
        <f>IF(K1619&lt;-5,"CRÍTICO",IF(K1619&lt;0,"ATENÇÃO",IF(K1619&lt;=5,"BOM","EXCELENTE")))</f>
        <v/>
      </c>
      <c r="M1619" s="3" t="n">
        <v>22</v>
      </c>
      <c r="N1619" s="3" t="n">
        <v>100</v>
      </c>
      <c r="O1619" s="12" t="n">
        <v>27.44282744282744</v>
      </c>
    </row>
    <row r="1620">
      <c r="A1620" s="10" t="n">
        <v>46051</v>
      </c>
      <c r="B1620" t="inlineStr">
        <is>
          <t>Davylla Rodrigues Freitas Silva</t>
        </is>
      </c>
      <c r="C1620" s="1" t="inlineStr">
        <is>
          <t>Técnico III</t>
        </is>
      </c>
      <c r="D1620" s="3" t="n">
        <v>33</v>
      </c>
      <c r="E1620" s="3" t="n">
        <v>31</v>
      </c>
      <c r="F1620" s="3" t="n">
        <v>20.03</v>
      </c>
      <c r="G1620" s="3" t="n">
        <v>0</v>
      </c>
      <c r="H1620" s="3" t="n">
        <v>0</v>
      </c>
      <c r="I1620" s="3" t="n">
        <v>0</v>
      </c>
      <c r="J1620" s="3" t="n">
        <v>0</v>
      </c>
      <c r="K1620" s="3" t="n">
        <v>0</v>
      </c>
      <c r="L1620" s="3">
        <f>IF(K1620&lt;-5,"CRÍTICO",IF(K1620&lt;0,"ATENÇÃO",IF(K1620&lt;=5,"BOM","EXCELENTE")))</f>
        <v/>
      </c>
      <c r="M1620" s="3" t="n">
        <v>31</v>
      </c>
      <c r="N1620" s="3" t="n">
        <v>99.48999999999999</v>
      </c>
      <c r="O1620" s="12" t="n">
        <v>40.2</v>
      </c>
    </row>
    <row r="1621">
      <c r="A1621" s="10" t="n">
        <v>46051</v>
      </c>
      <c r="B1621" t="inlineStr">
        <is>
          <t>Emilly Caylane Costa</t>
        </is>
      </c>
      <c r="C1621" s="1" t="inlineStr">
        <is>
          <t>Estágio</t>
        </is>
      </c>
      <c r="D1621" s="3" t="n">
        <v>5</v>
      </c>
      <c r="E1621" s="3" t="n">
        <v>4</v>
      </c>
      <c r="F1621" s="3" t="n">
        <v>32.18</v>
      </c>
      <c r="G1621" s="3" t="n">
        <v>0</v>
      </c>
      <c r="H1621" s="3" t="n">
        <v>0</v>
      </c>
      <c r="I1621" s="3">
        <f>E1621+G1621+H1621</f>
        <v/>
      </c>
      <c r="J1621" s="3">
        <f>ROUND(MIN(IF(C1621="Técnico III",35,IF(C1621="Técnico II",28,IF(C1621="Técnico I",23,IF(C1621="JR",20,IF(C1621="Estágio",10,0))))),IF(C1621="Técnico III",SUMIFS($D:$D,$A:$A,$A1621,$B:$B,"&lt;&gt;Patrícia Karla de Sousa Araújo",$B:$B,"&lt;&gt;Lorena Dias de Araujo",$B:$B,"&lt;&gt;Lucas Luiz Romero")*(35/1083),IF(C1621="Técnico II",SUMIFS($D:$D,$A:$A,$A1621,$B:$B,"&lt;&gt;Patrícia Karla de Sousa Araújo",$B:$B,"&lt;&gt;Lorena Dias de Araujo",$B:$B,"&lt;&gt;Lucas Luiz Romero")*(28/1083),IF(C1621="Técnico I",SUMIFS($D:$D,$A:$A,$A1621,$B:$B,"&lt;&gt;Patrícia Karla de Sousa Araújo",$B:$B,"&lt;&gt;Lorena Dias de Araujo",$B:$B,"&lt;&gt;Lucas Luiz Romero")*(23/1083),IF(C1621="JR",SUMIFS($D:$D,$A:$A,$A1621,$B:$B,"&lt;&gt;Patrícia Karla de Sousa Araújo",$B:$B,"&lt;&gt;Lorena Dias de Araujo",$B:$B,"&lt;&gt;Lucas Luiz Romero")*(20/1083),IF(C1621="Estágio",SUMIFS($D:$D,$A:$A,$A1621,$B:$B,"&lt;&gt;Patrícia Karla de Sousa Araújo",$B:$B,"&lt;&gt;Lorena Dias de Araujo",$B:$B,"&lt;&gt;Lucas Luiz Romero")*(10/1083),0)))))),0)</f>
        <v/>
      </c>
      <c r="K1621" s="3">
        <f>I1621-J1621</f>
        <v/>
      </c>
      <c r="L1621" s="3">
        <f>IF(K1621&lt;-5,"CRÍTICO",IF(K1621&lt;0,"ATENÇÃO",IF(K1621&lt;=5,"BOM","EXCELENTE")))</f>
        <v/>
      </c>
      <c r="M1621" s="3" t="n">
        <v>2</v>
      </c>
      <c r="N1621" s="3" t="n">
        <v>100</v>
      </c>
      <c r="O1621" s="12" t="n">
        <v>25</v>
      </c>
    </row>
    <row r="1622">
      <c r="A1622" s="10" t="n">
        <v>46051</v>
      </c>
      <c r="B1622" t="inlineStr">
        <is>
          <t>Emilly Kamilly Medeiros Miranda</t>
        </is>
      </c>
      <c r="C1622" s="1" t="inlineStr">
        <is>
          <t>Técnico II</t>
        </is>
      </c>
      <c r="D1622" s="3" t="n">
        <v>26</v>
      </c>
      <c r="E1622" s="3" t="n">
        <v>23</v>
      </c>
      <c r="F1622" s="3" t="n">
        <v>18.35</v>
      </c>
      <c r="G1622" s="3" t="n">
        <v>0</v>
      </c>
      <c r="H1622" s="3" t="n">
        <v>0</v>
      </c>
      <c r="I1622" s="3">
        <f>E1622+G1622+H1622</f>
        <v/>
      </c>
      <c r="J1622" s="3">
        <f>ROUND(MIN(IF(C1622="Técnico III",35,IF(C1622="Técnico II",28,IF(C1622="Técnico I",23,IF(C1622="JR",20,IF(C1622="Estágio",10,0))))),IF(C1622="Técnico III",SUMIFS($D:$D,$A:$A,$A1622,$B:$B,"&lt;&gt;Patrícia Karla de Sousa Araújo",$B:$B,"&lt;&gt;Lorena Dias de Araujo",$B:$B,"&lt;&gt;Lucas Luiz Romero")*(35/1083),IF(C1622="Técnico II",SUMIFS($D:$D,$A:$A,$A1622,$B:$B,"&lt;&gt;Patrícia Karla de Sousa Araújo",$B:$B,"&lt;&gt;Lorena Dias de Araujo",$B:$B,"&lt;&gt;Lucas Luiz Romero")*(28/1083),IF(C1622="Técnico I",SUMIFS($D:$D,$A:$A,$A1622,$B:$B,"&lt;&gt;Patrícia Karla de Sousa Araújo",$B:$B,"&lt;&gt;Lorena Dias de Araujo",$B:$B,"&lt;&gt;Lucas Luiz Romero")*(23/1083),IF(C1622="JR",SUMIFS($D:$D,$A:$A,$A1622,$B:$B,"&lt;&gt;Patrícia Karla de Sousa Araújo",$B:$B,"&lt;&gt;Lorena Dias de Araujo",$B:$B,"&lt;&gt;Lucas Luiz Romero")*(20/1083),IF(C1622="Estágio",SUMIFS($D:$D,$A:$A,$A1622,$B:$B,"&lt;&gt;Patrícia Karla de Sousa Araújo",$B:$B,"&lt;&gt;Lorena Dias de Araujo",$B:$B,"&lt;&gt;Lucas Luiz Romero")*(10/1083),0)))))),0)</f>
        <v/>
      </c>
      <c r="K1622" s="3">
        <f>I1622-J1622</f>
        <v/>
      </c>
      <c r="L1622" s="3">
        <f>IF(K1622&lt;-5,"CRÍTICO",IF(K1622&lt;0,"ATENÇÃO",IF(K1622&lt;=5,"BOM","EXCELENTE")))</f>
        <v/>
      </c>
      <c r="M1622" s="3" t="n">
        <v>18</v>
      </c>
      <c r="N1622" s="3" t="n">
        <v>100</v>
      </c>
      <c r="O1622" s="12" t="n">
        <v>34.15094339622641</v>
      </c>
    </row>
    <row r="1623">
      <c r="A1623" s="10" t="n">
        <v>46051</v>
      </c>
      <c r="B1623" t="inlineStr">
        <is>
          <t>Francielson de Oliveira</t>
        </is>
      </c>
      <c r="C1623" s="1" t="inlineStr">
        <is>
          <t>Técnico III</t>
        </is>
      </c>
      <c r="D1623" s="3" t="n">
        <v>30</v>
      </c>
      <c r="E1623" s="3" t="n">
        <v>28</v>
      </c>
      <c r="F1623" s="3" t="n">
        <v>15.56</v>
      </c>
      <c r="G1623" s="3" t="n">
        <v>0</v>
      </c>
      <c r="H1623" s="3" t="n">
        <v>0</v>
      </c>
      <c r="I1623" s="3">
        <f>E1623+G1623+H1623</f>
        <v/>
      </c>
      <c r="J1623" s="3">
        <f>ROUND(MIN(IF(C1623="Técnico III",35,IF(C1623="Técnico II",28,IF(C1623="Técnico I",23,IF(C1623="JR",20,IF(C1623="Estágio",10,0))))),IF(C1623="Técnico III",SUMIFS($D:$D,$A:$A,$A1623,$B:$B,"&lt;&gt;Patrícia Karla de Sousa Araújo",$B:$B,"&lt;&gt;Lorena Dias de Araujo",$B:$B,"&lt;&gt;Lucas Luiz Romero")*(35/1083),IF(C1623="Técnico II",SUMIFS($D:$D,$A:$A,$A1623,$B:$B,"&lt;&gt;Patrícia Karla de Sousa Araújo",$B:$B,"&lt;&gt;Lorena Dias de Araujo",$B:$B,"&lt;&gt;Lucas Luiz Romero")*(28/1083),IF(C1623="Técnico I",SUMIFS($D:$D,$A:$A,$A1623,$B:$B,"&lt;&gt;Patrícia Karla de Sousa Araújo",$B:$B,"&lt;&gt;Lorena Dias de Araujo",$B:$B,"&lt;&gt;Lucas Luiz Romero")*(23/1083),IF(C1623="JR",SUMIFS($D:$D,$A:$A,$A1623,$B:$B,"&lt;&gt;Patrícia Karla de Sousa Araújo",$B:$B,"&lt;&gt;Lorena Dias de Araujo",$B:$B,"&lt;&gt;Lucas Luiz Romero")*(20/1083),IF(C1623="Estágio",SUMIFS($D:$D,$A:$A,$A1623,$B:$B,"&lt;&gt;Patrícia Karla de Sousa Araújo",$B:$B,"&lt;&gt;Lorena Dias de Araujo",$B:$B,"&lt;&gt;Lucas Luiz Romero")*(10/1083),0)))))),0)</f>
        <v/>
      </c>
      <c r="K1623" s="3">
        <f>I1623-J1623</f>
        <v/>
      </c>
      <c r="L1623" s="3">
        <f>IF(K1623&lt;-5,"CRÍTICO",IF(K1623&lt;0,"ATENÇÃO",IF(K1623&lt;=5,"BOM","EXCELENTE")))</f>
        <v/>
      </c>
      <c r="M1623" s="3" t="n">
        <v>27</v>
      </c>
      <c r="N1623" s="3" t="n">
        <v>100</v>
      </c>
      <c r="O1623" s="12" t="n">
        <v>32.7313769751693</v>
      </c>
    </row>
    <row r="1624">
      <c r="A1624" s="10" t="n">
        <v>46051</v>
      </c>
      <c r="B1624" t="inlineStr">
        <is>
          <t>Francilene Ferreira de Jesus</t>
        </is>
      </c>
      <c r="C1624" s="1" t="inlineStr">
        <is>
          <t>Técnico II</t>
        </is>
      </c>
      <c r="D1624" s="3" t="n">
        <v>50</v>
      </c>
      <c r="E1624" s="3" t="n">
        <v>43</v>
      </c>
      <c r="F1624" s="3" t="n">
        <v>14.14</v>
      </c>
      <c r="G1624" s="3" t="n">
        <v>0</v>
      </c>
      <c r="H1624" s="3" t="n">
        <v>0</v>
      </c>
      <c r="I1624" s="3">
        <f>E1624+G1624+H1624</f>
        <v/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/>
      </c>
      <c r="K1624" s="3">
        <f>I1624-J1624</f>
        <v/>
      </c>
      <c r="L1624" s="3">
        <f>IF(K1624&lt;-5,"CRÍTICO",IF(K1624&lt;0,"ATENÇÃO",IF(K1624&lt;=5,"BOM","EXCELENTE")))</f>
        <v/>
      </c>
      <c r="M1624" s="3" t="n">
        <v>37</v>
      </c>
      <c r="N1624" s="3" t="n">
        <v>99.31</v>
      </c>
      <c r="O1624" s="12" t="n">
        <v>30.96234309623431</v>
      </c>
    </row>
    <row r="1625">
      <c r="A1625" s="10" t="n">
        <v>46085</v>
      </c>
      <c r="B1625" t="inlineStr">
        <is>
          <t>Gabriel Gomes de Andrade</t>
        </is>
      </c>
      <c r="C1625" s="1" t="inlineStr">
        <is>
          <t>Técnico I</t>
        </is>
      </c>
      <c r="D1625" s="3" t="n">
        <v>21</v>
      </c>
      <c r="E1625" s="3" t="n">
        <v>21</v>
      </c>
      <c r="F1625" s="3" t="n">
        <v>25.35</v>
      </c>
      <c r="G1625" s="3" t="n">
        <v>0</v>
      </c>
      <c r="H1625" s="3" t="n">
        <v>0</v>
      </c>
      <c r="I1625" s="3">
        <f>E1625+G1625+H1625</f>
        <v/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/>
      </c>
      <c r="K1625" s="3">
        <f>I1625-J1625</f>
        <v/>
      </c>
      <c r="L1625" s="3">
        <f>IF(K1625&lt;-5,"CRÍTICO",IF(K1625&lt;0,"ATENÇÃO",IF(K1625&lt;=5,"BOM","EXCELENTE")))</f>
        <v/>
      </c>
      <c r="M1625" s="3" t="n">
        <v>21</v>
      </c>
      <c r="N1625" s="3" t="n">
        <v>99.05</v>
      </c>
      <c r="O1625" s="12" t="n">
        <v>26.62192393736018</v>
      </c>
    </row>
    <row r="1626">
      <c r="A1626" s="10" t="n">
        <v>46051</v>
      </c>
      <c r="B1626" t="inlineStr">
        <is>
          <t>Isabella Borges de Oliveira</t>
        </is>
      </c>
      <c r="C1626" s="1" t="inlineStr">
        <is>
          <t>Técnico II</t>
        </is>
      </c>
      <c r="D1626" s="3" t="n">
        <v>35</v>
      </c>
      <c r="E1626" s="3" t="n">
        <v>31</v>
      </c>
      <c r="F1626" s="3" t="n">
        <v>18.21</v>
      </c>
      <c r="G1626" s="3" t="n">
        <v>0</v>
      </c>
      <c r="H1626" s="3" t="n">
        <v>0</v>
      </c>
      <c r="I1626" s="3">
        <f>E1626+G1626+H1626</f>
        <v/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/>
      </c>
      <c r="K1626" s="3">
        <f>I1626-J1626</f>
        <v/>
      </c>
      <c r="L1626" s="3">
        <f>IF(K1626&lt;-5,"CRÍTICO",IF(K1626&lt;0,"ATENÇÃO",IF(K1626&lt;=5,"BOM","EXCELENTE")))</f>
        <v/>
      </c>
      <c r="M1626" s="3" t="n">
        <v>30</v>
      </c>
      <c r="N1626" s="3" t="n">
        <v>100</v>
      </c>
      <c r="O1626" s="12" t="n">
        <v>27.67676767676768</v>
      </c>
    </row>
    <row r="1627">
      <c r="A1627" s="10" t="n">
        <v>46051</v>
      </c>
      <c r="B1627" t="inlineStr">
        <is>
          <t>Janaina Lima dos Reis Urany</t>
        </is>
      </c>
      <c r="C1627" s="1" t="inlineStr">
        <is>
          <t>Técnico III</t>
        </is>
      </c>
      <c r="D1627" s="3" t="n">
        <v>47</v>
      </c>
      <c r="E1627" s="3" t="n">
        <v>37</v>
      </c>
      <c r="F1627" s="3" t="n">
        <v>11.52</v>
      </c>
      <c r="G1627" s="3" t="n">
        <v>0</v>
      </c>
      <c r="H1627" s="3" t="n">
        <v>0</v>
      </c>
      <c r="I1627" s="3">
        <f>E1627+G1627+H1627</f>
        <v/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/>
      </c>
      <c r="K1627" s="3">
        <f>I1627-J1627</f>
        <v/>
      </c>
      <c r="L1627" s="3">
        <f>IF(K1627&lt;-5,"CRÍTICO",IF(K1627&lt;0,"ATENÇÃO",IF(K1627&lt;=5,"BOM","EXCELENTE")))</f>
        <v/>
      </c>
      <c r="M1627" s="3" t="n">
        <v>38</v>
      </c>
      <c r="N1627" s="3" t="n">
        <v>100</v>
      </c>
      <c r="O1627" s="12" t="n">
        <v>31.17723156532988</v>
      </c>
    </row>
    <row r="1628">
      <c r="A1628" s="10" t="n">
        <v>46051</v>
      </c>
      <c r="B1628" t="inlineStr">
        <is>
          <t>Jaqueline Evangelista da Silva Martins</t>
        </is>
      </c>
      <c r="C1628" s="1" t="inlineStr">
        <is>
          <t>Técnico III</t>
        </is>
      </c>
      <c r="D1628" s="3" t="n">
        <v>44</v>
      </c>
      <c r="E1628" s="3" t="n">
        <v>18</v>
      </c>
      <c r="F1628" s="3" t="n">
        <v>4.09</v>
      </c>
      <c r="G1628" s="3" t="n">
        <v>0</v>
      </c>
      <c r="H1628" s="3" t="n">
        <v>0</v>
      </c>
      <c r="I1628" s="3">
        <f>E1628+G1628+H1628</f>
        <v/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/>
      </c>
      <c r="K1628" s="3">
        <f>I1628-J1628</f>
        <v/>
      </c>
      <c r="L1628" s="3">
        <f>IF(K1628&lt;-5,"CRÍTICO",IF(K1628&lt;0,"ATENÇÃO",IF(K1628&lt;=5,"BOM","EXCELENTE")))</f>
        <v/>
      </c>
      <c r="M1628" s="3" t="n">
        <v>14</v>
      </c>
      <c r="N1628" s="3" t="n">
        <v>100</v>
      </c>
      <c r="O1628" s="12" t="n">
        <v>27.60942760942761</v>
      </c>
    </row>
    <row r="1629">
      <c r="A1629" s="10" t="n">
        <v>46051</v>
      </c>
      <c r="B1629" t="inlineStr">
        <is>
          <t>Jessica Faria da Silveira</t>
        </is>
      </c>
      <c r="C1629" s="1" t="inlineStr">
        <is>
          <t>Técnico II</t>
        </is>
      </c>
      <c r="D1629" s="3" t="n">
        <v>39</v>
      </c>
      <c r="E1629" s="3" t="n">
        <v>21</v>
      </c>
      <c r="F1629" s="3" t="n">
        <v>13.43</v>
      </c>
      <c r="G1629" s="3" t="n">
        <v>0</v>
      </c>
      <c r="H1629" s="3" t="n">
        <v>0</v>
      </c>
      <c r="I1629" s="3">
        <f>E1629+G1629+H1629</f>
        <v/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/>
      </c>
      <c r="K1629" s="3">
        <f>I1629-J1629</f>
        <v/>
      </c>
      <c r="L1629" s="3">
        <f>IF(K1629&lt;-5,"CRÍTICO",IF(K1629&lt;0,"ATENÇÃO",IF(K1629&lt;=5,"BOM","EXCELENTE")))</f>
        <v/>
      </c>
      <c r="M1629" s="3" t="n">
        <v>23</v>
      </c>
      <c r="N1629" s="3" t="n">
        <v>96.40000000000001</v>
      </c>
      <c r="O1629" s="12" t="n">
        <v>28.76404494382023</v>
      </c>
    </row>
    <row r="1630">
      <c r="A1630" s="10" t="n">
        <v>46051</v>
      </c>
      <c r="B1630" t="inlineStr">
        <is>
          <t>Jéssica Fé Moura</t>
        </is>
      </c>
      <c r="C1630" s="1" t="inlineStr">
        <is>
          <t>Técnico III</t>
        </is>
      </c>
      <c r="D1630" s="3" t="n">
        <v>0</v>
      </c>
      <c r="E1630" s="3" t="n">
        <v>0</v>
      </c>
      <c r="F1630" s="3" t="n">
        <v>0</v>
      </c>
      <c r="G1630" s="3" t="n">
        <v>0</v>
      </c>
      <c r="H1630" s="3" t="n">
        <v>0</v>
      </c>
      <c r="I1630" s="3" t="n">
        <v>0</v>
      </c>
      <c r="J1630" s="3" t="n">
        <v>0</v>
      </c>
      <c r="K1630" s="3" t="n">
        <v>0</v>
      </c>
      <c r="L1630" s="3">
        <f>IF(K1630&lt;-5,"CRÍTICO",IF(K1630&lt;0,"ATENÇÃO",IF(K1630&lt;=5,"BOM","EXCELENTE")))</f>
        <v/>
      </c>
      <c r="M1630" s="3" t="n">
        <v>0</v>
      </c>
      <c r="N1630" s="3" t="n">
        <v>100</v>
      </c>
      <c r="O1630" s="12" t="n">
        <v>33.98058252427185</v>
      </c>
    </row>
    <row r="1631">
      <c r="A1631" s="10" t="n">
        <v>46051</v>
      </c>
      <c r="B1631" t="inlineStr">
        <is>
          <t>Karina Gonçalves Martins</t>
        </is>
      </c>
      <c r="C1631" s="1" t="inlineStr">
        <is>
          <t>JR</t>
        </is>
      </c>
      <c r="D1631" s="3" t="n">
        <v>10</v>
      </c>
      <c r="E1631" s="3" t="n">
        <v>8</v>
      </c>
      <c r="F1631" s="3" t="n">
        <v>24.14</v>
      </c>
      <c r="G1631" s="3" t="n">
        <v>0</v>
      </c>
      <c r="H1631" s="3" t="n">
        <v>0</v>
      </c>
      <c r="I1631" s="3">
        <f>E1631+G1631+H1631</f>
        <v/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/>
      </c>
      <c r="K1631" s="3">
        <f>I1631-J1631</f>
        <v/>
      </c>
      <c r="L1631" s="3">
        <f>IF(K1631&lt;-5,"CRÍTICO",IF(K1631&lt;0,"ATENÇÃO",IF(K1631&lt;=5,"BOM","EXCELENTE")))</f>
        <v/>
      </c>
      <c r="M1631" s="3" t="n">
        <v>7</v>
      </c>
      <c r="N1631" s="3" t="n">
        <v>97.56</v>
      </c>
      <c r="O1631" s="12" t="n">
        <v>32.51533742331289</v>
      </c>
    </row>
    <row r="1632">
      <c r="A1632" s="10" t="n">
        <v>46051</v>
      </c>
      <c r="B1632" t="inlineStr">
        <is>
          <t>Kerollen Cristielly de Jesus Siqueira</t>
        </is>
      </c>
      <c r="C1632" s="1" t="inlineStr">
        <is>
          <t>Técnico III</t>
        </is>
      </c>
      <c r="D1632" s="3" t="n">
        <v>14</v>
      </c>
      <c r="E1632" s="3" t="n">
        <v>14</v>
      </c>
      <c r="F1632" s="3" t="n">
        <v>30.26</v>
      </c>
      <c r="G1632" s="3" t="n">
        <v>0</v>
      </c>
      <c r="H1632" s="3" t="n">
        <v>0</v>
      </c>
      <c r="I1632" s="3">
        <f>E1632+G1632+H1632</f>
        <v/>
      </c>
      <c r="J1632" s="3">
        <f>ROUND(MIN(IF(C1632="Técnico III",35,IF(C1632="Técnico II",28,IF(C1632="Técnico I",23,IF(C1632="JR",20,IF(C1632="Estágio",10,0))))),IF(C1632="Técnico III",SUMIFS($D:$D,$A:$A,$A1632,$B:$B,"&lt;&gt;Patrícia Karla de Sousa Araújo",$B:$B,"&lt;&gt;Lorena Dias de Araujo",$B:$B,"&lt;&gt;Lucas Luiz Romero")*(35/1083),IF(C1632="Técnico II",SUMIFS($D:$D,$A:$A,$A1632,$B:$B,"&lt;&gt;Patrícia Karla de Sousa Araújo",$B:$B,"&lt;&gt;Lorena Dias de Araujo",$B:$B,"&lt;&gt;Lucas Luiz Romero")*(28/1083),IF(C1632="Técnico I",SUMIFS($D:$D,$A:$A,$A1632,$B:$B,"&lt;&gt;Patrícia Karla de Sousa Araújo",$B:$B,"&lt;&gt;Lorena Dias de Araujo",$B:$B,"&lt;&gt;Lucas Luiz Romero")*(23/1083),IF(C1632="JR",SUMIFS($D:$D,$A:$A,$A1632,$B:$B,"&lt;&gt;Patrícia Karla de Sousa Araújo",$B:$B,"&lt;&gt;Lorena Dias de Araujo",$B:$B,"&lt;&gt;Lucas Luiz Romero")*(20/1083),IF(C1632="Estágio",SUMIFS($D:$D,$A:$A,$A1632,$B:$B,"&lt;&gt;Patrícia Karla de Sousa Araújo",$B:$B,"&lt;&gt;Lorena Dias de Araujo",$B:$B,"&lt;&gt;Lucas Luiz Romero")*(10/1083),0)))))),0)</f>
        <v/>
      </c>
      <c r="K1632" s="3">
        <f>I1632-J1632</f>
        <v/>
      </c>
      <c r="L1632" s="3">
        <f>IF(K1632&lt;-5,"CRÍTICO",IF(K1632&lt;0,"ATENÇÃO",IF(K1632&lt;=5,"BOM","EXCELENTE")))</f>
        <v/>
      </c>
      <c r="M1632" s="3" t="n">
        <v>14</v>
      </c>
      <c r="N1632" s="3" t="n">
        <v>97.11</v>
      </c>
      <c r="O1632" s="12" t="n">
        <v>37.40831295843521</v>
      </c>
    </row>
    <row r="1633">
      <c r="A1633" s="10" t="n">
        <v>46051</v>
      </c>
      <c r="B1633" t="inlineStr">
        <is>
          <t>Leandro de Souza Silva</t>
        </is>
      </c>
      <c r="C1633" s="1" t="inlineStr">
        <is>
          <t>JR</t>
        </is>
      </c>
      <c r="D1633" s="3" t="n">
        <v>0</v>
      </c>
      <c r="E1633" s="3" t="n">
        <v>0</v>
      </c>
      <c r="F1633" s="3" t="n">
        <v>0</v>
      </c>
      <c r="G1633" s="3" t="n">
        <v>0</v>
      </c>
      <c r="H1633" s="3" t="n">
        <v>0</v>
      </c>
      <c r="I1633" s="3" t="n">
        <v>0</v>
      </c>
      <c r="J1633" s="3" t="n">
        <v>0</v>
      </c>
      <c r="K1633" s="3" t="n">
        <v>0</v>
      </c>
      <c r="L1633" s="3">
        <f>IF(K1633&lt;-5,"CRÍTICO",IF(K1633&lt;0,"ATENÇÃO",IF(K1633&lt;=5,"BOM","EXCELENTE")))</f>
        <v/>
      </c>
      <c r="M1633" s="3" t="n">
        <v>0</v>
      </c>
      <c r="N1633" s="3" t="n">
        <v>0</v>
      </c>
      <c r="O1633" s="12" t="n">
        <v>0</v>
      </c>
    </row>
    <row r="1634">
      <c r="A1634" s="10" t="n">
        <v>46051</v>
      </c>
      <c r="B1634" t="inlineStr">
        <is>
          <t>Leandro Oliveira de Sousa</t>
        </is>
      </c>
      <c r="C1634" s="1" t="inlineStr">
        <is>
          <t>Técnico III</t>
        </is>
      </c>
      <c r="D1634" s="3" t="n">
        <v>32</v>
      </c>
      <c r="E1634" s="3" t="n">
        <v>29</v>
      </c>
      <c r="F1634" s="3" t="n">
        <v>15</v>
      </c>
      <c r="G1634" s="3" t="n">
        <v>0</v>
      </c>
      <c r="H1634" s="3" t="n">
        <v>0</v>
      </c>
      <c r="I1634" s="3">
        <f>E1634+G1634+H1634</f>
        <v/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/>
      </c>
      <c r="K1634" s="3">
        <f>I1634-J1634</f>
        <v/>
      </c>
      <c r="L1634" s="3">
        <f>IF(K1634&lt;-5,"CRÍTICO",IF(K1634&lt;0,"ATENÇÃO",IF(K1634&lt;=5,"BOM","EXCELENTE")))</f>
        <v/>
      </c>
      <c r="M1634" s="3" t="n">
        <v>25</v>
      </c>
      <c r="N1634" s="3" t="n">
        <v>100</v>
      </c>
      <c r="O1634" s="12" t="n">
        <v>30.47034764826176</v>
      </c>
    </row>
    <row r="1635">
      <c r="A1635" s="10" t="n">
        <v>46051</v>
      </c>
      <c r="B1635" t="inlineStr">
        <is>
          <t>Lizandra Gomes Duarte</t>
        </is>
      </c>
      <c r="C1635" s="1" t="inlineStr">
        <is>
          <t>Técnico II</t>
        </is>
      </c>
      <c r="D1635" s="3" t="n">
        <v>28</v>
      </c>
      <c r="E1635" s="3" t="n">
        <v>23</v>
      </c>
      <c r="F1635" s="3" t="n">
        <v>23.54</v>
      </c>
      <c r="G1635" s="3" t="n">
        <v>0</v>
      </c>
      <c r="H1635" s="3" t="n">
        <v>0</v>
      </c>
      <c r="I1635" s="3">
        <f>E1635+G1635+H1635</f>
        <v/>
      </c>
      <c r="J1635" s="3">
        <f>ROUND(MIN(IF(C1635="Técnico III",35,IF(C1635="Técnico II",28,IF(C1635="Técnico I",23,IF(C1635="JR",20,IF(C1635="Estágio",10,0))))),IF(C1635="Técnico III",SUMIFS($D:$D,$A:$A,$A1635,$B:$B,"&lt;&gt;Patrícia Karla de Sousa Araújo",$B:$B,"&lt;&gt;Lorena Dias de Araujo",$B:$B,"&lt;&gt;Lucas Luiz Romero")*(35/1083),IF(C1635="Técnico II",SUMIFS($D:$D,$A:$A,$A1635,$B:$B,"&lt;&gt;Patrícia Karla de Sousa Araújo",$B:$B,"&lt;&gt;Lorena Dias de Araujo",$B:$B,"&lt;&gt;Lucas Luiz Romero")*(28/1083),IF(C1635="Técnico I",SUMIFS($D:$D,$A:$A,$A1635,$B:$B,"&lt;&gt;Patrícia Karla de Sousa Araújo",$B:$B,"&lt;&gt;Lorena Dias de Araujo",$B:$B,"&lt;&gt;Lucas Luiz Romero")*(23/1083),IF(C1635="JR",SUMIFS($D:$D,$A:$A,$A1635,$B:$B,"&lt;&gt;Patrícia Karla de Sousa Araújo",$B:$B,"&lt;&gt;Lorena Dias de Araujo",$B:$B,"&lt;&gt;Lucas Luiz Romero")*(20/1083),IF(C1635="Estágio",SUMIFS($D:$D,$A:$A,$A1635,$B:$B,"&lt;&gt;Patrícia Karla de Sousa Araújo",$B:$B,"&lt;&gt;Lorena Dias de Araujo",$B:$B,"&lt;&gt;Lucas Luiz Romero")*(10/1083),0)))))),0)</f>
        <v/>
      </c>
      <c r="K1635" s="3">
        <f>I1635-J1635</f>
        <v/>
      </c>
      <c r="L1635" s="3">
        <f>IF(K1635&lt;-5,"CRÍTICO",IF(K1635&lt;0,"ATENÇÃO",IF(K1635&lt;=5,"BOM","EXCELENTE")))</f>
        <v/>
      </c>
      <c r="M1635" s="3" t="n">
        <v>31</v>
      </c>
      <c r="N1635" s="3" t="n">
        <v>100</v>
      </c>
      <c r="O1635" s="12" t="n">
        <v>32.37113402061856</v>
      </c>
    </row>
    <row r="1636">
      <c r="A1636" s="10" t="n">
        <v>46051</v>
      </c>
      <c r="B1636" t="inlineStr">
        <is>
          <t>Lorena Dias de Araujo</t>
        </is>
      </c>
      <c r="C1636" s="1" t="inlineStr">
        <is>
          <t>Técnico II</t>
        </is>
      </c>
      <c r="D1636" s="3" t="n">
        <v>26</v>
      </c>
      <c r="E1636" s="3" t="n">
        <v>23</v>
      </c>
      <c r="F1636" s="3" t="n">
        <v>15.59</v>
      </c>
      <c r="G1636" s="3" t="n">
        <v>0</v>
      </c>
      <c r="H1636" s="3" t="n">
        <v>0</v>
      </c>
      <c r="I1636" s="3" t="n">
        <v>0</v>
      </c>
      <c r="J1636" s="3" t="n">
        <v>0</v>
      </c>
      <c r="K1636" s="3" t="n">
        <v>0</v>
      </c>
      <c r="L1636" s="3">
        <f>IF(K1636&lt;-5,"CRÍTICO",IF(K1636&lt;0,"ATENÇÃO",IF(K1636&lt;=5,"BOM","EXCELENTE")))</f>
        <v/>
      </c>
      <c r="M1636" s="3" t="n">
        <v>15</v>
      </c>
      <c r="N1636" s="3" t="n">
        <v>98.31999999999999</v>
      </c>
      <c r="O1636" s="12" t="n">
        <v>32.31850117096019</v>
      </c>
    </row>
    <row r="1637">
      <c r="A1637" s="10" t="n">
        <v>46051</v>
      </c>
      <c r="B1637" t="inlineStr">
        <is>
          <t>Lucas Luiz Romero</t>
        </is>
      </c>
      <c r="C1637" s="1" t="inlineStr">
        <is>
          <t>Técnico III</t>
        </is>
      </c>
      <c r="D1637" s="3" t="n">
        <v>96</v>
      </c>
      <c r="E1637" s="3" t="n">
        <v>35</v>
      </c>
      <c r="F1637" s="3" t="n">
        <v>5.04</v>
      </c>
      <c r="G1637" s="3" t="n">
        <v>0</v>
      </c>
      <c r="H1637" s="3" t="n">
        <v>0</v>
      </c>
      <c r="I1637" s="3">
        <f>E1637+G1637+H1637</f>
        <v/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/>
      </c>
      <c r="K1637" s="3">
        <f>I1637-J1637</f>
        <v/>
      </c>
      <c r="L1637" s="3">
        <f>IF(K1637&lt;-5,"CRÍTICO",IF(K1637&lt;0,"ATENÇÃO",IF(K1637&lt;=5,"BOM","EXCELENTE")))</f>
        <v/>
      </c>
      <c r="M1637" s="3" t="n">
        <v>15</v>
      </c>
      <c r="N1637" s="3" t="n">
        <v>96.43000000000001</v>
      </c>
      <c r="O1637" s="12" t="n">
        <v>27.01525054466231</v>
      </c>
    </row>
    <row r="1638">
      <c r="A1638" s="10" t="n">
        <v>46051</v>
      </c>
      <c r="B1638" t="inlineStr">
        <is>
          <t>Luiz Fernando de Carvalho Junior</t>
        </is>
      </c>
      <c r="C1638" s="1" t="inlineStr">
        <is>
          <t>Técnico I</t>
        </is>
      </c>
      <c r="D1638" s="3" t="n">
        <v>20</v>
      </c>
      <c r="E1638" s="3" t="n">
        <v>17</v>
      </c>
      <c r="F1638" s="3" t="n">
        <v>22.09</v>
      </c>
      <c r="G1638" s="3" t="n">
        <v>0</v>
      </c>
      <c r="H1638" s="3" t="n">
        <v>0</v>
      </c>
      <c r="I1638" s="3">
        <f>E1638+G1638+H1638</f>
        <v/>
      </c>
      <c r="J1638" s="3">
        <f>ROUND(MIN(IF(C1638="Técnico III",35,IF(C1638="Técnico II",28,IF(C1638="Técnico I",23,IF(C1638="JR",20,IF(C1638="Estágio",10,0))))),IF(C1638="Técnico III",SUMIFS($D:$D,$A:$A,$A1638,$B:$B,"&lt;&gt;Patrícia Karla de Sousa Araújo",$B:$B,"&lt;&gt;Lorena Dias de Araujo",$B:$B,"&lt;&gt;Lucas Luiz Romero")*(35/1083),IF(C1638="Técnico II",SUMIFS($D:$D,$A:$A,$A1638,$B:$B,"&lt;&gt;Patrícia Karla de Sousa Araújo",$B:$B,"&lt;&gt;Lorena Dias de Araujo",$B:$B,"&lt;&gt;Lucas Luiz Romero")*(28/1083),IF(C1638="Técnico I",SUMIFS($D:$D,$A:$A,$A1638,$B:$B,"&lt;&gt;Patrícia Karla de Sousa Araújo",$B:$B,"&lt;&gt;Lorena Dias de Araujo",$B:$B,"&lt;&gt;Lucas Luiz Romero")*(23/1083),IF(C1638="JR",SUMIFS($D:$D,$A:$A,$A1638,$B:$B,"&lt;&gt;Patrícia Karla de Sousa Araújo",$B:$B,"&lt;&gt;Lorena Dias de Araujo",$B:$B,"&lt;&gt;Lucas Luiz Romero")*(20/1083),IF(C1638="Estágio",SUMIFS($D:$D,$A:$A,$A1638,$B:$B,"&lt;&gt;Patrícia Karla de Sousa Araújo",$B:$B,"&lt;&gt;Lorena Dias de Araujo",$B:$B,"&lt;&gt;Lucas Luiz Romero")*(10/1083),0)))))),0)</f>
        <v/>
      </c>
      <c r="K1638" s="3">
        <f>I1638-J1638</f>
        <v/>
      </c>
      <c r="L1638" s="3">
        <f>IF(K1638&lt;-5,"CRÍTICO",IF(K1638&lt;0,"ATENÇÃO",IF(K1638&lt;=5,"BOM","EXCELENTE")))</f>
        <v/>
      </c>
      <c r="M1638" s="3" t="n">
        <v>17</v>
      </c>
      <c r="N1638" s="3" t="n">
        <v>98.89</v>
      </c>
      <c r="O1638" s="12" t="n">
        <v>28.02197802197802</v>
      </c>
    </row>
    <row r="1639">
      <c r="A1639" s="10" t="n">
        <v>46051</v>
      </c>
      <c r="B1639" t="inlineStr">
        <is>
          <t>Maria Eduarda Sousa Costa</t>
        </is>
      </c>
      <c r="C1639" s="1" t="inlineStr">
        <is>
          <t>Estágio</t>
        </is>
      </c>
      <c r="D1639" s="3" t="n">
        <v>8</v>
      </c>
      <c r="E1639" s="3" t="n">
        <v>8</v>
      </c>
      <c r="F1639" s="3" t="n">
        <v>25.39</v>
      </c>
      <c r="G1639" s="3" t="n">
        <v>0</v>
      </c>
      <c r="H1639" s="3" t="n">
        <v>0</v>
      </c>
      <c r="I1639" s="3">
        <f>E1639+G1639+H1639</f>
        <v/>
      </c>
      <c r="J1639" s="3">
        <f>ROUND(MIN(IF(C1639="Técnico III",35,IF(C1639="Técnico II",28,IF(C1639="Técnico I",23,IF(C1639="JR",20,IF(C1639="Estágio",10,0))))),IF(C1639="Técnico III",SUMIFS($D:$D,$A:$A,$A1639,$B:$B,"&lt;&gt;Patrícia Karla de Sousa Araújo",$B:$B,"&lt;&gt;Lorena Dias de Araujo",$B:$B,"&lt;&gt;Lucas Luiz Romero")*(35/1083),IF(C1639="Técnico II",SUMIFS($D:$D,$A:$A,$A1639,$B:$B,"&lt;&gt;Patrícia Karla de Sousa Araújo",$B:$B,"&lt;&gt;Lorena Dias de Araujo",$B:$B,"&lt;&gt;Lucas Luiz Romero")*(28/1083),IF(C1639="Técnico I",SUMIFS($D:$D,$A:$A,$A1639,$B:$B,"&lt;&gt;Patrícia Karla de Sousa Araújo",$B:$B,"&lt;&gt;Lorena Dias de Araujo",$B:$B,"&lt;&gt;Lucas Luiz Romero")*(23/1083),IF(C1639="JR",SUMIFS($D:$D,$A:$A,$A1639,$B:$B,"&lt;&gt;Patrícia Karla de Sousa Araújo",$B:$B,"&lt;&gt;Lorena Dias de Araujo",$B:$B,"&lt;&gt;Lucas Luiz Romero")*(20/1083),IF(C1639="Estágio",SUMIFS($D:$D,$A:$A,$A1639,$B:$B,"&lt;&gt;Patrícia Karla de Sousa Araújo",$B:$B,"&lt;&gt;Lorena Dias de Araujo",$B:$B,"&lt;&gt;Lucas Luiz Romero")*(10/1083),0)))))),0)</f>
        <v/>
      </c>
      <c r="K1639" s="3">
        <f>I1639-J1639</f>
        <v/>
      </c>
      <c r="L1639" s="3">
        <f>IF(K1639&lt;-5,"CRÍTICO",IF(K1639&lt;0,"ATENÇÃO",IF(K1639&lt;=5,"BOM","EXCELENTE")))</f>
        <v/>
      </c>
      <c r="M1639" s="3" t="n">
        <v>7</v>
      </c>
      <c r="N1639" s="3" t="n">
        <v>100</v>
      </c>
      <c r="O1639" s="12" t="n">
        <v>33.33333333333333</v>
      </c>
    </row>
    <row r="1640">
      <c r="A1640" s="10" t="n">
        <v>46051</v>
      </c>
      <c r="B1640" t="inlineStr">
        <is>
          <t>Matheus Farias De Souza</t>
        </is>
      </c>
      <c r="C1640" s="1" t="inlineStr">
        <is>
          <t>Técnico III</t>
        </is>
      </c>
      <c r="D1640" s="3" t="n">
        <v>0</v>
      </c>
      <c r="E1640" s="3" t="n">
        <v>0</v>
      </c>
      <c r="F1640" s="3" t="n">
        <v>0</v>
      </c>
      <c r="G1640" s="3" t="n">
        <v>0</v>
      </c>
      <c r="H1640" s="3" t="n">
        <v>0</v>
      </c>
      <c r="I1640" s="3" t="n">
        <v>0</v>
      </c>
      <c r="J1640" s="3" t="n">
        <v>0</v>
      </c>
      <c r="K1640" s="3" t="n">
        <v>0</v>
      </c>
      <c r="L1640" s="3">
        <f>IF(K1640&lt;-5,"CRÍTICO",IF(K1640&lt;0,"ATENÇÃO",IF(K1640&lt;=5,"BOM","EXCELENTE")))</f>
        <v/>
      </c>
      <c r="M1640" s="3" t="n">
        <v>0</v>
      </c>
      <c r="N1640" s="3" t="n">
        <v>100</v>
      </c>
      <c r="O1640" s="12" t="n">
        <v>27.43362831858407</v>
      </c>
    </row>
    <row r="1641">
      <c r="A1641" s="10" t="n">
        <v>46051</v>
      </c>
      <c r="B1641" t="inlineStr">
        <is>
          <t>Maysa Victoria Dias Moura</t>
        </is>
      </c>
      <c r="C1641" s="1" t="inlineStr">
        <is>
          <t>Técnico III</t>
        </is>
      </c>
      <c r="D1641" s="3" t="n">
        <v>50</v>
      </c>
      <c r="E1641" s="3" t="n">
        <v>31</v>
      </c>
      <c r="F1641" s="3" t="n">
        <v>7.17</v>
      </c>
      <c r="G1641" s="3" t="n">
        <v>0</v>
      </c>
      <c r="H1641" s="3" t="n">
        <v>0</v>
      </c>
      <c r="I1641" s="3">
        <f>E1641+G1641+H1641</f>
        <v/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/>
      </c>
      <c r="K1641" s="3">
        <f>I1641-J1641</f>
        <v/>
      </c>
      <c r="L1641" s="3">
        <f>IF(K1641&lt;-5,"CRÍTICO",IF(K1641&lt;0,"ATENÇÃO",IF(K1641&lt;=5,"BOM","EXCELENTE")))</f>
        <v/>
      </c>
      <c r="M1641" s="3" t="n">
        <v>28</v>
      </c>
      <c r="N1641" s="3" t="n">
        <v>98.65000000000001</v>
      </c>
      <c r="O1641" s="12" t="n">
        <v>30.97826086956522</v>
      </c>
    </row>
    <row r="1642">
      <c r="A1642" s="10" t="n">
        <v>46051</v>
      </c>
      <c r="B1642" t="inlineStr">
        <is>
          <t>Michelle G Santos</t>
        </is>
      </c>
      <c r="C1642" s="1" t="inlineStr">
        <is>
          <t>Estágio</t>
        </is>
      </c>
      <c r="D1642" s="3" t="n">
        <v>9</v>
      </c>
      <c r="E1642" s="3" t="n">
        <v>9</v>
      </c>
      <c r="F1642" s="3" t="n">
        <v>32.01</v>
      </c>
      <c r="G1642" s="3" t="n">
        <v>0</v>
      </c>
      <c r="H1642" s="3" t="n">
        <v>0</v>
      </c>
      <c r="I1642" s="3">
        <f>E1642+G1642+H1642</f>
        <v/>
      </c>
      <c r="J1642" s="3">
        <f>ROUND(MIN(IF(C1642="Técnico III",35,IF(C1642="Técnico II",28,IF(C1642="Técnico I",23,IF(C1642="JR",20,IF(C1642="Estágio",10,0))))),IF(C1642="Técnico III",SUMIFS($D:$D,$A:$A,$A1642,$B:$B,"&lt;&gt;Patrícia Karla de Sousa Araújo",$B:$B,"&lt;&gt;Lorena Dias de Araujo",$B:$B,"&lt;&gt;Lucas Luiz Romero")*(35/1083),IF(C1642="Técnico II",SUMIFS($D:$D,$A:$A,$A1642,$B:$B,"&lt;&gt;Patrícia Karla de Sousa Araújo",$B:$B,"&lt;&gt;Lorena Dias de Araujo",$B:$B,"&lt;&gt;Lucas Luiz Romero")*(28/1083),IF(C1642="Técnico I",SUMIFS($D:$D,$A:$A,$A1642,$B:$B,"&lt;&gt;Patrícia Karla de Sousa Araújo",$B:$B,"&lt;&gt;Lorena Dias de Araujo",$B:$B,"&lt;&gt;Lucas Luiz Romero")*(23/1083),IF(C1642="JR",SUMIFS($D:$D,$A:$A,$A1642,$B:$B,"&lt;&gt;Patrícia Karla de Sousa Araújo",$B:$B,"&lt;&gt;Lorena Dias de Araujo",$B:$B,"&lt;&gt;Lucas Luiz Romero")*(20/1083),IF(C1642="Estágio",SUMIFS($D:$D,$A:$A,$A1642,$B:$B,"&lt;&gt;Patrícia Karla de Sousa Araújo",$B:$B,"&lt;&gt;Lorena Dias de Araujo",$B:$B,"&lt;&gt;Lucas Luiz Romero")*(10/1083),0)))))),0)</f>
        <v/>
      </c>
      <c r="K1642" s="3">
        <f>I1642-J1642</f>
        <v/>
      </c>
      <c r="L1642" s="3">
        <f>IF(K1642&lt;-5,"CRÍTICO",IF(K1642&lt;0,"ATENÇÃO",IF(K1642&lt;=5,"BOM","EXCELENTE")))</f>
        <v/>
      </c>
      <c r="M1642" s="3" t="n">
        <v>5</v>
      </c>
      <c r="N1642" s="3" t="n">
        <v>100</v>
      </c>
      <c r="O1642" s="12" t="n">
        <v>12</v>
      </c>
    </row>
    <row r="1643">
      <c r="A1643" s="10" t="n">
        <v>46051</v>
      </c>
      <c r="B1643" t="inlineStr">
        <is>
          <t>Milena Sales</t>
        </is>
      </c>
      <c r="C1643" s="1" t="inlineStr">
        <is>
          <t>JR</t>
        </is>
      </c>
      <c r="D1643" s="3" t="n">
        <v>0</v>
      </c>
      <c r="E1643" s="3" t="n">
        <v>0</v>
      </c>
      <c r="F1643" s="3" t="n">
        <v>0</v>
      </c>
      <c r="G1643" s="3" t="n">
        <v>0</v>
      </c>
      <c r="H1643" s="3" t="n">
        <v>0</v>
      </c>
      <c r="I1643" s="3" t="n">
        <v>0</v>
      </c>
      <c r="J1643" s="3" t="n">
        <v>0</v>
      </c>
      <c r="K1643" s="3" t="n">
        <v>0</v>
      </c>
      <c r="L1643" s="3">
        <f>IF(K1643&lt;-5,"CRÍTICO",IF(K1643&lt;0,"ATENÇÃO",IF(K1643&lt;=5,"BOM","EXCELENTE")))</f>
        <v/>
      </c>
      <c r="M1643" s="3" t="n">
        <v>0</v>
      </c>
      <c r="N1643" s="3" t="n">
        <v>0</v>
      </c>
      <c r="O1643" s="12" t="n">
        <v>0</v>
      </c>
    </row>
    <row r="1644">
      <c r="A1644" s="10" t="n">
        <v>46051</v>
      </c>
      <c r="B1644" t="inlineStr">
        <is>
          <t>Patrícia Karla de Sousa Araújo</t>
        </is>
      </c>
      <c r="C1644" s="1" t="inlineStr">
        <is>
          <t>Técnico II</t>
        </is>
      </c>
      <c r="D1644" s="3" t="n">
        <v>21</v>
      </c>
      <c r="E1644" s="3" t="n">
        <v>16</v>
      </c>
      <c r="F1644" s="3" t="n">
        <v>20.58</v>
      </c>
      <c r="G1644" s="3" t="n">
        <v>0</v>
      </c>
      <c r="H1644" s="3" t="n">
        <v>0</v>
      </c>
      <c r="I1644" s="3">
        <f>E1644+G1644+H1644</f>
        <v/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/>
      </c>
      <c r="K1644" s="3">
        <f>I1644-J1644</f>
        <v/>
      </c>
      <c r="L1644" s="3">
        <f>IF(K1644&lt;-5,"CRÍTICO",IF(K1644&lt;0,"ATENÇÃO",IF(K1644&lt;=5,"BOM","EXCELENTE")))</f>
        <v/>
      </c>
      <c r="M1644" s="3" t="n">
        <v>11</v>
      </c>
      <c r="N1644" s="3" t="n">
        <v>97.56</v>
      </c>
      <c r="O1644" s="12" t="n">
        <v>31.06796116504854</v>
      </c>
    </row>
    <row r="1645">
      <c r="A1645" s="10" t="n">
        <v>46051</v>
      </c>
      <c r="B1645" t="inlineStr">
        <is>
          <t>Paulo Ricardo Santos</t>
        </is>
      </c>
      <c r="C1645" s="1" t="inlineStr">
        <is>
          <t>JR</t>
        </is>
      </c>
      <c r="D1645" s="3" t="n">
        <v>0</v>
      </c>
      <c r="E1645" s="3" t="n">
        <v>0</v>
      </c>
      <c r="F1645" s="3" t="n">
        <v>0</v>
      </c>
      <c r="G1645" s="3" t="n">
        <v>0</v>
      </c>
      <c r="H1645" s="3" t="n">
        <v>0</v>
      </c>
      <c r="I1645" s="3" t="n">
        <v>0</v>
      </c>
      <c r="J1645" s="3" t="n">
        <v>0</v>
      </c>
      <c r="K1645" s="3" t="n">
        <v>0</v>
      </c>
      <c r="L1645" s="3">
        <f>IF(K1645&lt;-5,"CRÍTICO",IF(K1645&lt;0,"ATENÇÃO",IF(K1645&lt;=5,"BOM","EXCELENTE")))</f>
        <v/>
      </c>
      <c r="M1645" s="3" t="n">
        <v>0</v>
      </c>
      <c r="N1645" s="3" t="n">
        <v>0</v>
      </c>
      <c r="O1645" s="12" t="n">
        <v>0</v>
      </c>
    </row>
    <row r="1646">
      <c r="A1646" s="10" t="n">
        <v>46051</v>
      </c>
      <c r="B1646" t="inlineStr">
        <is>
          <t>Pedro Luiz Mota Sousa</t>
        </is>
      </c>
      <c r="C1646" s="1" t="inlineStr">
        <is>
          <t>JR</t>
        </is>
      </c>
      <c r="D1646" s="3" t="n">
        <v>0</v>
      </c>
      <c r="E1646" s="3" t="n">
        <v>0</v>
      </c>
      <c r="F1646" s="3" t="n">
        <v>0</v>
      </c>
      <c r="G1646" s="3" t="n">
        <v>0</v>
      </c>
      <c r="H1646" s="3" t="n">
        <v>0</v>
      </c>
      <c r="I1646" s="3" t="n">
        <v>0</v>
      </c>
      <c r="J1646" s="3" t="n">
        <v>0</v>
      </c>
      <c r="K1646" s="3" t="n">
        <v>0</v>
      </c>
      <c r="L1646" s="3">
        <f>IF(K1646&lt;-5,"CRÍTICO",IF(K1646&lt;0,"ATENÇÃO",IF(K1646&lt;=5,"BOM","EXCELENTE")))</f>
        <v/>
      </c>
      <c r="M1646" s="3" t="n">
        <v>0</v>
      </c>
      <c r="N1646" s="3" t="n">
        <v>0</v>
      </c>
      <c r="O1646" s="12" t="n">
        <v>0</v>
      </c>
    </row>
    <row r="1647">
      <c r="A1647" s="10" t="n">
        <v>46051</v>
      </c>
      <c r="B1647" t="inlineStr">
        <is>
          <t>Quirino Diogo Leite Torres</t>
        </is>
      </c>
      <c r="C1647" s="1" t="inlineStr">
        <is>
          <t>Estágio</t>
        </is>
      </c>
      <c r="D1647" s="3" t="n">
        <v>0</v>
      </c>
      <c r="E1647" s="3" t="n">
        <v>0</v>
      </c>
      <c r="F1647" s="3" t="n">
        <v>0</v>
      </c>
      <c r="G1647" s="3" t="n">
        <v>0</v>
      </c>
      <c r="H1647" s="3" t="n">
        <v>0</v>
      </c>
      <c r="I1647" s="3" t="n">
        <v>0</v>
      </c>
      <c r="J1647" s="3" t="n">
        <v>0</v>
      </c>
      <c r="K1647" s="3" t="n">
        <v>0</v>
      </c>
      <c r="L1647" s="3">
        <f>IF(K1647&lt;-5,"CRÍTICO",IF(K1647&lt;0,"ATENÇÃO",IF(K1647&lt;=5,"BOM","EXCELENTE")))</f>
        <v/>
      </c>
      <c r="M1647" s="3" t="n">
        <v>0</v>
      </c>
      <c r="N1647" s="3" t="n">
        <v>0</v>
      </c>
      <c r="O1647" s="12" t="n">
        <v>0</v>
      </c>
    </row>
    <row r="1648">
      <c r="A1648" s="10" t="n">
        <v>46051</v>
      </c>
      <c r="B1648" t="inlineStr">
        <is>
          <t>Raane Batista Matos</t>
        </is>
      </c>
      <c r="C1648" s="1" t="inlineStr">
        <is>
          <t>Técnico I</t>
        </is>
      </c>
      <c r="D1648" s="3" t="n">
        <v>8</v>
      </c>
      <c r="E1648" s="3" t="n">
        <v>5</v>
      </c>
      <c r="F1648" s="3" t="n">
        <v>43.53</v>
      </c>
      <c r="G1648" s="3" t="n">
        <v>0</v>
      </c>
      <c r="H1648" s="3" t="n">
        <v>0</v>
      </c>
      <c r="I1648" s="3">
        <f>E1648+G1648+H1648</f>
        <v/>
      </c>
      <c r="J1648" s="3">
        <f>ROUND(MIN(IF(C1648="Técnico III",35,IF(C1648="Técnico II",28,IF(C1648="Técnico I",23,IF(C1648="JR",20,IF(C1648="Estágio",10,0))))),IF(C1648="Técnico III",SUMIFS($D:$D,$A:$A,$A1648,$B:$B,"&lt;&gt;Patrícia Karla de Sousa Araújo",$B:$B,"&lt;&gt;Lorena Dias de Araujo",$B:$B,"&lt;&gt;Lucas Luiz Romero")*(35/1083),IF(C1648="Técnico II",SUMIFS($D:$D,$A:$A,$A1648,$B:$B,"&lt;&gt;Patrícia Karla de Sousa Araújo",$B:$B,"&lt;&gt;Lorena Dias de Araujo",$B:$B,"&lt;&gt;Lucas Luiz Romero")*(28/1083),IF(C1648="Técnico I",SUMIFS($D:$D,$A:$A,$A1648,$B:$B,"&lt;&gt;Patrícia Karla de Sousa Araújo",$B:$B,"&lt;&gt;Lorena Dias de Araujo",$B:$B,"&lt;&gt;Lucas Luiz Romero")*(23/1083),IF(C1648="JR",SUMIFS($D:$D,$A:$A,$A1648,$B:$B,"&lt;&gt;Patrícia Karla de Sousa Araújo",$B:$B,"&lt;&gt;Lorena Dias de Araujo",$B:$B,"&lt;&gt;Lucas Luiz Romero")*(20/1083),IF(C1648="Estágio",SUMIFS($D:$D,$A:$A,$A1648,$B:$B,"&lt;&gt;Patrícia Karla de Sousa Araújo",$B:$B,"&lt;&gt;Lorena Dias de Araujo",$B:$B,"&lt;&gt;Lucas Luiz Romero")*(10/1083),0)))))),0)</f>
        <v/>
      </c>
      <c r="K1648" s="3">
        <f>I1648-J1648</f>
        <v/>
      </c>
      <c r="L1648" s="3">
        <f>IF(K1648&lt;-5,"CRÍTICO",IF(K1648&lt;0,"ATENÇÃO",IF(K1648&lt;=5,"BOM","EXCELENTE")))</f>
        <v/>
      </c>
      <c r="M1648" s="3" t="n">
        <v>6</v>
      </c>
      <c r="N1648" s="3" t="n">
        <v>100</v>
      </c>
      <c r="O1648" s="12" t="n">
        <v>53.84615384615385</v>
      </c>
    </row>
    <row r="1649">
      <c r="A1649" s="10" t="n">
        <v>46051</v>
      </c>
      <c r="B1649" t="inlineStr">
        <is>
          <t>Rafael Gomes de Morais</t>
        </is>
      </c>
      <c r="C1649" s="1" t="inlineStr">
        <is>
          <t>Técnico III</t>
        </is>
      </c>
      <c r="D1649" s="3" t="n">
        <v>50</v>
      </c>
      <c r="E1649" s="3" t="n">
        <v>45</v>
      </c>
      <c r="F1649" s="3" t="n">
        <v>10.49</v>
      </c>
      <c r="G1649" s="3" t="n">
        <v>0</v>
      </c>
      <c r="H1649" s="3" t="n">
        <v>0</v>
      </c>
      <c r="I1649" s="3">
        <f>E1649+G1649+H1649</f>
        <v/>
      </c>
      <c r="J1649" s="3">
        <f>ROUND(MIN(IF(C1649="Técnico III",35,IF(C1649="Técnico II",28,IF(C1649="Técnico I",23,IF(C1649="JR",20,IF(C1649="Estágio",10,0))))),IF(C1649="Técnico III",SUMIFS($D:$D,$A:$A,$A1649,$B:$B,"&lt;&gt;Patrícia Karla de Sousa Araújo",$B:$B,"&lt;&gt;Lorena Dias de Araujo",$B:$B,"&lt;&gt;Lucas Luiz Romero")*(35/1083),IF(C1649="Técnico II",SUMIFS($D:$D,$A:$A,$A1649,$B:$B,"&lt;&gt;Patrícia Karla de Sousa Araújo",$B:$B,"&lt;&gt;Lorena Dias de Araujo",$B:$B,"&lt;&gt;Lucas Luiz Romero")*(28/1083),IF(C1649="Técnico I",SUMIFS($D:$D,$A:$A,$A1649,$B:$B,"&lt;&gt;Patrícia Karla de Sousa Araújo",$B:$B,"&lt;&gt;Lorena Dias de Araujo",$B:$B,"&lt;&gt;Lucas Luiz Romero")*(23/1083),IF(C1649="JR",SUMIFS($D:$D,$A:$A,$A1649,$B:$B,"&lt;&gt;Patrícia Karla de Sousa Araújo",$B:$B,"&lt;&gt;Lorena Dias de Araujo",$B:$B,"&lt;&gt;Lucas Luiz Romero")*(20/1083),IF(C1649="Estágio",SUMIFS($D:$D,$A:$A,$A1649,$B:$B,"&lt;&gt;Patrícia Karla de Sousa Araújo",$B:$B,"&lt;&gt;Lorena Dias de Araujo",$B:$B,"&lt;&gt;Lucas Luiz Romero")*(10/1083),0)))))),0)</f>
        <v/>
      </c>
      <c r="K1649" s="3">
        <f>I1649-J1649</f>
        <v/>
      </c>
      <c r="L1649" s="3">
        <f>IF(K1649&lt;-5,"CRÍTICO",IF(K1649&lt;0,"ATENÇÃO",IF(K1649&lt;=5,"BOM","EXCELENTE")))</f>
        <v/>
      </c>
      <c r="M1649" s="3" t="n">
        <v>34</v>
      </c>
      <c r="N1649" s="3" t="n">
        <v>100</v>
      </c>
      <c r="O1649" s="12" t="n">
        <v>44.05594405594406</v>
      </c>
    </row>
    <row r="1650">
      <c r="A1650" s="10" t="n">
        <v>46051</v>
      </c>
      <c r="B1650" t="inlineStr">
        <is>
          <t>Sara Maria Monteiro Lopes</t>
        </is>
      </c>
      <c r="C1650" s="1" t="inlineStr">
        <is>
          <t>Técnico I</t>
        </is>
      </c>
      <c r="D1650" s="3" t="n">
        <v>13</v>
      </c>
      <c r="E1650" s="3" t="n">
        <v>10</v>
      </c>
      <c r="F1650" s="3" t="n">
        <v>55</v>
      </c>
      <c r="G1650" s="3" t="n">
        <v>0</v>
      </c>
      <c r="H1650" s="3" t="n">
        <v>0</v>
      </c>
      <c r="I1650" s="3">
        <f>E1650+G1650+H1650</f>
        <v/>
      </c>
      <c r="J1650" s="3">
        <f>ROUND(MIN(IF(C1650="Técnico III",35,IF(C1650="Técnico II",28,IF(C1650="Técnico I",23,IF(C1650="JR",20,IF(C1650="Estágio",10,0))))),IF(C1650="Técnico III",SUMIFS($D:$D,$A:$A,$A1650,$B:$B,"&lt;&gt;Patrícia Karla de Sousa Araújo",$B:$B,"&lt;&gt;Lorena Dias de Araujo",$B:$B,"&lt;&gt;Lucas Luiz Romero")*(35/1083),IF(C1650="Técnico II",SUMIFS($D:$D,$A:$A,$A1650,$B:$B,"&lt;&gt;Patrícia Karla de Sousa Araújo",$B:$B,"&lt;&gt;Lorena Dias de Araujo",$B:$B,"&lt;&gt;Lucas Luiz Romero")*(28/1083),IF(C1650="Técnico I",SUMIFS($D:$D,$A:$A,$A1650,$B:$B,"&lt;&gt;Patrícia Karla de Sousa Araújo",$B:$B,"&lt;&gt;Lorena Dias de Araujo",$B:$B,"&lt;&gt;Lucas Luiz Romero")*(23/1083),IF(C1650="JR",SUMIFS($D:$D,$A:$A,$A1650,$B:$B,"&lt;&gt;Patrícia Karla de Sousa Araújo",$B:$B,"&lt;&gt;Lorena Dias de Araujo",$B:$B,"&lt;&gt;Lucas Luiz Romero")*(20/1083),IF(C1650="Estágio",SUMIFS($D:$D,$A:$A,$A1650,$B:$B,"&lt;&gt;Patrícia Karla de Sousa Araújo",$B:$B,"&lt;&gt;Lorena Dias de Araujo",$B:$B,"&lt;&gt;Lucas Luiz Romero")*(10/1083),0)))))),0)</f>
        <v/>
      </c>
      <c r="K1650" s="3">
        <f>I1650-J1650</f>
        <v/>
      </c>
      <c r="L1650" s="3">
        <f>IF(K1650&lt;-5,"CRÍTICO",IF(K1650&lt;0,"ATENÇÃO",IF(K1650&lt;=5,"BOM","EXCELENTE")))</f>
        <v/>
      </c>
      <c r="M1650" s="3" t="n">
        <v>10</v>
      </c>
      <c r="N1650" s="3" t="n">
        <v>100</v>
      </c>
      <c r="O1650" s="12" t="n">
        <v>31.87250996015936</v>
      </c>
    </row>
    <row r="1651">
      <c r="A1651" s="10" t="n">
        <v>46051</v>
      </c>
      <c r="B1651" t="inlineStr">
        <is>
          <t>Sarah Steffanie de Lima Borges</t>
        </is>
      </c>
      <c r="C1651" s="1" t="inlineStr">
        <is>
          <t>Técnico III</t>
        </is>
      </c>
      <c r="D1651" s="3" t="n">
        <v>33</v>
      </c>
      <c r="E1651" s="3" t="n">
        <v>32</v>
      </c>
      <c r="F1651" s="3" t="n">
        <v>15.01</v>
      </c>
      <c r="G1651" s="3" t="n">
        <v>0</v>
      </c>
      <c r="H1651" s="3" t="n">
        <v>0</v>
      </c>
      <c r="I1651" s="3">
        <f>E1651+G1651+H1651</f>
        <v/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/>
      </c>
      <c r="K1651" s="3">
        <f>I1651-J1651</f>
        <v/>
      </c>
      <c r="L1651" s="3">
        <f>IF(K1651&lt;-5,"CRÍTICO",IF(K1651&lt;0,"ATENÇÃO",IF(K1651&lt;=5,"BOM","EXCELENTE")))</f>
        <v/>
      </c>
      <c r="M1651" s="3" t="n">
        <v>29</v>
      </c>
      <c r="N1651" s="3" t="n">
        <v>98.41</v>
      </c>
      <c r="O1651" s="12" t="n">
        <v>29.22465208747515</v>
      </c>
    </row>
    <row r="1652">
      <c r="A1652" s="10" t="n">
        <v>46052</v>
      </c>
      <c r="B1652" t="inlineStr">
        <is>
          <t>Alisson de Freitas Silva</t>
        </is>
      </c>
      <c r="C1652" s="1" t="inlineStr">
        <is>
          <t>Técnico II</t>
        </is>
      </c>
      <c r="D1652" s="3" t="n">
        <v>39</v>
      </c>
      <c r="E1652" s="3" t="n">
        <v>32</v>
      </c>
      <c r="F1652" s="3" t="n">
        <v>14</v>
      </c>
      <c r="G1652" s="3" t="n">
        <v>0</v>
      </c>
      <c r="H1652" s="3" t="n">
        <v>0</v>
      </c>
      <c r="I1652" s="3">
        <f>E1652+G1652+H1652</f>
        <v/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/>
      </c>
      <c r="K1652" s="3">
        <f>I1652-J1652</f>
        <v/>
      </c>
      <c r="L1652" s="3">
        <f>IF(K1652&lt;-5,"CRÍTICO",IF(K1652&lt;0,"ATENÇÃO",IF(K1652&lt;=5,"BOM","EXCELENTE")))</f>
        <v/>
      </c>
      <c r="M1652" s="3" t="n">
        <v>23</v>
      </c>
      <c r="N1652" s="3" t="n">
        <v>96.81</v>
      </c>
      <c r="O1652" s="12" t="n">
        <v>27.98053527980535</v>
      </c>
    </row>
    <row r="1653">
      <c r="A1653" s="10" t="n">
        <v>46052</v>
      </c>
      <c r="B1653" t="inlineStr">
        <is>
          <t>Amanda Moura Ferreira</t>
        </is>
      </c>
      <c r="C1653" s="1" t="inlineStr">
        <is>
          <t>Técnico III</t>
        </is>
      </c>
      <c r="D1653" s="3" t="n">
        <v>0</v>
      </c>
      <c r="E1653" s="3" t="n">
        <v>0</v>
      </c>
      <c r="F1653" s="3" t="n">
        <v>0</v>
      </c>
      <c r="G1653" s="3" t="n">
        <v>0</v>
      </c>
      <c r="H1653" s="3" t="n">
        <v>0</v>
      </c>
      <c r="I1653" s="3" t="n">
        <v>0</v>
      </c>
      <c r="J1653" s="3" t="n">
        <v>0</v>
      </c>
      <c r="K1653" s="3" t="n">
        <v>0</v>
      </c>
      <c r="L1653" s="3">
        <f>IF(K1653&lt;-5,"CRÍTICO",IF(K1653&lt;0,"ATENÇÃO",IF(K1653&lt;=5,"BOM","EXCELENTE")))</f>
        <v/>
      </c>
      <c r="M1653" s="3" t="n">
        <v>29</v>
      </c>
      <c r="N1653" s="3" t="n">
        <v>98.73</v>
      </c>
      <c r="O1653" s="12" t="n">
        <v>35.75638506876228</v>
      </c>
    </row>
    <row r="1654">
      <c r="A1654" s="10" t="n">
        <v>46052</v>
      </c>
      <c r="B1654" t="inlineStr">
        <is>
          <t>Ana Karollyne Souza Faria</t>
        </is>
      </c>
      <c r="C1654" s="1" t="inlineStr">
        <is>
          <t>Técnico I</t>
        </is>
      </c>
      <c r="D1654" s="3" t="n">
        <v>26</v>
      </c>
      <c r="E1654" s="3" t="n">
        <v>25</v>
      </c>
      <c r="F1654" s="3" t="n">
        <v>25.45</v>
      </c>
      <c r="G1654" s="3" t="n">
        <v>0</v>
      </c>
      <c r="H1654" s="3" t="n">
        <v>0</v>
      </c>
      <c r="I1654" s="3">
        <f>E1654+G1654+H1654</f>
        <v/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/>
      </c>
      <c r="K1654" s="3">
        <f>I1654-J1654</f>
        <v/>
      </c>
      <c r="L1654" s="3">
        <f>IF(K1654&lt;-5,"CRÍTICO",IF(K1654&lt;0,"ATENÇÃO",IF(K1654&lt;=5,"BOM","EXCELENTE")))</f>
        <v/>
      </c>
      <c r="M1654" s="3" t="n">
        <v>21</v>
      </c>
      <c r="N1654" s="3" t="n">
        <v>98.31999999999999</v>
      </c>
      <c r="O1654" s="12" t="n">
        <v>26.76348547717842</v>
      </c>
    </row>
    <row r="1655">
      <c r="A1655" s="10" t="n">
        <v>46052</v>
      </c>
      <c r="B1655" t="inlineStr">
        <is>
          <t>Ana Paula Da Luz Silva Aleixo</t>
        </is>
      </c>
      <c r="C1655" s="1" t="inlineStr">
        <is>
          <t>Técnico III</t>
        </is>
      </c>
      <c r="D1655" s="3" t="n">
        <v>27</v>
      </c>
      <c r="E1655" s="3" t="n">
        <v>25</v>
      </c>
      <c r="F1655" s="3" t="n">
        <v>20.38</v>
      </c>
      <c r="G1655" s="3" t="n">
        <v>0</v>
      </c>
      <c r="H1655" s="3" t="n">
        <v>0</v>
      </c>
      <c r="I1655" s="3">
        <f>E1655+G1655+H1655</f>
        <v/>
      </c>
      <c r="J1655" s="3">
        <f>ROUND(MIN(IF(C1655="Técnico III",35,IF(C1655="Técnico II",28,IF(C1655="Técnico I",23,IF(C1655="JR",20,IF(C1655="Estágio",10,0))))),IF(C1655="Técnico III",SUMIFS($D:$D,$A:$A,$A1655,$B:$B,"&lt;&gt;Patrícia Karla de Sousa Araújo",$B:$B,"&lt;&gt;Lorena Dias de Araujo",$B:$B,"&lt;&gt;Lucas Luiz Romero")*(35/1083),IF(C1655="Técnico II",SUMIFS($D:$D,$A:$A,$A1655,$B:$B,"&lt;&gt;Patrícia Karla de Sousa Araújo",$B:$B,"&lt;&gt;Lorena Dias de Araujo",$B:$B,"&lt;&gt;Lucas Luiz Romero")*(28/1083),IF(C1655="Técnico I",SUMIFS($D:$D,$A:$A,$A1655,$B:$B,"&lt;&gt;Patrícia Karla de Sousa Araújo",$B:$B,"&lt;&gt;Lorena Dias de Araujo",$B:$B,"&lt;&gt;Lucas Luiz Romero")*(23/1083),IF(C1655="JR",SUMIFS($D:$D,$A:$A,$A1655,$B:$B,"&lt;&gt;Patrícia Karla de Sousa Araújo",$B:$B,"&lt;&gt;Lorena Dias de Araujo",$B:$B,"&lt;&gt;Lucas Luiz Romero")*(20/1083),IF(C1655="Estágio",SUMIFS($D:$D,$A:$A,$A1655,$B:$B,"&lt;&gt;Patrícia Karla de Sousa Araújo",$B:$B,"&lt;&gt;Lorena Dias de Araujo",$B:$B,"&lt;&gt;Lucas Luiz Romero")*(10/1083),0)))))),0)</f>
        <v/>
      </c>
      <c r="K1655" s="3">
        <f>I1655-J1655</f>
        <v/>
      </c>
      <c r="L1655" s="3">
        <f>IF(K1655&lt;-5,"CRÍTICO",IF(K1655&lt;0,"ATENÇÃO",IF(K1655&lt;=5,"BOM","EXCELENTE")))</f>
        <v/>
      </c>
      <c r="M1655" s="3" t="n">
        <v>23</v>
      </c>
      <c r="N1655" s="3" t="n">
        <v>99.19</v>
      </c>
      <c r="O1655" s="12" t="n">
        <v>27.63713080168776</v>
      </c>
    </row>
    <row r="1656">
      <c r="A1656" s="10" t="n">
        <v>46052</v>
      </c>
      <c r="B1656" t="inlineStr">
        <is>
          <t>Anna Luiza Rezende Tavares</t>
        </is>
      </c>
      <c r="C1656" s="1" t="inlineStr">
        <is>
          <t>Estágio</t>
        </is>
      </c>
      <c r="D1656" s="3" t="n">
        <v>0</v>
      </c>
      <c r="E1656" s="3" t="n">
        <v>0</v>
      </c>
      <c r="F1656" s="3" t="n">
        <v>0</v>
      </c>
      <c r="G1656" s="3" t="n">
        <v>0</v>
      </c>
      <c r="H1656" s="3" t="n">
        <v>0</v>
      </c>
      <c r="I1656" s="3" t="n">
        <v>0</v>
      </c>
      <c r="J1656" s="3" t="n">
        <v>0</v>
      </c>
      <c r="K1656" s="3" t="n">
        <v>0</v>
      </c>
      <c r="L1656" s="3">
        <f>IF(K1656&lt;-5,"CRÍTICO",IF(K1656&lt;0,"ATENÇÃO",IF(K1656&lt;=5,"BOM","EXCELENTE")))</f>
        <v/>
      </c>
      <c r="M1656" s="3" t="n">
        <v>0</v>
      </c>
      <c r="N1656" s="3" t="n">
        <v>100</v>
      </c>
      <c r="O1656" s="12" t="n">
        <v>39.56834532374101</v>
      </c>
    </row>
    <row r="1657">
      <c r="A1657" s="10" t="n">
        <v>46052</v>
      </c>
      <c r="B1657" t="inlineStr">
        <is>
          <t>Brenda de Menezes Silva</t>
        </is>
      </c>
      <c r="C1657" s="1" t="inlineStr">
        <is>
          <t>Técnico II</t>
        </is>
      </c>
      <c r="D1657" s="3" t="n">
        <v>21</v>
      </c>
      <c r="E1657" s="3" t="n">
        <v>18</v>
      </c>
      <c r="F1657" s="3" t="n">
        <v>18.55</v>
      </c>
      <c r="G1657" s="3" t="n">
        <v>0</v>
      </c>
      <c r="H1657" s="3" t="n">
        <v>0</v>
      </c>
      <c r="I1657" s="3">
        <f>E1657+G1657+H1657</f>
        <v/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/>
      </c>
      <c r="K1657" s="3">
        <f>I1657-J1657</f>
        <v/>
      </c>
      <c r="L1657" s="3">
        <f>IF(K1657&lt;-5,"CRÍTICO",IF(K1657&lt;0,"ATENÇÃO",IF(K1657&lt;=5,"BOM","EXCELENTE")))</f>
        <v/>
      </c>
      <c r="M1657" s="3" t="n">
        <v>22</v>
      </c>
      <c r="N1657" s="3" t="n">
        <v>98.54000000000001</v>
      </c>
      <c r="O1657" s="12" t="n">
        <v>28.54477611940299</v>
      </c>
    </row>
    <row r="1658">
      <c r="A1658" s="10" t="n">
        <v>46052</v>
      </c>
      <c r="B1658" t="inlineStr">
        <is>
          <t>Carlos Mateus Cassimiro Nunes</t>
        </is>
      </c>
      <c r="C1658" s="1" t="inlineStr">
        <is>
          <t>Técnico II</t>
        </is>
      </c>
      <c r="D1658" s="3" t="n">
        <v>15</v>
      </c>
      <c r="E1658" s="3" t="n">
        <v>14</v>
      </c>
      <c r="F1658" s="3" t="n">
        <v>34.13</v>
      </c>
      <c r="G1658" s="3" t="n">
        <v>0</v>
      </c>
      <c r="H1658" s="3" t="n">
        <v>0</v>
      </c>
      <c r="I1658" s="3">
        <f>E1658+G1658+H1658</f>
        <v/>
      </c>
      <c r="J1658" s="3">
        <f>ROUND(MIN(IF(C1658="Técnico III",35,IF(C1658="Técnico II",28,IF(C1658="Técnico I",23,IF(C1658="JR",20,IF(C1658="Estágio",10,0))))),IF(C1658="Técnico III",SUMIFS($D:$D,$A:$A,$A1658,$B:$B,"&lt;&gt;Patrícia Karla de Sousa Araújo",$B:$B,"&lt;&gt;Lorena Dias de Araujo",$B:$B,"&lt;&gt;Lucas Luiz Romero")*(35/1083),IF(C1658="Técnico II",SUMIFS($D:$D,$A:$A,$A1658,$B:$B,"&lt;&gt;Patrícia Karla de Sousa Araújo",$B:$B,"&lt;&gt;Lorena Dias de Araujo",$B:$B,"&lt;&gt;Lucas Luiz Romero")*(28/1083),IF(C1658="Técnico I",SUMIFS($D:$D,$A:$A,$A1658,$B:$B,"&lt;&gt;Patrícia Karla de Sousa Araújo",$B:$B,"&lt;&gt;Lorena Dias de Araujo",$B:$B,"&lt;&gt;Lucas Luiz Romero")*(23/1083),IF(C1658="JR",SUMIFS($D:$D,$A:$A,$A1658,$B:$B,"&lt;&gt;Patrícia Karla de Sousa Araújo",$B:$B,"&lt;&gt;Lorena Dias de Araujo",$B:$B,"&lt;&gt;Lucas Luiz Romero")*(20/1083),IF(C1658="Estágio",SUMIFS($D:$D,$A:$A,$A1658,$B:$B,"&lt;&gt;Patrícia Karla de Sousa Araújo",$B:$B,"&lt;&gt;Lorena Dias de Araujo",$B:$B,"&lt;&gt;Lucas Luiz Romero")*(10/1083),0)))))),0)</f>
        <v/>
      </c>
      <c r="K1658" s="3">
        <f>I1658-J1658</f>
        <v/>
      </c>
      <c r="L1658" s="3">
        <f>IF(K1658&lt;-5,"CRÍTICO",IF(K1658&lt;0,"ATENÇÃO",IF(K1658&lt;=5,"BOM","EXCELENTE")))</f>
        <v/>
      </c>
      <c r="M1658" s="3" t="n">
        <v>16</v>
      </c>
      <c r="N1658" s="3" t="n">
        <v>100</v>
      </c>
      <c r="O1658" s="12" t="n">
        <v>34.36692506459949</v>
      </c>
    </row>
    <row r="1659">
      <c r="A1659" s="10" t="n">
        <v>46052</v>
      </c>
      <c r="B1659" t="inlineStr">
        <is>
          <t>Claudio de Sousa Velasco Filho</t>
        </is>
      </c>
      <c r="C1659" s="1" t="inlineStr">
        <is>
          <t>Estágio</t>
        </is>
      </c>
      <c r="D1659" s="3" t="n">
        <v>0</v>
      </c>
      <c r="E1659" s="3" t="n">
        <v>0</v>
      </c>
      <c r="F1659" s="3" t="n">
        <v>0</v>
      </c>
      <c r="G1659" s="3" t="n">
        <v>0</v>
      </c>
      <c r="H1659" s="3" t="n">
        <v>0</v>
      </c>
      <c r="I1659" s="3" t="n">
        <v>0</v>
      </c>
      <c r="J1659" s="3" t="n">
        <v>0</v>
      </c>
      <c r="K1659" s="3" t="n">
        <v>0</v>
      </c>
      <c r="L1659" s="3">
        <f>IF(K1659&lt;-5,"CRÍTICO",IF(K1659&lt;0,"ATENÇÃO",IF(K1659&lt;=5,"BOM","EXCELENTE")))</f>
        <v/>
      </c>
      <c r="M1659" s="3" t="n">
        <v>0</v>
      </c>
      <c r="N1659" s="3" t="n">
        <v>0</v>
      </c>
      <c r="O1659" s="12" t="n">
        <v>0</v>
      </c>
    </row>
    <row r="1660">
      <c r="A1660" s="10" t="n">
        <v>46052</v>
      </c>
      <c r="B1660" t="inlineStr">
        <is>
          <t>Clessiane Pereira dos Santos</t>
        </is>
      </c>
      <c r="C1660" s="1" t="inlineStr">
        <is>
          <t>Técnico I</t>
        </is>
      </c>
      <c r="D1660" s="3" t="n">
        <v>25</v>
      </c>
      <c r="E1660" s="3" t="n">
        <v>23</v>
      </c>
      <c r="F1660" s="3" t="n">
        <v>24.1</v>
      </c>
      <c r="G1660" s="3" t="n">
        <v>0</v>
      </c>
      <c r="H1660" s="3" t="n">
        <v>0</v>
      </c>
      <c r="I1660" s="3">
        <f>E1660+G1660+H1660</f>
        <v/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/>
      </c>
      <c r="K1660" s="3">
        <f>I1660-J1660</f>
        <v/>
      </c>
      <c r="L1660" s="3">
        <f>IF(K1660&lt;-5,"CRÍTICO",IF(K1660&lt;0,"ATENÇÃO",IF(K1660&lt;=5,"BOM","EXCELENTE")))</f>
        <v/>
      </c>
      <c r="M1660" s="3" t="n">
        <v>21</v>
      </c>
      <c r="N1660" s="3" t="n">
        <v>100</v>
      </c>
      <c r="O1660" s="12" t="n">
        <v>29.51807228915663</v>
      </c>
    </row>
    <row r="1661">
      <c r="A1661" s="10" t="n">
        <v>46052</v>
      </c>
      <c r="B1661" t="inlineStr">
        <is>
          <t>Cristiane Ramos da Silva Rocha</t>
        </is>
      </c>
      <c r="C1661" s="1" t="inlineStr">
        <is>
          <t>Técnico III</t>
        </is>
      </c>
      <c r="D1661" s="3" t="n">
        <v>51</v>
      </c>
      <c r="E1661" s="3" t="n">
        <v>44</v>
      </c>
      <c r="F1661" s="3" t="n">
        <v>10.35</v>
      </c>
      <c r="G1661" s="3" t="n">
        <v>0</v>
      </c>
      <c r="H1661" s="3" t="n">
        <v>0</v>
      </c>
      <c r="I1661" s="3">
        <f>E1661+G1661+H1661</f>
        <v/>
      </c>
      <c r="J1661" s="3">
        <f>ROUND(MIN(IF(C1661="Técnico III",35,IF(C1661="Técnico II",28,IF(C1661="Técnico I",23,IF(C1661="JR",20,IF(C1661="Estágio",10,0))))),IF(C1661="Técnico III",SUMIFS($D:$D,$A:$A,$A1661,$B:$B,"&lt;&gt;Patrícia Karla de Sousa Araújo",$B:$B,"&lt;&gt;Lorena Dias de Araujo",$B:$B,"&lt;&gt;Lucas Luiz Romero")*(35/1083),IF(C1661="Técnico II",SUMIFS($D:$D,$A:$A,$A1661,$B:$B,"&lt;&gt;Patrícia Karla de Sousa Araújo",$B:$B,"&lt;&gt;Lorena Dias de Araujo",$B:$B,"&lt;&gt;Lucas Luiz Romero")*(28/1083),IF(C1661="Técnico I",SUMIFS($D:$D,$A:$A,$A1661,$B:$B,"&lt;&gt;Patrícia Karla de Sousa Araújo",$B:$B,"&lt;&gt;Lorena Dias de Araujo",$B:$B,"&lt;&gt;Lucas Luiz Romero")*(23/1083),IF(C1661="JR",SUMIFS($D:$D,$A:$A,$A1661,$B:$B,"&lt;&gt;Patrícia Karla de Sousa Araújo",$B:$B,"&lt;&gt;Lorena Dias de Araujo",$B:$B,"&lt;&gt;Lucas Luiz Romero")*(20/1083),IF(C1661="Estágio",SUMIFS($D:$D,$A:$A,$A1661,$B:$B,"&lt;&gt;Patrícia Karla de Sousa Araújo",$B:$B,"&lt;&gt;Lorena Dias de Araujo",$B:$B,"&lt;&gt;Lucas Luiz Romero")*(10/1083),0)))))),0)</f>
        <v/>
      </c>
      <c r="K1661" s="3">
        <f>I1661-J1661</f>
        <v/>
      </c>
      <c r="L1661" s="3">
        <f>IF(K1661&lt;-5,"CRÍTICO",IF(K1661&lt;0,"ATENÇÃO",IF(K1661&lt;=5,"BOM","EXCELENTE")))</f>
        <v/>
      </c>
      <c r="M1661" s="3" t="n">
        <v>45</v>
      </c>
      <c r="N1661" s="3" t="n">
        <v>97.45</v>
      </c>
      <c r="O1661" s="12" t="n">
        <v>41.421143847487</v>
      </c>
    </row>
    <row r="1662">
      <c r="A1662" s="10" t="n">
        <v>46052</v>
      </c>
      <c r="B1662" t="inlineStr">
        <is>
          <t>Damyllis Lorraine de Oliveira Gonçalves</t>
        </is>
      </c>
      <c r="C1662" s="1" t="inlineStr">
        <is>
          <t>Técnico II</t>
        </is>
      </c>
      <c r="D1662" s="3" t="n">
        <v>30</v>
      </c>
      <c r="E1662" s="3" t="n">
        <v>28</v>
      </c>
      <c r="F1662" s="3" t="n">
        <v>15.34</v>
      </c>
      <c r="G1662" s="3" t="n">
        <v>0</v>
      </c>
      <c r="H1662" s="3" t="n">
        <v>0</v>
      </c>
      <c r="I1662" s="3" t="n">
        <v>0</v>
      </c>
      <c r="J1662" s="3" t="n">
        <v>0</v>
      </c>
      <c r="K1662" s="3" t="n">
        <v>0</v>
      </c>
      <c r="L1662" s="3">
        <f>IF(K1662&lt;-5,"CRÍTICO",IF(K1662&lt;0,"ATENÇÃO",IF(K1662&lt;=5,"BOM","EXCELENTE")))</f>
        <v/>
      </c>
      <c r="M1662" s="3" t="n">
        <v>24</v>
      </c>
      <c r="N1662" s="3" t="n">
        <v>96.58</v>
      </c>
      <c r="O1662" s="12" t="n">
        <v>30.39647577092511</v>
      </c>
    </row>
    <row r="1663">
      <c r="A1663" s="10" t="n">
        <v>46052</v>
      </c>
      <c r="B1663" t="inlineStr">
        <is>
          <t>Daniel Gomes da Silva</t>
        </is>
      </c>
      <c r="C1663" s="1" t="inlineStr">
        <is>
          <t>Técnico I</t>
        </is>
      </c>
      <c r="D1663" s="3" t="n">
        <v>26</v>
      </c>
      <c r="E1663" s="3" t="n">
        <v>26</v>
      </c>
      <c r="F1663" s="3" t="n">
        <v>18.47</v>
      </c>
      <c r="G1663" s="3" t="n">
        <v>0</v>
      </c>
      <c r="H1663" s="3" t="n">
        <v>0</v>
      </c>
      <c r="I1663" s="3">
        <f>E1663+G1663+H1663</f>
        <v/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/>
      </c>
      <c r="K1663" s="3">
        <f>I1663-J1663</f>
        <v/>
      </c>
      <c r="L1663" s="3">
        <f>IF(K1663&lt;-5,"CRÍTICO",IF(K1663&lt;0,"ATENÇÃO",IF(K1663&lt;=5,"BOM","EXCELENTE")))</f>
        <v/>
      </c>
      <c r="M1663" s="3" t="n">
        <v>29</v>
      </c>
      <c r="N1663" s="3" t="n">
        <v>100</v>
      </c>
      <c r="O1663" s="12" t="n">
        <v>27.44282744282744</v>
      </c>
    </row>
    <row r="1664">
      <c r="A1664" s="10" t="n">
        <v>46052</v>
      </c>
      <c r="B1664" t="inlineStr">
        <is>
          <t>Davylla Rodrigues Freitas Silva</t>
        </is>
      </c>
      <c r="C1664" s="1" t="inlineStr">
        <is>
          <t>Técnico III</t>
        </is>
      </c>
      <c r="D1664" s="3" t="n">
        <v>38</v>
      </c>
      <c r="E1664" s="3" t="n">
        <v>38</v>
      </c>
      <c r="F1664" s="3" t="n">
        <v>18.43</v>
      </c>
      <c r="G1664" s="3" t="n">
        <v>0</v>
      </c>
      <c r="H1664" s="3" t="n">
        <v>0</v>
      </c>
      <c r="I1664" s="3" t="n">
        <v>0</v>
      </c>
      <c r="J1664" s="3" t="n">
        <v>0</v>
      </c>
      <c r="K1664" s="3" t="n">
        <v>0</v>
      </c>
      <c r="L1664" s="3">
        <f>IF(K1664&lt;-5,"CRÍTICO",IF(K1664&lt;0,"ATENÇÃO",IF(K1664&lt;=5,"BOM","EXCELENTE")))</f>
        <v/>
      </c>
      <c r="M1664" s="3" t="n">
        <v>38</v>
      </c>
      <c r="N1664" s="3" t="n">
        <v>99.48999999999999</v>
      </c>
      <c r="O1664" s="12" t="n">
        <v>40.2</v>
      </c>
    </row>
    <row r="1665">
      <c r="A1665" s="10" t="n">
        <v>46052</v>
      </c>
      <c r="B1665" t="inlineStr">
        <is>
          <t>Emilly Caylane Costa</t>
        </is>
      </c>
      <c r="C1665" s="1" t="inlineStr">
        <is>
          <t>Estágio</t>
        </is>
      </c>
      <c r="D1665" s="3" t="n">
        <v>3</v>
      </c>
      <c r="E1665" s="3" t="n">
        <v>3</v>
      </c>
      <c r="F1665" s="3" t="n">
        <v>65.23</v>
      </c>
      <c r="G1665" s="3" t="n">
        <v>0</v>
      </c>
      <c r="H1665" s="3" t="n">
        <v>0</v>
      </c>
      <c r="I1665" s="3">
        <f>E1665+G1665+H1665</f>
        <v/>
      </c>
      <c r="J1665" s="3">
        <f>ROUND(MIN(IF(C1665="Técnico III",35,IF(C1665="Técnico II",28,IF(C1665="Técnico I",23,IF(C1665="JR",20,IF(C1665="Estágio",10,0))))),IF(C1665="Técnico III",SUMIFS($D:$D,$A:$A,$A1665,$B:$B,"&lt;&gt;Patrícia Karla de Sousa Araújo",$B:$B,"&lt;&gt;Lorena Dias de Araujo",$B:$B,"&lt;&gt;Lucas Luiz Romero")*(35/1083),IF(C1665="Técnico II",SUMIFS($D:$D,$A:$A,$A1665,$B:$B,"&lt;&gt;Patrícia Karla de Sousa Araújo",$B:$B,"&lt;&gt;Lorena Dias de Araujo",$B:$B,"&lt;&gt;Lucas Luiz Romero")*(28/1083),IF(C1665="Técnico I",SUMIFS($D:$D,$A:$A,$A1665,$B:$B,"&lt;&gt;Patrícia Karla de Sousa Araújo",$B:$B,"&lt;&gt;Lorena Dias de Araujo",$B:$B,"&lt;&gt;Lucas Luiz Romero")*(23/1083),IF(C1665="JR",SUMIFS($D:$D,$A:$A,$A1665,$B:$B,"&lt;&gt;Patrícia Karla de Sousa Araújo",$B:$B,"&lt;&gt;Lorena Dias de Araujo",$B:$B,"&lt;&gt;Lucas Luiz Romero")*(20/1083),IF(C1665="Estágio",SUMIFS($D:$D,$A:$A,$A1665,$B:$B,"&lt;&gt;Patrícia Karla de Sousa Araújo",$B:$B,"&lt;&gt;Lorena Dias de Araujo",$B:$B,"&lt;&gt;Lucas Luiz Romero")*(10/1083),0)))))),0)</f>
        <v/>
      </c>
      <c r="K1665" s="3">
        <f>I1665-J1665</f>
        <v/>
      </c>
      <c r="L1665" s="3">
        <f>IF(K1665&lt;-5,"CRÍTICO",IF(K1665&lt;0,"ATENÇÃO",IF(K1665&lt;=5,"BOM","EXCELENTE")))</f>
        <v/>
      </c>
      <c r="M1665" s="3" t="n">
        <v>2</v>
      </c>
      <c r="N1665" s="3" t="n">
        <v>100</v>
      </c>
      <c r="O1665" s="12" t="n">
        <v>25</v>
      </c>
    </row>
    <row r="1666">
      <c r="A1666" s="10" t="n">
        <v>46052</v>
      </c>
      <c r="B1666" t="inlineStr">
        <is>
          <t>Emilly Kamilly Medeiros Miranda</t>
        </is>
      </c>
      <c r="C1666" s="1" t="inlineStr">
        <is>
          <t>Técnico II</t>
        </is>
      </c>
      <c r="D1666" s="3" t="n">
        <v>35</v>
      </c>
      <c r="E1666" s="3" t="n">
        <v>32</v>
      </c>
      <c r="F1666" s="3" t="n">
        <v>14.19</v>
      </c>
      <c r="G1666" s="3" t="n">
        <v>0</v>
      </c>
      <c r="H1666" s="3" t="n">
        <v>0</v>
      </c>
      <c r="I1666" s="3">
        <f>E1666+G1666+H1666</f>
        <v/>
      </c>
      <c r="J1666" s="3">
        <f>ROUND(MIN(IF(C1666="Técnico III",35,IF(C1666="Técnico II",28,IF(C1666="Técnico I",23,IF(C1666="JR",20,IF(C1666="Estágio",10,0))))),IF(C1666="Técnico III",SUMIFS($D:$D,$A:$A,$A1666,$B:$B,"&lt;&gt;Patrícia Karla de Sousa Araújo",$B:$B,"&lt;&gt;Lorena Dias de Araujo",$B:$B,"&lt;&gt;Lucas Luiz Romero")*(35/1083),IF(C1666="Técnico II",SUMIFS($D:$D,$A:$A,$A1666,$B:$B,"&lt;&gt;Patrícia Karla de Sousa Araújo",$B:$B,"&lt;&gt;Lorena Dias de Araujo",$B:$B,"&lt;&gt;Lucas Luiz Romero")*(28/1083),IF(C1666="Técnico I",SUMIFS($D:$D,$A:$A,$A1666,$B:$B,"&lt;&gt;Patrícia Karla de Sousa Araújo",$B:$B,"&lt;&gt;Lorena Dias de Araujo",$B:$B,"&lt;&gt;Lucas Luiz Romero")*(23/1083),IF(C1666="JR",SUMIFS($D:$D,$A:$A,$A1666,$B:$B,"&lt;&gt;Patrícia Karla de Sousa Araújo",$B:$B,"&lt;&gt;Lorena Dias de Araujo",$B:$B,"&lt;&gt;Lucas Luiz Romero")*(20/1083),IF(C1666="Estágio",SUMIFS($D:$D,$A:$A,$A1666,$B:$B,"&lt;&gt;Patrícia Karla de Sousa Araújo",$B:$B,"&lt;&gt;Lorena Dias de Araujo",$B:$B,"&lt;&gt;Lucas Luiz Romero")*(10/1083),0)))))),0)</f>
        <v/>
      </c>
      <c r="K1666" s="3">
        <f>I1666-J1666</f>
        <v/>
      </c>
      <c r="L1666" s="3">
        <f>IF(K1666&lt;-5,"CRÍTICO",IF(K1666&lt;0,"ATENÇÃO",IF(K1666&lt;=5,"BOM","EXCELENTE")))</f>
        <v/>
      </c>
      <c r="M1666" s="3" t="n">
        <v>31</v>
      </c>
      <c r="N1666" s="3" t="n">
        <v>100</v>
      </c>
      <c r="O1666" s="12" t="n">
        <v>34.15094339622641</v>
      </c>
    </row>
    <row r="1667">
      <c r="A1667" s="10" t="n">
        <v>46052</v>
      </c>
      <c r="B1667" t="inlineStr">
        <is>
          <t>Francielson de Oliveira</t>
        </is>
      </c>
      <c r="C1667" s="1" t="inlineStr">
        <is>
          <t>Técnico III</t>
        </is>
      </c>
      <c r="D1667" s="3" t="n">
        <v>30</v>
      </c>
      <c r="E1667" s="3" t="n">
        <v>27</v>
      </c>
      <c r="F1667" s="3" t="n">
        <v>15.39</v>
      </c>
      <c r="G1667" s="3" t="n">
        <v>0</v>
      </c>
      <c r="H1667" s="3" t="n">
        <v>0</v>
      </c>
      <c r="I1667" s="3">
        <f>E1667+G1667+H1667</f>
        <v/>
      </c>
      <c r="J1667" s="3">
        <f>ROUND(MIN(IF(C1667="Técnico III",35,IF(C1667="Técnico II",28,IF(C1667="Técnico I",23,IF(C1667="JR",20,IF(C1667="Estágio",10,0))))),IF(C1667="Técnico III",SUMIFS($D:$D,$A:$A,$A1667,$B:$B,"&lt;&gt;Patrícia Karla de Sousa Araújo",$B:$B,"&lt;&gt;Lorena Dias de Araujo",$B:$B,"&lt;&gt;Lucas Luiz Romero")*(35/1083),IF(C1667="Técnico II",SUMIFS($D:$D,$A:$A,$A1667,$B:$B,"&lt;&gt;Patrícia Karla de Sousa Araújo",$B:$B,"&lt;&gt;Lorena Dias de Araujo",$B:$B,"&lt;&gt;Lucas Luiz Romero")*(28/1083),IF(C1667="Técnico I",SUMIFS($D:$D,$A:$A,$A1667,$B:$B,"&lt;&gt;Patrícia Karla de Sousa Araújo",$B:$B,"&lt;&gt;Lorena Dias de Araujo",$B:$B,"&lt;&gt;Lucas Luiz Romero")*(23/1083),IF(C1667="JR",SUMIFS($D:$D,$A:$A,$A1667,$B:$B,"&lt;&gt;Patrícia Karla de Sousa Araújo",$B:$B,"&lt;&gt;Lorena Dias de Araujo",$B:$B,"&lt;&gt;Lucas Luiz Romero")*(20/1083),IF(C1667="Estágio",SUMIFS($D:$D,$A:$A,$A1667,$B:$B,"&lt;&gt;Patrícia Karla de Sousa Araújo",$B:$B,"&lt;&gt;Lorena Dias de Araujo",$B:$B,"&lt;&gt;Lucas Luiz Romero")*(10/1083),0)))))),0)</f>
        <v/>
      </c>
      <c r="K1667" s="3">
        <f>I1667-J1667</f>
        <v/>
      </c>
      <c r="L1667" s="3">
        <f>IF(K1667&lt;-5,"CRÍTICO",IF(K1667&lt;0,"ATENÇÃO",IF(K1667&lt;=5,"BOM","EXCELENTE")))</f>
        <v/>
      </c>
      <c r="M1667" s="3" t="n">
        <v>28</v>
      </c>
      <c r="N1667" s="3" t="n">
        <v>100</v>
      </c>
      <c r="O1667" s="12" t="n">
        <v>32.7313769751693</v>
      </c>
    </row>
    <row r="1668">
      <c r="A1668" s="10" t="n">
        <v>46052</v>
      </c>
      <c r="B1668" t="inlineStr">
        <is>
          <t>Francilene Ferreira de Jesus</t>
        </is>
      </c>
      <c r="C1668" s="1" t="inlineStr">
        <is>
          <t>Técnico II</t>
        </is>
      </c>
      <c r="D1668" s="3" t="n">
        <v>44</v>
      </c>
      <c r="E1668" s="3" t="n">
        <v>39</v>
      </c>
      <c r="F1668" s="3" t="n">
        <v>17.06</v>
      </c>
      <c r="G1668" s="3" t="n">
        <v>0</v>
      </c>
      <c r="H1668" s="3" t="n">
        <v>0</v>
      </c>
      <c r="I1668" s="3">
        <f>E1668+G1668+H1668</f>
        <v/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/>
      </c>
      <c r="K1668" s="3">
        <f>I1668-J1668</f>
        <v/>
      </c>
      <c r="L1668" s="3">
        <f>IF(K1668&lt;-5,"CRÍTICO",IF(K1668&lt;0,"ATENÇÃO",IF(K1668&lt;=5,"BOM","EXCELENTE")))</f>
        <v/>
      </c>
      <c r="M1668" s="3" t="n">
        <v>38</v>
      </c>
      <c r="N1668" s="3" t="n">
        <v>99.31</v>
      </c>
      <c r="O1668" s="12" t="n">
        <v>30.96234309623431</v>
      </c>
    </row>
    <row r="1669">
      <c r="A1669" s="10" t="n">
        <v>46086</v>
      </c>
      <c r="B1669" t="inlineStr">
        <is>
          <t>Gabriel Gomes de Andrade</t>
        </is>
      </c>
      <c r="C1669" s="1" t="inlineStr">
        <is>
          <t>Técnico I</t>
        </is>
      </c>
      <c r="D1669" s="3" t="n">
        <v>18</v>
      </c>
      <c r="E1669" s="3" t="n">
        <v>16</v>
      </c>
      <c r="F1669" s="3" t="n">
        <v>23.34</v>
      </c>
      <c r="G1669" s="3" t="n">
        <v>0</v>
      </c>
      <c r="H1669" s="3" t="n">
        <v>0</v>
      </c>
      <c r="I1669" s="3">
        <f>E1669+G1669+H1669</f>
        <v/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/>
      </c>
      <c r="K1669" s="3">
        <f>I1669-J1669</f>
        <v/>
      </c>
      <c r="L1669" s="3">
        <f>IF(K1669&lt;-5,"CRÍTICO",IF(K1669&lt;0,"ATENÇÃO",IF(K1669&lt;=5,"BOM","EXCELENTE")))</f>
        <v/>
      </c>
      <c r="M1669" s="3" t="n">
        <v>27</v>
      </c>
      <c r="N1669" s="3" t="n">
        <v>99.05</v>
      </c>
      <c r="O1669" s="12" t="n">
        <v>26.62192393736018</v>
      </c>
    </row>
    <row r="1670">
      <c r="A1670" s="10" t="n">
        <v>46052</v>
      </c>
      <c r="B1670" t="inlineStr">
        <is>
          <t>Isabella Borges de Oliveira</t>
        </is>
      </c>
      <c r="C1670" s="1" t="inlineStr">
        <is>
          <t>Técnico II</t>
        </is>
      </c>
      <c r="D1670" s="3" t="n">
        <v>36</v>
      </c>
      <c r="E1670" s="3" t="n">
        <v>35</v>
      </c>
      <c r="F1670" s="3" t="n">
        <v>19.03</v>
      </c>
      <c r="G1670" s="3" t="n">
        <v>0</v>
      </c>
      <c r="H1670" s="3" t="n">
        <v>0</v>
      </c>
      <c r="I1670" s="3">
        <f>E1670+G1670+H1670</f>
        <v/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/>
      </c>
      <c r="K1670" s="3">
        <f>I1670-J1670</f>
        <v/>
      </c>
      <c r="L1670" s="3">
        <f>IF(K1670&lt;-5,"CRÍTICO",IF(K1670&lt;0,"ATENÇÃO",IF(K1670&lt;=5,"BOM","EXCELENTE")))</f>
        <v/>
      </c>
      <c r="M1670" s="3" t="n">
        <v>31</v>
      </c>
      <c r="N1670" s="3" t="n">
        <v>100</v>
      </c>
      <c r="O1670" s="12" t="n">
        <v>27.67676767676768</v>
      </c>
    </row>
    <row r="1671">
      <c r="A1671" s="10" t="n">
        <v>46052</v>
      </c>
      <c r="B1671" t="inlineStr">
        <is>
          <t>Janaina Lima dos Reis Urany</t>
        </is>
      </c>
      <c r="C1671" s="1" t="inlineStr">
        <is>
          <t>Técnico III</t>
        </is>
      </c>
      <c r="D1671" s="3" t="n">
        <v>65</v>
      </c>
      <c r="E1671" s="3" t="n">
        <v>59</v>
      </c>
      <c r="F1671" s="3" t="n">
        <v>10.26</v>
      </c>
      <c r="G1671" s="3" t="n">
        <v>0</v>
      </c>
      <c r="H1671" s="3" t="n">
        <v>0</v>
      </c>
      <c r="I1671" s="3">
        <f>E1671+G1671+H1671</f>
        <v/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/>
      </c>
      <c r="K1671" s="3">
        <f>I1671-J1671</f>
        <v/>
      </c>
      <c r="L1671" s="3">
        <f>IF(K1671&lt;-5,"CRÍTICO",IF(K1671&lt;0,"ATENÇÃO",IF(K1671&lt;=5,"BOM","EXCELENTE")))</f>
        <v/>
      </c>
      <c r="M1671" s="3" t="n">
        <v>58</v>
      </c>
      <c r="N1671" s="3" t="n">
        <v>100</v>
      </c>
      <c r="O1671" s="12" t="n">
        <v>31.17723156532988</v>
      </c>
    </row>
    <row r="1672">
      <c r="A1672" s="10" t="n">
        <v>46052</v>
      </c>
      <c r="B1672" t="inlineStr">
        <is>
          <t>Jaqueline Evangelista da Silva Martins</t>
        </is>
      </c>
      <c r="C1672" s="1" t="inlineStr">
        <is>
          <t>Técnico III</t>
        </is>
      </c>
      <c r="D1672" s="3" t="n">
        <v>22</v>
      </c>
      <c r="E1672" s="3" t="n">
        <v>17</v>
      </c>
      <c r="F1672" s="3" t="n">
        <v>12.06</v>
      </c>
      <c r="G1672" s="3" t="n">
        <v>0</v>
      </c>
      <c r="H1672" s="3" t="n">
        <v>0</v>
      </c>
      <c r="I1672" s="3">
        <f>E1672+G1672+H1672</f>
        <v/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/>
      </c>
      <c r="K1672" s="3">
        <f>I1672-J1672</f>
        <v/>
      </c>
      <c r="L1672" s="3">
        <f>IF(K1672&lt;-5,"CRÍTICO",IF(K1672&lt;0,"ATENÇÃO",IF(K1672&lt;=5,"BOM","EXCELENTE")))</f>
        <v/>
      </c>
      <c r="M1672" s="3" t="n">
        <v>15</v>
      </c>
      <c r="N1672" s="3" t="n">
        <v>100</v>
      </c>
      <c r="O1672" s="12" t="n">
        <v>27.60942760942761</v>
      </c>
    </row>
    <row r="1673">
      <c r="A1673" s="10" t="n">
        <v>46052</v>
      </c>
      <c r="B1673" t="inlineStr">
        <is>
          <t>Jessica Faria da Silveira</t>
        </is>
      </c>
      <c r="C1673" s="1" t="inlineStr">
        <is>
          <t>Técnico II</t>
        </is>
      </c>
      <c r="D1673" s="3" t="n">
        <v>23</v>
      </c>
      <c r="E1673" s="3" t="n">
        <v>14</v>
      </c>
      <c r="F1673" s="3" t="n">
        <v>20.24</v>
      </c>
      <c r="G1673" s="3" t="n">
        <v>0</v>
      </c>
      <c r="H1673" s="3" t="n">
        <v>0</v>
      </c>
      <c r="I1673" s="3">
        <f>E1673+G1673+H1673</f>
        <v/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/>
      </c>
      <c r="K1673" s="3">
        <f>I1673-J1673</f>
        <v/>
      </c>
      <c r="L1673" s="3">
        <f>IF(K1673&lt;-5,"CRÍTICO",IF(K1673&lt;0,"ATENÇÃO",IF(K1673&lt;=5,"BOM","EXCELENTE")))</f>
        <v/>
      </c>
      <c r="M1673" s="3" t="n">
        <v>14</v>
      </c>
      <c r="N1673" s="3" t="n">
        <v>96.40000000000001</v>
      </c>
      <c r="O1673" s="12" t="n">
        <v>28.76404494382023</v>
      </c>
    </row>
    <row r="1674">
      <c r="A1674" s="10" t="n">
        <v>46052</v>
      </c>
      <c r="B1674" t="inlineStr">
        <is>
          <t>Jéssica Fé Moura</t>
        </is>
      </c>
      <c r="C1674" s="1" t="inlineStr">
        <is>
          <t>Técnico III</t>
        </is>
      </c>
      <c r="D1674" s="3" t="n">
        <v>0</v>
      </c>
      <c r="E1674" s="3" t="n">
        <v>0</v>
      </c>
      <c r="F1674" s="3" t="n">
        <v>0</v>
      </c>
      <c r="G1674" s="3" t="n">
        <v>0</v>
      </c>
      <c r="H1674" s="3" t="n">
        <v>0</v>
      </c>
      <c r="I1674" s="3" t="n">
        <v>0</v>
      </c>
      <c r="J1674" s="3" t="n">
        <v>0</v>
      </c>
      <c r="K1674" s="3" t="n">
        <v>0</v>
      </c>
      <c r="L1674" s="3">
        <f>IF(K1674&lt;-5,"CRÍTICO",IF(K1674&lt;0,"ATENÇÃO",IF(K1674&lt;=5,"BOM","EXCELENTE")))</f>
        <v/>
      </c>
      <c r="M1674" s="3" t="n">
        <v>0</v>
      </c>
      <c r="N1674" s="3" t="n">
        <v>100</v>
      </c>
      <c r="O1674" s="12" t="n">
        <v>33.98058252427185</v>
      </c>
    </row>
    <row r="1675">
      <c r="A1675" s="10" t="n">
        <v>46052</v>
      </c>
      <c r="B1675" t="inlineStr">
        <is>
          <t>Karina Gonçalves Martins</t>
        </is>
      </c>
      <c r="C1675" s="1" t="inlineStr">
        <is>
          <t>JR</t>
        </is>
      </c>
      <c r="D1675" s="3" t="n">
        <v>19</v>
      </c>
      <c r="E1675" s="3" t="n">
        <v>19</v>
      </c>
      <c r="F1675" s="3" t="n">
        <v>28.27</v>
      </c>
      <c r="G1675" s="3" t="n">
        <v>0</v>
      </c>
      <c r="H1675" s="3" t="n">
        <v>0</v>
      </c>
      <c r="I1675" s="3">
        <f>E1675+G1675+H1675</f>
        <v/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/>
      </c>
      <c r="K1675" s="3">
        <f>I1675-J1675</f>
        <v/>
      </c>
      <c r="L1675" s="3">
        <f>IF(K1675&lt;-5,"CRÍTICO",IF(K1675&lt;0,"ATENÇÃO",IF(K1675&lt;=5,"BOM","EXCELENTE")))</f>
        <v/>
      </c>
      <c r="M1675" s="3" t="n">
        <v>16</v>
      </c>
      <c r="N1675" s="3" t="n">
        <v>97.56</v>
      </c>
      <c r="O1675" s="12" t="n">
        <v>32.51533742331289</v>
      </c>
    </row>
    <row r="1676">
      <c r="A1676" s="10" t="n">
        <v>46052</v>
      </c>
      <c r="B1676" t="inlineStr">
        <is>
          <t>Kerollen Cristielly de Jesus Siqueira</t>
        </is>
      </c>
      <c r="C1676" s="1" t="inlineStr">
        <is>
          <t>Técnico III</t>
        </is>
      </c>
      <c r="D1676" s="3" t="n">
        <v>18</v>
      </c>
      <c r="E1676" s="3" t="n">
        <v>17</v>
      </c>
      <c r="F1676" s="3" t="n">
        <v>24.15</v>
      </c>
      <c r="G1676" s="3" t="n">
        <v>0</v>
      </c>
      <c r="H1676" s="3" t="n">
        <v>0</v>
      </c>
      <c r="I1676" s="3">
        <f>E1676+G1676+H1676</f>
        <v/>
      </c>
      <c r="J1676" s="3">
        <f>ROUND(MIN(IF(C1676="Técnico III",35,IF(C1676="Técnico II",28,IF(C1676="Técnico I",23,IF(C1676="JR",20,IF(C1676="Estágio",10,0))))),IF(C1676="Técnico III",SUMIFS($D:$D,$A:$A,$A1676,$B:$B,"&lt;&gt;Patrícia Karla de Sousa Araújo",$B:$B,"&lt;&gt;Lorena Dias de Araujo",$B:$B,"&lt;&gt;Lucas Luiz Romero")*(35/1083),IF(C1676="Técnico II",SUMIFS($D:$D,$A:$A,$A1676,$B:$B,"&lt;&gt;Patrícia Karla de Sousa Araújo",$B:$B,"&lt;&gt;Lorena Dias de Araujo",$B:$B,"&lt;&gt;Lucas Luiz Romero")*(28/1083),IF(C1676="Técnico I",SUMIFS($D:$D,$A:$A,$A1676,$B:$B,"&lt;&gt;Patrícia Karla de Sousa Araújo",$B:$B,"&lt;&gt;Lorena Dias de Araujo",$B:$B,"&lt;&gt;Lucas Luiz Romero")*(23/1083),IF(C1676="JR",SUMIFS($D:$D,$A:$A,$A1676,$B:$B,"&lt;&gt;Patrícia Karla de Sousa Araújo",$B:$B,"&lt;&gt;Lorena Dias de Araujo",$B:$B,"&lt;&gt;Lucas Luiz Romero")*(20/1083),IF(C1676="Estágio",SUMIFS($D:$D,$A:$A,$A1676,$B:$B,"&lt;&gt;Patrícia Karla de Sousa Araújo",$B:$B,"&lt;&gt;Lorena Dias de Araujo",$B:$B,"&lt;&gt;Lucas Luiz Romero")*(10/1083),0)))))),0)</f>
        <v/>
      </c>
      <c r="K1676" s="3">
        <f>I1676-J1676</f>
        <v/>
      </c>
      <c r="L1676" s="3">
        <f>IF(K1676&lt;-5,"CRÍTICO",IF(K1676&lt;0,"ATENÇÃO",IF(K1676&lt;=5,"BOM","EXCELENTE")))</f>
        <v/>
      </c>
      <c r="M1676" s="3" t="n">
        <v>16</v>
      </c>
      <c r="N1676" s="3" t="n">
        <v>97.11</v>
      </c>
      <c r="O1676" s="12" t="n">
        <v>37.40831295843521</v>
      </c>
    </row>
    <row r="1677">
      <c r="A1677" s="10" t="n">
        <v>46052</v>
      </c>
      <c r="B1677" t="inlineStr">
        <is>
          <t>Leandro de Souza Silva</t>
        </is>
      </c>
      <c r="C1677" s="1" t="inlineStr">
        <is>
          <t>JR</t>
        </is>
      </c>
      <c r="D1677" s="3" t="n">
        <v>0</v>
      </c>
      <c r="E1677" s="3" t="n">
        <v>0</v>
      </c>
      <c r="F1677" s="3" t="n">
        <v>0</v>
      </c>
      <c r="G1677" s="3" t="n">
        <v>0</v>
      </c>
      <c r="H1677" s="3" t="n">
        <v>0</v>
      </c>
      <c r="I1677" s="3" t="n">
        <v>0</v>
      </c>
      <c r="J1677" s="3" t="n">
        <v>0</v>
      </c>
      <c r="K1677" s="3" t="n">
        <v>0</v>
      </c>
      <c r="L1677" s="3">
        <f>IF(K1677&lt;-5,"CRÍTICO",IF(K1677&lt;0,"ATENÇÃO",IF(K1677&lt;=5,"BOM","EXCELENTE")))</f>
        <v/>
      </c>
      <c r="M1677" s="3" t="n">
        <v>0</v>
      </c>
      <c r="N1677" s="3" t="n">
        <v>0</v>
      </c>
      <c r="O1677" s="12" t="n">
        <v>0</v>
      </c>
    </row>
    <row r="1678">
      <c r="A1678" s="10" t="n">
        <v>46052</v>
      </c>
      <c r="B1678" t="inlineStr">
        <is>
          <t>Leandro Oliveira de Sousa</t>
        </is>
      </c>
      <c r="C1678" s="1" t="inlineStr">
        <is>
          <t>Técnico III</t>
        </is>
      </c>
      <c r="D1678" s="3" t="n">
        <v>26</v>
      </c>
      <c r="E1678" s="3" t="n">
        <v>26</v>
      </c>
      <c r="F1678" s="3" t="n">
        <v>17.37</v>
      </c>
      <c r="G1678" s="3" t="n">
        <v>0</v>
      </c>
      <c r="H1678" s="3" t="n">
        <v>0</v>
      </c>
      <c r="I1678" s="3">
        <f>E1678+G1678+H1678</f>
        <v/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/>
      </c>
      <c r="K1678" s="3">
        <f>I1678-J1678</f>
        <v/>
      </c>
      <c r="L1678" s="3">
        <f>IF(K1678&lt;-5,"CRÍTICO",IF(K1678&lt;0,"ATENÇÃO",IF(K1678&lt;=5,"BOM","EXCELENTE")))</f>
        <v/>
      </c>
      <c r="M1678" s="3" t="n">
        <v>28</v>
      </c>
      <c r="N1678" s="3" t="n">
        <v>100</v>
      </c>
      <c r="O1678" s="12" t="n">
        <v>30.47034764826176</v>
      </c>
    </row>
    <row r="1679">
      <c r="A1679" s="10" t="n">
        <v>46052</v>
      </c>
      <c r="B1679" t="inlineStr">
        <is>
          <t>Lizandra Gomes Duarte</t>
        </is>
      </c>
      <c r="C1679" s="1" t="inlineStr">
        <is>
          <t>Técnico II</t>
        </is>
      </c>
      <c r="D1679" s="3" t="n">
        <v>45</v>
      </c>
      <c r="E1679" s="3" t="n">
        <v>41</v>
      </c>
      <c r="F1679" s="3" t="n">
        <v>15.44</v>
      </c>
      <c r="G1679" s="3" t="n">
        <v>0</v>
      </c>
      <c r="H1679" s="3" t="n">
        <v>0</v>
      </c>
      <c r="I1679" s="3">
        <f>E1679+G1679+H1679</f>
        <v/>
      </c>
      <c r="J1679" s="3">
        <f>ROUND(MIN(IF(C1679="Técnico III",35,IF(C1679="Técnico II",28,IF(C1679="Técnico I",23,IF(C1679="JR",20,IF(C1679="Estágio",10,0))))),IF(C1679="Técnico III",SUMIFS($D:$D,$A:$A,$A1679,$B:$B,"&lt;&gt;Patrícia Karla de Sousa Araújo",$B:$B,"&lt;&gt;Lorena Dias de Araujo",$B:$B,"&lt;&gt;Lucas Luiz Romero")*(35/1083),IF(C1679="Técnico II",SUMIFS($D:$D,$A:$A,$A1679,$B:$B,"&lt;&gt;Patrícia Karla de Sousa Araújo",$B:$B,"&lt;&gt;Lorena Dias de Araujo",$B:$B,"&lt;&gt;Lucas Luiz Romero")*(28/1083),IF(C1679="Técnico I",SUMIFS($D:$D,$A:$A,$A1679,$B:$B,"&lt;&gt;Patrícia Karla de Sousa Araújo",$B:$B,"&lt;&gt;Lorena Dias de Araujo",$B:$B,"&lt;&gt;Lucas Luiz Romero")*(23/1083),IF(C1679="JR",SUMIFS($D:$D,$A:$A,$A1679,$B:$B,"&lt;&gt;Patrícia Karla de Sousa Araújo",$B:$B,"&lt;&gt;Lorena Dias de Araujo",$B:$B,"&lt;&gt;Lucas Luiz Romero")*(20/1083),IF(C1679="Estágio",SUMIFS($D:$D,$A:$A,$A1679,$B:$B,"&lt;&gt;Patrícia Karla de Sousa Araújo",$B:$B,"&lt;&gt;Lorena Dias de Araujo",$B:$B,"&lt;&gt;Lucas Luiz Romero")*(10/1083),0)))))),0)</f>
        <v/>
      </c>
      <c r="K1679" s="3">
        <f>I1679-J1679</f>
        <v/>
      </c>
      <c r="L1679" s="3">
        <f>IF(K1679&lt;-5,"CRÍTICO",IF(K1679&lt;0,"ATENÇÃO",IF(K1679&lt;=5,"BOM","EXCELENTE")))</f>
        <v/>
      </c>
      <c r="M1679" s="3" t="n">
        <v>30</v>
      </c>
      <c r="N1679" s="3" t="n">
        <v>100</v>
      </c>
      <c r="O1679" s="12" t="n">
        <v>32.37113402061856</v>
      </c>
    </row>
    <row r="1680">
      <c r="A1680" s="10" t="n">
        <v>46052</v>
      </c>
      <c r="B1680" t="inlineStr">
        <is>
          <t>Lorena Dias de Araujo</t>
        </is>
      </c>
      <c r="C1680" s="1" t="inlineStr">
        <is>
          <t>Técnico II</t>
        </is>
      </c>
      <c r="D1680" s="3" t="n">
        <v>37</v>
      </c>
      <c r="E1680" s="3" t="n">
        <v>36</v>
      </c>
      <c r="F1680" s="3" t="n">
        <v>15.48</v>
      </c>
      <c r="G1680" s="3" t="n">
        <v>0</v>
      </c>
      <c r="H1680" s="3" t="n">
        <v>0</v>
      </c>
      <c r="I1680" s="3" t="n">
        <v>0</v>
      </c>
      <c r="J1680" s="3" t="n">
        <v>0</v>
      </c>
      <c r="K1680" s="3" t="n">
        <v>0</v>
      </c>
      <c r="L1680" s="3">
        <f>IF(K1680&lt;-5,"CRÍTICO",IF(K1680&lt;0,"ATENÇÃO",IF(K1680&lt;=5,"BOM","EXCELENTE")))</f>
        <v/>
      </c>
      <c r="M1680" s="3" t="n">
        <v>29</v>
      </c>
      <c r="N1680" s="3" t="n">
        <v>98.31999999999999</v>
      </c>
      <c r="O1680" s="12" t="n">
        <v>32.31850117096019</v>
      </c>
    </row>
    <row r="1681">
      <c r="A1681" s="10" t="n">
        <v>46052</v>
      </c>
      <c r="B1681" t="inlineStr">
        <is>
          <t>Lucas Luiz Romero</t>
        </is>
      </c>
      <c r="C1681" s="1" t="inlineStr">
        <is>
          <t>Técnico III</t>
        </is>
      </c>
      <c r="D1681" s="3" t="n">
        <v>112</v>
      </c>
      <c r="E1681" s="3" t="n">
        <v>24</v>
      </c>
      <c r="F1681" s="3" t="n">
        <v>3.32</v>
      </c>
      <c r="G1681" s="3" t="n">
        <v>0</v>
      </c>
      <c r="H1681" s="3" t="n">
        <v>0</v>
      </c>
      <c r="I1681" s="3">
        <f>E1681+G1681+H1681</f>
        <v/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/>
      </c>
      <c r="K1681" s="3">
        <f>I1681-J1681</f>
        <v/>
      </c>
      <c r="L1681" s="3">
        <f>IF(K1681&lt;-5,"CRÍTICO",IF(K1681&lt;0,"ATENÇÃO",IF(K1681&lt;=5,"BOM","EXCELENTE")))</f>
        <v/>
      </c>
      <c r="M1681" s="3" t="n">
        <v>9</v>
      </c>
      <c r="N1681" s="3" t="n">
        <v>96.43000000000001</v>
      </c>
      <c r="O1681" s="12" t="n">
        <v>27.01525054466231</v>
      </c>
    </row>
    <row r="1682">
      <c r="A1682" s="10" t="n">
        <v>46052</v>
      </c>
      <c r="B1682" t="inlineStr">
        <is>
          <t>Luiz Fernando de Carvalho Junior</t>
        </is>
      </c>
      <c r="C1682" s="1" t="inlineStr">
        <is>
          <t>Técnico I</t>
        </is>
      </c>
      <c r="D1682" s="3" t="n">
        <v>20</v>
      </c>
      <c r="E1682" s="3" t="n">
        <v>20</v>
      </c>
      <c r="F1682" s="3" t="n">
        <v>26.48</v>
      </c>
      <c r="G1682" s="3" t="n">
        <v>0</v>
      </c>
      <c r="H1682" s="3" t="n">
        <v>0</v>
      </c>
      <c r="I1682" s="3">
        <f>E1682+G1682+H1682</f>
        <v/>
      </c>
      <c r="J1682" s="3">
        <f>ROUND(MIN(IF(C1682="Técnico III",35,IF(C1682="Técnico II",28,IF(C1682="Técnico I",23,IF(C1682="JR",20,IF(C1682="Estágio",10,0))))),IF(C1682="Técnico III",SUMIFS($D:$D,$A:$A,$A1682,$B:$B,"&lt;&gt;Patrícia Karla de Sousa Araújo",$B:$B,"&lt;&gt;Lorena Dias de Araujo",$B:$B,"&lt;&gt;Lucas Luiz Romero")*(35/1083),IF(C1682="Técnico II",SUMIFS($D:$D,$A:$A,$A1682,$B:$B,"&lt;&gt;Patrícia Karla de Sousa Araújo",$B:$B,"&lt;&gt;Lorena Dias de Araujo",$B:$B,"&lt;&gt;Lucas Luiz Romero")*(28/1083),IF(C1682="Técnico I",SUMIFS($D:$D,$A:$A,$A1682,$B:$B,"&lt;&gt;Patrícia Karla de Sousa Araújo",$B:$B,"&lt;&gt;Lorena Dias de Araujo",$B:$B,"&lt;&gt;Lucas Luiz Romero")*(23/1083),IF(C1682="JR",SUMIFS($D:$D,$A:$A,$A1682,$B:$B,"&lt;&gt;Patrícia Karla de Sousa Araújo",$B:$B,"&lt;&gt;Lorena Dias de Araujo",$B:$B,"&lt;&gt;Lucas Luiz Romero")*(20/1083),IF(C1682="Estágio",SUMIFS($D:$D,$A:$A,$A1682,$B:$B,"&lt;&gt;Patrícia Karla de Sousa Araújo",$B:$B,"&lt;&gt;Lorena Dias de Araujo",$B:$B,"&lt;&gt;Lucas Luiz Romero")*(10/1083),0)))))),0)</f>
        <v/>
      </c>
      <c r="K1682" s="3">
        <f>I1682-J1682</f>
        <v/>
      </c>
      <c r="L1682" s="3">
        <f>IF(K1682&lt;-5,"CRÍTICO",IF(K1682&lt;0,"ATENÇÃO",IF(K1682&lt;=5,"BOM","EXCELENTE")))</f>
        <v/>
      </c>
      <c r="M1682" s="3" t="n">
        <v>17</v>
      </c>
      <c r="N1682" s="3" t="n">
        <v>98.89</v>
      </c>
      <c r="O1682" s="12" t="n">
        <v>28.02197802197802</v>
      </c>
    </row>
    <row r="1683">
      <c r="A1683" s="10" t="n">
        <v>46052</v>
      </c>
      <c r="B1683" t="inlineStr">
        <is>
          <t>Maria Eduarda Sousa Costa</t>
        </is>
      </c>
      <c r="C1683" s="1" t="inlineStr">
        <is>
          <t>Estágio</t>
        </is>
      </c>
      <c r="D1683" s="3" t="n">
        <v>9</v>
      </c>
      <c r="E1683" s="3" t="n">
        <v>8</v>
      </c>
      <c r="F1683" s="3" t="n">
        <v>43.5</v>
      </c>
      <c r="G1683" s="3" t="n">
        <v>0</v>
      </c>
      <c r="H1683" s="3" t="n">
        <v>0</v>
      </c>
      <c r="I1683" s="3">
        <f>E1683+G1683+H1683</f>
        <v/>
      </c>
      <c r="J1683" s="3">
        <f>ROUND(MIN(IF(C1683="Técnico III",35,IF(C1683="Técnico II",28,IF(C1683="Técnico I",23,IF(C1683="JR",20,IF(C1683="Estágio",10,0))))),IF(C1683="Técnico III",SUMIFS($D:$D,$A:$A,$A1683,$B:$B,"&lt;&gt;Patrícia Karla de Sousa Araújo",$B:$B,"&lt;&gt;Lorena Dias de Araujo",$B:$B,"&lt;&gt;Lucas Luiz Romero")*(35/1083),IF(C1683="Técnico II",SUMIFS($D:$D,$A:$A,$A1683,$B:$B,"&lt;&gt;Patrícia Karla de Sousa Araújo",$B:$B,"&lt;&gt;Lorena Dias de Araujo",$B:$B,"&lt;&gt;Lucas Luiz Romero")*(28/1083),IF(C1683="Técnico I",SUMIFS($D:$D,$A:$A,$A1683,$B:$B,"&lt;&gt;Patrícia Karla de Sousa Araújo",$B:$B,"&lt;&gt;Lorena Dias de Araujo",$B:$B,"&lt;&gt;Lucas Luiz Romero")*(23/1083),IF(C1683="JR",SUMIFS($D:$D,$A:$A,$A1683,$B:$B,"&lt;&gt;Patrícia Karla de Sousa Araújo",$B:$B,"&lt;&gt;Lorena Dias de Araujo",$B:$B,"&lt;&gt;Lucas Luiz Romero")*(20/1083),IF(C1683="Estágio",SUMIFS($D:$D,$A:$A,$A1683,$B:$B,"&lt;&gt;Patrícia Karla de Sousa Araújo",$B:$B,"&lt;&gt;Lorena Dias de Araujo",$B:$B,"&lt;&gt;Lucas Luiz Romero")*(10/1083),0)))))),0)</f>
        <v/>
      </c>
      <c r="K1683" s="3">
        <f>I1683-J1683</f>
        <v/>
      </c>
      <c r="L1683" s="3">
        <f>IF(K1683&lt;-5,"CRÍTICO",IF(K1683&lt;0,"ATENÇÃO",IF(K1683&lt;=5,"BOM","EXCELENTE")))</f>
        <v/>
      </c>
      <c r="M1683" s="3" t="n">
        <v>7</v>
      </c>
      <c r="N1683" s="3" t="n">
        <v>100</v>
      </c>
      <c r="O1683" s="12" t="n">
        <v>33.33333333333333</v>
      </c>
    </row>
    <row r="1684">
      <c r="A1684" s="10" t="n">
        <v>46052</v>
      </c>
      <c r="B1684" t="inlineStr">
        <is>
          <t>Matheus Farias De Souza</t>
        </is>
      </c>
      <c r="C1684" s="1" t="inlineStr">
        <is>
          <t>Técnico III</t>
        </is>
      </c>
      <c r="D1684" s="3" t="n">
        <v>0</v>
      </c>
      <c r="E1684" s="3" t="n">
        <v>0</v>
      </c>
      <c r="F1684" s="3" t="n">
        <v>0</v>
      </c>
      <c r="G1684" s="3" t="n">
        <v>0</v>
      </c>
      <c r="H1684" s="3" t="n">
        <v>0</v>
      </c>
      <c r="I1684" s="3" t="n">
        <v>0</v>
      </c>
      <c r="J1684" s="3" t="n">
        <v>0</v>
      </c>
      <c r="K1684" s="3" t="n">
        <v>0</v>
      </c>
      <c r="L1684" s="3">
        <f>IF(K1684&lt;-5,"CRÍTICO",IF(K1684&lt;0,"ATENÇÃO",IF(K1684&lt;=5,"BOM","EXCELENTE")))</f>
        <v/>
      </c>
      <c r="M1684" s="3" t="n">
        <v>0</v>
      </c>
      <c r="N1684" s="3" t="n">
        <v>100</v>
      </c>
      <c r="O1684" s="12" t="n">
        <v>27.43362831858407</v>
      </c>
    </row>
    <row r="1685">
      <c r="A1685" s="10" t="n">
        <v>46052</v>
      </c>
      <c r="B1685" t="inlineStr">
        <is>
          <t>Maysa Victoria Dias Moura</t>
        </is>
      </c>
      <c r="C1685" s="1" t="inlineStr">
        <is>
          <t>Técnico III</t>
        </is>
      </c>
      <c r="D1685" s="3" t="n">
        <v>39</v>
      </c>
      <c r="E1685" s="3" t="n">
        <v>34</v>
      </c>
      <c r="F1685" s="3" t="n">
        <v>11.56</v>
      </c>
      <c r="G1685" s="3" t="n">
        <v>0</v>
      </c>
      <c r="H1685" s="3" t="n">
        <v>0</v>
      </c>
      <c r="I1685" s="3">
        <f>E1685+G1685+H1685</f>
        <v/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/>
      </c>
      <c r="K1685" s="3">
        <f>I1685-J1685</f>
        <v/>
      </c>
      <c r="L1685" s="3">
        <f>IF(K1685&lt;-5,"CRÍTICO",IF(K1685&lt;0,"ATENÇÃO",IF(K1685&lt;=5,"BOM","EXCELENTE")))</f>
        <v/>
      </c>
      <c r="M1685" s="3" t="n">
        <v>31</v>
      </c>
      <c r="N1685" s="3" t="n">
        <v>98.65000000000001</v>
      </c>
      <c r="O1685" s="12" t="n">
        <v>30.97826086956522</v>
      </c>
    </row>
    <row r="1686">
      <c r="A1686" s="10" t="n">
        <v>46052</v>
      </c>
      <c r="B1686" t="inlineStr">
        <is>
          <t>Michelle G Santos</t>
        </is>
      </c>
      <c r="C1686" s="1" t="inlineStr">
        <is>
          <t>Estágio</t>
        </is>
      </c>
      <c r="D1686" s="3" t="n">
        <v>3</v>
      </c>
      <c r="E1686" s="3" t="n">
        <v>3</v>
      </c>
      <c r="F1686" s="3" t="n">
        <v>176.58</v>
      </c>
      <c r="G1686" s="3" t="n">
        <v>0</v>
      </c>
      <c r="H1686" s="3" t="n">
        <v>0</v>
      </c>
      <c r="I1686" s="3">
        <f>E1686+G1686+H1686</f>
        <v/>
      </c>
      <c r="J1686" s="3">
        <f>ROUND(MIN(IF(C1686="Técnico III",35,IF(C1686="Técnico II",28,IF(C1686="Técnico I",23,IF(C1686="JR",20,IF(C1686="Estágio",10,0))))),IF(C1686="Técnico III",SUMIFS($D:$D,$A:$A,$A1686,$B:$B,"&lt;&gt;Patrícia Karla de Sousa Araújo",$B:$B,"&lt;&gt;Lorena Dias de Araujo",$B:$B,"&lt;&gt;Lucas Luiz Romero")*(35/1083),IF(C1686="Técnico II",SUMIFS($D:$D,$A:$A,$A1686,$B:$B,"&lt;&gt;Patrícia Karla de Sousa Araújo",$B:$B,"&lt;&gt;Lorena Dias de Araujo",$B:$B,"&lt;&gt;Lucas Luiz Romero")*(28/1083),IF(C1686="Técnico I",SUMIFS($D:$D,$A:$A,$A1686,$B:$B,"&lt;&gt;Patrícia Karla de Sousa Araújo",$B:$B,"&lt;&gt;Lorena Dias de Araujo",$B:$B,"&lt;&gt;Lucas Luiz Romero")*(23/1083),IF(C1686="JR",SUMIFS($D:$D,$A:$A,$A1686,$B:$B,"&lt;&gt;Patrícia Karla de Sousa Araújo",$B:$B,"&lt;&gt;Lorena Dias de Araujo",$B:$B,"&lt;&gt;Lucas Luiz Romero")*(20/1083),IF(C1686="Estágio",SUMIFS($D:$D,$A:$A,$A1686,$B:$B,"&lt;&gt;Patrícia Karla de Sousa Araújo",$B:$B,"&lt;&gt;Lorena Dias de Araujo",$B:$B,"&lt;&gt;Lucas Luiz Romero")*(10/1083),0)))))),0)</f>
        <v/>
      </c>
      <c r="K1686" s="3">
        <f>I1686-J1686</f>
        <v/>
      </c>
      <c r="L1686" s="3">
        <f>IF(K1686&lt;-5,"CRÍTICO",IF(K1686&lt;0,"ATENÇÃO",IF(K1686&lt;=5,"BOM","EXCELENTE")))</f>
        <v/>
      </c>
      <c r="M1686" s="3" t="n">
        <v>2</v>
      </c>
      <c r="N1686" s="3" t="n">
        <v>100</v>
      </c>
      <c r="O1686" s="12" t="n">
        <v>12</v>
      </c>
    </row>
    <row r="1687">
      <c r="A1687" s="10" t="n">
        <v>46052</v>
      </c>
      <c r="B1687" t="inlineStr">
        <is>
          <t>Milena Sales</t>
        </is>
      </c>
      <c r="C1687" s="1" t="inlineStr">
        <is>
          <t>JR</t>
        </is>
      </c>
      <c r="D1687" s="3" t="n">
        <v>0</v>
      </c>
      <c r="E1687" s="3" t="n">
        <v>0</v>
      </c>
      <c r="F1687" s="3" t="n">
        <v>0</v>
      </c>
      <c r="G1687" s="3" t="n">
        <v>0</v>
      </c>
      <c r="H1687" s="3" t="n">
        <v>0</v>
      </c>
      <c r="I1687" s="3" t="n">
        <v>0</v>
      </c>
      <c r="J1687" s="3" t="n">
        <v>0</v>
      </c>
      <c r="K1687" s="3" t="n">
        <v>0</v>
      </c>
      <c r="L1687" s="3">
        <f>IF(K1687&lt;-5,"CRÍTICO",IF(K1687&lt;0,"ATENÇÃO",IF(K1687&lt;=5,"BOM","EXCELENTE")))</f>
        <v/>
      </c>
      <c r="M1687" s="3" t="n">
        <v>0</v>
      </c>
      <c r="N1687" s="3" t="n">
        <v>0</v>
      </c>
      <c r="O1687" s="12" t="n">
        <v>0</v>
      </c>
    </row>
    <row r="1688">
      <c r="A1688" s="10" t="n">
        <v>46052</v>
      </c>
      <c r="B1688" t="inlineStr">
        <is>
          <t>Patrícia Karla de Sousa Araújo</t>
        </is>
      </c>
      <c r="C1688" s="1" t="inlineStr">
        <is>
          <t>Técnico II</t>
        </is>
      </c>
      <c r="D1688" s="3" t="n">
        <v>27</v>
      </c>
      <c r="E1688" s="3" t="n">
        <v>25</v>
      </c>
      <c r="F1688" s="3" t="n">
        <v>20.23</v>
      </c>
      <c r="G1688" s="3" t="n">
        <v>0</v>
      </c>
      <c r="H1688" s="3" t="n">
        <v>0</v>
      </c>
      <c r="I1688" s="3">
        <f>E1688+G1688+H1688</f>
        <v/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/>
      </c>
      <c r="K1688" s="3">
        <f>I1688-J1688</f>
        <v/>
      </c>
      <c r="L1688" s="3">
        <f>IF(K1688&lt;-5,"CRÍTICO",IF(K1688&lt;0,"ATENÇÃO",IF(K1688&lt;=5,"BOM","EXCELENTE")))</f>
        <v/>
      </c>
      <c r="M1688" s="3" t="n">
        <v>25</v>
      </c>
      <c r="N1688" s="3" t="n">
        <v>97.56</v>
      </c>
      <c r="O1688" s="12" t="n">
        <v>31.06796116504854</v>
      </c>
    </row>
    <row r="1689">
      <c r="A1689" s="10" t="n">
        <v>46052</v>
      </c>
      <c r="B1689" t="inlineStr">
        <is>
          <t>Paulo Ricardo Santos</t>
        </is>
      </c>
      <c r="C1689" s="1" t="inlineStr">
        <is>
          <t>JR</t>
        </is>
      </c>
      <c r="D1689" s="3" t="n">
        <v>0</v>
      </c>
      <c r="E1689" s="3" t="n">
        <v>0</v>
      </c>
      <c r="F1689" s="3" t="n">
        <v>0</v>
      </c>
      <c r="G1689" s="3" t="n">
        <v>0</v>
      </c>
      <c r="H1689" s="3" t="n">
        <v>0</v>
      </c>
      <c r="I1689" s="3" t="n">
        <v>0</v>
      </c>
      <c r="J1689" s="3" t="n">
        <v>0</v>
      </c>
      <c r="K1689" s="3" t="n">
        <v>0</v>
      </c>
      <c r="L1689" s="3">
        <f>IF(K1689&lt;-5,"CRÍTICO",IF(K1689&lt;0,"ATENÇÃO",IF(K1689&lt;=5,"BOM","EXCELENTE")))</f>
        <v/>
      </c>
      <c r="M1689" s="3" t="n">
        <v>0</v>
      </c>
      <c r="N1689" s="3" t="n">
        <v>0</v>
      </c>
      <c r="O1689" s="12" t="n">
        <v>0</v>
      </c>
    </row>
    <row r="1690">
      <c r="A1690" s="10" t="n">
        <v>46052</v>
      </c>
      <c r="B1690" t="inlineStr">
        <is>
          <t>Pedro Luiz Mota Sousa</t>
        </is>
      </c>
      <c r="C1690" s="1" t="inlineStr">
        <is>
          <t>JR</t>
        </is>
      </c>
      <c r="D1690" s="3" t="n">
        <v>0</v>
      </c>
      <c r="E1690" s="3" t="n">
        <v>0</v>
      </c>
      <c r="F1690" s="3" t="n">
        <v>0</v>
      </c>
      <c r="G1690" s="3" t="n">
        <v>0</v>
      </c>
      <c r="H1690" s="3" t="n">
        <v>0</v>
      </c>
      <c r="I1690" s="3" t="n">
        <v>0</v>
      </c>
      <c r="J1690" s="3" t="n">
        <v>0</v>
      </c>
      <c r="K1690" s="3" t="n">
        <v>0</v>
      </c>
      <c r="L1690" s="3">
        <f>IF(K1690&lt;-5,"CRÍTICO",IF(K1690&lt;0,"ATENÇÃO",IF(K1690&lt;=5,"BOM","EXCELENTE")))</f>
        <v/>
      </c>
      <c r="M1690" s="3" t="n">
        <v>0</v>
      </c>
      <c r="N1690" s="3" t="n">
        <v>0</v>
      </c>
      <c r="O1690" s="12" t="n">
        <v>0</v>
      </c>
    </row>
    <row r="1691">
      <c r="A1691" s="10" t="n">
        <v>46052</v>
      </c>
      <c r="B1691" t="inlineStr">
        <is>
          <t>Quirino Diogo Leite Torres</t>
        </is>
      </c>
      <c r="C1691" s="1" t="inlineStr">
        <is>
          <t>Estágio</t>
        </is>
      </c>
      <c r="D1691" s="3" t="n">
        <v>0</v>
      </c>
      <c r="E1691" s="3" t="n">
        <v>0</v>
      </c>
      <c r="F1691" s="3" t="n">
        <v>0</v>
      </c>
      <c r="G1691" s="3" t="n">
        <v>0</v>
      </c>
      <c r="H1691" s="3" t="n">
        <v>0</v>
      </c>
      <c r="I1691" s="3" t="n">
        <v>0</v>
      </c>
      <c r="J1691" s="3" t="n">
        <v>0</v>
      </c>
      <c r="K1691" s="3" t="n">
        <v>0</v>
      </c>
      <c r="L1691" s="3">
        <f>IF(K1691&lt;-5,"CRÍTICO",IF(K1691&lt;0,"ATENÇÃO",IF(K1691&lt;=5,"BOM","EXCELENTE")))</f>
        <v/>
      </c>
      <c r="M1691" s="3" t="n">
        <v>0</v>
      </c>
      <c r="N1691" s="3" t="n">
        <v>0</v>
      </c>
      <c r="O1691" s="12" t="n">
        <v>0</v>
      </c>
    </row>
    <row r="1692">
      <c r="A1692" s="10" t="n">
        <v>46052</v>
      </c>
      <c r="B1692" t="inlineStr">
        <is>
          <t>Raane Batista Matos</t>
        </is>
      </c>
      <c r="C1692" s="1" t="inlineStr">
        <is>
          <t>Técnico I</t>
        </is>
      </c>
      <c r="D1692" s="3" t="n">
        <v>8</v>
      </c>
      <c r="E1692" s="3" t="n">
        <v>8</v>
      </c>
      <c r="F1692" s="3" t="n">
        <v>59.11</v>
      </c>
      <c r="G1692" s="3" t="n">
        <v>0</v>
      </c>
      <c r="H1692" s="3" t="n">
        <v>0</v>
      </c>
      <c r="I1692" s="3">
        <f>E1692+G1692+H1692</f>
        <v/>
      </c>
      <c r="J1692" s="3">
        <f>ROUND(MIN(IF(C1692="Técnico III",35,IF(C1692="Técnico II",28,IF(C1692="Técnico I",23,IF(C1692="JR",20,IF(C1692="Estágio",10,0))))),IF(C1692="Técnico III",SUMIFS($D:$D,$A:$A,$A1692,$B:$B,"&lt;&gt;Patrícia Karla de Sousa Araújo",$B:$B,"&lt;&gt;Lorena Dias de Araujo",$B:$B,"&lt;&gt;Lucas Luiz Romero")*(35/1083),IF(C1692="Técnico II",SUMIFS($D:$D,$A:$A,$A1692,$B:$B,"&lt;&gt;Patrícia Karla de Sousa Araújo",$B:$B,"&lt;&gt;Lorena Dias de Araujo",$B:$B,"&lt;&gt;Lucas Luiz Romero")*(28/1083),IF(C1692="Técnico I",SUMIFS($D:$D,$A:$A,$A1692,$B:$B,"&lt;&gt;Patrícia Karla de Sousa Araújo",$B:$B,"&lt;&gt;Lorena Dias de Araujo",$B:$B,"&lt;&gt;Lucas Luiz Romero")*(23/1083),IF(C1692="JR",SUMIFS($D:$D,$A:$A,$A1692,$B:$B,"&lt;&gt;Patrícia Karla de Sousa Araújo",$B:$B,"&lt;&gt;Lorena Dias de Araujo",$B:$B,"&lt;&gt;Lucas Luiz Romero")*(20/1083),IF(C1692="Estágio",SUMIFS($D:$D,$A:$A,$A1692,$B:$B,"&lt;&gt;Patrícia Karla de Sousa Araújo",$B:$B,"&lt;&gt;Lorena Dias de Araujo",$B:$B,"&lt;&gt;Lucas Luiz Romero")*(10/1083),0)))))),0)</f>
        <v/>
      </c>
      <c r="K1692" s="3">
        <f>I1692-J1692</f>
        <v/>
      </c>
      <c r="L1692" s="3">
        <f>IF(K1692&lt;-5,"CRÍTICO",IF(K1692&lt;0,"ATENÇÃO",IF(K1692&lt;=5,"BOM","EXCELENTE")))</f>
        <v/>
      </c>
      <c r="M1692" s="3" t="n">
        <v>5</v>
      </c>
      <c r="N1692" s="3" t="n">
        <v>100</v>
      </c>
      <c r="O1692" s="12" t="n">
        <v>53.84615384615385</v>
      </c>
    </row>
    <row r="1693">
      <c r="A1693" s="10" t="n">
        <v>46052</v>
      </c>
      <c r="B1693" t="inlineStr">
        <is>
          <t>Rafael Gomes de Morais</t>
        </is>
      </c>
      <c r="C1693" s="1" t="inlineStr">
        <is>
          <t>Técnico III</t>
        </is>
      </c>
      <c r="D1693" s="3" t="n">
        <v>28</v>
      </c>
      <c r="E1693" s="3" t="n">
        <v>28</v>
      </c>
      <c r="F1693" s="3" t="n">
        <v>15.44</v>
      </c>
      <c r="G1693" s="3" t="n">
        <v>0</v>
      </c>
      <c r="H1693" s="3" t="n">
        <v>0</v>
      </c>
      <c r="I1693" s="3">
        <f>E1693+G1693+H1693</f>
        <v/>
      </c>
      <c r="J1693" s="3">
        <f>ROUND(MIN(IF(C1693="Técnico III",35,IF(C1693="Técnico II",28,IF(C1693="Técnico I",23,IF(C1693="JR",20,IF(C1693="Estágio",10,0))))),IF(C1693="Técnico III",SUMIFS($D:$D,$A:$A,$A1693,$B:$B,"&lt;&gt;Patrícia Karla de Sousa Araújo",$B:$B,"&lt;&gt;Lorena Dias de Araujo",$B:$B,"&lt;&gt;Lucas Luiz Romero")*(35/1083),IF(C1693="Técnico II",SUMIFS($D:$D,$A:$A,$A1693,$B:$B,"&lt;&gt;Patrícia Karla de Sousa Araújo",$B:$B,"&lt;&gt;Lorena Dias de Araujo",$B:$B,"&lt;&gt;Lucas Luiz Romero")*(28/1083),IF(C1693="Técnico I",SUMIFS($D:$D,$A:$A,$A1693,$B:$B,"&lt;&gt;Patrícia Karla de Sousa Araújo",$B:$B,"&lt;&gt;Lorena Dias de Araujo",$B:$B,"&lt;&gt;Lucas Luiz Romero")*(23/1083),IF(C1693="JR",SUMIFS($D:$D,$A:$A,$A1693,$B:$B,"&lt;&gt;Patrícia Karla de Sousa Araújo",$B:$B,"&lt;&gt;Lorena Dias de Araujo",$B:$B,"&lt;&gt;Lucas Luiz Romero")*(20/1083),IF(C1693="Estágio",SUMIFS($D:$D,$A:$A,$A1693,$B:$B,"&lt;&gt;Patrícia Karla de Sousa Araújo",$B:$B,"&lt;&gt;Lorena Dias de Araujo",$B:$B,"&lt;&gt;Lucas Luiz Romero")*(10/1083),0)))))),0)</f>
        <v/>
      </c>
      <c r="K1693" s="3">
        <f>I1693-J1693</f>
        <v/>
      </c>
      <c r="L1693" s="3">
        <f>IF(K1693&lt;-5,"CRÍTICO",IF(K1693&lt;0,"ATENÇÃO",IF(K1693&lt;=5,"BOM","EXCELENTE")))</f>
        <v/>
      </c>
      <c r="M1693" s="3" t="n">
        <v>29</v>
      </c>
      <c r="N1693" s="3" t="n">
        <v>100</v>
      </c>
      <c r="O1693" s="12" t="n">
        <v>44.05594405594406</v>
      </c>
    </row>
    <row r="1694">
      <c r="A1694" s="10" t="n">
        <v>46052</v>
      </c>
      <c r="B1694" t="inlineStr">
        <is>
          <t>Sara Maria Monteiro Lopes</t>
        </is>
      </c>
      <c r="C1694" s="1" t="inlineStr">
        <is>
          <t>Técnico I</t>
        </is>
      </c>
      <c r="D1694" s="3" t="n">
        <v>14</v>
      </c>
      <c r="E1694" s="3" t="n">
        <v>14</v>
      </c>
      <c r="F1694" s="3" t="n">
        <v>29.08</v>
      </c>
      <c r="G1694" s="3" t="n">
        <v>0</v>
      </c>
      <c r="H1694" s="3" t="n">
        <v>0</v>
      </c>
      <c r="I1694" s="3">
        <f>E1694+G1694+H1694</f>
        <v/>
      </c>
      <c r="J1694" s="3">
        <f>ROUND(MIN(IF(C1694="Técnico III",35,IF(C1694="Técnico II",28,IF(C1694="Técnico I",23,IF(C1694="JR",20,IF(C1694="Estágio",10,0))))),IF(C1694="Técnico III",SUMIFS($D:$D,$A:$A,$A1694,$B:$B,"&lt;&gt;Patrícia Karla de Sousa Araújo",$B:$B,"&lt;&gt;Lorena Dias de Araujo",$B:$B,"&lt;&gt;Lucas Luiz Romero")*(35/1083),IF(C1694="Técnico II",SUMIFS($D:$D,$A:$A,$A1694,$B:$B,"&lt;&gt;Patrícia Karla de Sousa Araújo",$B:$B,"&lt;&gt;Lorena Dias de Araujo",$B:$B,"&lt;&gt;Lucas Luiz Romero")*(28/1083),IF(C1694="Técnico I",SUMIFS($D:$D,$A:$A,$A1694,$B:$B,"&lt;&gt;Patrícia Karla de Sousa Araújo",$B:$B,"&lt;&gt;Lorena Dias de Araujo",$B:$B,"&lt;&gt;Lucas Luiz Romero")*(23/1083),IF(C1694="JR",SUMIFS($D:$D,$A:$A,$A1694,$B:$B,"&lt;&gt;Patrícia Karla de Sousa Araújo",$B:$B,"&lt;&gt;Lorena Dias de Araujo",$B:$B,"&lt;&gt;Lucas Luiz Romero")*(20/1083),IF(C1694="Estágio",SUMIFS($D:$D,$A:$A,$A1694,$B:$B,"&lt;&gt;Patrícia Karla de Sousa Araújo",$B:$B,"&lt;&gt;Lorena Dias de Araujo",$B:$B,"&lt;&gt;Lucas Luiz Romero")*(10/1083),0)))))),0)</f>
        <v/>
      </c>
      <c r="K1694" s="3">
        <f>I1694-J1694</f>
        <v/>
      </c>
      <c r="L1694" s="3">
        <f>IF(K1694&lt;-5,"CRÍTICO",IF(K1694&lt;0,"ATENÇÃO",IF(K1694&lt;=5,"BOM","EXCELENTE")))</f>
        <v/>
      </c>
      <c r="M1694" s="3" t="n">
        <v>15</v>
      </c>
      <c r="N1694" s="3" t="n">
        <v>100</v>
      </c>
      <c r="O1694" s="12" t="n">
        <v>31.87250996015936</v>
      </c>
    </row>
    <row r="1695">
      <c r="A1695" s="10" t="n">
        <v>46052</v>
      </c>
      <c r="B1695" t="inlineStr">
        <is>
          <t>Sarah Steffanie de Lima Borges</t>
        </is>
      </c>
      <c r="C1695" s="1" t="inlineStr">
        <is>
          <t>Técnico III</t>
        </is>
      </c>
      <c r="D1695" s="3" t="n">
        <v>37</v>
      </c>
      <c r="E1695" s="3" t="n">
        <v>36</v>
      </c>
      <c r="F1695" s="3" t="n">
        <v>12.14</v>
      </c>
      <c r="G1695" s="3" t="n">
        <v>0</v>
      </c>
      <c r="H1695" s="3" t="n">
        <v>0</v>
      </c>
      <c r="I1695" s="3">
        <f>E1695+G1695+H1695</f>
        <v/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/>
      </c>
      <c r="K1695" s="3">
        <f>I1695-J1695</f>
        <v/>
      </c>
      <c r="L1695" s="3">
        <f>IF(K1695&lt;-5,"CRÍTICO",IF(K1695&lt;0,"ATENÇÃO",IF(K1695&lt;=5,"BOM","EXCELENTE")))</f>
        <v/>
      </c>
      <c r="M1695" s="3" t="n">
        <v>29</v>
      </c>
      <c r="N1695" s="3" t="n">
        <v>98.41</v>
      </c>
      <c r="O1695" s="12" t="n">
        <v>29.22465208747515</v>
      </c>
    </row>
    <row r="1696">
      <c r="A1696" s="10" t="n">
        <v>46055</v>
      </c>
      <c r="B1696" t="inlineStr">
        <is>
          <t>Alisson de Freitas Silva</t>
        </is>
      </c>
      <c r="C1696" s="1" t="inlineStr">
        <is>
          <t>Técnico II</t>
        </is>
      </c>
      <c r="D1696" s="3" t="n">
        <v>50</v>
      </c>
      <c r="E1696" s="3" t="n">
        <v>43</v>
      </c>
      <c r="F1696" s="3" t="n">
        <v>12.21</v>
      </c>
      <c r="G1696" s="3" t="n">
        <v>0</v>
      </c>
      <c r="H1696" s="3" t="n">
        <v>0</v>
      </c>
      <c r="I1696" s="3">
        <f>E1696+G1696+H1696</f>
        <v/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/>
      </c>
      <c r="K1696" s="3">
        <f>I1696-J1696</f>
        <v/>
      </c>
      <c r="L1696" s="3">
        <f>IF(K1696&lt;-5,"CRÍTICO",IF(K1696&lt;0,"ATENÇÃO",IF(K1696&lt;=5,"BOM","EXCELENTE")))</f>
        <v/>
      </c>
      <c r="M1696" s="3" t="n">
        <v>40</v>
      </c>
      <c r="N1696" s="3" t="n">
        <v>98.31999999999999</v>
      </c>
      <c r="O1696" s="12" t="n">
        <v>30.3030303030303</v>
      </c>
    </row>
    <row r="1697">
      <c r="A1697" s="10" t="n">
        <v>46055</v>
      </c>
      <c r="B1697" t="inlineStr">
        <is>
          <t>Amanda Moura Ferreira</t>
        </is>
      </c>
      <c r="C1697" s="1" t="inlineStr">
        <is>
          <t>Técnico III</t>
        </is>
      </c>
      <c r="D1697" s="3" t="n">
        <v>0</v>
      </c>
      <c r="E1697" s="3" t="n">
        <v>0</v>
      </c>
      <c r="F1697" s="3" t="n">
        <v>0</v>
      </c>
      <c r="G1697" s="3" t="n">
        <v>0</v>
      </c>
      <c r="H1697" s="3" t="n">
        <v>0</v>
      </c>
      <c r="I1697" s="3" t="n">
        <v>0</v>
      </c>
      <c r="J1697" s="3" t="n">
        <v>0</v>
      </c>
      <c r="K1697" s="3" t="n">
        <v>0</v>
      </c>
      <c r="L1697" s="3">
        <f>IF(K1697&lt;-5,"CRÍTICO",IF(K1697&lt;0,"ATENÇÃO",IF(K1697&lt;=5,"BOM","EXCELENTE")))</f>
        <v/>
      </c>
      <c r="M1697" s="3" t="n">
        <v>30</v>
      </c>
      <c r="N1697" s="3" t="n">
        <v>98.68000000000001</v>
      </c>
      <c r="O1697" s="12" t="n">
        <v>26.21951219512195</v>
      </c>
    </row>
    <row r="1698">
      <c r="A1698" s="10" t="n">
        <v>46055</v>
      </c>
      <c r="B1698" t="inlineStr">
        <is>
          <t>Ana Karollyne Souza Faria</t>
        </is>
      </c>
      <c r="C1698" s="1" t="inlineStr">
        <is>
          <t>Técnico I</t>
        </is>
      </c>
      <c r="D1698" s="3" t="n">
        <v>29</v>
      </c>
      <c r="E1698" s="3" t="n">
        <v>27</v>
      </c>
      <c r="F1698" s="3" t="n">
        <v>24.08</v>
      </c>
      <c r="G1698" s="3" t="n">
        <v>0</v>
      </c>
      <c r="H1698" s="3" t="n">
        <v>0</v>
      </c>
      <c r="I1698" s="3">
        <f>E1698+G1698+H1698</f>
        <v/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/>
      </c>
      <c r="K1698" s="3">
        <f>I1698-J1698</f>
        <v/>
      </c>
      <c r="L1698" s="3">
        <f>IF(K1698&lt;-5,"CRÍTICO",IF(K1698&lt;0,"ATENÇÃO",IF(K1698&lt;=5,"BOM","EXCELENTE")))</f>
        <v/>
      </c>
      <c r="M1698" s="3" t="n">
        <v>28</v>
      </c>
      <c r="N1698" s="3" t="n">
        <v>100</v>
      </c>
      <c r="O1698" s="12" t="n">
        <v>31.74224343675418</v>
      </c>
    </row>
    <row r="1699">
      <c r="A1699" s="10" t="n">
        <v>46055</v>
      </c>
      <c r="B1699" t="inlineStr">
        <is>
          <t>Ana Paula Da Luz Silva Aleixo</t>
        </is>
      </c>
      <c r="C1699" s="1" t="inlineStr">
        <is>
          <t>Técnico III</t>
        </is>
      </c>
      <c r="D1699" s="3" t="n">
        <v>25</v>
      </c>
      <c r="E1699" s="3" t="n">
        <v>24</v>
      </c>
      <c r="F1699" s="3" t="n">
        <v>20.55</v>
      </c>
      <c r="G1699" s="3" t="n">
        <v>0</v>
      </c>
      <c r="H1699" s="3" t="n">
        <v>0</v>
      </c>
      <c r="I1699" s="3">
        <f>E1699+G1699+H1699</f>
        <v/>
      </c>
      <c r="J1699" s="3">
        <f>ROUND(MIN(IF(C1699="Técnico III",35,IF(C1699="Técnico II",28,IF(C1699="Técnico I",23,IF(C1699="JR",20,IF(C1699="Estágio",10,0))))),IF(C1699="Técnico III",SUMIFS($D:$D,$A:$A,$A1699,$B:$B,"&lt;&gt;Patrícia Karla de Sousa Araújo",$B:$B,"&lt;&gt;Lorena Dias de Araujo",$B:$B,"&lt;&gt;Lucas Luiz Romero")*(35/1083),IF(C1699="Técnico II",SUMIFS($D:$D,$A:$A,$A1699,$B:$B,"&lt;&gt;Patrícia Karla de Sousa Araújo",$B:$B,"&lt;&gt;Lorena Dias de Araujo",$B:$B,"&lt;&gt;Lucas Luiz Romero")*(28/1083),IF(C1699="Técnico I",SUMIFS($D:$D,$A:$A,$A1699,$B:$B,"&lt;&gt;Patrícia Karla de Sousa Araújo",$B:$B,"&lt;&gt;Lorena Dias de Araujo",$B:$B,"&lt;&gt;Lucas Luiz Romero")*(23/1083),IF(C1699="JR",SUMIFS($D:$D,$A:$A,$A1699,$B:$B,"&lt;&gt;Patrícia Karla de Sousa Araújo",$B:$B,"&lt;&gt;Lorena Dias de Araujo",$B:$B,"&lt;&gt;Lucas Luiz Romero")*(20/1083),IF(C1699="Estágio",SUMIFS($D:$D,$A:$A,$A1699,$B:$B,"&lt;&gt;Patrícia Karla de Sousa Araújo",$B:$B,"&lt;&gt;Lorena Dias de Araujo",$B:$B,"&lt;&gt;Lucas Luiz Romero")*(10/1083),0)))))),0)</f>
        <v/>
      </c>
      <c r="K1699" s="3">
        <f>I1699-J1699</f>
        <v/>
      </c>
      <c r="L1699" s="3">
        <f>IF(K1699&lt;-5,"CRÍTICO",IF(K1699&lt;0,"ATENÇÃO",IF(K1699&lt;=5,"BOM","EXCELENTE")))</f>
        <v/>
      </c>
      <c r="M1699" s="3" t="n">
        <v>23</v>
      </c>
      <c r="N1699" s="3" t="n">
        <v>98.25</v>
      </c>
      <c r="O1699" s="12" t="n">
        <v>25.83518930957684</v>
      </c>
    </row>
    <row r="1700">
      <c r="A1700" s="10" t="n">
        <v>46055</v>
      </c>
      <c r="B1700" t="inlineStr">
        <is>
          <t>Anna Luiza Rezende Tavares</t>
        </is>
      </c>
      <c r="C1700" s="1" t="inlineStr">
        <is>
          <t>Estágio</t>
        </is>
      </c>
      <c r="D1700" s="3" t="n">
        <v>0</v>
      </c>
      <c r="E1700" s="3" t="n">
        <v>0</v>
      </c>
      <c r="F1700" s="3" t="n">
        <v>0</v>
      </c>
      <c r="G1700" s="3" t="n">
        <v>0</v>
      </c>
      <c r="H1700" s="3" t="n">
        <v>0</v>
      </c>
      <c r="I1700" s="3" t="n">
        <v>0</v>
      </c>
      <c r="J1700" s="3" t="n">
        <v>0</v>
      </c>
      <c r="K1700" s="3" t="n">
        <v>0</v>
      </c>
      <c r="L1700" s="3">
        <f>IF(K1700&lt;-5,"CRÍTICO",IF(K1700&lt;0,"ATENÇÃO",IF(K1700&lt;=5,"BOM","EXCELENTE")))</f>
        <v/>
      </c>
      <c r="M1700" s="3" t="n">
        <v>0</v>
      </c>
      <c r="N1700" s="3" t="n">
        <v>97.5</v>
      </c>
      <c r="O1700" s="12" t="n">
        <v>30.07518796992481</v>
      </c>
    </row>
    <row r="1701">
      <c r="A1701" s="10" t="n">
        <v>46055</v>
      </c>
      <c r="B1701" t="inlineStr">
        <is>
          <t>Brenda de Menezes Silva</t>
        </is>
      </c>
      <c r="C1701" s="1" t="inlineStr">
        <is>
          <t>Técnico II</t>
        </is>
      </c>
      <c r="D1701" s="3" t="n">
        <v>32</v>
      </c>
      <c r="E1701" s="3" t="n">
        <v>30</v>
      </c>
      <c r="F1701" s="3" t="n">
        <v>12.35</v>
      </c>
      <c r="G1701" s="3" t="n">
        <v>0</v>
      </c>
      <c r="H1701" s="3" t="n">
        <v>0</v>
      </c>
      <c r="I1701" s="3">
        <f>E1701+G1701+H1701</f>
        <v/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/>
      </c>
      <c r="K1701" s="3">
        <f>I1701-J1701</f>
        <v/>
      </c>
      <c r="L1701" s="3">
        <f>IF(K1701&lt;-5,"CRÍTICO",IF(K1701&lt;0,"ATENÇÃO",IF(K1701&lt;=5,"BOM","EXCELENTE")))</f>
        <v/>
      </c>
      <c r="M1701" s="3" t="n">
        <v>30</v>
      </c>
      <c r="N1701" s="3" t="n">
        <v>100</v>
      </c>
      <c r="O1701" s="12" t="n">
        <v>29.71311475409836</v>
      </c>
    </row>
    <row r="1702">
      <c r="A1702" s="10" t="n">
        <v>46055</v>
      </c>
      <c r="B1702" t="inlineStr">
        <is>
          <t>Carlos Mateus Cassimiro Nunes</t>
        </is>
      </c>
      <c r="C1702" s="1" t="inlineStr">
        <is>
          <t>Técnico II</t>
        </is>
      </c>
      <c r="D1702" s="3" t="n">
        <v>21</v>
      </c>
      <c r="E1702" s="3" t="n">
        <v>19</v>
      </c>
      <c r="F1702" s="3" t="n">
        <v>31.46</v>
      </c>
      <c r="G1702" s="3" t="n">
        <v>0</v>
      </c>
      <c r="H1702" s="3" t="n">
        <v>0</v>
      </c>
      <c r="I1702" s="3">
        <f>E1702+G1702+H1702</f>
        <v/>
      </c>
      <c r="J1702" s="3">
        <f>ROUND(MIN(IF(C1702="Técnico III",35,IF(C1702="Técnico II",28,IF(C1702="Técnico I",23,IF(C1702="JR",20,IF(C1702="Estágio",10,0))))),IF(C1702="Técnico III",SUMIFS($D:$D,$A:$A,$A1702,$B:$B,"&lt;&gt;Patrícia Karla de Sousa Araújo",$B:$B,"&lt;&gt;Lorena Dias de Araujo",$B:$B,"&lt;&gt;Lucas Luiz Romero")*(35/1083),IF(C1702="Técnico II",SUMIFS($D:$D,$A:$A,$A1702,$B:$B,"&lt;&gt;Patrícia Karla de Sousa Araújo",$B:$B,"&lt;&gt;Lorena Dias de Araujo",$B:$B,"&lt;&gt;Lucas Luiz Romero")*(28/1083),IF(C1702="Técnico I",SUMIFS($D:$D,$A:$A,$A1702,$B:$B,"&lt;&gt;Patrícia Karla de Sousa Araújo",$B:$B,"&lt;&gt;Lorena Dias de Araujo",$B:$B,"&lt;&gt;Lucas Luiz Romero")*(23/1083),IF(C1702="JR",SUMIFS($D:$D,$A:$A,$A1702,$B:$B,"&lt;&gt;Patrícia Karla de Sousa Araújo",$B:$B,"&lt;&gt;Lorena Dias de Araujo",$B:$B,"&lt;&gt;Lucas Luiz Romero")*(20/1083),IF(C1702="Estágio",SUMIFS($D:$D,$A:$A,$A1702,$B:$B,"&lt;&gt;Patrícia Karla de Sousa Araújo",$B:$B,"&lt;&gt;Lorena Dias de Araujo",$B:$B,"&lt;&gt;Lucas Luiz Romero")*(10/1083),0)))))),0)</f>
        <v/>
      </c>
      <c r="K1702" s="3">
        <f>I1702-J1702</f>
        <v/>
      </c>
      <c r="L1702" s="3">
        <f>IF(K1702&lt;-5,"CRÍTICO",IF(K1702&lt;0,"ATENÇÃO",IF(K1702&lt;=5,"BOM","EXCELENTE")))</f>
        <v/>
      </c>
      <c r="M1702" s="3" t="n">
        <v>18</v>
      </c>
      <c r="N1702" s="3" t="n">
        <v>99.22</v>
      </c>
      <c r="O1702" s="12" t="n">
        <v>35.25641025641026</v>
      </c>
    </row>
    <row r="1703">
      <c r="A1703" s="10" t="n">
        <v>46055</v>
      </c>
      <c r="B1703" t="inlineStr">
        <is>
          <t>Claudio de Sousa Velasco Filho</t>
        </is>
      </c>
      <c r="C1703" s="1" t="inlineStr">
        <is>
          <t>Estágio</t>
        </is>
      </c>
      <c r="D1703" s="3" t="n">
        <v>0</v>
      </c>
      <c r="E1703" s="3" t="n">
        <v>0</v>
      </c>
      <c r="F1703" s="3" t="n">
        <v>0</v>
      </c>
      <c r="G1703" s="3" t="n">
        <v>0</v>
      </c>
      <c r="H1703" s="3" t="n">
        <v>0</v>
      </c>
      <c r="I1703" s="3" t="n">
        <v>0</v>
      </c>
      <c r="J1703" s="3" t="n">
        <v>0</v>
      </c>
      <c r="K1703" s="3" t="n">
        <v>0</v>
      </c>
      <c r="L1703" s="3">
        <f>IF(K1703&lt;-5,"CRÍTICO",IF(K1703&lt;0,"ATENÇÃO",IF(K1703&lt;=5,"BOM","EXCELENTE")))</f>
        <v/>
      </c>
      <c r="M1703" s="3" t="n">
        <v>0</v>
      </c>
      <c r="N1703" s="3" t="n">
        <v>0</v>
      </c>
      <c r="O1703" s="12" t="n">
        <v>0</v>
      </c>
    </row>
    <row r="1704">
      <c r="A1704" s="10" t="n">
        <v>46055</v>
      </c>
      <c r="B1704" t="inlineStr">
        <is>
          <t>Clessiane Pereira dos Santos</t>
        </is>
      </c>
      <c r="C1704" s="1" t="inlineStr">
        <is>
          <t>Técnico I</t>
        </is>
      </c>
      <c r="D1704" s="3" t="n">
        <v>1</v>
      </c>
      <c r="E1704" s="3" t="n">
        <v>1</v>
      </c>
      <c r="F1704" s="3" t="n">
        <v>22.31</v>
      </c>
      <c r="G1704" s="3" t="n">
        <v>0</v>
      </c>
      <c r="H1704" s="3" t="n">
        <v>0</v>
      </c>
      <c r="I1704" s="3">
        <f>E1704+G1704+H1704</f>
        <v/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/>
      </c>
      <c r="K1704" s="3">
        <f>I1704-J1704</f>
        <v/>
      </c>
      <c r="L1704" s="3">
        <f>IF(K1704&lt;-5,"CRÍTICO",IF(K1704&lt;0,"ATENÇÃO",IF(K1704&lt;=5,"BOM","EXCELENTE")))</f>
        <v/>
      </c>
      <c r="M1704" s="3" t="n">
        <v>23</v>
      </c>
      <c r="N1704" s="3" t="n">
        <v>98.75</v>
      </c>
      <c r="O1704" s="12" t="n">
        <v>24.32432432432433</v>
      </c>
    </row>
    <row r="1705">
      <c r="A1705" s="10" t="n">
        <v>46055</v>
      </c>
      <c r="B1705" t="inlineStr">
        <is>
          <t>Cristiane Ramos da Silva Rocha</t>
        </is>
      </c>
      <c r="C1705" s="1" t="inlineStr">
        <is>
          <t>Técnico III</t>
        </is>
      </c>
      <c r="D1705" s="3" t="n">
        <v>46</v>
      </c>
      <c r="E1705" s="3" t="n">
        <v>42</v>
      </c>
      <c r="F1705" s="3" t="n">
        <v>10.55</v>
      </c>
      <c r="G1705" s="3" t="n">
        <v>0</v>
      </c>
      <c r="H1705" s="3" t="n">
        <v>0</v>
      </c>
      <c r="I1705" s="3">
        <f>E1705+G1705+H1705</f>
        <v/>
      </c>
      <c r="J1705" s="3">
        <f>ROUND(MIN(IF(C1705="Técnico III",35,IF(C1705="Técnico II",28,IF(C1705="Técnico I",23,IF(C1705="JR",20,IF(C1705="Estágio",10,0))))),IF(C1705="Técnico III",SUMIFS($D:$D,$A:$A,$A1705,$B:$B,"&lt;&gt;Patrícia Karla de Sousa Araújo",$B:$B,"&lt;&gt;Lorena Dias de Araujo",$B:$B,"&lt;&gt;Lucas Luiz Romero")*(35/1083),IF(C1705="Técnico II",SUMIFS($D:$D,$A:$A,$A1705,$B:$B,"&lt;&gt;Patrícia Karla de Sousa Araújo",$B:$B,"&lt;&gt;Lorena Dias de Araujo",$B:$B,"&lt;&gt;Lucas Luiz Romero")*(28/1083),IF(C1705="Técnico I",SUMIFS($D:$D,$A:$A,$A1705,$B:$B,"&lt;&gt;Patrícia Karla de Sousa Araújo",$B:$B,"&lt;&gt;Lorena Dias de Araujo",$B:$B,"&lt;&gt;Lucas Luiz Romero")*(23/1083),IF(C1705="JR",SUMIFS($D:$D,$A:$A,$A1705,$B:$B,"&lt;&gt;Patrícia Karla de Sousa Araújo",$B:$B,"&lt;&gt;Lorena Dias de Araujo",$B:$B,"&lt;&gt;Lucas Luiz Romero")*(20/1083),IF(C1705="Estágio",SUMIFS($D:$D,$A:$A,$A1705,$B:$B,"&lt;&gt;Patrícia Karla de Sousa Araújo",$B:$B,"&lt;&gt;Lorena Dias de Araujo",$B:$B,"&lt;&gt;Lucas Luiz Romero")*(10/1083),0)))))),0)</f>
        <v/>
      </c>
      <c r="K1705" s="3">
        <f>I1705-J1705</f>
        <v/>
      </c>
      <c r="L1705" s="3">
        <f>IF(K1705&lt;-5,"CRÍTICO",IF(K1705&lt;0,"ATENÇÃO",IF(K1705&lt;=5,"BOM","EXCELENTE")))</f>
        <v/>
      </c>
      <c r="M1705" s="3" t="n">
        <v>35</v>
      </c>
      <c r="N1705" s="3" t="n">
        <v>93.48</v>
      </c>
      <c r="O1705" s="12" t="n">
        <v>31.52804642166344</v>
      </c>
    </row>
    <row r="1706">
      <c r="A1706" s="10" t="n">
        <v>46055</v>
      </c>
      <c r="B1706" t="inlineStr">
        <is>
          <t>Damyllis Lorraine de Oliveira Gonçalves</t>
        </is>
      </c>
      <c r="C1706" s="1" t="inlineStr">
        <is>
          <t>Técnico II</t>
        </is>
      </c>
      <c r="D1706" s="3" t="n">
        <v>40</v>
      </c>
      <c r="E1706" s="3" t="n">
        <v>34</v>
      </c>
      <c r="F1706" s="3" t="n">
        <v>15.02</v>
      </c>
      <c r="G1706" s="3" t="n">
        <v>0</v>
      </c>
      <c r="H1706" s="3" t="n">
        <v>0</v>
      </c>
      <c r="I1706" s="3" t="n">
        <v>0</v>
      </c>
      <c r="J1706" s="3" t="n">
        <v>0</v>
      </c>
      <c r="K1706" s="3" t="n">
        <v>0</v>
      </c>
      <c r="L1706" s="3">
        <f>IF(K1706&lt;-5,"CRÍTICO",IF(K1706&lt;0,"ATENÇÃO",IF(K1706&lt;=5,"BOM","EXCELENTE")))</f>
        <v/>
      </c>
      <c r="M1706" s="3" t="n">
        <v>32</v>
      </c>
      <c r="N1706" s="3" t="n">
        <v>99.16</v>
      </c>
      <c r="O1706" s="12" t="n">
        <v>26.13908872901678</v>
      </c>
    </row>
    <row r="1707">
      <c r="A1707" s="10" t="n">
        <v>46055</v>
      </c>
      <c r="B1707" t="inlineStr">
        <is>
          <t>Daniel Gomes da Silva</t>
        </is>
      </c>
      <c r="C1707" s="1" t="inlineStr">
        <is>
          <t>Técnico I</t>
        </is>
      </c>
      <c r="D1707" s="3" t="n">
        <v>9</v>
      </c>
      <c r="E1707" s="3" t="n">
        <v>9</v>
      </c>
      <c r="F1707" s="3" t="n">
        <v>30.3</v>
      </c>
      <c r="G1707" s="3" t="n">
        <v>0</v>
      </c>
      <c r="H1707" s="3" t="n">
        <v>0</v>
      </c>
      <c r="I1707" s="3">
        <f>E1707+G1707+H1707</f>
        <v/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/>
      </c>
      <c r="K1707" s="3">
        <f>I1707-J1707</f>
        <v/>
      </c>
      <c r="L1707" s="3">
        <f>IF(K1707&lt;-5,"CRÍTICO",IF(K1707&lt;0,"ATENÇÃO",IF(K1707&lt;=5,"BOM","EXCELENTE")))</f>
        <v/>
      </c>
      <c r="M1707" s="3" t="n">
        <v>22</v>
      </c>
      <c r="N1707" s="3" t="n">
        <v>100</v>
      </c>
      <c r="O1707" s="12" t="n">
        <v>31.08974358974359</v>
      </c>
    </row>
    <row r="1708">
      <c r="A1708" s="10" t="n">
        <v>46055</v>
      </c>
      <c r="B1708" t="inlineStr">
        <is>
          <t>Davylla Rodrigues Freitas Silva</t>
        </is>
      </c>
      <c r="C1708" s="1" t="inlineStr">
        <is>
          <t>Técnico III</t>
        </is>
      </c>
      <c r="D1708" s="3" t="n">
        <v>37</v>
      </c>
      <c r="E1708" s="3" t="n">
        <v>37</v>
      </c>
      <c r="F1708" s="3" t="n">
        <v>18.57</v>
      </c>
      <c r="G1708" s="3" t="n">
        <v>0</v>
      </c>
      <c r="H1708" s="3" t="n">
        <v>0</v>
      </c>
      <c r="I1708" s="3" t="n">
        <v>0</v>
      </c>
      <c r="J1708" s="3" t="n">
        <v>0</v>
      </c>
      <c r="K1708" s="3" t="n">
        <v>0</v>
      </c>
      <c r="L1708" s="3">
        <f>IF(K1708&lt;-5,"CRÍTICO",IF(K1708&lt;0,"ATENÇÃO",IF(K1708&lt;=5,"BOM","EXCELENTE")))</f>
        <v/>
      </c>
      <c r="M1708" s="3" t="n">
        <v>37</v>
      </c>
      <c r="N1708" s="3" t="n">
        <v>98.11</v>
      </c>
      <c r="O1708" s="12" t="n">
        <v>33.03370786516854</v>
      </c>
    </row>
    <row r="1709">
      <c r="A1709" s="10" t="n">
        <v>46055</v>
      </c>
      <c r="B1709" t="inlineStr">
        <is>
          <t>Emilly Caylane Costa</t>
        </is>
      </c>
      <c r="C1709" s="1" t="inlineStr">
        <is>
          <t>Estágio</t>
        </is>
      </c>
      <c r="D1709" s="3" t="n">
        <v>0</v>
      </c>
      <c r="E1709" s="3" t="n">
        <v>0</v>
      </c>
      <c r="F1709" s="3" t="n">
        <v>0</v>
      </c>
      <c r="G1709" s="3" t="n">
        <v>0</v>
      </c>
      <c r="H1709" s="3" t="n">
        <v>0</v>
      </c>
      <c r="I1709" s="3" t="n">
        <v>0</v>
      </c>
      <c r="J1709" s="3" t="n">
        <v>0</v>
      </c>
      <c r="K1709" s="3" t="n">
        <v>0</v>
      </c>
      <c r="L1709" s="3">
        <f>IF(K1709&lt;-5,"CRÍTICO",IF(K1709&lt;0,"ATENÇÃO",IF(K1709&lt;=5,"BOM","EXCELENTE")))</f>
        <v/>
      </c>
      <c r="M1709" s="3" t="n">
        <v>0</v>
      </c>
      <c r="N1709" s="3" t="n">
        <v>78.95</v>
      </c>
      <c r="O1709" s="12" t="n">
        <v>38.98305084745763</v>
      </c>
    </row>
    <row r="1710">
      <c r="A1710" s="10" t="n">
        <v>46055</v>
      </c>
      <c r="B1710" t="inlineStr">
        <is>
          <t>Emilly Kamilly Medeiros Miranda</t>
        </is>
      </c>
      <c r="C1710" s="1" t="inlineStr">
        <is>
          <t>Técnico II</t>
        </is>
      </c>
      <c r="D1710" s="3" t="n">
        <v>32</v>
      </c>
      <c r="E1710" s="3" t="n">
        <v>27</v>
      </c>
      <c r="F1710" s="3" t="n">
        <v>18.42</v>
      </c>
      <c r="G1710" s="3" t="n">
        <v>0</v>
      </c>
      <c r="H1710" s="3" t="n">
        <v>0</v>
      </c>
      <c r="I1710" s="3">
        <f>E1710+G1710+H1710</f>
        <v/>
      </c>
      <c r="J1710" s="3">
        <f>ROUND(MIN(IF(C1710="Técnico III",35,IF(C1710="Técnico II",28,IF(C1710="Técnico I",23,IF(C1710="JR",20,IF(C1710="Estágio",10,0))))),IF(C1710="Técnico III",SUMIFS($D:$D,$A:$A,$A1710,$B:$B,"&lt;&gt;Patrícia Karla de Sousa Araújo",$B:$B,"&lt;&gt;Lorena Dias de Araujo",$B:$B,"&lt;&gt;Lucas Luiz Romero")*(35/1083),IF(C1710="Técnico II",SUMIFS($D:$D,$A:$A,$A1710,$B:$B,"&lt;&gt;Patrícia Karla de Sousa Araújo",$B:$B,"&lt;&gt;Lorena Dias de Araujo",$B:$B,"&lt;&gt;Lucas Luiz Romero")*(28/1083),IF(C1710="Técnico I",SUMIFS($D:$D,$A:$A,$A1710,$B:$B,"&lt;&gt;Patrícia Karla de Sousa Araújo",$B:$B,"&lt;&gt;Lorena Dias de Araujo",$B:$B,"&lt;&gt;Lucas Luiz Romero")*(23/1083),IF(C1710="JR",SUMIFS($D:$D,$A:$A,$A1710,$B:$B,"&lt;&gt;Patrícia Karla de Sousa Araújo",$B:$B,"&lt;&gt;Lorena Dias de Araujo",$B:$B,"&lt;&gt;Lucas Luiz Romero")*(20/1083),IF(C1710="Estágio",SUMIFS($D:$D,$A:$A,$A1710,$B:$B,"&lt;&gt;Patrícia Karla de Sousa Araújo",$B:$B,"&lt;&gt;Lorena Dias de Araujo",$B:$B,"&lt;&gt;Lucas Luiz Romero")*(10/1083),0)))))),0)</f>
        <v/>
      </c>
      <c r="K1710" s="3">
        <f>I1710-J1710</f>
        <v/>
      </c>
      <c r="L1710" s="3">
        <f>IF(K1710&lt;-5,"CRÍTICO",IF(K1710&lt;0,"ATENÇÃO",IF(K1710&lt;=5,"BOM","EXCELENTE")))</f>
        <v/>
      </c>
      <c r="M1710" s="3" t="n">
        <v>22</v>
      </c>
      <c r="N1710" s="3" t="n">
        <v>98.45</v>
      </c>
      <c r="O1710" s="12" t="n">
        <v>29.2817679558011</v>
      </c>
    </row>
    <row r="1711">
      <c r="A1711" s="10" t="n">
        <v>46055</v>
      </c>
      <c r="B1711" t="inlineStr">
        <is>
          <t>Francielson de Oliveira</t>
        </is>
      </c>
      <c r="C1711" s="1" t="inlineStr">
        <is>
          <t>Técnico III</t>
        </is>
      </c>
      <c r="D1711" s="3" t="n">
        <v>24</v>
      </c>
      <c r="E1711" s="3" t="n">
        <v>22</v>
      </c>
      <c r="F1711" s="3" t="n">
        <v>26.54</v>
      </c>
      <c r="G1711" s="3" t="n">
        <v>0</v>
      </c>
      <c r="H1711" s="3" t="n">
        <v>0</v>
      </c>
      <c r="I1711" s="3">
        <f>E1711+G1711+H1711</f>
        <v/>
      </c>
      <c r="J1711" s="3">
        <f>ROUND(MIN(IF(C1711="Técnico III",35,IF(C1711="Técnico II",28,IF(C1711="Técnico I",23,IF(C1711="JR",20,IF(C1711="Estágio",10,0))))),IF(C1711="Técnico III",SUMIFS($D:$D,$A:$A,$A1711,$B:$B,"&lt;&gt;Patrícia Karla de Sousa Araújo",$B:$B,"&lt;&gt;Lorena Dias de Araujo",$B:$B,"&lt;&gt;Lucas Luiz Romero")*(35/1083),IF(C1711="Técnico II",SUMIFS($D:$D,$A:$A,$A1711,$B:$B,"&lt;&gt;Patrícia Karla de Sousa Araújo",$B:$B,"&lt;&gt;Lorena Dias de Araujo",$B:$B,"&lt;&gt;Lucas Luiz Romero")*(28/1083),IF(C1711="Técnico I",SUMIFS($D:$D,$A:$A,$A1711,$B:$B,"&lt;&gt;Patrícia Karla de Sousa Araújo",$B:$B,"&lt;&gt;Lorena Dias de Araujo",$B:$B,"&lt;&gt;Lucas Luiz Romero")*(23/1083),IF(C1711="JR",SUMIFS($D:$D,$A:$A,$A1711,$B:$B,"&lt;&gt;Patrícia Karla de Sousa Araújo",$B:$B,"&lt;&gt;Lorena Dias de Araujo",$B:$B,"&lt;&gt;Lucas Luiz Romero")*(20/1083),IF(C1711="Estágio",SUMIFS($D:$D,$A:$A,$A1711,$B:$B,"&lt;&gt;Patrícia Karla de Sousa Araújo",$B:$B,"&lt;&gt;Lorena Dias de Araujo",$B:$B,"&lt;&gt;Lucas Luiz Romero")*(10/1083),0)))))),0)</f>
        <v/>
      </c>
      <c r="K1711" s="3">
        <f>I1711-J1711</f>
        <v/>
      </c>
      <c r="L1711" s="3">
        <f>IF(K1711&lt;-5,"CRÍTICO",IF(K1711&lt;0,"ATENÇÃO",IF(K1711&lt;=5,"BOM","EXCELENTE")))</f>
        <v/>
      </c>
      <c r="M1711" s="3" t="n">
        <v>21</v>
      </c>
      <c r="N1711" s="3" t="n">
        <v>97.84</v>
      </c>
      <c r="O1711" s="12" t="n">
        <v>26.28205128205128</v>
      </c>
    </row>
    <row r="1712">
      <c r="A1712" s="10" t="n">
        <v>46055</v>
      </c>
      <c r="B1712" t="inlineStr">
        <is>
          <t>Francilene Ferreira de Jesus</t>
        </is>
      </c>
      <c r="C1712" s="1" t="inlineStr">
        <is>
          <t>Técnico II</t>
        </is>
      </c>
      <c r="D1712" s="3" t="n">
        <v>30</v>
      </c>
      <c r="E1712" s="3" t="n">
        <v>29</v>
      </c>
      <c r="F1712" s="3" t="n">
        <v>22.16</v>
      </c>
      <c r="G1712" s="3" t="n">
        <v>0</v>
      </c>
      <c r="H1712" s="3" t="n">
        <v>0</v>
      </c>
      <c r="I1712" s="3">
        <f>E1712+G1712+H1712</f>
        <v/>
      </c>
      <c r="J1712" s="3">
        <f>ROUND(MIN(IF(C1712="Técnico III",35,IF(C1712="Técnico II",28,IF(C1712="Técnico I",23,IF(C1712="JR",20,IF(C1712="Estágio",10,0))))),IF(C1712="Técnico III",SUMIFS($D:$D,$A:$A,$A1712,$B:$B,"&lt;&gt;Patrícia Karla de Sousa Araújo",$B:$B,"&lt;&gt;Lorena Dias de Araujo",$B:$B,"&lt;&gt;Lucas Luiz Romero")*(35/1083),IF(C1712="Técnico II",SUMIFS($D:$D,$A:$A,$A1712,$B:$B,"&lt;&gt;Patrícia Karla de Sousa Araújo",$B:$B,"&lt;&gt;Lorena Dias de Araujo",$B:$B,"&lt;&gt;Lucas Luiz Romero")*(28/1083),IF(C1712="Técnico I",SUMIFS($D:$D,$A:$A,$A1712,$B:$B,"&lt;&gt;Patrícia Karla de Sousa Araújo",$B:$B,"&lt;&gt;Lorena Dias de Araujo",$B:$B,"&lt;&gt;Lucas Luiz Romero")*(23/1083),IF(C1712="JR",SUMIFS($D:$D,$A:$A,$A1712,$B:$B,"&lt;&gt;Patrícia Karla de Sousa Araújo",$B:$B,"&lt;&gt;Lorena Dias de Araujo",$B:$B,"&lt;&gt;Lucas Luiz Romero")*(20/1083),IF(C1712="Estágio",SUMIFS($D:$D,$A:$A,$A1712,$B:$B,"&lt;&gt;Patrícia Karla de Sousa Araújo",$B:$B,"&lt;&gt;Lorena Dias de Araujo",$B:$B,"&lt;&gt;Lucas Luiz Romero")*(10/1083),0)))))),0)</f>
        <v/>
      </c>
      <c r="K1712" s="3">
        <f>I1712-J1712</f>
        <v/>
      </c>
      <c r="L1712" s="3">
        <f>IF(K1712&lt;-5,"CRÍTICO",IF(K1712&lt;0,"ATENÇÃO",IF(K1712&lt;=5,"BOM","EXCELENTE")))</f>
        <v/>
      </c>
      <c r="M1712" s="3" t="n">
        <v>28</v>
      </c>
      <c r="N1712" s="3" t="n">
        <v>98.5</v>
      </c>
      <c r="O1712" s="12" t="n">
        <v>23.97769516728625</v>
      </c>
    </row>
    <row r="1713">
      <c r="A1713" s="10" t="n">
        <v>46087</v>
      </c>
      <c r="B1713" t="inlineStr">
        <is>
          <t>Gabriel Gomes de Andrade</t>
        </is>
      </c>
      <c r="C1713" s="1" t="inlineStr">
        <is>
          <t>Técnico I</t>
        </is>
      </c>
      <c r="D1713" s="3" t="n">
        <v>0</v>
      </c>
      <c r="E1713" s="3" t="n">
        <v>0</v>
      </c>
      <c r="F1713" s="3" t="n">
        <v>0</v>
      </c>
      <c r="G1713" s="3" t="n">
        <v>0</v>
      </c>
      <c r="H1713" s="3" t="n">
        <v>0</v>
      </c>
      <c r="I1713" s="3" t="n">
        <v>0</v>
      </c>
      <c r="J1713" s="3" t="n">
        <v>0</v>
      </c>
      <c r="K1713" s="3" t="n">
        <v>0</v>
      </c>
      <c r="L1713" s="3">
        <f>IF(K1713&lt;-5,"CRÍTICO",IF(K1713&lt;0,"ATENÇÃO",IF(K1713&lt;=5,"BOM","EXCELENTE")))</f>
        <v/>
      </c>
      <c r="M1713" s="3" t="n">
        <v>37</v>
      </c>
      <c r="N1713" s="3" t="n">
        <v>99.05</v>
      </c>
      <c r="O1713" s="12" t="n">
        <v>26.62192393736018</v>
      </c>
    </row>
    <row r="1714">
      <c r="A1714" s="10" t="n">
        <v>46055</v>
      </c>
      <c r="B1714" t="inlineStr">
        <is>
          <t>Isabella Borges de Oliveira</t>
        </is>
      </c>
      <c r="C1714" s="1" t="inlineStr">
        <is>
          <t>Técnico II</t>
        </is>
      </c>
      <c r="D1714" s="3" t="n">
        <v>38</v>
      </c>
      <c r="E1714" s="3" t="n">
        <v>35</v>
      </c>
      <c r="F1714" s="3" t="n">
        <v>20.24</v>
      </c>
      <c r="G1714" s="3" t="n">
        <v>0</v>
      </c>
      <c r="H1714" s="3" t="n">
        <v>0</v>
      </c>
      <c r="I1714" s="3">
        <f>E1714+G1714+H1714</f>
        <v/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/>
      </c>
      <c r="K1714" s="3">
        <f>I1714-J1714</f>
        <v/>
      </c>
      <c r="L1714" s="3">
        <f>IF(K1714&lt;-5,"CRÍTICO",IF(K1714&lt;0,"ATENÇÃO",IF(K1714&lt;=5,"BOM","EXCELENTE")))</f>
        <v/>
      </c>
      <c r="M1714" s="3" t="n">
        <v>31</v>
      </c>
      <c r="N1714" s="3" t="n">
        <v>98.53</v>
      </c>
      <c r="O1714" s="12" t="n">
        <v>31.57894736842105</v>
      </c>
    </row>
    <row r="1715">
      <c r="A1715" s="10" t="n">
        <v>46055</v>
      </c>
      <c r="B1715" t="inlineStr">
        <is>
          <t>Janaina Lima dos Reis Urany</t>
        </is>
      </c>
      <c r="C1715" s="1" t="inlineStr">
        <is>
          <t>Técnico III</t>
        </is>
      </c>
      <c r="D1715" s="3" t="n">
        <v>56</v>
      </c>
      <c r="E1715" s="3" t="n">
        <v>51</v>
      </c>
      <c r="F1715" s="3" t="n">
        <v>12.01</v>
      </c>
      <c r="G1715" s="3" t="n">
        <v>0</v>
      </c>
      <c r="H1715" s="3" t="n">
        <v>0</v>
      </c>
      <c r="I1715" s="3">
        <f>E1715+G1715+H1715</f>
        <v/>
      </c>
      <c r="J1715" s="3">
        <f>ROUND(MIN(IF(C1715="Técnico III",35,IF(C1715="Técnico II",28,IF(C1715="Técnico I",23,IF(C1715="JR",20,IF(C1715="Estágio",10,0))))),IF(C1715="Técnico III",SUMIFS($D:$D,$A:$A,$A1715,$B:$B,"&lt;&gt;Patrícia Karla de Sousa Araújo",$B:$B,"&lt;&gt;Lorena Dias de Araujo",$B:$B,"&lt;&gt;Lucas Luiz Romero")*(35/1083),IF(C1715="Técnico II",SUMIFS($D:$D,$A:$A,$A1715,$B:$B,"&lt;&gt;Patrícia Karla de Sousa Araújo",$B:$B,"&lt;&gt;Lorena Dias de Araujo",$B:$B,"&lt;&gt;Lucas Luiz Romero")*(28/1083),IF(C1715="Técnico I",SUMIFS($D:$D,$A:$A,$A1715,$B:$B,"&lt;&gt;Patrícia Karla de Sousa Araújo",$B:$B,"&lt;&gt;Lorena Dias de Araujo",$B:$B,"&lt;&gt;Lucas Luiz Romero")*(23/1083),IF(C1715="JR",SUMIFS($D:$D,$A:$A,$A1715,$B:$B,"&lt;&gt;Patrícia Karla de Sousa Araújo",$B:$B,"&lt;&gt;Lorena Dias de Araujo",$B:$B,"&lt;&gt;Lucas Luiz Romero")*(20/1083),IF(C1715="Estágio",SUMIFS($D:$D,$A:$A,$A1715,$B:$B,"&lt;&gt;Patrícia Karla de Sousa Araújo",$B:$B,"&lt;&gt;Lorena Dias de Araujo",$B:$B,"&lt;&gt;Lucas Luiz Romero")*(10/1083),0)))))),0)</f>
        <v/>
      </c>
      <c r="K1715" s="3">
        <f>I1715-J1715</f>
        <v/>
      </c>
      <c r="L1715" s="3">
        <f>IF(K1715&lt;-5,"CRÍTICO",IF(K1715&lt;0,"ATENÇÃO",IF(K1715&lt;=5,"BOM","EXCELENTE")))</f>
        <v/>
      </c>
      <c r="M1715" s="3" t="n">
        <v>54</v>
      </c>
      <c r="N1715" s="3" t="n">
        <v>100</v>
      </c>
      <c r="O1715" s="12" t="n">
        <v>25.72214580467676</v>
      </c>
    </row>
    <row r="1716">
      <c r="A1716" s="10" t="n">
        <v>46055</v>
      </c>
      <c r="B1716" t="inlineStr">
        <is>
          <t>Jaqueline Evangelista da Silva Martins</t>
        </is>
      </c>
      <c r="C1716" s="1" t="inlineStr">
        <is>
          <t>Técnico III</t>
        </is>
      </c>
      <c r="D1716" s="3" t="n">
        <v>16</v>
      </c>
      <c r="E1716" s="3" t="n">
        <v>16</v>
      </c>
      <c r="F1716" s="3" t="n">
        <v>19.09</v>
      </c>
      <c r="G1716" s="3" t="n">
        <v>0</v>
      </c>
      <c r="H1716" s="3" t="n">
        <v>0</v>
      </c>
      <c r="I1716" s="3">
        <f>E1716+G1716+H1716</f>
        <v/>
      </c>
      <c r="J1716" s="3">
        <f>ROUND(MIN(IF(C1716="Técnico III",35,IF(C1716="Técnico II",28,IF(C1716="Técnico I",23,IF(C1716="JR",20,IF(C1716="Estágio",10,0))))),IF(C1716="Técnico III",SUMIFS($D:$D,$A:$A,$A1716,$B:$B,"&lt;&gt;Patrícia Karla de Sousa Araújo",$B:$B,"&lt;&gt;Lorena Dias de Araujo",$B:$B,"&lt;&gt;Lucas Luiz Romero")*(35/1083),IF(C1716="Técnico II",SUMIFS($D:$D,$A:$A,$A1716,$B:$B,"&lt;&gt;Patrícia Karla de Sousa Araújo",$B:$B,"&lt;&gt;Lorena Dias de Araujo",$B:$B,"&lt;&gt;Lucas Luiz Romero")*(28/1083),IF(C1716="Técnico I",SUMIFS($D:$D,$A:$A,$A1716,$B:$B,"&lt;&gt;Patrícia Karla de Sousa Araújo",$B:$B,"&lt;&gt;Lorena Dias de Araujo",$B:$B,"&lt;&gt;Lucas Luiz Romero")*(23/1083),IF(C1716="JR",SUMIFS($D:$D,$A:$A,$A1716,$B:$B,"&lt;&gt;Patrícia Karla de Sousa Araújo",$B:$B,"&lt;&gt;Lorena Dias de Araujo",$B:$B,"&lt;&gt;Lucas Luiz Romero")*(20/1083),IF(C1716="Estágio",SUMIFS($D:$D,$A:$A,$A1716,$B:$B,"&lt;&gt;Patrícia Karla de Sousa Araújo",$B:$B,"&lt;&gt;Lorena Dias de Araujo",$B:$B,"&lt;&gt;Lucas Luiz Romero")*(10/1083),0)))))),0)</f>
        <v/>
      </c>
      <c r="K1716" s="3">
        <f>I1716-J1716</f>
        <v/>
      </c>
      <c r="L1716" s="3">
        <f>IF(K1716&lt;-5,"CRÍTICO",IF(K1716&lt;0,"ATENÇÃO",IF(K1716&lt;=5,"BOM","EXCELENTE")))</f>
        <v/>
      </c>
      <c r="M1716" s="3" t="n">
        <v>18</v>
      </c>
      <c r="N1716" s="3" t="n">
        <v>94.64</v>
      </c>
      <c r="O1716" s="12" t="n">
        <v>27.52941176470588</v>
      </c>
    </row>
    <row r="1717">
      <c r="A1717" s="10" t="n">
        <v>46055</v>
      </c>
      <c r="B1717" t="inlineStr">
        <is>
          <t>Jessica Faria da Silveira</t>
        </is>
      </c>
      <c r="C1717" s="1" t="inlineStr">
        <is>
          <t>Técnico II</t>
        </is>
      </c>
      <c r="D1717" s="3" t="n">
        <v>41</v>
      </c>
      <c r="E1717" s="3" t="n">
        <v>36</v>
      </c>
      <c r="F1717" s="3" t="n">
        <v>10.32</v>
      </c>
      <c r="G1717" s="3" t="n">
        <v>0</v>
      </c>
      <c r="H1717" s="3" t="n">
        <v>0</v>
      </c>
      <c r="I1717" s="3">
        <f>E1717+G1717+H1717</f>
        <v/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/>
      </c>
      <c r="K1717" s="3">
        <f>I1717-J1717</f>
        <v/>
      </c>
      <c r="L1717" s="3">
        <f>IF(K1717&lt;-5,"CRÍTICO",IF(K1717&lt;0,"ATENÇÃO",IF(K1717&lt;=5,"BOM","EXCELENTE")))</f>
        <v/>
      </c>
      <c r="M1717" s="3" t="n">
        <v>34</v>
      </c>
      <c r="N1717" s="3" t="n">
        <v>99.06999999999999</v>
      </c>
      <c r="O1717" s="12" t="n">
        <v>26.3768115942029</v>
      </c>
    </row>
    <row r="1718">
      <c r="A1718" s="10" t="n">
        <v>46055</v>
      </c>
      <c r="B1718" t="inlineStr">
        <is>
          <t>Jéssica Fé Moura</t>
        </is>
      </c>
      <c r="C1718" s="1" t="inlineStr">
        <is>
          <t>Técnico III</t>
        </is>
      </c>
      <c r="D1718" s="3" t="n">
        <v>0</v>
      </c>
      <c r="E1718" s="3" t="n">
        <v>0</v>
      </c>
      <c r="F1718" s="3" t="n">
        <v>0</v>
      </c>
      <c r="G1718" s="3" t="n">
        <v>0</v>
      </c>
      <c r="H1718" s="3" t="n">
        <v>0</v>
      </c>
      <c r="I1718" s="3" t="n">
        <v>0</v>
      </c>
      <c r="J1718" s="3" t="n">
        <v>0</v>
      </c>
      <c r="K1718" s="3" t="n">
        <v>0</v>
      </c>
      <c r="L1718" s="3">
        <f>IF(K1718&lt;-5,"CRÍTICO",IF(K1718&lt;0,"ATENÇÃO",IF(K1718&lt;=5,"BOM","EXCELENTE")))</f>
        <v/>
      </c>
      <c r="M1718" s="3" t="n">
        <v>0</v>
      </c>
      <c r="N1718" s="3" t="n">
        <v>100</v>
      </c>
      <c r="O1718" s="12" t="n">
        <v>0</v>
      </c>
    </row>
    <row r="1719">
      <c r="A1719" s="10" t="n">
        <v>46055</v>
      </c>
      <c r="B1719" t="inlineStr">
        <is>
          <t>Karina Gonçalves Martins</t>
        </is>
      </c>
      <c r="C1719" s="1" t="inlineStr">
        <is>
          <t>JR</t>
        </is>
      </c>
      <c r="D1719" s="3" t="n">
        <v>17</v>
      </c>
      <c r="E1719" s="3" t="n">
        <v>15</v>
      </c>
      <c r="F1719" s="3" t="n">
        <v>30.34</v>
      </c>
      <c r="G1719" s="3" t="n">
        <v>0</v>
      </c>
      <c r="H1719" s="3" t="n">
        <v>0</v>
      </c>
      <c r="I1719" s="3">
        <f>E1719+G1719+H1719</f>
        <v/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/>
      </c>
      <c r="K1719" s="3">
        <f>I1719-J1719</f>
        <v/>
      </c>
      <c r="L1719" s="3">
        <f>IF(K1719&lt;-5,"CRÍTICO",IF(K1719&lt;0,"ATENÇÃO",IF(K1719&lt;=5,"BOM","EXCELENTE")))</f>
        <v/>
      </c>
      <c r="M1719" s="3" t="n">
        <v>13</v>
      </c>
      <c r="N1719" s="3" t="n">
        <v>98.48</v>
      </c>
      <c r="O1719" s="12" t="n">
        <v>27.85388127853881</v>
      </c>
    </row>
    <row r="1720">
      <c r="A1720" s="10" t="n">
        <v>46055</v>
      </c>
      <c r="B1720" t="inlineStr">
        <is>
          <t>Kerollen Cristielly de Jesus Siqueira</t>
        </is>
      </c>
      <c r="C1720" s="1" t="inlineStr">
        <is>
          <t>Técnico III</t>
        </is>
      </c>
      <c r="D1720" s="3" t="n">
        <v>30</v>
      </c>
      <c r="E1720" s="3" t="n">
        <v>30</v>
      </c>
      <c r="F1720" s="3" t="n">
        <v>24.18</v>
      </c>
      <c r="G1720" s="3" t="n">
        <v>0</v>
      </c>
      <c r="H1720" s="3" t="n">
        <v>0</v>
      </c>
      <c r="I1720" s="3">
        <f>E1720+G1720+H1720</f>
        <v/>
      </c>
      <c r="J1720" s="3">
        <f>ROUND(MIN(IF(C1720="Técnico III",35,IF(C1720="Técnico II",28,IF(C1720="Técnico I",23,IF(C1720="JR",20,IF(C1720="Estágio",10,0))))),IF(C1720="Técnico III",SUMIFS($D:$D,$A:$A,$A1720,$B:$B,"&lt;&gt;Patrícia Karla de Sousa Araújo",$B:$B,"&lt;&gt;Lorena Dias de Araujo",$B:$B,"&lt;&gt;Lucas Luiz Romero")*(35/1083),IF(C1720="Técnico II",SUMIFS($D:$D,$A:$A,$A1720,$B:$B,"&lt;&gt;Patrícia Karla de Sousa Araújo",$B:$B,"&lt;&gt;Lorena Dias de Araujo",$B:$B,"&lt;&gt;Lucas Luiz Romero")*(28/1083),IF(C1720="Técnico I",SUMIFS($D:$D,$A:$A,$A1720,$B:$B,"&lt;&gt;Patrícia Karla de Sousa Araújo",$B:$B,"&lt;&gt;Lorena Dias de Araujo",$B:$B,"&lt;&gt;Lucas Luiz Romero")*(23/1083),IF(C1720="JR",SUMIFS($D:$D,$A:$A,$A1720,$B:$B,"&lt;&gt;Patrícia Karla de Sousa Araújo",$B:$B,"&lt;&gt;Lorena Dias de Araujo",$B:$B,"&lt;&gt;Lucas Luiz Romero")*(20/1083),IF(C1720="Estágio",SUMIFS($D:$D,$A:$A,$A1720,$B:$B,"&lt;&gt;Patrícia Karla de Sousa Araújo",$B:$B,"&lt;&gt;Lorena Dias de Araujo",$B:$B,"&lt;&gt;Lucas Luiz Romero")*(10/1083),0)))))),0)</f>
        <v/>
      </c>
      <c r="K1720" s="3">
        <f>I1720-J1720</f>
        <v/>
      </c>
      <c r="L1720" s="3">
        <f>IF(K1720&lt;-5,"CRÍTICO",IF(K1720&lt;0,"ATENÇÃO",IF(K1720&lt;=5,"BOM","EXCELENTE")))</f>
        <v/>
      </c>
      <c r="M1720" s="3" t="n">
        <v>26</v>
      </c>
      <c r="N1720" s="3" t="n">
        <v>95.15000000000001</v>
      </c>
      <c r="O1720" s="12" t="n">
        <v>34.13173652694611</v>
      </c>
    </row>
    <row r="1721">
      <c r="A1721" s="10" t="n">
        <v>46055</v>
      </c>
      <c r="B1721" t="inlineStr">
        <is>
          <t>Leandro de Souza Silva</t>
        </is>
      </c>
      <c r="C1721" s="1" t="inlineStr">
        <is>
          <t>JR</t>
        </is>
      </c>
      <c r="D1721" s="3" t="n">
        <v>0</v>
      </c>
      <c r="E1721" s="3" t="n">
        <v>0</v>
      </c>
      <c r="F1721" s="3" t="n">
        <v>0</v>
      </c>
      <c r="G1721" s="3" t="n">
        <v>0</v>
      </c>
      <c r="H1721" s="3" t="n">
        <v>0</v>
      </c>
      <c r="I1721" s="3" t="n">
        <v>0</v>
      </c>
      <c r="J1721" s="3" t="n">
        <v>0</v>
      </c>
      <c r="K1721" s="3" t="n">
        <v>0</v>
      </c>
      <c r="L1721" s="3">
        <f>IF(K1721&lt;-5,"CRÍTICO",IF(K1721&lt;0,"ATENÇÃO",IF(K1721&lt;=5,"BOM","EXCELENTE")))</f>
        <v/>
      </c>
      <c r="M1721" s="3" t="n">
        <v>0</v>
      </c>
      <c r="N1721" s="3" t="n">
        <v>0</v>
      </c>
      <c r="O1721" s="12" t="n">
        <v>0</v>
      </c>
    </row>
    <row r="1722">
      <c r="A1722" s="10" t="n">
        <v>46055</v>
      </c>
      <c r="B1722" t="inlineStr">
        <is>
          <t>Leandro Oliveira de Sousa</t>
        </is>
      </c>
      <c r="C1722" s="1" t="inlineStr">
        <is>
          <t>Técnico III</t>
        </is>
      </c>
      <c r="D1722" s="3" t="n">
        <v>33</v>
      </c>
      <c r="E1722" s="3" t="n">
        <v>32</v>
      </c>
      <c r="F1722" s="3" t="n">
        <v>17.15</v>
      </c>
      <c r="G1722" s="3" t="n">
        <v>0</v>
      </c>
      <c r="H1722" s="3" t="n">
        <v>0</v>
      </c>
      <c r="I1722" s="3">
        <f>E1722+G1722+H1722</f>
        <v/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/>
      </c>
      <c r="K1722" s="3">
        <f>I1722-J1722</f>
        <v/>
      </c>
      <c r="L1722" s="3">
        <f>IF(K1722&lt;-5,"CRÍTICO",IF(K1722&lt;0,"ATENÇÃO",IF(K1722&lt;=5,"BOM","EXCELENTE")))</f>
        <v/>
      </c>
      <c r="M1722" s="3" t="n">
        <v>28</v>
      </c>
      <c r="N1722" s="3" t="n">
        <v>99.26000000000001</v>
      </c>
      <c r="O1722" s="12" t="n">
        <v>30.84832904884319</v>
      </c>
    </row>
    <row r="1723">
      <c r="A1723" s="10" t="n">
        <v>46055</v>
      </c>
      <c r="B1723" t="inlineStr">
        <is>
          <t>Lizandra Gomes Duarte</t>
        </is>
      </c>
      <c r="C1723" s="1" t="inlineStr">
        <is>
          <t>Técnico II</t>
        </is>
      </c>
      <c r="D1723" s="3" t="n">
        <v>31</v>
      </c>
      <c r="E1723" s="3" t="n">
        <v>27</v>
      </c>
      <c r="F1723" s="3" t="n">
        <v>18.2</v>
      </c>
      <c r="G1723" s="3" t="n">
        <v>0</v>
      </c>
      <c r="H1723" s="3" t="n">
        <v>0</v>
      </c>
      <c r="I1723" s="3">
        <f>E1723+G1723+H1723</f>
        <v/>
      </c>
      <c r="J1723" s="3">
        <f>ROUND(MIN(IF(C1723="Técnico III",35,IF(C1723="Técnico II",28,IF(C1723="Técnico I",23,IF(C1723="JR",20,IF(C1723="Estágio",10,0))))),IF(C1723="Técnico III",SUMIFS($D:$D,$A:$A,$A1723,$B:$B,"&lt;&gt;Patrícia Karla de Sousa Araújo",$B:$B,"&lt;&gt;Lorena Dias de Araujo",$B:$B,"&lt;&gt;Lucas Luiz Romero")*(35/1083),IF(C1723="Técnico II",SUMIFS($D:$D,$A:$A,$A1723,$B:$B,"&lt;&gt;Patrícia Karla de Sousa Araújo",$B:$B,"&lt;&gt;Lorena Dias de Araujo",$B:$B,"&lt;&gt;Lucas Luiz Romero")*(28/1083),IF(C1723="Técnico I",SUMIFS($D:$D,$A:$A,$A1723,$B:$B,"&lt;&gt;Patrícia Karla de Sousa Araújo",$B:$B,"&lt;&gt;Lorena Dias de Araujo",$B:$B,"&lt;&gt;Lucas Luiz Romero")*(23/1083),IF(C1723="JR",SUMIFS($D:$D,$A:$A,$A1723,$B:$B,"&lt;&gt;Patrícia Karla de Sousa Araújo",$B:$B,"&lt;&gt;Lorena Dias de Araujo",$B:$B,"&lt;&gt;Lucas Luiz Romero")*(20/1083),IF(C1723="Estágio",SUMIFS($D:$D,$A:$A,$A1723,$B:$B,"&lt;&gt;Patrícia Karla de Sousa Araújo",$B:$B,"&lt;&gt;Lorena Dias de Araujo",$B:$B,"&lt;&gt;Lucas Luiz Romero")*(10/1083),0)))))),0)</f>
        <v/>
      </c>
      <c r="K1723" s="3">
        <f>I1723-J1723</f>
        <v/>
      </c>
      <c r="L1723" s="3">
        <f>IF(K1723&lt;-5,"CRÍTICO",IF(K1723&lt;0,"ATENÇÃO",IF(K1723&lt;=5,"BOM","EXCELENTE")))</f>
        <v/>
      </c>
      <c r="M1723" s="3" t="n">
        <v>27</v>
      </c>
      <c r="N1723" s="3" t="n">
        <v>97.48</v>
      </c>
      <c r="O1723" s="12" t="n">
        <v>27.76470588235294</v>
      </c>
    </row>
    <row r="1724">
      <c r="A1724" s="10" t="n">
        <v>46055</v>
      </c>
      <c r="B1724" t="inlineStr">
        <is>
          <t>Lorena Dias de Araujo</t>
        </is>
      </c>
      <c r="C1724" s="1" t="inlineStr">
        <is>
          <t>Técnico II</t>
        </is>
      </c>
      <c r="D1724" s="3" t="n">
        <v>33</v>
      </c>
      <c r="E1724" s="3" t="n">
        <v>32</v>
      </c>
      <c r="F1724" s="3" t="n">
        <v>17.01</v>
      </c>
      <c r="G1724" s="3" t="n">
        <v>0</v>
      </c>
      <c r="H1724" s="3" t="n">
        <v>0</v>
      </c>
      <c r="I1724" s="3" t="n">
        <v>0</v>
      </c>
      <c r="J1724" s="3" t="n">
        <v>0</v>
      </c>
      <c r="K1724" s="3" t="n">
        <v>0</v>
      </c>
      <c r="L1724" s="3">
        <f>IF(K1724&lt;-5,"CRÍTICO",IF(K1724&lt;0,"ATENÇÃO",IF(K1724&lt;=5,"BOM","EXCELENTE")))</f>
        <v/>
      </c>
      <c r="M1724" s="3" t="n">
        <v>32</v>
      </c>
      <c r="N1724" s="3" t="n">
        <v>99.34</v>
      </c>
      <c r="O1724" s="12" t="n">
        <v>30.04291845493562</v>
      </c>
    </row>
    <row r="1725">
      <c r="A1725" s="10" t="n">
        <v>46055</v>
      </c>
      <c r="B1725" t="inlineStr">
        <is>
          <t>Lucas Luiz Romero</t>
        </is>
      </c>
      <c r="C1725" s="1" t="inlineStr">
        <is>
          <t>Técnico III</t>
        </is>
      </c>
      <c r="D1725" s="3" t="n">
        <v>0</v>
      </c>
      <c r="E1725" s="3" t="n">
        <v>0</v>
      </c>
      <c r="F1725" s="3" t="n">
        <v>0</v>
      </c>
      <c r="G1725" s="3" t="n">
        <v>0</v>
      </c>
      <c r="H1725" s="3" t="n">
        <v>0</v>
      </c>
      <c r="I1725" s="3" t="n">
        <v>0</v>
      </c>
      <c r="J1725" s="3" t="n">
        <v>0</v>
      </c>
      <c r="K1725" s="3" t="n">
        <v>0</v>
      </c>
      <c r="L1725" s="3">
        <f>IF(K1725&lt;-5,"CRÍTICO",IF(K1725&lt;0,"ATENÇÃO",IF(K1725&lt;=5,"BOM","EXCELENTE")))</f>
        <v/>
      </c>
      <c r="M1725" s="3" t="n">
        <v>0</v>
      </c>
      <c r="N1725" s="3" t="n">
        <v>96.3</v>
      </c>
      <c r="O1725" s="12" t="n">
        <v>24.29378531073446</v>
      </c>
    </row>
    <row r="1726">
      <c r="A1726" s="10" t="n">
        <v>46055</v>
      </c>
      <c r="B1726" t="inlineStr">
        <is>
          <t>Luiz Fernando de Carvalho Junior</t>
        </is>
      </c>
      <c r="C1726" s="1" t="inlineStr">
        <is>
          <t>Técnico I</t>
        </is>
      </c>
      <c r="D1726" s="3" t="n">
        <v>23</v>
      </c>
      <c r="E1726" s="3" t="n">
        <v>23</v>
      </c>
      <c r="F1726" s="3" t="n">
        <v>20.09</v>
      </c>
      <c r="G1726" s="3" t="n">
        <v>0</v>
      </c>
      <c r="H1726" s="3" t="n">
        <v>0</v>
      </c>
      <c r="I1726" s="3">
        <f>E1726+G1726+H1726</f>
        <v/>
      </c>
      <c r="J1726" s="3">
        <f>ROUND(MIN(IF(C1726="Técnico III",35,IF(C1726="Técnico II",28,IF(C1726="Técnico I",23,IF(C1726="JR",20,IF(C1726="Estágio",10,0))))),IF(C1726="Técnico III",SUMIFS($D:$D,$A:$A,$A1726,$B:$B,"&lt;&gt;Patrícia Karla de Sousa Araújo",$B:$B,"&lt;&gt;Lorena Dias de Araujo",$B:$B,"&lt;&gt;Lucas Luiz Romero")*(35/1083),IF(C1726="Técnico II",SUMIFS($D:$D,$A:$A,$A1726,$B:$B,"&lt;&gt;Patrícia Karla de Sousa Araújo",$B:$B,"&lt;&gt;Lorena Dias de Araujo",$B:$B,"&lt;&gt;Lucas Luiz Romero")*(28/1083),IF(C1726="Técnico I",SUMIFS($D:$D,$A:$A,$A1726,$B:$B,"&lt;&gt;Patrícia Karla de Sousa Araújo",$B:$B,"&lt;&gt;Lorena Dias de Araujo",$B:$B,"&lt;&gt;Lucas Luiz Romero")*(23/1083),IF(C1726="JR",SUMIFS($D:$D,$A:$A,$A1726,$B:$B,"&lt;&gt;Patrícia Karla de Sousa Araújo",$B:$B,"&lt;&gt;Lorena Dias de Araujo",$B:$B,"&lt;&gt;Lucas Luiz Romero")*(20/1083),IF(C1726="Estágio",SUMIFS($D:$D,$A:$A,$A1726,$B:$B,"&lt;&gt;Patrícia Karla de Sousa Araújo",$B:$B,"&lt;&gt;Lorena Dias de Araujo",$B:$B,"&lt;&gt;Lucas Luiz Romero")*(10/1083),0)))))),0)</f>
        <v/>
      </c>
      <c r="K1726" s="3">
        <f>I1726-J1726</f>
        <v/>
      </c>
      <c r="L1726" s="3">
        <f>IF(K1726&lt;-5,"CRÍTICO",IF(K1726&lt;0,"ATENÇÃO",IF(K1726&lt;=5,"BOM","EXCELENTE")))</f>
        <v/>
      </c>
      <c r="M1726" s="3" t="n">
        <v>22</v>
      </c>
      <c r="N1726" s="3" t="n">
        <v>100</v>
      </c>
      <c r="O1726" s="12" t="n">
        <v>26.54320987654321</v>
      </c>
    </row>
    <row r="1727">
      <c r="A1727" s="10" t="n">
        <v>46055</v>
      </c>
      <c r="B1727" t="inlineStr">
        <is>
          <t>Maria Eduarda Sousa Costa</t>
        </is>
      </c>
      <c r="C1727" s="1" t="inlineStr">
        <is>
          <t>Estágio</t>
        </is>
      </c>
      <c r="D1727" s="3" t="n">
        <v>9</v>
      </c>
      <c r="E1727" s="3" t="n">
        <v>8</v>
      </c>
      <c r="F1727" s="3" t="n">
        <v>39.09</v>
      </c>
      <c r="G1727" s="3" t="n">
        <v>0</v>
      </c>
      <c r="H1727" s="3" t="n">
        <v>0</v>
      </c>
      <c r="I1727" s="3">
        <f>E1727+G1727+H1727</f>
        <v/>
      </c>
      <c r="J1727" s="3">
        <f>ROUND(MIN(IF(C1727="Técnico III",35,IF(C1727="Técnico II",28,IF(C1727="Técnico I",23,IF(C1727="JR",20,IF(C1727="Estágio",10,0))))),IF(C1727="Técnico III",SUMIFS($D:$D,$A:$A,$A1727,$B:$B,"&lt;&gt;Patrícia Karla de Sousa Araújo",$B:$B,"&lt;&gt;Lorena Dias de Araujo",$B:$B,"&lt;&gt;Lucas Luiz Romero")*(35/1083),IF(C1727="Técnico II",SUMIFS($D:$D,$A:$A,$A1727,$B:$B,"&lt;&gt;Patrícia Karla de Sousa Araújo",$B:$B,"&lt;&gt;Lorena Dias de Araujo",$B:$B,"&lt;&gt;Lucas Luiz Romero")*(28/1083),IF(C1727="Técnico I",SUMIFS($D:$D,$A:$A,$A1727,$B:$B,"&lt;&gt;Patrícia Karla de Sousa Araújo",$B:$B,"&lt;&gt;Lorena Dias de Araujo",$B:$B,"&lt;&gt;Lucas Luiz Romero")*(23/1083),IF(C1727="JR",SUMIFS($D:$D,$A:$A,$A1727,$B:$B,"&lt;&gt;Patrícia Karla de Sousa Araújo",$B:$B,"&lt;&gt;Lorena Dias de Araujo",$B:$B,"&lt;&gt;Lucas Luiz Romero")*(20/1083),IF(C1727="Estágio",SUMIFS($D:$D,$A:$A,$A1727,$B:$B,"&lt;&gt;Patrícia Karla de Sousa Araújo",$B:$B,"&lt;&gt;Lorena Dias de Araujo",$B:$B,"&lt;&gt;Lucas Luiz Romero")*(10/1083),0)))))),0)</f>
        <v/>
      </c>
      <c r="K1727" s="3">
        <f>I1727-J1727</f>
        <v/>
      </c>
      <c r="L1727" s="3">
        <f>IF(K1727&lt;-5,"CRÍTICO",IF(K1727&lt;0,"ATENÇÃO",IF(K1727&lt;=5,"BOM","EXCELENTE")))</f>
        <v/>
      </c>
      <c r="M1727" s="3" t="n">
        <v>7</v>
      </c>
      <c r="N1727" s="3" t="n">
        <v>100</v>
      </c>
      <c r="O1727" s="12" t="n">
        <v>35.48387096774194</v>
      </c>
    </row>
    <row r="1728">
      <c r="A1728" s="10" t="n">
        <v>46055</v>
      </c>
      <c r="B1728" t="inlineStr">
        <is>
          <t>Matheus Farias De Souza</t>
        </is>
      </c>
      <c r="C1728" s="1" t="inlineStr">
        <is>
          <t>Técnico III</t>
        </is>
      </c>
      <c r="D1728" s="3" t="n">
        <v>35</v>
      </c>
      <c r="E1728" s="3" t="n">
        <v>35</v>
      </c>
      <c r="F1728" s="3" t="n">
        <v>12.06</v>
      </c>
      <c r="G1728" s="3" t="n">
        <v>0</v>
      </c>
      <c r="H1728" s="3" t="n">
        <v>0</v>
      </c>
      <c r="I1728" s="3">
        <f>E1728+G1728+H1728</f>
        <v/>
      </c>
      <c r="J1728" s="3">
        <f>ROUND(MIN(IF(C1728="Técnico III",35,IF(C1728="Técnico II",28,IF(C1728="Técnico I",23,IF(C1728="JR",20,IF(C1728="Estágio",10,0))))),IF(C1728="Técnico III",SUMIFS($D:$D,$A:$A,$A1728,$B:$B,"&lt;&gt;Patrícia Karla de Sousa Araújo",$B:$B,"&lt;&gt;Lorena Dias de Araujo",$B:$B,"&lt;&gt;Lucas Luiz Romero")*(35/1083),IF(C1728="Técnico II",SUMIFS($D:$D,$A:$A,$A1728,$B:$B,"&lt;&gt;Patrícia Karla de Sousa Araújo",$B:$B,"&lt;&gt;Lorena Dias de Araujo",$B:$B,"&lt;&gt;Lucas Luiz Romero")*(28/1083),IF(C1728="Técnico I",SUMIFS($D:$D,$A:$A,$A1728,$B:$B,"&lt;&gt;Patrícia Karla de Sousa Araújo",$B:$B,"&lt;&gt;Lorena Dias de Araujo",$B:$B,"&lt;&gt;Lucas Luiz Romero")*(23/1083),IF(C1728="JR",SUMIFS($D:$D,$A:$A,$A1728,$B:$B,"&lt;&gt;Patrícia Karla de Sousa Araújo",$B:$B,"&lt;&gt;Lorena Dias de Araujo",$B:$B,"&lt;&gt;Lucas Luiz Romero")*(20/1083),IF(C1728="Estágio",SUMIFS($D:$D,$A:$A,$A1728,$B:$B,"&lt;&gt;Patrícia Karla de Sousa Araújo",$B:$B,"&lt;&gt;Lorena Dias de Araujo",$B:$B,"&lt;&gt;Lucas Luiz Romero")*(10/1083),0)))))),0)</f>
        <v/>
      </c>
      <c r="K1728" s="3">
        <f>I1728-J1728</f>
        <v/>
      </c>
      <c r="L1728" s="3">
        <f>IF(K1728&lt;-5,"CRÍTICO",IF(K1728&lt;0,"ATENÇÃO",IF(K1728&lt;=5,"BOM","EXCELENTE")))</f>
        <v/>
      </c>
      <c r="M1728" s="3" t="n">
        <v>33</v>
      </c>
      <c r="N1728" s="3" t="n">
        <v>99.27</v>
      </c>
      <c r="O1728" s="12" t="n">
        <v>31.16370808678501</v>
      </c>
    </row>
    <row r="1729">
      <c r="A1729" s="10" t="n">
        <v>46055</v>
      </c>
      <c r="B1729" t="inlineStr">
        <is>
          <t>Maysa Victoria Dias Moura</t>
        </is>
      </c>
      <c r="C1729" s="1" t="inlineStr">
        <is>
          <t>Técnico III</t>
        </is>
      </c>
      <c r="D1729" s="3" t="n">
        <v>46</v>
      </c>
      <c r="E1729" s="3" t="n">
        <v>37</v>
      </c>
      <c r="F1729" s="3" t="n">
        <v>13.29</v>
      </c>
      <c r="G1729" s="3" t="n">
        <v>0</v>
      </c>
      <c r="H1729" s="3" t="n">
        <v>0</v>
      </c>
      <c r="I1729" s="3">
        <f>E1729+G1729+H1729</f>
        <v/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/>
      </c>
      <c r="K1729" s="3">
        <f>I1729-J1729</f>
        <v/>
      </c>
      <c r="L1729" s="3">
        <f>IF(K1729&lt;-5,"CRÍTICO",IF(K1729&lt;0,"ATENÇÃO",IF(K1729&lt;=5,"BOM","EXCELENTE")))</f>
        <v/>
      </c>
      <c r="M1729" s="3" t="n">
        <v>38</v>
      </c>
      <c r="N1729" s="3" t="n">
        <v>94.16</v>
      </c>
      <c r="O1729" s="12" t="n">
        <v>27.03862660944206</v>
      </c>
    </row>
    <row r="1730">
      <c r="A1730" s="10" t="n">
        <v>46055</v>
      </c>
      <c r="B1730" t="inlineStr">
        <is>
          <t>Michelle G Santos</t>
        </is>
      </c>
      <c r="C1730" s="1" t="inlineStr">
        <is>
          <t>Estágio</t>
        </is>
      </c>
      <c r="D1730" s="3" t="n">
        <v>9</v>
      </c>
      <c r="E1730" s="3" t="n">
        <v>9</v>
      </c>
      <c r="F1730" s="3" t="n">
        <v>49.04</v>
      </c>
      <c r="G1730" s="3" t="n">
        <v>0</v>
      </c>
      <c r="H1730" s="3" t="n">
        <v>0</v>
      </c>
      <c r="I1730" s="3">
        <f>E1730+G1730+H1730</f>
        <v/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/>
      </c>
      <c r="K1730" s="3">
        <f>I1730-J1730</f>
        <v/>
      </c>
      <c r="L1730" s="3">
        <f>IF(K1730&lt;-5,"CRÍTICO",IF(K1730&lt;0,"ATENÇÃO",IF(K1730&lt;=5,"BOM","EXCELENTE")))</f>
        <v/>
      </c>
      <c r="M1730" s="3" t="n">
        <v>1</v>
      </c>
      <c r="N1730" s="3" t="n">
        <v>93.75</v>
      </c>
      <c r="O1730" s="12" t="n">
        <v>19.31818181818182</v>
      </c>
    </row>
    <row r="1731">
      <c r="A1731" s="10" t="n">
        <v>46055</v>
      </c>
      <c r="B1731" t="inlineStr">
        <is>
          <t>Milena Sales</t>
        </is>
      </c>
      <c r="C1731" s="1" t="inlineStr">
        <is>
          <t>JR</t>
        </is>
      </c>
      <c r="D1731" s="3" t="n">
        <v>0</v>
      </c>
      <c r="E1731" s="3" t="n">
        <v>0</v>
      </c>
      <c r="F1731" s="3" t="n">
        <v>0</v>
      </c>
      <c r="G1731" s="3" t="n">
        <v>0</v>
      </c>
      <c r="H1731" s="3" t="n">
        <v>0</v>
      </c>
      <c r="I1731" s="3" t="n">
        <v>0</v>
      </c>
      <c r="J1731" s="3" t="n">
        <v>0</v>
      </c>
      <c r="K1731" s="3" t="n">
        <v>0</v>
      </c>
      <c r="L1731" s="3">
        <f>IF(K1731&lt;-5,"CRÍTICO",IF(K1731&lt;0,"ATENÇÃO",IF(K1731&lt;=5,"BOM","EXCELENTE")))</f>
        <v/>
      </c>
      <c r="M1731" s="3" t="n">
        <v>0</v>
      </c>
      <c r="N1731" s="3" t="n">
        <v>0</v>
      </c>
      <c r="O1731" s="12" t="n">
        <v>0</v>
      </c>
    </row>
    <row r="1732">
      <c r="A1732" s="10" t="n">
        <v>46055</v>
      </c>
      <c r="B1732" t="inlineStr">
        <is>
          <t>Patrícia Karla de Sousa Araújo</t>
        </is>
      </c>
      <c r="C1732" s="1" t="inlineStr">
        <is>
          <t>Técnico II</t>
        </is>
      </c>
      <c r="D1732" s="3" t="n">
        <v>33</v>
      </c>
      <c r="E1732" s="3" t="n">
        <v>31</v>
      </c>
      <c r="F1732" s="3" t="n">
        <v>22.32</v>
      </c>
      <c r="G1732" s="3" t="n">
        <v>0</v>
      </c>
      <c r="H1732" s="3" t="n">
        <v>0</v>
      </c>
      <c r="I1732" s="3">
        <f>E1732+G1732+H1732</f>
        <v/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/>
      </c>
      <c r="K1732" s="3">
        <f>I1732-J1732</f>
        <v/>
      </c>
      <c r="L1732" s="3">
        <f>IF(K1732&lt;-5,"CRÍTICO",IF(K1732&lt;0,"ATENÇÃO",IF(K1732&lt;=5,"BOM","EXCELENTE")))</f>
        <v/>
      </c>
      <c r="M1732" s="3" t="n">
        <v>23</v>
      </c>
      <c r="N1732" s="3" t="n">
        <v>97.92</v>
      </c>
      <c r="O1732" s="12" t="n">
        <v>32.87671232876712</v>
      </c>
    </row>
    <row r="1733">
      <c r="A1733" s="10" t="n">
        <v>46055</v>
      </c>
      <c r="B1733" t="inlineStr">
        <is>
          <t>Paulo Ricardo Santos</t>
        </is>
      </c>
      <c r="C1733" s="1" t="inlineStr">
        <is>
          <t>JR</t>
        </is>
      </c>
      <c r="D1733" s="3" t="n">
        <v>0</v>
      </c>
      <c r="E1733" s="3" t="n">
        <v>0</v>
      </c>
      <c r="F1733" s="3" t="n">
        <v>0</v>
      </c>
      <c r="G1733" s="3" t="n">
        <v>0</v>
      </c>
      <c r="H1733" s="3" t="n">
        <v>0</v>
      </c>
      <c r="I1733" s="3" t="n">
        <v>0</v>
      </c>
      <c r="J1733" s="3" t="n">
        <v>0</v>
      </c>
      <c r="K1733" s="3" t="n">
        <v>0</v>
      </c>
      <c r="L1733" s="3">
        <f>IF(K1733&lt;-5,"CRÍTICO",IF(K1733&lt;0,"ATENÇÃO",IF(K1733&lt;=5,"BOM","EXCELENTE")))</f>
        <v/>
      </c>
      <c r="M1733" s="3" t="n">
        <v>0</v>
      </c>
      <c r="N1733" s="3" t="n">
        <v>0</v>
      </c>
      <c r="O1733" s="12" t="n">
        <v>0</v>
      </c>
    </row>
    <row r="1734">
      <c r="A1734" s="10" t="n">
        <v>46055</v>
      </c>
      <c r="B1734" t="inlineStr">
        <is>
          <t>Pedro Luiz Mota Sousa</t>
        </is>
      </c>
      <c r="C1734" s="1" t="inlineStr">
        <is>
          <t>JR</t>
        </is>
      </c>
      <c r="D1734" s="3" t="n">
        <v>0</v>
      </c>
      <c r="E1734" s="3" t="n">
        <v>0</v>
      </c>
      <c r="F1734" s="3" t="n">
        <v>0</v>
      </c>
      <c r="G1734" s="3" t="n">
        <v>0</v>
      </c>
      <c r="H1734" s="3" t="n">
        <v>0</v>
      </c>
      <c r="I1734" s="3" t="n">
        <v>0</v>
      </c>
      <c r="J1734" s="3" t="n">
        <v>0</v>
      </c>
      <c r="K1734" s="3" t="n">
        <v>0</v>
      </c>
      <c r="L1734" s="3">
        <f>IF(K1734&lt;-5,"CRÍTICO",IF(K1734&lt;0,"ATENÇÃO",IF(K1734&lt;=5,"BOM","EXCELENTE")))</f>
        <v/>
      </c>
      <c r="M1734" s="3" t="n">
        <v>0</v>
      </c>
      <c r="N1734" s="3" t="n">
        <v>0</v>
      </c>
      <c r="O1734" s="12" t="n">
        <v>0</v>
      </c>
    </row>
    <row r="1735">
      <c r="A1735" s="10" t="n">
        <v>46055</v>
      </c>
      <c r="B1735" t="inlineStr">
        <is>
          <t>Quirino Diogo Leite Torres</t>
        </is>
      </c>
      <c r="C1735" s="1" t="inlineStr">
        <is>
          <t>Estágio</t>
        </is>
      </c>
      <c r="D1735" s="3" t="n">
        <v>0</v>
      </c>
      <c r="E1735" s="3" t="n">
        <v>0</v>
      </c>
      <c r="F1735" s="3" t="n">
        <v>0</v>
      </c>
      <c r="G1735" s="3" t="n">
        <v>0</v>
      </c>
      <c r="H1735" s="3" t="n">
        <v>0</v>
      </c>
      <c r="I1735" s="3" t="n">
        <v>0</v>
      </c>
      <c r="J1735" s="3" t="n">
        <v>0</v>
      </c>
      <c r="K1735" s="3" t="n">
        <v>0</v>
      </c>
      <c r="L1735" s="3">
        <f>IF(K1735&lt;-5,"CRÍTICO",IF(K1735&lt;0,"ATENÇÃO",IF(K1735&lt;=5,"BOM","EXCELENTE")))</f>
        <v/>
      </c>
      <c r="M1735" s="3" t="n">
        <v>0</v>
      </c>
      <c r="N1735" s="3" t="n">
        <v>0</v>
      </c>
      <c r="O1735" s="12" t="n">
        <v>0</v>
      </c>
    </row>
    <row r="1736">
      <c r="A1736" s="10" t="n">
        <v>46055</v>
      </c>
      <c r="B1736" t="inlineStr">
        <is>
          <t>Raane Batista Matos</t>
        </is>
      </c>
      <c r="C1736" s="1" t="inlineStr">
        <is>
          <t>Técnico I</t>
        </is>
      </c>
      <c r="D1736" s="3" t="n">
        <v>14</v>
      </c>
      <c r="E1736" s="3" t="n">
        <v>11</v>
      </c>
      <c r="F1736" s="3" t="n">
        <v>35.41</v>
      </c>
      <c r="G1736" s="3" t="n">
        <v>0</v>
      </c>
      <c r="H1736" s="3" t="n">
        <v>0</v>
      </c>
      <c r="I1736" s="3">
        <f>E1736+G1736+H1736</f>
        <v/>
      </c>
      <c r="J1736" s="3">
        <f>ROUND(MIN(IF(C1736="Técnico III",35,IF(C1736="Técnico II",28,IF(C1736="Técnico I",23,IF(C1736="JR",20,IF(C1736="Estágio",10,0))))),IF(C1736="Técnico III",SUMIFS($D:$D,$A:$A,$A1736,$B:$B,"&lt;&gt;Patrícia Karla de Sousa Araújo",$B:$B,"&lt;&gt;Lorena Dias de Araujo",$B:$B,"&lt;&gt;Lucas Luiz Romero")*(35/1083),IF(C1736="Técnico II",SUMIFS($D:$D,$A:$A,$A1736,$B:$B,"&lt;&gt;Patrícia Karla de Sousa Araújo",$B:$B,"&lt;&gt;Lorena Dias de Araujo",$B:$B,"&lt;&gt;Lucas Luiz Romero")*(28/1083),IF(C1736="Técnico I",SUMIFS($D:$D,$A:$A,$A1736,$B:$B,"&lt;&gt;Patrícia Karla de Sousa Araújo",$B:$B,"&lt;&gt;Lorena Dias de Araujo",$B:$B,"&lt;&gt;Lucas Luiz Romero")*(23/1083),IF(C1736="JR",SUMIFS($D:$D,$A:$A,$A1736,$B:$B,"&lt;&gt;Patrícia Karla de Sousa Araújo",$B:$B,"&lt;&gt;Lorena Dias de Araujo",$B:$B,"&lt;&gt;Lucas Luiz Romero")*(20/1083),IF(C1736="Estágio",SUMIFS($D:$D,$A:$A,$A1736,$B:$B,"&lt;&gt;Patrícia Karla de Sousa Araújo",$B:$B,"&lt;&gt;Lorena Dias de Araujo",$B:$B,"&lt;&gt;Lucas Luiz Romero")*(10/1083),0)))))),0)</f>
        <v/>
      </c>
      <c r="K1736" s="3">
        <f>I1736-J1736</f>
        <v/>
      </c>
      <c r="L1736" s="3">
        <f>IF(K1736&lt;-5,"CRÍTICO",IF(K1736&lt;0,"ATENÇÃO",IF(K1736&lt;=5,"BOM","EXCELENTE")))</f>
        <v/>
      </c>
      <c r="M1736" s="3" t="n">
        <v>11</v>
      </c>
      <c r="N1736" s="3" t="n">
        <v>98.51000000000001</v>
      </c>
      <c r="O1736" s="12" t="n">
        <v>29.71014492753623</v>
      </c>
    </row>
    <row r="1737">
      <c r="A1737" s="10" t="n">
        <v>46055</v>
      </c>
      <c r="B1737" t="inlineStr">
        <is>
          <t>Rafael Gomes de Morais</t>
        </is>
      </c>
      <c r="C1737" s="1" t="inlineStr">
        <is>
          <t>Técnico III</t>
        </is>
      </c>
      <c r="D1737" s="3" t="n">
        <v>44</v>
      </c>
      <c r="E1737" s="3" t="n">
        <v>40</v>
      </c>
      <c r="F1737" s="3" t="n">
        <v>15.51</v>
      </c>
      <c r="G1737" s="3" t="n">
        <v>0</v>
      </c>
      <c r="H1737" s="3" t="n">
        <v>0</v>
      </c>
      <c r="I1737" s="3">
        <f>E1737+G1737+H1737</f>
        <v/>
      </c>
      <c r="J1737" s="3">
        <f>ROUND(MIN(IF(C1737="Técnico III",35,IF(C1737="Técnico II",28,IF(C1737="Técnico I",23,IF(C1737="JR",20,IF(C1737="Estágio",10,0))))),IF(C1737="Técnico III",SUMIFS($D:$D,$A:$A,$A1737,$B:$B,"&lt;&gt;Patrícia Karla de Sousa Araújo",$B:$B,"&lt;&gt;Lorena Dias de Araujo",$B:$B,"&lt;&gt;Lucas Luiz Romero")*(35/1083),IF(C1737="Técnico II",SUMIFS($D:$D,$A:$A,$A1737,$B:$B,"&lt;&gt;Patrícia Karla de Sousa Araújo",$B:$B,"&lt;&gt;Lorena Dias de Araujo",$B:$B,"&lt;&gt;Lucas Luiz Romero")*(28/1083),IF(C1737="Técnico I",SUMIFS($D:$D,$A:$A,$A1737,$B:$B,"&lt;&gt;Patrícia Karla de Sousa Araújo",$B:$B,"&lt;&gt;Lorena Dias de Araujo",$B:$B,"&lt;&gt;Lucas Luiz Romero")*(23/1083),IF(C1737="JR",SUMIFS($D:$D,$A:$A,$A1737,$B:$B,"&lt;&gt;Patrícia Karla de Sousa Araújo",$B:$B,"&lt;&gt;Lorena Dias de Araujo",$B:$B,"&lt;&gt;Lucas Luiz Romero")*(20/1083),IF(C1737="Estágio",SUMIFS($D:$D,$A:$A,$A1737,$B:$B,"&lt;&gt;Patrícia Karla de Sousa Araújo",$B:$B,"&lt;&gt;Lorena Dias de Araujo",$B:$B,"&lt;&gt;Lucas Luiz Romero")*(10/1083),0)))))),0)</f>
        <v/>
      </c>
      <c r="K1737" s="3">
        <f>I1737-J1737</f>
        <v/>
      </c>
      <c r="L1737" s="3">
        <f>IF(K1737&lt;-5,"CRÍTICO",IF(K1737&lt;0,"ATENÇÃO",IF(K1737&lt;=5,"BOM","EXCELENTE")))</f>
        <v/>
      </c>
      <c r="M1737" s="3" t="n">
        <v>40</v>
      </c>
      <c r="N1737" s="3" t="n">
        <v>98.81</v>
      </c>
      <c r="O1737" s="12" t="n">
        <v>30.71297989031079</v>
      </c>
    </row>
    <row r="1738">
      <c r="A1738" s="10" t="n">
        <v>46055</v>
      </c>
      <c r="B1738" t="inlineStr">
        <is>
          <t>Sara Maria Monteiro Lopes</t>
        </is>
      </c>
      <c r="C1738" s="1" t="inlineStr">
        <is>
          <t>Técnico I</t>
        </is>
      </c>
      <c r="D1738" s="3" t="n">
        <v>16</v>
      </c>
      <c r="E1738" s="3" t="n">
        <v>16</v>
      </c>
      <c r="F1738" s="3" t="n">
        <v>30.19</v>
      </c>
      <c r="G1738" s="3" t="n">
        <v>0</v>
      </c>
      <c r="H1738" s="3" t="n">
        <v>0</v>
      </c>
      <c r="I1738" s="3">
        <f>E1738+G1738+H1738</f>
        <v/>
      </c>
      <c r="J1738" s="3">
        <f>ROUND(MIN(IF(C1738="Técnico III",35,IF(C1738="Técnico II",28,IF(C1738="Técnico I",23,IF(C1738="JR",20,IF(C1738="Estágio",10,0))))),IF(C1738="Técnico III",SUMIFS($D:$D,$A:$A,$A1738,$B:$B,"&lt;&gt;Patrícia Karla de Sousa Araújo",$B:$B,"&lt;&gt;Lorena Dias de Araujo",$B:$B,"&lt;&gt;Lucas Luiz Romero")*(35/1083),IF(C1738="Técnico II",SUMIFS($D:$D,$A:$A,$A1738,$B:$B,"&lt;&gt;Patrícia Karla de Sousa Araújo",$B:$B,"&lt;&gt;Lorena Dias de Araujo",$B:$B,"&lt;&gt;Lucas Luiz Romero")*(28/1083),IF(C1738="Técnico I",SUMIFS($D:$D,$A:$A,$A1738,$B:$B,"&lt;&gt;Patrícia Karla de Sousa Araújo",$B:$B,"&lt;&gt;Lorena Dias de Araujo",$B:$B,"&lt;&gt;Lucas Luiz Romero")*(23/1083),IF(C1738="JR",SUMIFS($D:$D,$A:$A,$A1738,$B:$B,"&lt;&gt;Patrícia Karla de Sousa Araújo",$B:$B,"&lt;&gt;Lorena Dias de Araujo",$B:$B,"&lt;&gt;Lucas Luiz Romero")*(20/1083),IF(C1738="Estágio",SUMIFS($D:$D,$A:$A,$A1738,$B:$B,"&lt;&gt;Patrícia Karla de Sousa Araújo",$B:$B,"&lt;&gt;Lorena Dias de Araujo",$B:$B,"&lt;&gt;Lucas Luiz Romero")*(10/1083),0)))))),0)</f>
        <v/>
      </c>
      <c r="K1738" s="3">
        <f>I1738-J1738</f>
        <v/>
      </c>
      <c r="L1738" s="3">
        <f>IF(K1738&lt;-5,"CRÍTICO",IF(K1738&lt;0,"ATENÇÃO",IF(K1738&lt;=5,"BOM","EXCELENTE")))</f>
        <v/>
      </c>
      <c r="M1738" s="3" t="n">
        <v>16</v>
      </c>
      <c r="N1738" s="3" t="n">
        <v>98.48</v>
      </c>
      <c r="O1738" s="12" t="n">
        <v>29.35323383084577</v>
      </c>
    </row>
    <row r="1739">
      <c r="A1739" s="10" t="n">
        <v>46055</v>
      </c>
      <c r="B1739" t="inlineStr">
        <is>
          <t>Sarah Steffanie de Lima Borges</t>
        </is>
      </c>
      <c r="C1739" s="1" t="inlineStr">
        <is>
          <t>Técnico III</t>
        </is>
      </c>
      <c r="D1739" s="3" t="n">
        <v>35</v>
      </c>
      <c r="E1739" s="3" t="n">
        <v>32</v>
      </c>
      <c r="F1739" s="3" t="n">
        <v>19.06</v>
      </c>
      <c r="G1739" s="3" t="n">
        <v>0</v>
      </c>
      <c r="H1739" s="3" t="n">
        <v>0</v>
      </c>
      <c r="I1739" s="3">
        <f>E1739+G1739+H1739</f>
        <v/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/>
      </c>
      <c r="K1739" s="3">
        <f>I1739-J1739</f>
        <v/>
      </c>
      <c r="L1739" s="3">
        <f>IF(K1739&lt;-5,"CRÍTICO",IF(K1739&lt;0,"ATENÇÃO",IF(K1739&lt;=5,"BOM","EXCELENTE")))</f>
        <v/>
      </c>
      <c r="M1739" s="3" t="n">
        <v>29</v>
      </c>
      <c r="N1739" s="3" t="n">
        <v>98.56</v>
      </c>
      <c r="O1739" s="12" t="n">
        <v>29.37365010799136</v>
      </c>
    </row>
    <row r="1740">
      <c r="A1740" s="10" t="n">
        <v>46056</v>
      </c>
      <c r="B1740" t="inlineStr">
        <is>
          <t>Alisson de Freitas Silva</t>
        </is>
      </c>
      <c r="C1740" s="1" t="inlineStr">
        <is>
          <t>Técnico II</t>
        </is>
      </c>
      <c r="D1740" s="3" t="n">
        <v>37</v>
      </c>
      <c r="E1740" s="3" t="n">
        <v>35</v>
      </c>
      <c r="F1740" s="3" t="n">
        <v>15.35</v>
      </c>
      <c r="G1740" s="3" t="n">
        <v>0</v>
      </c>
      <c r="H1740" s="3" t="n">
        <v>0</v>
      </c>
      <c r="I1740" s="3">
        <f>E1740+G1740+H1740</f>
        <v/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/>
      </c>
      <c r="K1740" s="3">
        <f>I1740-J1740</f>
        <v/>
      </c>
      <c r="L1740" s="3">
        <f>IF(K1740&lt;-5,"CRÍTICO",IF(K1740&lt;0,"ATENÇÃO",IF(K1740&lt;=5,"BOM","EXCELENTE")))</f>
        <v/>
      </c>
      <c r="M1740" s="3" t="n">
        <v>34</v>
      </c>
      <c r="N1740" s="3" t="n">
        <v>98.31999999999999</v>
      </c>
      <c r="O1740" s="12" t="n">
        <v>30.3030303030303</v>
      </c>
    </row>
    <row r="1741">
      <c r="A1741" s="10" t="n">
        <v>46056</v>
      </c>
      <c r="B1741" t="inlineStr">
        <is>
          <t>Amanda Moura Ferreira</t>
        </is>
      </c>
      <c r="C1741" s="1" t="inlineStr">
        <is>
          <t>Técnico III</t>
        </is>
      </c>
      <c r="D1741" s="3" t="n">
        <v>0</v>
      </c>
      <c r="E1741" s="3" t="n">
        <v>0</v>
      </c>
      <c r="F1741" s="3" t="n">
        <v>0</v>
      </c>
      <c r="G1741" s="3" t="n">
        <v>0</v>
      </c>
      <c r="H1741" s="3" t="n">
        <v>0</v>
      </c>
      <c r="I1741" s="3" t="n">
        <v>0</v>
      </c>
      <c r="J1741" s="3" t="n">
        <v>0</v>
      </c>
      <c r="K1741" s="3" t="n">
        <v>0</v>
      </c>
      <c r="L1741" s="3">
        <f>IF(K1741&lt;-5,"CRÍTICO",IF(K1741&lt;0,"ATENÇÃO",IF(K1741&lt;=5,"BOM","EXCELENTE")))</f>
        <v/>
      </c>
      <c r="M1741" s="3" t="n">
        <v>29</v>
      </c>
      <c r="N1741" s="3" t="n">
        <v>98.68000000000001</v>
      </c>
      <c r="O1741" s="12" t="n">
        <v>26.21951219512195</v>
      </c>
    </row>
    <row r="1742">
      <c r="A1742" s="10" t="n">
        <v>46056</v>
      </c>
      <c r="B1742" t="inlineStr">
        <is>
          <t>Ana Karollyne Souza Faria</t>
        </is>
      </c>
      <c r="C1742" s="1" t="inlineStr">
        <is>
          <t>Técnico I</t>
        </is>
      </c>
      <c r="D1742" s="3" t="n">
        <v>27</v>
      </c>
      <c r="E1742" s="3" t="n">
        <v>27</v>
      </c>
      <c r="F1742" s="3" t="n">
        <v>23.49</v>
      </c>
      <c r="G1742" s="3" t="n">
        <v>0</v>
      </c>
      <c r="H1742" s="3" t="n">
        <v>0</v>
      </c>
      <c r="I1742" s="3">
        <f>E1742+G1742+H1742</f>
        <v/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/>
      </c>
      <c r="K1742" s="3">
        <f>I1742-J1742</f>
        <v/>
      </c>
      <c r="L1742" s="3">
        <f>IF(K1742&lt;-5,"CRÍTICO",IF(K1742&lt;0,"ATENÇÃO",IF(K1742&lt;=5,"BOM","EXCELENTE")))</f>
        <v/>
      </c>
      <c r="M1742" s="3" t="n">
        <v>27</v>
      </c>
      <c r="N1742" s="3" t="n">
        <v>100</v>
      </c>
      <c r="O1742" s="12" t="n">
        <v>31.74224343675418</v>
      </c>
    </row>
    <row r="1743">
      <c r="A1743" s="10" t="n">
        <v>46056</v>
      </c>
      <c r="B1743" t="inlineStr">
        <is>
          <t>Ana Paula Da Luz Silva Aleixo</t>
        </is>
      </c>
      <c r="C1743" s="1" t="inlineStr">
        <is>
          <t>Técnico III</t>
        </is>
      </c>
      <c r="D1743" s="3" t="n">
        <v>41</v>
      </c>
      <c r="E1743" s="3" t="n">
        <v>39</v>
      </c>
      <c r="F1743" s="3" t="n">
        <v>20.44</v>
      </c>
      <c r="G1743" s="3" t="n">
        <v>0</v>
      </c>
      <c r="H1743" s="3" t="n">
        <v>0</v>
      </c>
      <c r="I1743" s="3">
        <f>E1743+G1743+H1743</f>
        <v/>
      </c>
      <c r="J1743" s="3">
        <f>ROUND(MIN(IF(C1743="Técnico III",35,IF(C1743="Técnico II",28,IF(C1743="Técnico I",23,IF(C1743="JR",20,IF(C1743="Estágio",10,0))))),IF(C1743="Técnico III",SUMIFS($D:$D,$A:$A,$A1743,$B:$B,"&lt;&gt;Patrícia Karla de Sousa Araújo",$B:$B,"&lt;&gt;Lorena Dias de Araujo",$B:$B,"&lt;&gt;Lucas Luiz Romero")*(35/1083),IF(C1743="Técnico II",SUMIFS($D:$D,$A:$A,$A1743,$B:$B,"&lt;&gt;Patrícia Karla de Sousa Araújo",$B:$B,"&lt;&gt;Lorena Dias de Araujo",$B:$B,"&lt;&gt;Lucas Luiz Romero")*(28/1083),IF(C1743="Técnico I",SUMIFS($D:$D,$A:$A,$A1743,$B:$B,"&lt;&gt;Patrícia Karla de Sousa Araújo",$B:$B,"&lt;&gt;Lorena Dias de Araujo",$B:$B,"&lt;&gt;Lucas Luiz Romero")*(23/1083),IF(C1743="JR",SUMIFS($D:$D,$A:$A,$A1743,$B:$B,"&lt;&gt;Patrícia Karla de Sousa Araújo",$B:$B,"&lt;&gt;Lorena Dias de Araujo",$B:$B,"&lt;&gt;Lucas Luiz Romero")*(20/1083),IF(C1743="Estágio",SUMIFS($D:$D,$A:$A,$A1743,$B:$B,"&lt;&gt;Patrícia Karla de Sousa Araújo",$B:$B,"&lt;&gt;Lorena Dias de Araujo",$B:$B,"&lt;&gt;Lucas Luiz Romero")*(10/1083),0)))))),0)</f>
        <v/>
      </c>
      <c r="K1743" s="3">
        <f>I1743-J1743</f>
        <v/>
      </c>
      <c r="L1743" s="3">
        <f>IF(K1743&lt;-5,"CRÍTICO",IF(K1743&lt;0,"ATENÇÃO",IF(K1743&lt;=5,"BOM","EXCELENTE")))</f>
        <v/>
      </c>
      <c r="M1743" s="3" t="n">
        <v>37</v>
      </c>
      <c r="N1743" s="3" t="n">
        <v>98.25</v>
      </c>
      <c r="O1743" s="12" t="n">
        <v>25.83518930957684</v>
      </c>
    </row>
    <row r="1744">
      <c r="A1744" s="10" t="n">
        <v>46056</v>
      </c>
      <c r="B1744" t="inlineStr">
        <is>
          <t>Anna Luiza Rezende Tavares</t>
        </is>
      </c>
      <c r="C1744" s="1" t="inlineStr">
        <is>
          <t>Estágio</t>
        </is>
      </c>
      <c r="D1744" s="3" t="n">
        <v>6</v>
      </c>
      <c r="E1744" s="3" t="n">
        <v>6</v>
      </c>
      <c r="F1744" s="3" t="n">
        <v>28.25</v>
      </c>
      <c r="G1744" s="3" t="n">
        <v>0</v>
      </c>
      <c r="H1744" s="3" t="n">
        <v>0</v>
      </c>
      <c r="I1744" s="3">
        <f>E1744+G1744+H1744</f>
        <v/>
      </c>
      <c r="J1744" s="3">
        <f>ROUND(MIN(IF(C1744="Técnico III",35,IF(C1744="Técnico II",28,IF(C1744="Técnico I",23,IF(C1744="JR",20,IF(C1744="Estágio",10,0))))),IF(C1744="Técnico III",SUMIFS($D:$D,$A:$A,$A1744,$B:$B,"&lt;&gt;Patrícia Karla de Sousa Araújo",$B:$B,"&lt;&gt;Lorena Dias de Araujo",$B:$B,"&lt;&gt;Lucas Luiz Romero")*(35/1083),IF(C1744="Técnico II",SUMIFS($D:$D,$A:$A,$A1744,$B:$B,"&lt;&gt;Patrícia Karla de Sousa Araújo",$B:$B,"&lt;&gt;Lorena Dias de Araujo",$B:$B,"&lt;&gt;Lucas Luiz Romero")*(28/1083),IF(C1744="Técnico I",SUMIFS($D:$D,$A:$A,$A1744,$B:$B,"&lt;&gt;Patrícia Karla de Sousa Araújo",$B:$B,"&lt;&gt;Lorena Dias de Araujo",$B:$B,"&lt;&gt;Lucas Luiz Romero")*(23/1083),IF(C1744="JR",SUMIFS($D:$D,$A:$A,$A1744,$B:$B,"&lt;&gt;Patrícia Karla de Sousa Araújo",$B:$B,"&lt;&gt;Lorena Dias de Araujo",$B:$B,"&lt;&gt;Lucas Luiz Romero")*(20/1083),IF(C1744="Estágio",SUMIFS($D:$D,$A:$A,$A1744,$B:$B,"&lt;&gt;Patrícia Karla de Sousa Araújo",$B:$B,"&lt;&gt;Lorena Dias de Araujo",$B:$B,"&lt;&gt;Lucas Luiz Romero")*(10/1083),0)))))),0)</f>
        <v/>
      </c>
      <c r="K1744" s="3">
        <f>I1744-J1744</f>
        <v/>
      </c>
      <c r="L1744" s="3">
        <f>IF(K1744&lt;-5,"CRÍTICO",IF(K1744&lt;0,"ATENÇÃO",IF(K1744&lt;=5,"BOM","EXCELENTE")))</f>
        <v/>
      </c>
      <c r="M1744" s="3" t="n">
        <v>6</v>
      </c>
      <c r="N1744" s="3" t="n">
        <v>97.5</v>
      </c>
      <c r="O1744" s="12" t="n">
        <v>30.07518796992481</v>
      </c>
    </row>
    <row r="1745">
      <c r="A1745" s="10" t="n">
        <v>46056</v>
      </c>
      <c r="B1745" t="inlineStr">
        <is>
          <t>Brenda de Menezes Silva</t>
        </is>
      </c>
      <c r="C1745" s="1" t="inlineStr">
        <is>
          <t>Técnico II</t>
        </is>
      </c>
      <c r="D1745" s="3" t="n">
        <v>42</v>
      </c>
      <c r="E1745" s="3" t="n">
        <v>38</v>
      </c>
      <c r="F1745" s="3" t="n">
        <v>10.44</v>
      </c>
      <c r="G1745" s="3" t="n">
        <v>0</v>
      </c>
      <c r="H1745" s="3" t="n">
        <v>0</v>
      </c>
      <c r="I1745" s="3">
        <f>E1745+G1745+H1745</f>
        <v/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/>
      </c>
      <c r="K1745" s="3">
        <f>I1745-J1745</f>
        <v/>
      </c>
      <c r="L1745" s="3">
        <f>IF(K1745&lt;-5,"CRÍTICO",IF(K1745&lt;0,"ATENÇÃO",IF(K1745&lt;=5,"BOM","EXCELENTE")))</f>
        <v/>
      </c>
      <c r="M1745" s="3" t="n">
        <v>36</v>
      </c>
      <c r="N1745" s="3" t="n">
        <v>100</v>
      </c>
      <c r="O1745" s="12" t="n">
        <v>29.71311475409836</v>
      </c>
    </row>
    <row r="1746">
      <c r="A1746" s="10" t="n">
        <v>46056</v>
      </c>
      <c r="B1746" t="inlineStr">
        <is>
          <t>Carlos Mateus Cassimiro Nunes</t>
        </is>
      </c>
      <c r="C1746" s="1" t="inlineStr">
        <is>
          <t>Técnico II</t>
        </is>
      </c>
      <c r="D1746" s="3" t="n">
        <v>27</v>
      </c>
      <c r="E1746" s="3" t="n">
        <v>25</v>
      </c>
      <c r="F1746" s="3" t="n">
        <v>25.32</v>
      </c>
      <c r="G1746" s="3" t="n">
        <v>0</v>
      </c>
      <c r="H1746" s="3" t="n">
        <v>0</v>
      </c>
      <c r="I1746" s="3">
        <f>E1746+G1746+H1746</f>
        <v/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/>
      </c>
      <c r="K1746" s="3">
        <f>I1746-J1746</f>
        <v/>
      </c>
      <c r="L1746" s="3">
        <f>IF(K1746&lt;-5,"CRÍTICO",IF(K1746&lt;0,"ATENÇÃO",IF(K1746&lt;=5,"BOM","EXCELENTE")))</f>
        <v/>
      </c>
      <c r="M1746" s="3" t="n">
        <v>23</v>
      </c>
      <c r="N1746" s="3" t="n">
        <v>99.22</v>
      </c>
      <c r="O1746" s="12" t="n">
        <v>35.25641025641026</v>
      </c>
    </row>
    <row r="1747">
      <c r="A1747" s="10" t="n">
        <v>46056</v>
      </c>
      <c r="B1747" t="inlineStr">
        <is>
          <t>Claudio de Sousa Velasco Filho</t>
        </is>
      </c>
      <c r="C1747" s="1" t="inlineStr">
        <is>
          <t>Estágio</t>
        </is>
      </c>
      <c r="D1747" s="3" t="n">
        <v>0</v>
      </c>
      <c r="E1747" s="3" t="n">
        <v>0</v>
      </c>
      <c r="F1747" s="3" t="n">
        <v>0</v>
      </c>
      <c r="G1747" s="3" t="n">
        <v>0</v>
      </c>
      <c r="H1747" s="3" t="n">
        <v>0</v>
      </c>
      <c r="I1747" s="3" t="n">
        <v>0</v>
      </c>
      <c r="J1747" s="3" t="n">
        <v>0</v>
      </c>
      <c r="K1747" s="3" t="n">
        <v>0</v>
      </c>
      <c r="L1747" s="3">
        <f>IF(K1747&lt;-5,"CRÍTICO",IF(K1747&lt;0,"ATENÇÃO",IF(K1747&lt;=5,"BOM","EXCELENTE")))</f>
        <v/>
      </c>
      <c r="M1747" s="3" t="n">
        <v>0</v>
      </c>
      <c r="N1747" s="3" t="n">
        <v>0</v>
      </c>
      <c r="O1747" s="12" t="n">
        <v>0</v>
      </c>
    </row>
    <row r="1748">
      <c r="A1748" s="10" t="n">
        <v>46056</v>
      </c>
      <c r="B1748" t="inlineStr">
        <is>
          <t>Clessiane Pereira dos Santos</t>
        </is>
      </c>
      <c r="C1748" s="1" t="inlineStr">
        <is>
          <t>Técnico I</t>
        </is>
      </c>
      <c r="D1748" s="3" t="n">
        <v>21</v>
      </c>
      <c r="E1748" s="3" t="n">
        <v>21</v>
      </c>
      <c r="F1748" s="3" t="n">
        <v>25.43</v>
      </c>
      <c r="G1748" s="3" t="n">
        <v>0</v>
      </c>
      <c r="H1748" s="3" t="n">
        <v>0</v>
      </c>
      <c r="I1748" s="3">
        <f>E1748+G1748+H1748</f>
        <v/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/>
      </c>
      <c r="K1748" s="3">
        <f>I1748-J1748</f>
        <v/>
      </c>
      <c r="L1748" s="3">
        <f>IF(K1748&lt;-5,"CRÍTICO",IF(K1748&lt;0,"ATENÇÃO",IF(K1748&lt;=5,"BOM","EXCELENTE")))</f>
        <v/>
      </c>
      <c r="M1748" s="3" t="n">
        <v>21</v>
      </c>
      <c r="N1748" s="3" t="n">
        <v>98.75</v>
      </c>
      <c r="O1748" s="12" t="n">
        <v>24.32432432432433</v>
      </c>
    </row>
    <row r="1749">
      <c r="A1749" s="10" t="n">
        <v>46056</v>
      </c>
      <c r="B1749" t="inlineStr">
        <is>
          <t>Cristiane Ramos da Silva Rocha</t>
        </is>
      </c>
      <c r="C1749" s="1" t="inlineStr">
        <is>
          <t>Técnico III</t>
        </is>
      </c>
      <c r="D1749" s="3" t="n">
        <v>36</v>
      </c>
      <c r="E1749" s="3" t="n">
        <v>33</v>
      </c>
      <c r="F1749" s="3" t="n">
        <v>13.36</v>
      </c>
      <c r="G1749" s="3" t="n">
        <v>0</v>
      </c>
      <c r="H1749" s="3" t="n">
        <v>0</v>
      </c>
      <c r="I1749" s="3">
        <f>E1749+G1749+H1749</f>
        <v/>
      </c>
      <c r="J1749" s="3">
        <f>ROUND(MIN(IF(C1749="Técnico III",35,IF(C1749="Técnico II",28,IF(C1749="Técnico I",23,IF(C1749="JR",20,IF(C1749="Estágio",10,0))))),IF(C1749="Técnico III",SUMIFS($D:$D,$A:$A,$A1749,$B:$B,"&lt;&gt;Patrícia Karla de Sousa Araújo",$B:$B,"&lt;&gt;Lorena Dias de Araujo",$B:$B,"&lt;&gt;Lucas Luiz Romero")*(35/1083),IF(C1749="Técnico II",SUMIFS($D:$D,$A:$A,$A1749,$B:$B,"&lt;&gt;Patrícia Karla de Sousa Araújo",$B:$B,"&lt;&gt;Lorena Dias de Araujo",$B:$B,"&lt;&gt;Lucas Luiz Romero")*(28/1083),IF(C1749="Técnico I",SUMIFS($D:$D,$A:$A,$A1749,$B:$B,"&lt;&gt;Patrícia Karla de Sousa Araújo",$B:$B,"&lt;&gt;Lorena Dias de Araujo",$B:$B,"&lt;&gt;Lucas Luiz Romero")*(23/1083),IF(C1749="JR",SUMIFS($D:$D,$A:$A,$A1749,$B:$B,"&lt;&gt;Patrícia Karla de Sousa Araújo",$B:$B,"&lt;&gt;Lorena Dias de Araujo",$B:$B,"&lt;&gt;Lucas Luiz Romero")*(20/1083),IF(C1749="Estágio",SUMIFS($D:$D,$A:$A,$A1749,$B:$B,"&lt;&gt;Patrícia Karla de Sousa Araújo",$B:$B,"&lt;&gt;Lorena Dias de Araujo",$B:$B,"&lt;&gt;Lucas Luiz Romero")*(10/1083),0)))))),0)</f>
        <v/>
      </c>
      <c r="K1749" s="3">
        <f>I1749-J1749</f>
        <v/>
      </c>
      <c r="L1749" s="3">
        <f>IF(K1749&lt;-5,"CRÍTICO",IF(K1749&lt;0,"ATENÇÃO",IF(K1749&lt;=5,"BOM","EXCELENTE")))</f>
        <v/>
      </c>
      <c r="M1749" s="3" t="n">
        <v>29</v>
      </c>
      <c r="N1749" s="3" t="n">
        <v>93.48</v>
      </c>
      <c r="O1749" s="12" t="n">
        <v>31.52804642166344</v>
      </c>
    </row>
    <row r="1750">
      <c r="A1750" s="10" t="n">
        <v>46056</v>
      </c>
      <c r="B1750" t="inlineStr">
        <is>
          <t>Damyllis Lorraine de Oliveira Gonçalves</t>
        </is>
      </c>
      <c r="C1750" s="1" t="inlineStr">
        <is>
          <t>Técnico II</t>
        </is>
      </c>
      <c r="D1750" s="3" t="n">
        <v>38</v>
      </c>
      <c r="E1750" s="3" t="n">
        <v>34</v>
      </c>
      <c r="F1750" s="3" t="n">
        <v>18.52</v>
      </c>
      <c r="G1750" s="3" t="n">
        <v>0</v>
      </c>
      <c r="H1750" s="3" t="n">
        <v>0</v>
      </c>
      <c r="I1750" s="3" t="n">
        <v>0</v>
      </c>
      <c r="J1750" s="3" t="n">
        <v>0</v>
      </c>
      <c r="K1750" s="3" t="n">
        <v>0</v>
      </c>
      <c r="L1750" s="3">
        <f>IF(K1750&lt;-5,"CRÍTICO",IF(K1750&lt;0,"ATENÇÃO",IF(K1750&lt;=5,"BOM","EXCELENTE")))</f>
        <v/>
      </c>
      <c r="M1750" s="3" t="n">
        <v>30</v>
      </c>
      <c r="N1750" s="3" t="n">
        <v>99.16</v>
      </c>
      <c r="O1750" s="12" t="n">
        <v>26.13908872901678</v>
      </c>
    </row>
    <row r="1751">
      <c r="A1751" s="10" t="n">
        <v>46056</v>
      </c>
      <c r="B1751" t="inlineStr">
        <is>
          <t>Daniel Gomes da Silva</t>
        </is>
      </c>
      <c r="C1751" s="1" t="inlineStr">
        <is>
          <t>Técnico I</t>
        </is>
      </c>
      <c r="D1751" s="3" t="n">
        <v>30</v>
      </c>
      <c r="E1751" s="3" t="n">
        <v>30</v>
      </c>
      <c r="F1751" s="3" t="n">
        <v>20.3</v>
      </c>
      <c r="G1751" s="3" t="n">
        <v>0</v>
      </c>
      <c r="H1751" s="3" t="n">
        <v>0</v>
      </c>
      <c r="I1751" s="3">
        <f>E1751+G1751+H1751</f>
        <v/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/>
      </c>
      <c r="K1751" s="3">
        <f>I1751-J1751</f>
        <v/>
      </c>
      <c r="L1751" s="3">
        <f>IF(K1751&lt;-5,"CRÍTICO",IF(K1751&lt;0,"ATENÇÃO",IF(K1751&lt;=5,"BOM","EXCELENTE")))</f>
        <v/>
      </c>
      <c r="M1751" s="3" t="n">
        <v>32</v>
      </c>
      <c r="N1751" s="3" t="n">
        <v>100</v>
      </c>
      <c r="O1751" s="12" t="n">
        <v>31.08974358974359</v>
      </c>
    </row>
    <row r="1752">
      <c r="A1752" s="10" t="n">
        <v>46056</v>
      </c>
      <c r="B1752" t="inlineStr">
        <is>
          <t>Davylla Rodrigues Freitas Silva</t>
        </is>
      </c>
      <c r="C1752" s="1" t="inlineStr">
        <is>
          <t>Técnico III</t>
        </is>
      </c>
      <c r="D1752" s="3" t="n">
        <v>27</v>
      </c>
      <c r="E1752" s="3" t="n">
        <v>27</v>
      </c>
      <c r="F1752" s="3" t="n">
        <v>30.21</v>
      </c>
      <c r="G1752" s="3" t="n">
        <v>0</v>
      </c>
      <c r="H1752" s="3" t="n">
        <v>0</v>
      </c>
      <c r="I1752" s="3" t="n">
        <v>0</v>
      </c>
      <c r="J1752" s="3" t="n">
        <v>0</v>
      </c>
      <c r="K1752" s="3" t="n">
        <v>0</v>
      </c>
      <c r="L1752" s="3">
        <f>IF(K1752&lt;-5,"CRÍTICO",IF(K1752&lt;0,"ATENÇÃO",IF(K1752&lt;=5,"BOM","EXCELENTE")))</f>
        <v/>
      </c>
      <c r="M1752" s="3" t="n">
        <v>30</v>
      </c>
      <c r="N1752" s="3" t="n">
        <v>98.11</v>
      </c>
      <c r="O1752" s="12" t="n">
        <v>33.03370786516854</v>
      </c>
    </row>
    <row r="1753">
      <c r="A1753" s="10" t="n">
        <v>46056</v>
      </c>
      <c r="B1753" t="inlineStr">
        <is>
          <t>Emilly Caylane Costa</t>
        </is>
      </c>
      <c r="C1753" s="1" t="inlineStr">
        <is>
          <t>Estágio</t>
        </is>
      </c>
      <c r="D1753" s="3" t="n">
        <v>5</v>
      </c>
      <c r="E1753" s="3" t="n">
        <v>5</v>
      </c>
      <c r="F1753" s="3" t="n">
        <v>32.15</v>
      </c>
      <c r="G1753" s="3" t="n">
        <v>0</v>
      </c>
      <c r="H1753" s="3" t="n">
        <v>0</v>
      </c>
      <c r="I1753" s="3">
        <f>E1753+G1753+H1753</f>
        <v/>
      </c>
      <c r="J1753" s="3">
        <f>ROUND(MIN(IF(C1753="Técnico III",35,IF(C1753="Técnico II",28,IF(C1753="Técnico I",23,IF(C1753="JR",20,IF(C1753="Estágio",10,0))))),IF(C1753="Técnico III",SUMIFS($D:$D,$A:$A,$A1753,$B:$B,"&lt;&gt;Patrícia Karla de Sousa Araújo",$B:$B,"&lt;&gt;Lorena Dias de Araujo",$B:$B,"&lt;&gt;Lucas Luiz Romero")*(35/1083),IF(C1753="Técnico II",SUMIFS($D:$D,$A:$A,$A1753,$B:$B,"&lt;&gt;Patrícia Karla de Sousa Araújo",$B:$B,"&lt;&gt;Lorena Dias de Araujo",$B:$B,"&lt;&gt;Lucas Luiz Romero")*(28/1083),IF(C1753="Técnico I",SUMIFS($D:$D,$A:$A,$A1753,$B:$B,"&lt;&gt;Patrícia Karla de Sousa Araújo",$B:$B,"&lt;&gt;Lorena Dias de Araujo",$B:$B,"&lt;&gt;Lucas Luiz Romero")*(23/1083),IF(C1753="JR",SUMIFS($D:$D,$A:$A,$A1753,$B:$B,"&lt;&gt;Patrícia Karla de Sousa Araújo",$B:$B,"&lt;&gt;Lorena Dias de Araujo",$B:$B,"&lt;&gt;Lucas Luiz Romero")*(20/1083),IF(C1753="Estágio",SUMIFS($D:$D,$A:$A,$A1753,$B:$B,"&lt;&gt;Patrícia Karla de Sousa Araújo",$B:$B,"&lt;&gt;Lorena Dias de Araujo",$B:$B,"&lt;&gt;Lucas Luiz Romero")*(10/1083),0)))))),0)</f>
        <v/>
      </c>
      <c r="K1753" s="3">
        <f>I1753-J1753</f>
        <v/>
      </c>
      <c r="L1753" s="3">
        <f>IF(K1753&lt;-5,"CRÍTICO",IF(K1753&lt;0,"ATENÇÃO",IF(K1753&lt;=5,"BOM","EXCELENTE")))</f>
        <v/>
      </c>
      <c r="M1753" s="3" t="n">
        <v>6</v>
      </c>
      <c r="N1753" s="3" t="n">
        <v>78.95</v>
      </c>
      <c r="O1753" s="12" t="n">
        <v>38.98305084745763</v>
      </c>
    </row>
    <row r="1754">
      <c r="A1754" s="10" t="n">
        <v>46056</v>
      </c>
      <c r="B1754" t="inlineStr">
        <is>
          <t>Emilly Kamilly Medeiros Miranda</t>
        </is>
      </c>
      <c r="C1754" s="1" t="inlineStr">
        <is>
          <t>Técnico II</t>
        </is>
      </c>
      <c r="D1754" s="3" t="n">
        <v>37</v>
      </c>
      <c r="E1754" s="3" t="n">
        <v>32</v>
      </c>
      <c r="F1754" s="3" t="n">
        <v>14.02</v>
      </c>
      <c r="G1754" s="3" t="n">
        <v>0</v>
      </c>
      <c r="H1754" s="3" t="n">
        <v>0</v>
      </c>
      <c r="I1754" s="3">
        <f>E1754+G1754+H1754</f>
        <v/>
      </c>
      <c r="J1754" s="3">
        <f>ROUND(MIN(IF(C1754="Técnico III",35,IF(C1754="Técnico II",28,IF(C1754="Técnico I",23,IF(C1754="JR",20,IF(C1754="Estágio",10,0))))),IF(C1754="Técnico III",SUMIFS($D:$D,$A:$A,$A1754,$B:$B,"&lt;&gt;Patrícia Karla de Sousa Araújo",$B:$B,"&lt;&gt;Lorena Dias de Araujo",$B:$B,"&lt;&gt;Lucas Luiz Romero")*(35/1083),IF(C1754="Técnico II",SUMIFS($D:$D,$A:$A,$A1754,$B:$B,"&lt;&gt;Patrícia Karla de Sousa Araújo",$B:$B,"&lt;&gt;Lorena Dias de Araujo",$B:$B,"&lt;&gt;Lucas Luiz Romero")*(28/1083),IF(C1754="Técnico I",SUMIFS($D:$D,$A:$A,$A1754,$B:$B,"&lt;&gt;Patrícia Karla de Sousa Araújo",$B:$B,"&lt;&gt;Lorena Dias de Araujo",$B:$B,"&lt;&gt;Lucas Luiz Romero")*(23/1083),IF(C1754="JR",SUMIFS($D:$D,$A:$A,$A1754,$B:$B,"&lt;&gt;Patrícia Karla de Sousa Araújo",$B:$B,"&lt;&gt;Lorena Dias de Araujo",$B:$B,"&lt;&gt;Lucas Luiz Romero")*(20/1083),IF(C1754="Estágio",SUMIFS($D:$D,$A:$A,$A1754,$B:$B,"&lt;&gt;Patrícia Karla de Sousa Araújo",$B:$B,"&lt;&gt;Lorena Dias de Araujo",$B:$B,"&lt;&gt;Lucas Luiz Romero")*(10/1083),0)))))),0)</f>
        <v/>
      </c>
      <c r="K1754" s="3">
        <f>I1754-J1754</f>
        <v/>
      </c>
      <c r="L1754" s="3">
        <f>IF(K1754&lt;-5,"CRÍTICO",IF(K1754&lt;0,"ATENÇÃO",IF(K1754&lt;=5,"BOM","EXCELENTE")))</f>
        <v/>
      </c>
      <c r="M1754" s="3" t="n">
        <v>31</v>
      </c>
      <c r="N1754" s="3" t="n">
        <v>98.45</v>
      </c>
      <c r="O1754" s="12" t="n">
        <v>29.2817679558011</v>
      </c>
    </row>
    <row r="1755">
      <c r="A1755" s="10" t="n">
        <v>46056</v>
      </c>
      <c r="B1755" t="inlineStr">
        <is>
          <t>Francielson de Oliveira</t>
        </is>
      </c>
      <c r="C1755" s="1" t="inlineStr">
        <is>
          <t>Técnico III</t>
        </is>
      </c>
      <c r="D1755" s="3" t="n">
        <v>32</v>
      </c>
      <c r="E1755" s="3" t="n">
        <v>29</v>
      </c>
      <c r="F1755" s="3" t="n">
        <v>13.3</v>
      </c>
      <c r="G1755" s="3" t="n">
        <v>0</v>
      </c>
      <c r="H1755" s="3" t="n">
        <v>0</v>
      </c>
      <c r="I1755" s="3">
        <f>E1755+G1755+H1755</f>
        <v/>
      </c>
      <c r="J1755" s="3">
        <f>ROUND(MIN(IF(C1755="Técnico III",35,IF(C1755="Técnico II",28,IF(C1755="Técnico I",23,IF(C1755="JR",20,IF(C1755="Estágio",10,0))))),IF(C1755="Técnico III",SUMIFS($D:$D,$A:$A,$A1755,$B:$B,"&lt;&gt;Patrícia Karla de Sousa Araújo",$B:$B,"&lt;&gt;Lorena Dias de Araujo",$B:$B,"&lt;&gt;Lucas Luiz Romero")*(35/1083),IF(C1755="Técnico II",SUMIFS($D:$D,$A:$A,$A1755,$B:$B,"&lt;&gt;Patrícia Karla de Sousa Araújo",$B:$B,"&lt;&gt;Lorena Dias de Araujo",$B:$B,"&lt;&gt;Lucas Luiz Romero")*(28/1083),IF(C1755="Técnico I",SUMIFS($D:$D,$A:$A,$A1755,$B:$B,"&lt;&gt;Patrícia Karla de Sousa Araújo",$B:$B,"&lt;&gt;Lorena Dias de Araujo",$B:$B,"&lt;&gt;Lucas Luiz Romero")*(23/1083),IF(C1755="JR",SUMIFS($D:$D,$A:$A,$A1755,$B:$B,"&lt;&gt;Patrícia Karla de Sousa Araújo",$B:$B,"&lt;&gt;Lorena Dias de Araujo",$B:$B,"&lt;&gt;Lucas Luiz Romero")*(20/1083),IF(C1755="Estágio",SUMIFS($D:$D,$A:$A,$A1755,$B:$B,"&lt;&gt;Patrícia Karla de Sousa Araújo",$B:$B,"&lt;&gt;Lorena Dias de Araujo",$B:$B,"&lt;&gt;Lucas Luiz Romero")*(10/1083),0)))))),0)</f>
        <v/>
      </c>
      <c r="K1755" s="3">
        <f>I1755-J1755</f>
        <v/>
      </c>
      <c r="L1755" s="3">
        <f>IF(K1755&lt;-5,"CRÍTICO",IF(K1755&lt;0,"ATENÇÃO",IF(K1755&lt;=5,"BOM","EXCELENTE")))</f>
        <v/>
      </c>
      <c r="M1755" s="3" t="n">
        <v>30</v>
      </c>
      <c r="N1755" s="3" t="n">
        <v>97.84</v>
      </c>
      <c r="O1755" s="12" t="n">
        <v>26.28205128205128</v>
      </c>
    </row>
    <row r="1756">
      <c r="A1756" s="10" t="n">
        <v>46056</v>
      </c>
      <c r="B1756" t="inlineStr">
        <is>
          <t>Francilene Ferreira de Jesus</t>
        </is>
      </c>
      <c r="C1756" s="1" t="inlineStr">
        <is>
          <t>Técnico II</t>
        </is>
      </c>
      <c r="D1756" s="3" t="n">
        <v>55</v>
      </c>
      <c r="E1756" s="3" t="n">
        <v>52</v>
      </c>
      <c r="F1756" s="3" t="n">
        <v>12.32</v>
      </c>
      <c r="G1756" s="3" t="n">
        <v>0</v>
      </c>
      <c r="H1756" s="3" t="n">
        <v>0</v>
      </c>
      <c r="I1756" s="3">
        <f>E1756+G1756+H1756</f>
        <v/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/>
      </c>
      <c r="K1756" s="3">
        <f>I1756-J1756</f>
        <v/>
      </c>
      <c r="L1756" s="3">
        <f>IF(K1756&lt;-5,"CRÍTICO",IF(K1756&lt;0,"ATENÇÃO",IF(K1756&lt;=5,"BOM","EXCELENTE")))</f>
        <v/>
      </c>
      <c r="M1756" s="3" t="n">
        <v>49</v>
      </c>
      <c r="N1756" s="3" t="n">
        <v>98.5</v>
      </c>
      <c r="O1756" s="12" t="n">
        <v>23.97769516728625</v>
      </c>
    </row>
    <row r="1757">
      <c r="A1757" s="10" t="n">
        <v>46090</v>
      </c>
      <c r="B1757" t="inlineStr">
        <is>
          <t>Gabriel Gomes de Andrade</t>
        </is>
      </c>
      <c r="C1757" s="1" t="inlineStr">
        <is>
          <t>Técnico I</t>
        </is>
      </c>
      <c r="D1757" s="3" t="n">
        <v>31</v>
      </c>
      <c r="E1757" s="3" t="n">
        <v>29</v>
      </c>
      <c r="F1757" s="3" t="n">
        <v>18.33</v>
      </c>
      <c r="G1757" s="3" t="n">
        <v>0</v>
      </c>
      <c r="H1757" s="3" t="n">
        <v>0</v>
      </c>
      <c r="I1757" s="3">
        <f>E1757+G1757+H1757</f>
        <v/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/>
      </c>
      <c r="K1757" s="3">
        <f>I1757-J1757</f>
        <v/>
      </c>
      <c r="L1757" s="3">
        <f>IF(K1757&lt;-5,"CRÍTICO",IF(K1757&lt;0,"ATENÇÃO",IF(K1757&lt;=5,"BOM","EXCELENTE")))</f>
        <v/>
      </c>
      <c r="M1757" s="3" t="n">
        <v>28</v>
      </c>
      <c r="N1757" s="3" t="n">
        <v>99.05</v>
      </c>
      <c r="O1757" s="12" t="n">
        <v>26.62192393736018</v>
      </c>
    </row>
    <row r="1758">
      <c r="A1758" s="10" t="n">
        <v>46056</v>
      </c>
      <c r="B1758" t="inlineStr">
        <is>
          <t>Isabella Borges de Oliveira</t>
        </is>
      </c>
      <c r="C1758" s="1" t="inlineStr">
        <is>
          <t>Técnico II</t>
        </is>
      </c>
      <c r="D1758" s="3" t="n">
        <v>31</v>
      </c>
      <c r="E1758" s="3" t="n">
        <v>30</v>
      </c>
      <c r="F1758" s="3" t="n">
        <v>22.33</v>
      </c>
      <c r="G1758" s="3" t="n">
        <v>0</v>
      </c>
      <c r="H1758" s="3" t="n">
        <v>0</v>
      </c>
      <c r="I1758" s="3">
        <f>E1758+G1758+H1758</f>
        <v/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/>
      </c>
      <c r="K1758" s="3">
        <f>I1758-J1758</f>
        <v/>
      </c>
      <c r="L1758" s="3">
        <f>IF(K1758&lt;-5,"CRÍTICO",IF(K1758&lt;0,"ATENÇÃO",IF(K1758&lt;=5,"BOM","EXCELENTE")))</f>
        <v/>
      </c>
      <c r="M1758" s="3" t="n">
        <v>28</v>
      </c>
      <c r="N1758" s="3" t="n">
        <v>98.53</v>
      </c>
      <c r="O1758" s="12" t="n">
        <v>31.57894736842105</v>
      </c>
    </row>
    <row r="1759">
      <c r="A1759" s="10" t="n">
        <v>46056</v>
      </c>
      <c r="B1759" t="inlineStr">
        <is>
          <t>Janaina Lima dos Reis Urany</t>
        </is>
      </c>
      <c r="C1759" s="1" t="inlineStr">
        <is>
          <t>Técnico III</t>
        </is>
      </c>
      <c r="D1759" s="3" t="n">
        <v>49</v>
      </c>
      <c r="E1759" s="3" t="n">
        <v>45</v>
      </c>
      <c r="F1759" s="3" t="n">
        <v>15.21</v>
      </c>
      <c r="G1759" s="3" t="n">
        <v>0</v>
      </c>
      <c r="H1759" s="3" t="n">
        <v>0</v>
      </c>
      <c r="I1759" s="3">
        <f>E1759+G1759+H1759</f>
        <v/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/>
      </c>
      <c r="K1759" s="3">
        <f>I1759-J1759</f>
        <v/>
      </c>
      <c r="L1759" s="3">
        <f>IF(K1759&lt;-5,"CRÍTICO",IF(K1759&lt;0,"ATENÇÃO",IF(K1759&lt;=5,"BOM","EXCELENTE")))</f>
        <v/>
      </c>
      <c r="M1759" s="3" t="n">
        <v>44</v>
      </c>
      <c r="N1759" s="3" t="n">
        <v>100</v>
      </c>
      <c r="O1759" s="12" t="n">
        <v>25.72214580467676</v>
      </c>
    </row>
    <row r="1760">
      <c r="A1760" s="10" t="n">
        <v>46056</v>
      </c>
      <c r="B1760" t="inlineStr">
        <is>
          <t>Jaqueline Evangelista da Silva Martins</t>
        </is>
      </c>
      <c r="C1760" s="1" t="inlineStr">
        <is>
          <t>Técnico III</t>
        </is>
      </c>
      <c r="D1760" s="3" t="n">
        <v>49</v>
      </c>
      <c r="E1760" s="3" t="n">
        <v>43</v>
      </c>
      <c r="F1760" s="3" t="n">
        <v>10.43</v>
      </c>
      <c r="G1760" s="3" t="n">
        <v>0</v>
      </c>
      <c r="H1760" s="3" t="n">
        <v>0</v>
      </c>
      <c r="I1760" s="3">
        <f>E1760+G1760+H1760</f>
        <v/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/>
      </c>
      <c r="K1760" s="3">
        <f>I1760-J1760</f>
        <v/>
      </c>
      <c r="L1760" s="3">
        <f>IF(K1760&lt;-5,"CRÍTICO",IF(K1760&lt;0,"ATENÇÃO",IF(K1760&lt;=5,"BOM","EXCELENTE")))</f>
        <v/>
      </c>
      <c r="M1760" s="3" t="n">
        <v>43</v>
      </c>
      <c r="N1760" s="3" t="n">
        <v>94.64</v>
      </c>
      <c r="O1760" s="12" t="n">
        <v>27.52941176470588</v>
      </c>
    </row>
    <row r="1761">
      <c r="A1761" s="10" t="n">
        <v>46056</v>
      </c>
      <c r="B1761" t="inlineStr">
        <is>
          <t>Jessica Faria da Silveira</t>
        </is>
      </c>
      <c r="C1761" s="1" t="inlineStr">
        <is>
          <t>Técnico II</t>
        </is>
      </c>
      <c r="D1761" s="3" t="n">
        <v>34</v>
      </c>
      <c r="E1761" s="3" t="n">
        <v>30</v>
      </c>
      <c r="F1761" s="3" t="n">
        <v>14.19</v>
      </c>
      <c r="G1761" s="3" t="n">
        <v>0</v>
      </c>
      <c r="H1761" s="3" t="n">
        <v>0</v>
      </c>
      <c r="I1761" s="3">
        <f>E1761+G1761+H1761</f>
        <v/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/>
      </c>
      <c r="K1761" s="3">
        <f>I1761-J1761</f>
        <v/>
      </c>
      <c r="L1761" s="3">
        <f>IF(K1761&lt;-5,"CRÍTICO",IF(K1761&lt;0,"ATENÇÃO",IF(K1761&lt;=5,"BOM","EXCELENTE")))</f>
        <v/>
      </c>
      <c r="M1761" s="3" t="n">
        <v>29</v>
      </c>
      <c r="N1761" s="3" t="n">
        <v>99.06999999999999</v>
      </c>
      <c r="O1761" s="12" t="n">
        <v>26.3768115942029</v>
      </c>
    </row>
    <row r="1762">
      <c r="A1762" s="10" t="n">
        <v>46056</v>
      </c>
      <c r="B1762" t="inlineStr">
        <is>
          <t>Jéssica Fé Moura</t>
        </is>
      </c>
      <c r="C1762" s="1" t="inlineStr">
        <is>
          <t>Técnico III</t>
        </is>
      </c>
      <c r="D1762" s="3" t="n">
        <v>0</v>
      </c>
      <c r="E1762" s="3" t="n">
        <v>0</v>
      </c>
      <c r="F1762" s="3" t="n">
        <v>0</v>
      </c>
      <c r="G1762" s="3" t="n">
        <v>0</v>
      </c>
      <c r="H1762" s="3" t="n">
        <v>0</v>
      </c>
      <c r="I1762" s="3" t="n">
        <v>0</v>
      </c>
      <c r="J1762" s="3" t="n">
        <v>0</v>
      </c>
      <c r="K1762" s="3" t="n">
        <v>0</v>
      </c>
      <c r="L1762" s="3">
        <f>IF(K1762&lt;-5,"CRÍTICO",IF(K1762&lt;0,"ATENÇÃO",IF(K1762&lt;=5,"BOM","EXCELENTE")))</f>
        <v/>
      </c>
      <c r="M1762" s="3" t="n">
        <v>0</v>
      </c>
      <c r="N1762" s="3" t="n">
        <v>100</v>
      </c>
      <c r="O1762" s="12" t="n">
        <v>0</v>
      </c>
    </row>
    <row r="1763">
      <c r="A1763" s="10" t="n">
        <v>46056</v>
      </c>
      <c r="B1763" t="inlineStr">
        <is>
          <t>Karina Gonçalves Martins</t>
        </is>
      </c>
      <c r="C1763" s="1" t="inlineStr">
        <is>
          <t>JR</t>
        </is>
      </c>
      <c r="D1763" s="3" t="n">
        <v>14</v>
      </c>
      <c r="E1763" s="3" t="n">
        <v>13</v>
      </c>
      <c r="F1763" s="3" t="n">
        <v>20.53</v>
      </c>
      <c r="G1763" s="3" t="n">
        <v>0</v>
      </c>
      <c r="H1763" s="3" t="n">
        <v>0</v>
      </c>
      <c r="I1763" s="3">
        <f>E1763+G1763+H1763</f>
        <v/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/>
      </c>
      <c r="K1763" s="3">
        <f>I1763-J1763</f>
        <v/>
      </c>
      <c r="L1763" s="3">
        <f>IF(K1763&lt;-5,"CRÍTICO",IF(K1763&lt;0,"ATENÇÃO",IF(K1763&lt;=5,"BOM","EXCELENTE")))</f>
        <v/>
      </c>
      <c r="M1763" s="3" t="n">
        <v>16</v>
      </c>
      <c r="N1763" s="3" t="n">
        <v>98.48</v>
      </c>
      <c r="O1763" s="12" t="n">
        <v>27.85388127853881</v>
      </c>
    </row>
    <row r="1764">
      <c r="A1764" s="10" t="n">
        <v>46056</v>
      </c>
      <c r="B1764" t="inlineStr">
        <is>
          <t>Kerollen Cristielly de Jesus Siqueira</t>
        </is>
      </c>
      <c r="C1764" s="1" t="inlineStr">
        <is>
          <t>Técnico III</t>
        </is>
      </c>
      <c r="D1764" s="3" t="n">
        <v>13</v>
      </c>
      <c r="E1764" s="3" t="n">
        <v>12</v>
      </c>
      <c r="F1764" s="3" t="n">
        <v>48.45</v>
      </c>
      <c r="G1764" s="3" t="n">
        <v>0</v>
      </c>
      <c r="H1764" s="3" t="n">
        <v>0</v>
      </c>
      <c r="I1764" s="3">
        <f>E1764+G1764+H1764</f>
        <v/>
      </c>
      <c r="J1764" s="3">
        <f>ROUND(MIN(IF(C1764="Técnico III",35,IF(C1764="Técnico II",28,IF(C1764="Técnico I",23,IF(C1764="JR",20,IF(C1764="Estágio",10,0))))),IF(C1764="Técnico III",SUMIFS($D:$D,$A:$A,$A1764,$B:$B,"&lt;&gt;Patrícia Karla de Sousa Araújo",$B:$B,"&lt;&gt;Lorena Dias de Araujo",$B:$B,"&lt;&gt;Lucas Luiz Romero")*(35/1083),IF(C1764="Técnico II",SUMIFS($D:$D,$A:$A,$A1764,$B:$B,"&lt;&gt;Patrícia Karla de Sousa Araújo",$B:$B,"&lt;&gt;Lorena Dias de Araujo",$B:$B,"&lt;&gt;Lucas Luiz Romero")*(28/1083),IF(C1764="Técnico I",SUMIFS($D:$D,$A:$A,$A1764,$B:$B,"&lt;&gt;Patrícia Karla de Sousa Araújo",$B:$B,"&lt;&gt;Lorena Dias de Araujo",$B:$B,"&lt;&gt;Lucas Luiz Romero")*(23/1083),IF(C1764="JR",SUMIFS($D:$D,$A:$A,$A1764,$B:$B,"&lt;&gt;Patrícia Karla de Sousa Araújo",$B:$B,"&lt;&gt;Lorena Dias de Araujo",$B:$B,"&lt;&gt;Lucas Luiz Romero")*(20/1083),IF(C1764="Estágio",SUMIFS($D:$D,$A:$A,$A1764,$B:$B,"&lt;&gt;Patrícia Karla de Sousa Araújo",$B:$B,"&lt;&gt;Lorena Dias de Araujo",$B:$B,"&lt;&gt;Lucas Luiz Romero")*(10/1083),0)))))),0)</f>
        <v/>
      </c>
      <c r="K1764" s="3">
        <f>I1764-J1764</f>
        <v/>
      </c>
      <c r="L1764" s="3">
        <f>IF(K1764&lt;-5,"CRÍTICO",IF(K1764&lt;0,"ATENÇÃO",IF(K1764&lt;=5,"BOM","EXCELENTE")))</f>
        <v/>
      </c>
      <c r="M1764" s="3" t="n">
        <v>11</v>
      </c>
      <c r="N1764" s="3" t="n">
        <v>95.15000000000001</v>
      </c>
      <c r="O1764" s="12" t="n">
        <v>34.13173652694611</v>
      </c>
    </row>
    <row r="1765">
      <c r="A1765" s="10" t="n">
        <v>46056</v>
      </c>
      <c r="B1765" t="inlineStr">
        <is>
          <t>Leandro de Souza Silva</t>
        </is>
      </c>
      <c r="C1765" s="1" t="inlineStr">
        <is>
          <t>JR</t>
        </is>
      </c>
      <c r="D1765" s="3" t="n">
        <v>0</v>
      </c>
      <c r="E1765" s="3" t="n">
        <v>0</v>
      </c>
      <c r="F1765" s="3" t="n">
        <v>0</v>
      </c>
      <c r="G1765" s="3" t="n">
        <v>0</v>
      </c>
      <c r="H1765" s="3" t="n">
        <v>0</v>
      </c>
      <c r="I1765" s="3" t="n">
        <v>0</v>
      </c>
      <c r="J1765" s="3" t="n">
        <v>0</v>
      </c>
      <c r="K1765" s="3" t="n">
        <v>0</v>
      </c>
      <c r="L1765" s="3">
        <f>IF(K1765&lt;-5,"CRÍTICO",IF(K1765&lt;0,"ATENÇÃO",IF(K1765&lt;=5,"BOM","EXCELENTE")))</f>
        <v/>
      </c>
      <c r="M1765" s="3" t="n">
        <v>0</v>
      </c>
      <c r="N1765" s="3" t="n">
        <v>0</v>
      </c>
      <c r="O1765" s="12" t="n">
        <v>0</v>
      </c>
    </row>
    <row r="1766">
      <c r="A1766" s="10" t="n">
        <v>46056</v>
      </c>
      <c r="B1766" t="inlineStr">
        <is>
          <t>Leandro Oliveira de Sousa</t>
        </is>
      </c>
      <c r="C1766" s="1" t="inlineStr">
        <is>
          <t>Técnico III</t>
        </is>
      </c>
      <c r="D1766" s="3" t="n">
        <v>26</v>
      </c>
      <c r="E1766" s="3" t="n">
        <v>25</v>
      </c>
      <c r="F1766" s="3" t="n">
        <v>22.08</v>
      </c>
      <c r="G1766" s="3" t="n">
        <v>0</v>
      </c>
      <c r="H1766" s="3" t="n">
        <v>0</v>
      </c>
      <c r="I1766" s="3">
        <f>E1766+G1766+H1766</f>
        <v/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/>
      </c>
      <c r="K1766" s="3">
        <f>I1766-J1766</f>
        <v/>
      </c>
      <c r="L1766" s="3">
        <f>IF(K1766&lt;-5,"CRÍTICO",IF(K1766&lt;0,"ATENÇÃO",IF(K1766&lt;=5,"BOM","EXCELENTE")))</f>
        <v/>
      </c>
      <c r="M1766" s="3" t="n">
        <v>24</v>
      </c>
      <c r="N1766" s="3" t="n">
        <v>99.26000000000001</v>
      </c>
      <c r="O1766" s="12" t="n">
        <v>30.84832904884319</v>
      </c>
    </row>
    <row r="1767">
      <c r="A1767" s="10" t="n">
        <v>46056</v>
      </c>
      <c r="B1767" t="inlineStr">
        <is>
          <t>Lizandra Gomes Duarte</t>
        </is>
      </c>
      <c r="C1767" s="1" t="inlineStr">
        <is>
          <t>Técnico II</t>
        </is>
      </c>
      <c r="D1767" s="3" t="n">
        <v>43</v>
      </c>
      <c r="E1767" s="3" t="n">
        <v>37</v>
      </c>
      <c r="F1767" s="3" t="n">
        <v>17.19</v>
      </c>
      <c r="G1767" s="3" t="n">
        <v>0</v>
      </c>
      <c r="H1767" s="3" t="n">
        <v>0</v>
      </c>
      <c r="I1767" s="3">
        <f>E1767+G1767+H1767</f>
        <v/>
      </c>
      <c r="J1767" s="3">
        <f>ROUND(MIN(IF(C1767="Técnico III",35,IF(C1767="Técnico II",28,IF(C1767="Técnico I",23,IF(C1767="JR",20,IF(C1767="Estágio",10,0))))),IF(C1767="Técnico III",SUMIFS($D:$D,$A:$A,$A1767,$B:$B,"&lt;&gt;Patrícia Karla de Sousa Araújo",$B:$B,"&lt;&gt;Lorena Dias de Araujo",$B:$B,"&lt;&gt;Lucas Luiz Romero")*(35/1083),IF(C1767="Técnico II",SUMIFS($D:$D,$A:$A,$A1767,$B:$B,"&lt;&gt;Patrícia Karla de Sousa Araújo",$B:$B,"&lt;&gt;Lorena Dias de Araujo",$B:$B,"&lt;&gt;Lucas Luiz Romero")*(28/1083),IF(C1767="Técnico I",SUMIFS($D:$D,$A:$A,$A1767,$B:$B,"&lt;&gt;Patrícia Karla de Sousa Araújo",$B:$B,"&lt;&gt;Lorena Dias de Araujo",$B:$B,"&lt;&gt;Lucas Luiz Romero")*(23/1083),IF(C1767="JR",SUMIFS($D:$D,$A:$A,$A1767,$B:$B,"&lt;&gt;Patrícia Karla de Sousa Araújo",$B:$B,"&lt;&gt;Lorena Dias de Araujo",$B:$B,"&lt;&gt;Lucas Luiz Romero")*(20/1083),IF(C1767="Estágio",SUMIFS($D:$D,$A:$A,$A1767,$B:$B,"&lt;&gt;Patrícia Karla de Sousa Araújo",$B:$B,"&lt;&gt;Lorena Dias de Araujo",$B:$B,"&lt;&gt;Lucas Luiz Romero")*(10/1083),0)))))),0)</f>
        <v/>
      </c>
      <c r="K1767" s="3">
        <f>I1767-J1767</f>
        <v/>
      </c>
      <c r="L1767" s="3">
        <f>IF(K1767&lt;-5,"CRÍTICO",IF(K1767&lt;0,"ATENÇÃO",IF(K1767&lt;=5,"BOM","EXCELENTE")))</f>
        <v/>
      </c>
      <c r="M1767" s="3" t="n">
        <v>26</v>
      </c>
      <c r="N1767" s="3" t="n">
        <v>97.48</v>
      </c>
      <c r="O1767" s="12" t="n">
        <v>27.76470588235294</v>
      </c>
    </row>
    <row r="1768">
      <c r="A1768" s="10" t="n">
        <v>46056</v>
      </c>
      <c r="B1768" t="inlineStr">
        <is>
          <t>Lorena Dias de Araujo</t>
        </is>
      </c>
      <c r="C1768" s="1" t="inlineStr">
        <is>
          <t>Técnico II</t>
        </is>
      </c>
      <c r="D1768" s="3" t="n">
        <v>33</v>
      </c>
      <c r="E1768" s="3" t="n">
        <v>32</v>
      </c>
      <c r="F1768" s="3" t="n">
        <v>19.14</v>
      </c>
      <c r="G1768" s="3" t="n">
        <v>0</v>
      </c>
      <c r="H1768" s="3" t="n">
        <v>0</v>
      </c>
      <c r="I1768" s="3" t="n">
        <v>0</v>
      </c>
      <c r="J1768" s="3" t="n">
        <v>0</v>
      </c>
      <c r="K1768" s="3" t="n">
        <v>0</v>
      </c>
      <c r="L1768" s="3">
        <f>IF(K1768&lt;-5,"CRÍTICO",IF(K1768&lt;0,"ATENÇÃO",IF(K1768&lt;=5,"BOM","EXCELENTE")))</f>
        <v/>
      </c>
      <c r="M1768" s="3" t="n">
        <v>33</v>
      </c>
      <c r="N1768" s="3" t="n">
        <v>99.34</v>
      </c>
      <c r="O1768" s="12" t="n">
        <v>30.04291845493562</v>
      </c>
    </row>
    <row r="1769">
      <c r="A1769" s="10" t="n">
        <v>46056</v>
      </c>
      <c r="B1769" t="inlineStr">
        <is>
          <t>Lucas Luiz Romero</t>
        </is>
      </c>
      <c r="C1769" s="1" t="inlineStr">
        <is>
          <t>Técnico III</t>
        </is>
      </c>
      <c r="D1769" s="3" t="n">
        <v>12</v>
      </c>
      <c r="E1769" s="3" t="n">
        <v>8</v>
      </c>
      <c r="F1769" s="3" t="n">
        <v>12.11</v>
      </c>
      <c r="G1769" s="3" t="n">
        <v>0</v>
      </c>
      <c r="H1769" s="3" t="n">
        <v>0</v>
      </c>
      <c r="I1769" s="3">
        <f>E1769+G1769+H1769</f>
        <v/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/>
      </c>
      <c r="K1769" s="3">
        <f>I1769-J1769</f>
        <v/>
      </c>
      <c r="L1769" s="3">
        <f>IF(K1769&lt;-5,"CRÍTICO",IF(K1769&lt;0,"ATENÇÃO",IF(K1769&lt;=5,"BOM","EXCELENTE")))</f>
        <v/>
      </c>
      <c r="M1769" s="3" t="n">
        <v>8</v>
      </c>
      <c r="N1769" s="3" t="n">
        <v>96.3</v>
      </c>
      <c r="O1769" s="12" t="n">
        <v>24.29378531073446</v>
      </c>
    </row>
    <row r="1770">
      <c r="A1770" s="10" t="n">
        <v>46056</v>
      </c>
      <c r="B1770" t="inlineStr">
        <is>
          <t>Luiz Fernando de Carvalho Junior</t>
        </is>
      </c>
      <c r="C1770" s="1" t="inlineStr">
        <is>
          <t>Técnico I</t>
        </is>
      </c>
      <c r="D1770" s="3" t="n">
        <v>25</v>
      </c>
      <c r="E1770" s="3" t="n">
        <v>24</v>
      </c>
      <c r="F1770" s="3" t="n">
        <v>27.39</v>
      </c>
      <c r="G1770" s="3" t="n">
        <v>0</v>
      </c>
      <c r="H1770" s="3" t="n">
        <v>0</v>
      </c>
      <c r="I1770" s="3">
        <f>E1770+G1770+H1770</f>
        <v/>
      </c>
      <c r="J1770" s="3">
        <f>ROUND(MIN(IF(C1770="Técnico III",35,IF(C1770="Técnico II",28,IF(C1770="Técnico I",23,IF(C1770="JR",20,IF(C1770="Estágio",10,0))))),IF(C1770="Técnico III",SUMIFS($D:$D,$A:$A,$A1770,$B:$B,"&lt;&gt;Patrícia Karla de Sousa Araújo",$B:$B,"&lt;&gt;Lorena Dias de Araujo",$B:$B,"&lt;&gt;Lucas Luiz Romero")*(35/1083),IF(C1770="Técnico II",SUMIFS($D:$D,$A:$A,$A1770,$B:$B,"&lt;&gt;Patrícia Karla de Sousa Araújo",$B:$B,"&lt;&gt;Lorena Dias de Araujo",$B:$B,"&lt;&gt;Lucas Luiz Romero")*(28/1083),IF(C1770="Técnico I",SUMIFS($D:$D,$A:$A,$A1770,$B:$B,"&lt;&gt;Patrícia Karla de Sousa Araújo",$B:$B,"&lt;&gt;Lorena Dias de Araujo",$B:$B,"&lt;&gt;Lucas Luiz Romero")*(23/1083),IF(C1770="JR",SUMIFS($D:$D,$A:$A,$A1770,$B:$B,"&lt;&gt;Patrícia Karla de Sousa Araújo",$B:$B,"&lt;&gt;Lorena Dias de Araujo",$B:$B,"&lt;&gt;Lucas Luiz Romero")*(20/1083),IF(C1770="Estágio",SUMIFS($D:$D,$A:$A,$A1770,$B:$B,"&lt;&gt;Patrícia Karla de Sousa Araújo",$B:$B,"&lt;&gt;Lorena Dias de Araujo",$B:$B,"&lt;&gt;Lucas Luiz Romero")*(10/1083),0)))))),0)</f>
        <v/>
      </c>
      <c r="K1770" s="3">
        <f>I1770-J1770</f>
        <v/>
      </c>
      <c r="L1770" s="3">
        <f>IF(K1770&lt;-5,"CRÍTICO",IF(K1770&lt;0,"ATENÇÃO",IF(K1770&lt;=5,"BOM","EXCELENTE")))</f>
        <v/>
      </c>
      <c r="M1770" s="3" t="n">
        <v>24</v>
      </c>
      <c r="N1770" s="3" t="n">
        <v>100</v>
      </c>
      <c r="O1770" s="12" t="n">
        <v>26.54320987654321</v>
      </c>
    </row>
    <row r="1771">
      <c r="A1771" s="10" t="n">
        <v>46056</v>
      </c>
      <c r="B1771" t="inlineStr">
        <is>
          <t>Maria Eduarda Sousa Costa</t>
        </is>
      </c>
      <c r="C1771" s="1" t="inlineStr">
        <is>
          <t>Estágio</t>
        </is>
      </c>
      <c r="D1771" s="3" t="n">
        <v>5</v>
      </c>
      <c r="E1771" s="3" t="n">
        <v>4</v>
      </c>
      <c r="F1771" s="3" t="n">
        <v>65.09999999999999</v>
      </c>
      <c r="G1771" s="3" t="n">
        <v>0</v>
      </c>
      <c r="H1771" s="3" t="n">
        <v>0</v>
      </c>
      <c r="I1771" s="3">
        <f>E1771+G1771+H1771</f>
        <v/>
      </c>
      <c r="J1771" s="3">
        <f>ROUND(MIN(IF(C1771="Técnico III",35,IF(C1771="Técnico II",28,IF(C1771="Técnico I",23,IF(C1771="JR",20,IF(C1771="Estágio",10,0))))),IF(C1771="Técnico III",SUMIFS($D:$D,$A:$A,$A1771,$B:$B,"&lt;&gt;Patrícia Karla de Sousa Araújo",$B:$B,"&lt;&gt;Lorena Dias de Araujo",$B:$B,"&lt;&gt;Lucas Luiz Romero")*(35/1083),IF(C1771="Técnico II",SUMIFS($D:$D,$A:$A,$A1771,$B:$B,"&lt;&gt;Patrícia Karla de Sousa Araújo",$B:$B,"&lt;&gt;Lorena Dias de Araujo",$B:$B,"&lt;&gt;Lucas Luiz Romero")*(28/1083),IF(C1771="Técnico I",SUMIFS($D:$D,$A:$A,$A1771,$B:$B,"&lt;&gt;Patrícia Karla de Sousa Araújo",$B:$B,"&lt;&gt;Lorena Dias de Araujo",$B:$B,"&lt;&gt;Lucas Luiz Romero")*(23/1083),IF(C1771="JR",SUMIFS($D:$D,$A:$A,$A1771,$B:$B,"&lt;&gt;Patrícia Karla de Sousa Araújo",$B:$B,"&lt;&gt;Lorena Dias de Araujo",$B:$B,"&lt;&gt;Lucas Luiz Romero")*(20/1083),IF(C1771="Estágio",SUMIFS($D:$D,$A:$A,$A1771,$B:$B,"&lt;&gt;Patrícia Karla de Sousa Araújo",$B:$B,"&lt;&gt;Lorena Dias de Araujo",$B:$B,"&lt;&gt;Lucas Luiz Romero")*(10/1083),0)))))),0)</f>
        <v/>
      </c>
      <c r="K1771" s="3">
        <f>I1771-J1771</f>
        <v/>
      </c>
      <c r="L1771" s="3">
        <f>IF(K1771&lt;-5,"CRÍTICO",IF(K1771&lt;0,"ATENÇÃO",IF(K1771&lt;=5,"BOM","EXCELENTE")))</f>
        <v/>
      </c>
      <c r="M1771" s="3" t="n">
        <v>5</v>
      </c>
      <c r="N1771" s="3" t="n">
        <v>100</v>
      </c>
      <c r="O1771" s="12" t="n">
        <v>35.48387096774194</v>
      </c>
    </row>
    <row r="1772">
      <c r="A1772" s="10" t="n">
        <v>46056</v>
      </c>
      <c r="B1772" t="inlineStr">
        <is>
          <t>Matheus Farias De Souza</t>
        </is>
      </c>
      <c r="C1772" s="1" t="inlineStr">
        <is>
          <t>Técnico III</t>
        </is>
      </c>
      <c r="D1772" s="3" t="n">
        <v>30</v>
      </c>
      <c r="E1772" s="3" t="n">
        <v>27</v>
      </c>
      <c r="F1772" s="3" t="n">
        <v>20.57</v>
      </c>
      <c r="G1772" s="3" t="n">
        <v>0</v>
      </c>
      <c r="H1772" s="3" t="n">
        <v>0</v>
      </c>
      <c r="I1772" s="3">
        <f>E1772+G1772+H1772</f>
        <v/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/>
      </c>
      <c r="K1772" s="3">
        <f>I1772-J1772</f>
        <v/>
      </c>
      <c r="L1772" s="3">
        <f>IF(K1772&lt;-5,"CRÍTICO",IF(K1772&lt;0,"ATENÇÃO",IF(K1772&lt;=5,"BOM","EXCELENTE")))</f>
        <v/>
      </c>
      <c r="M1772" s="3" t="n">
        <v>24</v>
      </c>
      <c r="N1772" s="3" t="n">
        <v>99.27</v>
      </c>
      <c r="O1772" s="12" t="n">
        <v>31.16370808678501</v>
      </c>
    </row>
    <row r="1773">
      <c r="A1773" s="10" t="n">
        <v>46056</v>
      </c>
      <c r="B1773" t="inlineStr">
        <is>
          <t>Maysa Victoria Dias Moura</t>
        </is>
      </c>
      <c r="C1773" s="1" t="inlineStr">
        <is>
          <t>Técnico III</t>
        </is>
      </c>
      <c r="D1773" s="3" t="n">
        <v>46</v>
      </c>
      <c r="E1773" s="3" t="n">
        <v>44</v>
      </c>
      <c r="F1773" s="3" t="n">
        <v>16.49</v>
      </c>
      <c r="G1773" s="3" t="n">
        <v>0</v>
      </c>
      <c r="H1773" s="3" t="n">
        <v>0</v>
      </c>
      <c r="I1773" s="3">
        <f>E1773+G1773+H1773</f>
        <v/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/>
      </c>
      <c r="K1773" s="3">
        <f>I1773-J1773</f>
        <v/>
      </c>
      <c r="L1773" s="3">
        <f>IF(K1773&lt;-5,"CRÍTICO",IF(K1773&lt;0,"ATENÇÃO",IF(K1773&lt;=5,"BOM","EXCELENTE")))</f>
        <v/>
      </c>
      <c r="M1773" s="3" t="n">
        <v>38</v>
      </c>
      <c r="N1773" s="3" t="n">
        <v>94.16</v>
      </c>
      <c r="O1773" s="12" t="n">
        <v>27.03862660944206</v>
      </c>
    </row>
    <row r="1774">
      <c r="A1774" s="10" t="n">
        <v>46056</v>
      </c>
      <c r="B1774" t="inlineStr">
        <is>
          <t>Michelle G Santos</t>
        </is>
      </c>
      <c r="C1774" s="1" t="inlineStr">
        <is>
          <t>Estágio</t>
        </is>
      </c>
      <c r="D1774" s="3" t="n">
        <v>12</v>
      </c>
      <c r="E1774" s="3" t="n">
        <v>11</v>
      </c>
      <c r="F1774" s="3" t="n">
        <v>56.49</v>
      </c>
      <c r="G1774" s="3" t="n">
        <v>0</v>
      </c>
      <c r="H1774" s="3" t="n">
        <v>0</v>
      </c>
      <c r="I1774" s="3">
        <f>E1774+G1774+H1774</f>
        <v/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/>
      </c>
      <c r="K1774" s="3">
        <f>I1774-J1774</f>
        <v/>
      </c>
      <c r="L1774" s="3">
        <f>IF(K1774&lt;-5,"CRÍTICO",IF(K1774&lt;0,"ATENÇÃO",IF(K1774&lt;=5,"BOM","EXCELENTE")))</f>
        <v/>
      </c>
      <c r="M1774" s="3" t="n">
        <v>5</v>
      </c>
      <c r="N1774" s="3" t="n">
        <v>93.75</v>
      </c>
      <c r="O1774" s="12" t="n">
        <v>19.31818181818182</v>
      </c>
    </row>
    <row r="1775">
      <c r="A1775" s="10" t="n">
        <v>46056</v>
      </c>
      <c r="B1775" t="inlineStr">
        <is>
          <t>Milena Sales</t>
        </is>
      </c>
      <c r="C1775" s="1" t="inlineStr">
        <is>
          <t>JR</t>
        </is>
      </c>
      <c r="D1775" s="3" t="n">
        <v>0</v>
      </c>
      <c r="E1775" s="3" t="n">
        <v>0</v>
      </c>
      <c r="F1775" s="3" t="n">
        <v>0</v>
      </c>
      <c r="G1775" s="3" t="n">
        <v>0</v>
      </c>
      <c r="H1775" s="3" t="n">
        <v>0</v>
      </c>
      <c r="I1775" s="3" t="n">
        <v>0</v>
      </c>
      <c r="J1775" s="3" t="n">
        <v>0</v>
      </c>
      <c r="K1775" s="3" t="n">
        <v>0</v>
      </c>
      <c r="L1775" s="3">
        <f>IF(K1775&lt;-5,"CRÍTICO",IF(K1775&lt;0,"ATENÇÃO",IF(K1775&lt;=5,"BOM","EXCELENTE")))</f>
        <v/>
      </c>
      <c r="M1775" s="3" t="n">
        <v>0</v>
      </c>
      <c r="N1775" s="3" t="n">
        <v>0</v>
      </c>
      <c r="O1775" s="12" t="n">
        <v>0</v>
      </c>
    </row>
    <row r="1776">
      <c r="A1776" s="10" t="n">
        <v>46056</v>
      </c>
      <c r="B1776" t="inlineStr">
        <is>
          <t>Patrícia Karla de Sousa Araújo</t>
        </is>
      </c>
      <c r="C1776" s="1" t="inlineStr">
        <is>
          <t>Técnico II</t>
        </is>
      </c>
      <c r="D1776" s="3" t="n">
        <v>32</v>
      </c>
      <c r="E1776" s="3" t="n">
        <v>32</v>
      </c>
      <c r="F1776" s="3" t="n">
        <v>20.25</v>
      </c>
      <c r="G1776" s="3" t="n">
        <v>0</v>
      </c>
      <c r="H1776" s="3" t="n">
        <v>0</v>
      </c>
      <c r="I1776" s="3">
        <f>E1776+G1776+H1776</f>
        <v/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/>
      </c>
      <c r="K1776" s="3">
        <f>I1776-J1776</f>
        <v/>
      </c>
      <c r="L1776" s="3">
        <f>IF(K1776&lt;-5,"CRÍTICO",IF(K1776&lt;0,"ATENÇÃO",IF(K1776&lt;=5,"BOM","EXCELENTE")))</f>
        <v/>
      </c>
      <c r="M1776" s="3" t="n">
        <v>26</v>
      </c>
      <c r="N1776" s="3" t="n">
        <v>97.92</v>
      </c>
      <c r="O1776" s="12" t="n">
        <v>32.87671232876712</v>
      </c>
    </row>
    <row r="1777">
      <c r="A1777" s="10" t="n">
        <v>46056</v>
      </c>
      <c r="B1777" t="inlineStr">
        <is>
          <t>Paulo Ricardo Santos</t>
        </is>
      </c>
      <c r="C1777" s="1" t="inlineStr">
        <is>
          <t>JR</t>
        </is>
      </c>
      <c r="D1777" s="3" t="n">
        <v>0</v>
      </c>
      <c r="E1777" s="3" t="n">
        <v>0</v>
      </c>
      <c r="F1777" s="3" t="n">
        <v>0</v>
      </c>
      <c r="G1777" s="3" t="n">
        <v>0</v>
      </c>
      <c r="H1777" s="3" t="n">
        <v>0</v>
      </c>
      <c r="I1777" s="3" t="n">
        <v>0</v>
      </c>
      <c r="J1777" s="3" t="n">
        <v>0</v>
      </c>
      <c r="K1777" s="3" t="n">
        <v>0</v>
      </c>
      <c r="L1777" s="3">
        <f>IF(K1777&lt;-5,"CRÍTICO",IF(K1777&lt;0,"ATENÇÃO",IF(K1777&lt;=5,"BOM","EXCELENTE")))</f>
        <v/>
      </c>
      <c r="M1777" s="3" t="n">
        <v>0</v>
      </c>
      <c r="N1777" s="3" t="n">
        <v>0</v>
      </c>
      <c r="O1777" s="12" t="n">
        <v>0</v>
      </c>
    </row>
    <row r="1778">
      <c r="A1778" s="10" t="n">
        <v>46056</v>
      </c>
      <c r="B1778" t="inlineStr">
        <is>
          <t>Pedro Luiz Mota Sousa</t>
        </is>
      </c>
      <c r="C1778" s="1" t="inlineStr">
        <is>
          <t>JR</t>
        </is>
      </c>
      <c r="D1778" s="3" t="n">
        <v>0</v>
      </c>
      <c r="E1778" s="3" t="n">
        <v>0</v>
      </c>
      <c r="F1778" s="3" t="n">
        <v>0</v>
      </c>
      <c r="G1778" s="3" t="n">
        <v>0</v>
      </c>
      <c r="H1778" s="3" t="n">
        <v>0</v>
      </c>
      <c r="I1778" s="3" t="n">
        <v>0</v>
      </c>
      <c r="J1778" s="3" t="n">
        <v>0</v>
      </c>
      <c r="K1778" s="3" t="n">
        <v>0</v>
      </c>
      <c r="L1778" s="3">
        <f>IF(K1778&lt;-5,"CRÍTICO",IF(K1778&lt;0,"ATENÇÃO",IF(K1778&lt;=5,"BOM","EXCELENTE")))</f>
        <v/>
      </c>
      <c r="M1778" s="3" t="n">
        <v>0</v>
      </c>
      <c r="N1778" s="3" t="n">
        <v>0</v>
      </c>
      <c r="O1778" s="12" t="n">
        <v>0</v>
      </c>
    </row>
    <row r="1779">
      <c r="A1779" s="10" t="n">
        <v>46056</v>
      </c>
      <c r="B1779" t="inlineStr">
        <is>
          <t>Quirino Diogo Leite Torres</t>
        </is>
      </c>
      <c r="C1779" s="1" t="inlineStr">
        <is>
          <t>Estágio</t>
        </is>
      </c>
      <c r="D1779" s="3" t="n">
        <v>0</v>
      </c>
      <c r="E1779" s="3" t="n">
        <v>0</v>
      </c>
      <c r="F1779" s="3" t="n">
        <v>0</v>
      </c>
      <c r="G1779" s="3" t="n">
        <v>0</v>
      </c>
      <c r="H1779" s="3" t="n">
        <v>0</v>
      </c>
      <c r="I1779" s="3" t="n">
        <v>0</v>
      </c>
      <c r="J1779" s="3" t="n">
        <v>0</v>
      </c>
      <c r="K1779" s="3" t="n">
        <v>0</v>
      </c>
      <c r="L1779" s="3">
        <f>IF(K1779&lt;-5,"CRÍTICO",IF(K1779&lt;0,"ATENÇÃO",IF(K1779&lt;=5,"BOM","EXCELENTE")))</f>
        <v/>
      </c>
      <c r="M1779" s="3" t="n">
        <v>0</v>
      </c>
      <c r="N1779" s="3" t="n">
        <v>0</v>
      </c>
      <c r="O1779" s="12" t="n">
        <v>0</v>
      </c>
    </row>
    <row r="1780">
      <c r="A1780" s="10" t="n">
        <v>46056</v>
      </c>
      <c r="B1780" t="inlineStr">
        <is>
          <t>Raane Batista Matos</t>
        </is>
      </c>
      <c r="C1780" s="1" t="inlineStr">
        <is>
          <t>Técnico I</t>
        </is>
      </c>
      <c r="D1780" s="3" t="n">
        <v>20</v>
      </c>
      <c r="E1780" s="3" t="n">
        <v>17</v>
      </c>
      <c r="F1780" s="3" t="n">
        <v>30</v>
      </c>
      <c r="G1780" s="3" t="n">
        <v>0</v>
      </c>
      <c r="H1780" s="3" t="n">
        <v>0</v>
      </c>
      <c r="I1780" s="3">
        <f>E1780+G1780+H1780</f>
        <v/>
      </c>
      <c r="J1780" s="3">
        <f>ROUND(MIN(IF(C1780="Técnico III",35,IF(C1780="Técnico II",28,IF(C1780="Técnico I",23,IF(C1780="JR",20,IF(C1780="Estágio",10,0))))),IF(C1780="Técnico III",SUMIFS($D:$D,$A:$A,$A1780,$B:$B,"&lt;&gt;Patrícia Karla de Sousa Araújo",$B:$B,"&lt;&gt;Lorena Dias de Araujo",$B:$B,"&lt;&gt;Lucas Luiz Romero")*(35/1083),IF(C1780="Técnico II",SUMIFS($D:$D,$A:$A,$A1780,$B:$B,"&lt;&gt;Patrícia Karla de Sousa Araújo",$B:$B,"&lt;&gt;Lorena Dias de Araujo",$B:$B,"&lt;&gt;Lucas Luiz Romero")*(28/1083),IF(C1780="Técnico I",SUMIFS($D:$D,$A:$A,$A1780,$B:$B,"&lt;&gt;Patrícia Karla de Sousa Araújo",$B:$B,"&lt;&gt;Lorena Dias de Araujo",$B:$B,"&lt;&gt;Lucas Luiz Romero")*(23/1083),IF(C1780="JR",SUMIFS($D:$D,$A:$A,$A1780,$B:$B,"&lt;&gt;Patrícia Karla de Sousa Araújo",$B:$B,"&lt;&gt;Lorena Dias de Araujo",$B:$B,"&lt;&gt;Lucas Luiz Romero")*(20/1083),IF(C1780="Estágio",SUMIFS($D:$D,$A:$A,$A1780,$B:$B,"&lt;&gt;Patrícia Karla de Sousa Araújo",$B:$B,"&lt;&gt;Lorena Dias de Araujo",$B:$B,"&lt;&gt;Lucas Luiz Romero")*(10/1083),0)))))),0)</f>
        <v/>
      </c>
      <c r="K1780" s="3">
        <f>I1780-J1780</f>
        <v/>
      </c>
      <c r="L1780" s="3">
        <f>IF(K1780&lt;-5,"CRÍTICO",IF(K1780&lt;0,"ATENÇÃO",IF(K1780&lt;=5,"BOM","EXCELENTE")))</f>
        <v/>
      </c>
      <c r="M1780" s="3" t="n">
        <v>17</v>
      </c>
      <c r="N1780" s="3" t="n">
        <v>98.51000000000001</v>
      </c>
      <c r="O1780" s="12" t="n">
        <v>29.71014492753623</v>
      </c>
    </row>
    <row r="1781">
      <c r="A1781" s="10" t="n">
        <v>46056</v>
      </c>
      <c r="B1781" t="inlineStr">
        <is>
          <t>Rafael Gomes de Morais</t>
        </is>
      </c>
      <c r="C1781" s="1" t="inlineStr">
        <is>
          <t>Técnico III</t>
        </is>
      </c>
      <c r="D1781" s="3" t="n">
        <v>36</v>
      </c>
      <c r="E1781" s="3" t="n">
        <v>33</v>
      </c>
      <c r="F1781" s="3" t="n">
        <v>12.38</v>
      </c>
      <c r="G1781" s="3" t="n">
        <v>0</v>
      </c>
      <c r="H1781" s="3" t="n">
        <v>0</v>
      </c>
      <c r="I1781" s="3">
        <f>E1781+G1781+H1781</f>
        <v/>
      </c>
      <c r="J1781" s="3">
        <f>ROUND(MIN(IF(C1781="Técnico III",35,IF(C1781="Técnico II",28,IF(C1781="Técnico I",23,IF(C1781="JR",20,IF(C1781="Estágio",10,0))))),IF(C1781="Técnico III",SUMIFS($D:$D,$A:$A,$A1781,$B:$B,"&lt;&gt;Patrícia Karla de Sousa Araújo",$B:$B,"&lt;&gt;Lorena Dias de Araujo",$B:$B,"&lt;&gt;Lucas Luiz Romero")*(35/1083),IF(C1781="Técnico II",SUMIFS($D:$D,$A:$A,$A1781,$B:$B,"&lt;&gt;Patrícia Karla de Sousa Araújo",$B:$B,"&lt;&gt;Lorena Dias de Araujo",$B:$B,"&lt;&gt;Lucas Luiz Romero")*(28/1083),IF(C1781="Técnico I",SUMIFS($D:$D,$A:$A,$A1781,$B:$B,"&lt;&gt;Patrícia Karla de Sousa Araújo",$B:$B,"&lt;&gt;Lorena Dias de Araujo",$B:$B,"&lt;&gt;Lucas Luiz Romero")*(23/1083),IF(C1781="JR",SUMIFS($D:$D,$A:$A,$A1781,$B:$B,"&lt;&gt;Patrícia Karla de Sousa Araújo",$B:$B,"&lt;&gt;Lorena Dias de Araujo",$B:$B,"&lt;&gt;Lucas Luiz Romero")*(20/1083),IF(C1781="Estágio",SUMIFS($D:$D,$A:$A,$A1781,$B:$B,"&lt;&gt;Patrícia Karla de Sousa Araújo",$B:$B,"&lt;&gt;Lorena Dias de Araujo",$B:$B,"&lt;&gt;Lucas Luiz Romero")*(10/1083),0)))))),0)</f>
        <v/>
      </c>
      <c r="K1781" s="3">
        <f>I1781-J1781</f>
        <v/>
      </c>
      <c r="L1781" s="3">
        <f>IF(K1781&lt;-5,"CRÍTICO",IF(K1781&lt;0,"ATENÇÃO",IF(K1781&lt;=5,"BOM","EXCELENTE")))</f>
        <v/>
      </c>
      <c r="M1781" s="3" t="n">
        <v>32</v>
      </c>
      <c r="N1781" s="3" t="n">
        <v>98.81</v>
      </c>
      <c r="O1781" s="12" t="n">
        <v>30.71297989031079</v>
      </c>
    </row>
    <row r="1782">
      <c r="A1782" s="10" t="n">
        <v>46056</v>
      </c>
      <c r="B1782" t="inlineStr">
        <is>
          <t>Sara Maria Monteiro Lopes</t>
        </is>
      </c>
      <c r="C1782" s="1" t="inlineStr">
        <is>
          <t>Técnico I</t>
        </is>
      </c>
      <c r="D1782" s="3" t="n">
        <v>13</v>
      </c>
      <c r="E1782" s="3" t="n">
        <v>12</v>
      </c>
      <c r="F1782" s="3" t="n">
        <v>45.3</v>
      </c>
      <c r="G1782" s="3" t="n">
        <v>0</v>
      </c>
      <c r="H1782" s="3" t="n">
        <v>0</v>
      </c>
      <c r="I1782" s="3">
        <f>E1782+G1782+H1782</f>
        <v/>
      </c>
      <c r="J1782" s="3">
        <f>ROUND(MIN(IF(C1782="Técnico III",35,IF(C1782="Técnico II",28,IF(C1782="Técnico I",23,IF(C1782="JR",20,IF(C1782="Estágio",10,0))))),IF(C1782="Técnico III",SUMIFS($D:$D,$A:$A,$A1782,$B:$B,"&lt;&gt;Patrícia Karla de Sousa Araújo",$B:$B,"&lt;&gt;Lorena Dias de Araujo",$B:$B,"&lt;&gt;Lucas Luiz Romero")*(35/1083),IF(C1782="Técnico II",SUMIFS($D:$D,$A:$A,$A1782,$B:$B,"&lt;&gt;Patrícia Karla de Sousa Araújo",$B:$B,"&lt;&gt;Lorena Dias de Araujo",$B:$B,"&lt;&gt;Lucas Luiz Romero")*(28/1083),IF(C1782="Técnico I",SUMIFS($D:$D,$A:$A,$A1782,$B:$B,"&lt;&gt;Patrícia Karla de Sousa Araújo",$B:$B,"&lt;&gt;Lorena Dias de Araujo",$B:$B,"&lt;&gt;Lucas Luiz Romero")*(23/1083),IF(C1782="JR",SUMIFS($D:$D,$A:$A,$A1782,$B:$B,"&lt;&gt;Patrícia Karla de Sousa Araújo",$B:$B,"&lt;&gt;Lorena Dias de Araujo",$B:$B,"&lt;&gt;Lucas Luiz Romero")*(20/1083),IF(C1782="Estágio",SUMIFS($D:$D,$A:$A,$A1782,$B:$B,"&lt;&gt;Patrícia Karla de Sousa Araújo",$B:$B,"&lt;&gt;Lorena Dias de Araujo",$B:$B,"&lt;&gt;Lucas Luiz Romero")*(10/1083),0)))))),0)</f>
        <v/>
      </c>
      <c r="K1782" s="3">
        <f>I1782-J1782</f>
        <v/>
      </c>
      <c r="L1782" s="3">
        <f>IF(K1782&lt;-5,"CRÍTICO",IF(K1782&lt;0,"ATENÇÃO",IF(K1782&lt;=5,"BOM","EXCELENTE")))</f>
        <v/>
      </c>
      <c r="M1782" s="3" t="n">
        <v>12</v>
      </c>
      <c r="N1782" s="3" t="n">
        <v>98.48</v>
      </c>
      <c r="O1782" s="12" t="n">
        <v>29.35323383084577</v>
      </c>
    </row>
    <row r="1783">
      <c r="A1783" s="10" t="n">
        <v>46056</v>
      </c>
      <c r="B1783" t="inlineStr">
        <is>
          <t>Sarah Steffanie de Lima Borges</t>
        </is>
      </c>
      <c r="C1783" s="1" t="inlineStr">
        <is>
          <t>Técnico III</t>
        </is>
      </c>
      <c r="D1783" s="3" t="n">
        <v>37</v>
      </c>
      <c r="E1783" s="3" t="n">
        <v>34</v>
      </c>
      <c r="F1783" s="3" t="n">
        <v>15.41</v>
      </c>
      <c r="G1783" s="3" t="n">
        <v>0</v>
      </c>
      <c r="H1783" s="3" t="n">
        <v>0</v>
      </c>
      <c r="I1783" s="3">
        <f>E1783+G1783+H1783</f>
        <v/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/>
      </c>
      <c r="K1783" s="3">
        <f>I1783-J1783</f>
        <v/>
      </c>
      <c r="L1783" s="3">
        <f>IF(K1783&lt;-5,"CRÍTICO",IF(K1783&lt;0,"ATENÇÃO",IF(K1783&lt;=5,"BOM","EXCELENTE")))</f>
        <v/>
      </c>
      <c r="M1783" s="3" t="n">
        <v>32</v>
      </c>
      <c r="N1783" s="3" t="n">
        <v>98.56</v>
      </c>
      <c r="O1783" s="12" t="n">
        <v>29.37365010799136</v>
      </c>
    </row>
    <row r="1784">
      <c r="A1784" s="10" t="n">
        <v>46057</v>
      </c>
      <c r="B1784" t="inlineStr">
        <is>
          <t>Alisson de Freitas Silva</t>
        </is>
      </c>
      <c r="C1784" s="1" t="inlineStr">
        <is>
          <t>Técnico II</t>
        </is>
      </c>
      <c r="D1784" s="3" t="n">
        <v>26</v>
      </c>
      <c r="E1784" s="3" t="n">
        <v>26</v>
      </c>
      <c r="F1784" s="3" t="n">
        <v>21.59</v>
      </c>
      <c r="G1784" s="3" t="n">
        <v>0</v>
      </c>
      <c r="H1784" s="3" t="n">
        <v>0</v>
      </c>
      <c r="I1784" s="3">
        <f>E1784+G1784+H1784</f>
        <v/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/>
      </c>
      <c r="K1784" s="3">
        <f>I1784-J1784</f>
        <v/>
      </c>
      <c r="L1784" s="3">
        <f>IF(K1784&lt;-5,"CRÍTICO",IF(K1784&lt;0,"ATENÇÃO",IF(K1784&lt;=5,"BOM","EXCELENTE")))</f>
        <v/>
      </c>
      <c r="M1784" s="3" t="n">
        <v>24</v>
      </c>
      <c r="N1784" s="3" t="n">
        <v>98.31999999999999</v>
      </c>
      <c r="O1784" s="12" t="n">
        <v>30.3030303030303</v>
      </c>
    </row>
    <row r="1785">
      <c r="A1785" s="10" t="n">
        <v>46057</v>
      </c>
      <c r="B1785" t="inlineStr">
        <is>
          <t>Amanda Moura Ferreira</t>
        </is>
      </c>
      <c r="C1785" s="1" t="inlineStr">
        <is>
          <t>Técnico III</t>
        </is>
      </c>
      <c r="D1785" s="3" t="n">
        <v>0</v>
      </c>
      <c r="E1785" s="3" t="n">
        <v>0</v>
      </c>
      <c r="F1785" s="3" t="n">
        <v>0</v>
      </c>
      <c r="G1785" s="3" t="n">
        <v>0</v>
      </c>
      <c r="H1785" s="3" t="n">
        <v>0</v>
      </c>
      <c r="I1785" s="3" t="n">
        <v>0</v>
      </c>
      <c r="J1785" s="3" t="n">
        <v>0</v>
      </c>
      <c r="K1785" s="3" t="n">
        <v>0</v>
      </c>
      <c r="L1785" s="3">
        <f>IF(K1785&lt;-5,"CRÍTICO",IF(K1785&lt;0,"ATENÇÃO",IF(K1785&lt;=5,"BOM","EXCELENTE")))</f>
        <v/>
      </c>
      <c r="M1785" s="3" t="n">
        <v>28</v>
      </c>
      <c r="N1785" s="3" t="n">
        <v>98.68000000000001</v>
      </c>
      <c r="O1785" s="12" t="n">
        <v>26.21951219512195</v>
      </c>
    </row>
    <row r="1786">
      <c r="A1786" s="10" t="n">
        <v>46057</v>
      </c>
      <c r="B1786" t="inlineStr">
        <is>
          <t>Ana Karollyne Souza Faria</t>
        </is>
      </c>
      <c r="C1786" s="1" t="inlineStr">
        <is>
          <t>Técnico I</t>
        </is>
      </c>
      <c r="D1786" s="3" t="n">
        <v>25</v>
      </c>
      <c r="E1786" s="3" t="n">
        <v>24</v>
      </c>
      <c r="F1786" s="3" t="n">
        <v>29.02</v>
      </c>
      <c r="G1786" s="3" t="n">
        <v>0</v>
      </c>
      <c r="H1786" s="3" t="n">
        <v>0</v>
      </c>
      <c r="I1786" s="3">
        <f>E1786+G1786+H1786</f>
        <v/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/>
      </c>
      <c r="K1786" s="3">
        <f>I1786-J1786</f>
        <v/>
      </c>
      <c r="L1786" s="3">
        <f>IF(K1786&lt;-5,"CRÍTICO",IF(K1786&lt;0,"ATENÇÃO",IF(K1786&lt;=5,"BOM","EXCELENTE")))</f>
        <v/>
      </c>
      <c r="M1786" s="3" t="n">
        <v>25</v>
      </c>
      <c r="N1786" s="3" t="n">
        <v>100</v>
      </c>
      <c r="O1786" s="12" t="n">
        <v>31.74224343675418</v>
      </c>
    </row>
    <row r="1787">
      <c r="A1787" s="10" t="n">
        <v>46057</v>
      </c>
      <c r="B1787" t="inlineStr">
        <is>
          <t>Ana Paula Da Luz Silva Aleixo</t>
        </is>
      </c>
      <c r="C1787" s="1" t="inlineStr">
        <is>
          <t>Técnico III</t>
        </is>
      </c>
      <c r="D1787" s="3" t="n">
        <v>39</v>
      </c>
      <c r="E1787" s="3" t="n">
        <v>38</v>
      </c>
      <c r="F1787" s="3" t="n">
        <v>18.2</v>
      </c>
      <c r="G1787" s="3" t="n">
        <v>0</v>
      </c>
      <c r="H1787" s="3" t="n">
        <v>0</v>
      </c>
      <c r="I1787" s="3">
        <f>E1787+G1787+H1787</f>
        <v/>
      </c>
      <c r="J1787" s="3">
        <f>ROUND(MIN(IF(C1787="Técnico III",35,IF(C1787="Técnico II",28,IF(C1787="Técnico I",23,IF(C1787="JR",20,IF(C1787="Estágio",10,0))))),IF(C1787="Técnico III",SUMIFS($D:$D,$A:$A,$A1787,$B:$B,"&lt;&gt;Patrícia Karla de Sousa Araújo",$B:$B,"&lt;&gt;Lorena Dias de Araujo",$B:$B,"&lt;&gt;Lucas Luiz Romero")*(35/1083),IF(C1787="Técnico II",SUMIFS($D:$D,$A:$A,$A1787,$B:$B,"&lt;&gt;Patrícia Karla de Sousa Araújo",$B:$B,"&lt;&gt;Lorena Dias de Araujo",$B:$B,"&lt;&gt;Lucas Luiz Romero")*(28/1083),IF(C1787="Técnico I",SUMIFS($D:$D,$A:$A,$A1787,$B:$B,"&lt;&gt;Patrícia Karla de Sousa Araújo",$B:$B,"&lt;&gt;Lorena Dias de Araujo",$B:$B,"&lt;&gt;Lucas Luiz Romero")*(23/1083),IF(C1787="JR",SUMIFS($D:$D,$A:$A,$A1787,$B:$B,"&lt;&gt;Patrícia Karla de Sousa Araújo",$B:$B,"&lt;&gt;Lorena Dias de Araujo",$B:$B,"&lt;&gt;Lucas Luiz Romero")*(20/1083),IF(C1787="Estágio",SUMIFS($D:$D,$A:$A,$A1787,$B:$B,"&lt;&gt;Patrícia Karla de Sousa Araújo",$B:$B,"&lt;&gt;Lorena Dias de Araujo",$B:$B,"&lt;&gt;Lucas Luiz Romero")*(10/1083),0)))))),0)</f>
        <v/>
      </c>
      <c r="K1787" s="3">
        <f>I1787-J1787</f>
        <v/>
      </c>
      <c r="L1787" s="3">
        <f>IF(K1787&lt;-5,"CRÍTICO",IF(K1787&lt;0,"ATENÇÃO",IF(K1787&lt;=5,"BOM","EXCELENTE")))</f>
        <v/>
      </c>
      <c r="M1787" s="3" t="n">
        <v>32</v>
      </c>
      <c r="N1787" s="3" t="n">
        <v>98.25</v>
      </c>
      <c r="O1787" s="12" t="n">
        <v>25.83518930957684</v>
      </c>
    </row>
    <row r="1788">
      <c r="A1788" s="10" t="n">
        <v>46057</v>
      </c>
      <c r="B1788" t="inlineStr">
        <is>
          <t>Anna Luiza Rezende Tavares</t>
        </is>
      </c>
      <c r="C1788" s="1" t="inlineStr">
        <is>
          <t>Estágio</t>
        </is>
      </c>
      <c r="D1788" s="3" t="n">
        <v>8</v>
      </c>
      <c r="E1788" s="3" t="n">
        <v>8</v>
      </c>
      <c r="F1788" s="3" t="n">
        <v>40.17</v>
      </c>
      <c r="G1788" s="3" t="n">
        <v>0</v>
      </c>
      <c r="H1788" s="3" t="n">
        <v>0</v>
      </c>
      <c r="I1788" s="3">
        <f>E1788+G1788+H1788</f>
        <v/>
      </c>
      <c r="J1788" s="3">
        <f>ROUND(MIN(IF(C1788="Técnico III",35,IF(C1788="Técnico II",28,IF(C1788="Técnico I",23,IF(C1788="JR",20,IF(C1788="Estágio",10,0))))),IF(C1788="Técnico III",SUMIFS($D:$D,$A:$A,$A1788,$B:$B,"&lt;&gt;Patrícia Karla de Sousa Araújo",$B:$B,"&lt;&gt;Lorena Dias de Araujo",$B:$B,"&lt;&gt;Lucas Luiz Romero")*(35/1083),IF(C1788="Técnico II",SUMIFS($D:$D,$A:$A,$A1788,$B:$B,"&lt;&gt;Patrícia Karla de Sousa Araújo",$B:$B,"&lt;&gt;Lorena Dias de Araujo",$B:$B,"&lt;&gt;Lucas Luiz Romero")*(28/1083),IF(C1788="Técnico I",SUMIFS($D:$D,$A:$A,$A1788,$B:$B,"&lt;&gt;Patrícia Karla de Sousa Araújo",$B:$B,"&lt;&gt;Lorena Dias de Araujo",$B:$B,"&lt;&gt;Lucas Luiz Romero")*(23/1083),IF(C1788="JR",SUMIFS($D:$D,$A:$A,$A1788,$B:$B,"&lt;&gt;Patrícia Karla de Sousa Araújo",$B:$B,"&lt;&gt;Lorena Dias de Araujo",$B:$B,"&lt;&gt;Lucas Luiz Romero")*(20/1083),IF(C1788="Estágio",SUMIFS($D:$D,$A:$A,$A1788,$B:$B,"&lt;&gt;Patrícia Karla de Sousa Araújo",$B:$B,"&lt;&gt;Lorena Dias de Araujo",$B:$B,"&lt;&gt;Lucas Luiz Romero")*(10/1083),0)))))),0)</f>
        <v/>
      </c>
      <c r="K1788" s="3">
        <f>I1788-J1788</f>
        <v/>
      </c>
      <c r="L1788" s="3">
        <f>IF(K1788&lt;-5,"CRÍTICO",IF(K1788&lt;0,"ATENÇÃO",IF(K1788&lt;=5,"BOM","EXCELENTE")))</f>
        <v/>
      </c>
      <c r="M1788" s="3" t="n">
        <v>8</v>
      </c>
      <c r="N1788" s="3" t="n">
        <v>97.5</v>
      </c>
      <c r="O1788" s="12" t="n">
        <v>30.07518796992481</v>
      </c>
    </row>
    <row r="1789">
      <c r="A1789" s="10" t="n">
        <v>46057</v>
      </c>
      <c r="B1789" t="inlineStr">
        <is>
          <t>Brenda de Menezes Silva</t>
        </is>
      </c>
      <c r="C1789" s="1" t="inlineStr">
        <is>
          <t>Técnico II</t>
        </is>
      </c>
      <c r="D1789" s="3" t="n">
        <v>37</v>
      </c>
      <c r="E1789" s="3" t="n">
        <v>34</v>
      </c>
      <c r="F1789" s="3" t="n">
        <v>17.1</v>
      </c>
      <c r="G1789" s="3" t="n">
        <v>0</v>
      </c>
      <c r="H1789" s="3" t="n">
        <v>0</v>
      </c>
      <c r="I1789" s="3">
        <f>E1789+G1789+H1789</f>
        <v/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/>
      </c>
      <c r="K1789" s="3">
        <f>I1789-J1789</f>
        <v/>
      </c>
      <c r="L1789" s="3">
        <f>IF(K1789&lt;-5,"CRÍTICO",IF(K1789&lt;0,"ATENÇÃO",IF(K1789&lt;=5,"BOM","EXCELENTE")))</f>
        <v/>
      </c>
      <c r="M1789" s="3" t="n">
        <v>32</v>
      </c>
      <c r="N1789" s="3" t="n">
        <v>100</v>
      </c>
      <c r="O1789" s="12" t="n">
        <v>29.71311475409836</v>
      </c>
    </row>
    <row r="1790">
      <c r="A1790" s="10" t="n">
        <v>46057</v>
      </c>
      <c r="B1790" t="inlineStr">
        <is>
          <t>Carlos Mateus Cassimiro Nunes</t>
        </is>
      </c>
      <c r="C1790" s="1" t="inlineStr">
        <is>
          <t>Técnico II</t>
        </is>
      </c>
      <c r="D1790" s="3" t="n">
        <v>32</v>
      </c>
      <c r="E1790" s="3" t="n">
        <v>31</v>
      </c>
      <c r="F1790" s="3" t="n">
        <v>22.11</v>
      </c>
      <c r="G1790" s="3" t="n">
        <v>0</v>
      </c>
      <c r="H1790" s="3" t="n">
        <v>0</v>
      </c>
      <c r="I1790" s="3">
        <f>E1790+G1790+H1790</f>
        <v/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/>
      </c>
      <c r="K1790" s="3">
        <f>I1790-J1790</f>
        <v/>
      </c>
      <c r="L1790" s="3">
        <f>IF(K1790&lt;-5,"CRÍTICO",IF(K1790&lt;0,"ATENÇÃO",IF(K1790&lt;=5,"BOM","EXCELENTE")))</f>
        <v/>
      </c>
      <c r="M1790" s="3" t="n">
        <v>31</v>
      </c>
      <c r="N1790" s="3" t="n">
        <v>99.22</v>
      </c>
      <c r="O1790" s="12" t="n">
        <v>35.25641025641026</v>
      </c>
    </row>
    <row r="1791">
      <c r="A1791" s="10" t="n">
        <v>46057</v>
      </c>
      <c r="B1791" t="inlineStr">
        <is>
          <t>Claudio de Sousa Velasco Filho</t>
        </is>
      </c>
      <c r="C1791" s="1" t="inlineStr">
        <is>
          <t>Estágio</t>
        </is>
      </c>
      <c r="D1791" s="3" t="n">
        <v>0</v>
      </c>
      <c r="E1791" s="3" t="n">
        <v>0</v>
      </c>
      <c r="F1791" s="3" t="n">
        <v>0</v>
      </c>
      <c r="G1791" s="3" t="n">
        <v>0</v>
      </c>
      <c r="H1791" s="3" t="n">
        <v>0</v>
      </c>
      <c r="I1791" s="3" t="n">
        <v>0</v>
      </c>
      <c r="J1791" s="3" t="n">
        <v>0</v>
      </c>
      <c r="K1791" s="3" t="n">
        <v>0</v>
      </c>
      <c r="L1791" s="3">
        <f>IF(K1791&lt;-5,"CRÍTICO",IF(K1791&lt;0,"ATENÇÃO",IF(K1791&lt;=5,"BOM","EXCELENTE")))</f>
        <v/>
      </c>
      <c r="M1791" s="3" t="n">
        <v>0</v>
      </c>
      <c r="N1791" s="3" t="n">
        <v>0</v>
      </c>
      <c r="O1791" s="12" t="n">
        <v>0</v>
      </c>
    </row>
    <row r="1792">
      <c r="A1792" s="10" t="n">
        <v>46057</v>
      </c>
      <c r="B1792" t="inlineStr">
        <is>
          <t>Clessiane Pereira dos Santos</t>
        </is>
      </c>
      <c r="C1792" s="1" t="inlineStr">
        <is>
          <t>Técnico I</t>
        </is>
      </c>
      <c r="D1792" s="3" t="n">
        <v>16</v>
      </c>
      <c r="E1792" s="3" t="n">
        <v>16</v>
      </c>
      <c r="F1792" s="3" t="n">
        <v>28.51</v>
      </c>
      <c r="G1792" s="3" t="n">
        <v>0</v>
      </c>
      <c r="H1792" s="3" t="n">
        <v>0</v>
      </c>
      <c r="I1792" s="3">
        <f>E1792+G1792+H1792</f>
        <v/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/>
      </c>
      <c r="K1792" s="3">
        <f>I1792-J1792</f>
        <v/>
      </c>
      <c r="L1792" s="3">
        <f>IF(K1792&lt;-5,"CRÍTICO",IF(K1792&lt;0,"ATENÇÃO",IF(K1792&lt;=5,"BOM","EXCELENTE")))</f>
        <v/>
      </c>
      <c r="M1792" s="3" t="n">
        <v>16</v>
      </c>
      <c r="N1792" s="3" t="n">
        <v>98.75</v>
      </c>
      <c r="O1792" s="12" t="n">
        <v>24.32432432432433</v>
      </c>
    </row>
    <row r="1793">
      <c r="A1793" s="10" t="n">
        <v>46057</v>
      </c>
      <c r="B1793" t="inlineStr">
        <is>
          <t>Cristiane Ramos da Silva Rocha</t>
        </is>
      </c>
      <c r="C1793" s="1" t="inlineStr">
        <is>
          <t>Técnico III</t>
        </is>
      </c>
      <c r="D1793" s="3" t="n">
        <v>53</v>
      </c>
      <c r="E1793" s="3" t="n">
        <v>48</v>
      </c>
      <c r="F1793" s="3" t="n">
        <v>11.55</v>
      </c>
      <c r="G1793" s="3" t="n">
        <v>0</v>
      </c>
      <c r="H1793" s="3" t="n">
        <v>0</v>
      </c>
      <c r="I1793" s="3">
        <f>E1793+G1793+H1793</f>
        <v/>
      </c>
      <c r="J1793" s="3">
        <f>ROUND(MIN(IF(C1793="Técnico III",35,IF(C1793="Técnico II",28,IF(C1793="Técnico I",23,IF(C1793="JR",20,IF(C1793="Estágio",10,0))))),IF(C1793="Técnico III",SUMIFS($D:$D,$A:$A,$A1793,$B:$B,"&lt;&gt;Patrícia Karla de Sousa Araújo",$B:$B,"&lt;&gt;Lorena Dias de Araujo",$B:$B,"&lt;&gt;Lucas Luiz Romero")*(35/1083),IF(C1793="Técnico II",SUMIFS($D:$D,$A:$A,$A1793,$B:$B,"&lt;&gt;Patrícia Karla de Sousa Araújo",$B:$B,"&lt;&gt;Lorena Dias de Araujo",$B:$B,"&lt;&gt;Lucas Luiz Romero")*(28/1083),IF(C1793="Técnico I",SUMIFS($D:$D,$A:$A,$A1793,$B:$B,"&lt;&gt;Patrícia Karla de Sousa Araújo",$B:$B,"&lt;&gt;Lorena Dias de Araujo",$B:$B,"&lt;&gt;Lucas Luiz Romero")*(23/1083),IF(C1793="JR",SUMIFS($D:$D,$A:$A,$A1793,$B:$B,"&lt;&gt;Patrícia Karla de Sousa Araújo",$B:$B,"&lt;&gt;Lorena Dias de Araujo",$B:$B,"&lt;&gt;Lucas Luiz Romero")*(20/1083),IF(C1793="Estágio",SUMIFS($D:$D,$A:$A,$A1793,$B:$B,"&lt;&gt;Patrícia Karla de Sousa Araújo",$B:$B,"&lt;&gt;Lorena Dias de Araujo",$B:$B,"&lt;&gt;Lucas Luiz Romero")*(10/1083),0)))))),0)</f>
        <v/>
      </c>
      <c r="K1793" s="3">
        <f>I1793-J1793</f>
        <v/>
      </c>
      <c r="L1793" s="3">
        <f>IF(K1793&lt;-5,"CRÍTICO",IF(K1793&lt;0,"ATENÇÃO",IF(K1793&lt;=5,"BOM","EXCELENTE")))</f>
        <v/>
      </c>
      <c r="M1793" s="3" t="n">
        <v>43</v>
      </c>
      <c r="N1793" s="3" t="n">
        <v>93.48</v>
      </c>
      <c r="O1793" s="12" t="n">
        <v>31.52804642166344</v>
      </c>
    </row>
    <row r="1794">
      <c r="A1794" s="10" t="n">
        <v>46057</v>
      </c>
      <c r="B1794" t="inlineStr">
        <is>
          <t>Damyllis Lorraine de Oliveira Gonçalves</t>
        </is>
      </c>
      <c r="C1794" s="1" t="inlineStr">
        <is>
          <t>Técnico II</t>
        </is>
      </c>
      <c r="D1794" s="3" t="n">
        <v>46</v>
      </c>
      <c r="E1794" s="3" t="n">
        <v>41</v>
      </c>
      <c r="F1794" s="3" t="n">
        <v>15.37</v>
      </c>
      <c r="G1794" s="3" t="n">
        <v>0</v>
      </c>
      <c r="H1794" s="3" t="n">
        <v>0</v>
      </c>
      <c r="I1794" s="3" t="n">
        <v>0</v>
      </c>
      <c r="J1794" s="3" t="n">
        <v>0</v>
      </c>
      <c r="K1794" s="3" t="n">
        <v>0</v>
      </c>
      <c r="L1794" s="3">
        <f>IF(K1794&lt;-5,"CRÍTICO",IF(K1794&lt;0,"ATENÇÃO",IF(K1794&lt;=5,"BOM","EXCELENTE")))</f>
        <v/>
      </c>
      <c r="M1794" s="3" t="n">
        <v>38</v>
      </c>
      <c r="N1794" s="3" t="n">
        <v>99.16</v>
      </c>
      <c r="O1794" s="12" t="n">
        <v>26.13908872901678</v>
      </c>
    </row>
    <row r="1795">
      <c r="A1795" s="10" t="n">
        <v>46057</v>
      </c>
      <c r="B1795" t="inlineStr">
        <is>
          <t>Daniel Gomes da Silva</t>
        </is>
      </c>
      <c r="C1795" s="1" t="inlineStr">
        <is>
          <t>Técnico I</t>
        </is>
      </c>
      <c r="D1795" s="3" t="n">
        <v>12</v>
      </c>
      <c r="E1795" s="3" t="n">
        <v>12</v>
      </c>
      <c r="F1795" s="3" t="n">
        <v>32.35</v>
      </c>
      <c r="G1795" s="3" t="n">
        <v>0</v>
      </c>
      <c r="H1795" s="3" t="n">
        <v>0</v>
      </c>
      <c r="I1795" s="3">
        <f>E1795+G1795+H1795</f>
        <v/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/>
      </c>
      <c r="K1795" s="3">
        <f>I1795-J1795</f>
        <v/>
      </c>
      <c r="L1795" s="3">
        <f>IF(K1795&lt;-5,"CRÍTICO",IF(K1795&lt;0,"ATENÇÃO",IF(K1795&lt;=5,"BOM","EXCELENTE")))</f>
        <v/>
      </c>
      <c r="M1795" s="3" t="n">
        <v>18</v>
      </c>
      <c r="N1795" s="3" t="n">
        <v>100</v>
      </c>
      <c r="O1795" s="12" t="n">
        <v>31.08974358974359</v>
      </c>
    </row>
    <row r="1796">
      <c r="A1796" s="10" t="n">
        <v>46057</v>
      </c>
      <c r="B1796" t="inlineStr">
        <is>
          <t>Davylla Rodrigues Freitas Silva</t>
        </is>
      </c>
      <c r="C1796" s="1" t="inlineStr">
        <is>
          <t>Técnico III</t>
        </is>
      </c>
      <c r="D1796" s="3" t="n">
        <v>34</v>
      </c>
      <c r="E1796" s="3" t="n">
        <v>33</v>
      </c>
      <c r="F1796" s="3" t="n">
        <v>20.39</v>
      </c>
      <c r="G1796" s="3" t="n">
        <v>0</v>
      </c>
      <c r="H1796" s="3" t="n">
        <v>0</v>
      </c>
      <c r="I1796" s="3" t="n">
        <v>0</v>
      </c>
      <c r="J1796" s="3" t="n">
        <v>0</v>
      </c>
      <c r="K1796" s="3" t="n">
        <v>0</v>
      </c>
      <c r="L1796" s="3">
        <f>IF(K1796&lt;-5,"CRÍTICO",IF(K1796&lt;0,"ATENÇÃO",IF(K1796&lt;=5,"BOM","EXCELENTE")))</f>
        <v/>
      </c>
      <c r="M1796" s="3" t="n">
        <v>33</v>
      </c>
      <c r="N1796" s="3" t="n">
        <v>98.11</v>
      </c>
      <c r="O1796" s="12" t="n">
        <v>33.03370786516854</v>
      </c>
    </row>
    <row r="1797">
      <c r="A1797" s="10" t="n">
        <v>46057</v>
      </c>
      <c r="B1797" t="inlineStr">
        <is>
          <t>Emilly Caylane Costa</t>
        </is>
      </c>
      <c r="C1797" s="1" t="inlineStr">
        <is>
          <t>Estágio</t>
        </is>
      </c>
      <c r="D1797" s="3" t="n">
        <v>5</v>
      </c>
      <c r="E1797" s="3" t="n">
        <v>5</v>
      </c>
      <c r="F1797" s="3" t="n">
        <v>60.41</v>
      </c>
      <c r="G1797" s="3" t="n">
        <v>0</v>
      </c>
      <c r="H1797" s="3" t="n">
        <v>0</v>
      </c>
      <c r="I1797" s="3">
        <f>E1797+G1797+H1797</f>
        <v/>
      </c>
      <c r="J1797" s="3">
        <f>ROUND(MIN(IF(C1797="Técnico III",35,IF(C1797="Técnico II",28,IF(C1797="Técnico I",23,IF(C1797="JR",20,IF(C1797="Estágio",10,0))))),IF(C1797="Técnico III",SUMIFS($D:$D,$A:$A,$A1797,$B:$B,"&lt;&gt;Patrícia Karla de Sousa Araújo",$B:$B,"&lt;&gt;Lorena Dias de Araujo",$B:$B,"&lt;&gt;Lucas Luiz Romero")*(35/1083),IF(C1797="Técnico II",SUMIFS($D:$D,$A:$A,$A1797,$B:$B,"&lt;&gt;Patrícia Karla de Sousa Araújo",$B:$B,"&lt;&gt;Lorena Dias de Araujo",$B:$B,"&lt;&gt;Lucas Luiz Romero")*(28/1083),IF(C1797="Técnico I",SUMIFS($D:$D,$A:$A,$A1797,$B:$B,"&lt;&gt;Patrícia Karla de Sousa Araújo",$B:$B,"&lt;&gt;Lorena Dias de Araujo",$B:$B,"&lt;&gt;Lucas Luiz Romero")*(23/1083),IF(C1797="JR",SUMIFS($D:$D,$A:$A,$A1797,$B:$B,"&lt;&gt;Patrícia Karla de Sousa Araújo",$B:$B,"&lt;&gt;Lorena Dias de Araujo",$B:$B,"&lt;&gt;Lucas Luiz Romero")*(20/1083),IF(C1797="Estágio",SUMIFS($D:$D,$A:$A,$A1797,$B:$B,"&lt;&gt;Patrícia Karla de Sousa Araújo",$B:$B,"&lt;&gt;Lorena Dias de Araujo",$B:$B,"&lt;&gt;Lucas Luiz Romero")*(10/1083),0)))))),0)</f>
        <v/>
      </c>
      <c r="K1797" s="3">
        <f>I1797-J1797</f>
        <v/>
      </c>
      <c r="L1797" s="3">
        <f>IF(K1797&lt;-5,"CRÍTICO",IF(K1797&lt;0,"ATENÇÃO",IF(K1797&lt;=5,"BOM","EXCELENTE")))</f>
        <v/>
      </c>
      <c r="M1797" s="3" t="n">
        <v>3</v>
      </c>
      <c r="N1797" s="3" t="n">
        <v>78.95</v>
      </c>
      <c r="O1797" s="12" t="n">
        <v>38.98305084745763</v>
      </c>
    </row>
    <row r="1798">
      <c r="A1798" s="10" t="n">
        <v>46057</v>
      </c>
      <c r="B1798" t="inlineStr">
        <is>
          <t>Emilly Kamilly Medeiros Miranda</t>
        </is>
      </c>
      <c r="C1798" s="1" t="inlineStr">
        <is>
          <t>Técnico II</t>
        </is>
      </c>
      <c r="D1798" s="3" t="n">
        <v>24</v>
      </c>
      <c r="E1798" s="3" t="n">
        <v>23</v>
      </c>
      <c r="F1798" s="3" t="n">
        <v>15.27</v>
      </c>
      <c r="G1798" s="3" t="n">
        <v>0</v>
      </c>
      <c r="H1798" s="3" t="n">
        <v>0</v>
      </c>
      <c r="I1798" s="3">
        <f>E1798+G1798+H1798</f>
        <v/>
      </c>
      <c r="J1798" s="3">
        <f>ROUND(MIN(IF(C1798="Técnico III",35,IF(C1798="Técnico II",28,IF(C1798="Técnico I",23,IF(C1798="JR",20,IF(C1798="Estágio",10,0))))),IF(C1798="Técnico III",SUMIFS($D:$D,$A:$A,$A1798,$B:$B,"&lt;&gt;Patrícia Karla de Sousa Araújo",$B:$B,"&lt;&gt;Lorena Dias de Araujo",$B:$B,"&lt;&gt;Lucas Luiz Romero")*(35/1083),IF(C1798="Técnico II",SUMIFS($D:$D,$A:$A,$A1798,$B:$B,"&lt;&gt;Patrícia Karla de Sousa Araújo",$B:$B,"&lt;&gt;Lorena Dias de Araujo",$B:$B,"&lt;&gt;Lucas Luiz Romero")*(28/1083),IF(C1798="Técnico I",SUMIFS($D:$D,$A:$A,$A1798,$B:$B,"&lt;&gt;Patrícia Karla de Sousa Araújo",$B:$B,"&lt;&gt;Lorena Dias de Araujo",$B:$B,"&lt;&gt;Lucas Luiz Romero")*(23/1083),IF(C1798="JR",SUMIFS($D:$D,$A:$A,$A1798,$B:$B,"&lt;&gt;Patrícia Karla de Sousa Araújo",$B:$B,"&lt;&gt;Lorena Dias de Araujo",$B:$B,"&lt;&gt;Lucas Luiz Romero")*(20/1083),IF(C1798="Estágio",SUMIFS($D:$D,$A:$A,$A1798,$B:$B,"&lt;&gt;Patrícia Karla de Sousa Araújo",$B:$B,"&lt;&gt;Lorena Dias de Araujo",$B:$B,"&lt;&gt;Lucas Luiz Romero")*(10/1083),0)))))),0)</f>
        <v/>
      </c>
      <c r="K1798" s="3">
        <f>I1798-J1798</f>
        <v/>
      </c>
      <c r="L1798" s="3">
        <f>IF(K1798&lt;-5,"CRÍTICO",IF(K1798&lt;0,"ATENÇÃO",IF(K1798&lt;=5,"BOM","EXCELENTE")))</f>
        <v/>
      </c>
      <c r="M1798" s="3" t="n">
        <v>20</v>
      </c>
      <c r="N1798" s="3" t="n">
        <v>98.45</v>
      </c>
      <c r="O1798" s="12" t="n">
        <v>29.2817679558011</v>
      </c>
    </row>
    <row r="1799">
      <c r="A1799" s="10" t="n">
        <v>46057</v>
      </c>
      <c r="B1799" t="inlineStr">
        <is>
          <t>Francielson de Oliveira</t>
        </is>
      </c>
      <c r="C1799" s="1" t="inlineStr">
        <is>
          <t>Técnico III</t>
        </is>
      </c>
      <c r="D1799" s="3" t="n">
        <v>27</v>
      </c>
      <c r="E1799" s="3" t="n">
        <v>27</v>
      </c>
      <c r="F1799" s="3" t="n">
        <v>19.13</v>
      </c>
      <c r="G1799" s="3" t="n">
        <v>0</v>
      </c>
      <c r="H1799" s="3" t="n">
        <v>0</v>
      </c>
      <c r="I1799" s="3">
        <f>E1799+G1799+H1799</f>
        <v/>
      </c>
      <c r="J1799" s="3">
        <f>ROUND(MIN(IF(C1799="Técnico III",35,IF(C1799="Técnico II",28,IF(C1799="Técnico I",23,IF(C1799="JR",20,IF(C1799="Estágio",10,0))))),IF(C1799="Técnico III",SUMIFS($D:$D,$A:$A,$A1799,$B:$B,"&lt;&gt;Patrícia Karla de Sousa Araújo",$B:$B,"&lt;&gt;Lorena Dias de Araujo",$B:$B,"&lt;&gt;Lucas Luiz Romero")*(35/1083),IF(C1799="Técnico II",SUMIFS($D:$D,$A:$A,$A1799,$B:$B,"&lt;&gt;Patrícia Karla de Sousa Araújo",$B:$B,"&lt;&gt;Lorena Dias de Araujo",$B:$B,"&lt;&gt;Lucas Luiz Romero")*(28/1083),IF(C1799="Técnico I",SUMIFS($D:$D,$A:$A,$A1799,$B:$B,"&lt;&gt;Patrícia Karla de Sousa Araújo",$B:$B,"&lt;&gt;Lorena Dias de Araujo",$B:$B,"&lt;&gt;Lucas Luiz Romero")*(23/1083),IF(C1799="JR",SUMIFS($D:$D,$A:$A,$A1799,$B:$B,"&lt;&gt;Patrícia Karla de Sousa Araújo",$B:$B,"&lt;&gt;Lorena Dias de Araujo",$B:$B,"&lt;&gt;Lucas Luiz Romero")*(20/1083),IF(C1799="Estágio",SUMIFS($D:$D,$A:$A,$A1799,$B:$B,"&lt;&gt;Patrícia Karla de Sousa Araújo",$B:$B,"&lt;&gt;Lorena Dias de Araujo",$B:$B,"&lt;&gt;Lucas Luiz Romero")*(10/1083),0)))))),0)</f>
        <v/>
      </c>
      <c r="K1799" s="3">
        <f>I1799-J1799</f>
        <v/>
      </c>
      <c r="L1799" s="3">
        <f>IF(K1799&lt;-5,"CRÍTICO",IF(K1799&lt;0,"ATENÇÃO",IF(K1799&lt;=5,"BOM","EXCELENTE")))</f>
        <v/>
      </c>
      <c r="M1799" s="3" t="n">
        <v>27</v>
      </c>
      <c r="N1799" s="3" t="n">
        <v>97.84</v>
      </c>
      <c r="O1799" s="12" t="n">
        <v>26.28205128205128</v>
      </c>
    </row>
    <row r="1800">
      <c r="A1800" s="10" t="n">
        <v>46057</v>
      </c>
      <c r="B1800" t="inlineStr">
        <is>
          <t>Francilene Ferreira de Jesus</t>
        </is>
      </c>
      <c r="C1800" s="1" t="inlineStr">
        <is>
          <t>Técnico II</t>
        </is>
      </c>
      <c r="D1800" s="3" t="n">
        <v>51</v>
      </c>
      <c r="E1800" s="3" t="n">
        <v>48</v>
      </c>
      <c r="F1800" s="3" t="n">
        <v>15.21</v>
      </c>
      <c r="G1800" s="3" t="n">
        <v>0</v>
      </c>
      <c r="H1800" s="3" t="n">
        <v>0</v>
      </c>
      <c r="I1800" s="3">
        <f>E1800+G1800+H1800</f>
        <v/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/>
      </c>
      <c r="K1800" s="3">
        <f>I1800-J1800</f>
        <v/>
      </c>
      <c r="L1800" s="3">
        <f>IF(K1800&lt;-5,"CRÍTICO",IF(K1800&lt;0,"ATENÇÃO",IF(K1800&lt;=5,"BOM","EXCELENTE")))</f>
        <v/>
      </c>
      <c r="M1800" s="3" t="n">
        <v>47</v>
      </c>
      <c r="N1800" s="3" t="n">
        <v>98.5</v>
      </c>
      <c r="O1800" s="12" t="n">
        <v>23.97769516728625</v>
      </c>
    </row>
    <row r="1801">
      <c r="A1801" s="10" t="n">
        <v>46091</v>
      </c>
      <c r="B1801" t="inlineStr">
        <is>
          <t>Gabriel Gomes de Andrade</t>
        </is>
      </c>
      <c r="C1801" s="1" t="inlineStr">
        <is>
          <t>Técnico I</t>
        </is>
      </c>
      <c r="D1801" s="3" t="n">
        <v>13</v>
      </c>
      <c r="E1801" s="3" t="n">
        <v>11</v>
      </c>
      <c r="F1801" s="3" t="n">
        <v>17.06</v>
      </c>
      <c r="G1801" s="3" t="n">
        <v>0</v>
      </c>
      <c r="H1801" s="3" t="n">
        <v>0</v>
      </c>
      <c r="I1801" s="3">
        <f>E1801+G1801+H1801</f>
        <v/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/>
      </c>
      <c r="K1801" s="3">
        <f>I1801-J1801</f>
        <v/>
      </c>
      <c r="L1801" s="3">
        <f>IF(K1801&lt;-5,"CRÍTICO",IF(K1801&lt;0,"ATENÇÃO",IF(K1801&lt;=5,"BOM","EXCELENTE")))</f>
        <v/>
      </c>
      <c r="M1801" s="3" t="n">
        <v>15</v>
      </c>
      <c r="N1801" s="3" t="n">
        <v>99.05</v>
      </c>
      <c r="O1801" s="12" t="n">
        <v>26.62192393736018</v>
      </c>
    </row>
    <row r="1802">
      <c r="A1802" s="10" t="n">
        <v>46057</v>
      </c>
      <c r="B1802" t="inlineStr">
        <is>
          <t>Isabella Borges de Oliveira</t>
        </is>
      </c>
      <c r="C1802" s="1" t="inlineStr">
        <is>
          <t>Técnico II</t>
        </is>
      </c>
      <c r="D1802" s="3" t="n">
        <v>33</v>
      </c>
      <c r="E1802" s="3" t="n">
        <v>32</v>
      </c>
      <c r="F1802" s="3" t="n">
        <v>21.57</v>
      </c>
      <c r="G1802" s="3" t="n">
        <v>0</v>
      </c>
      <c r="H1802" s="3" t="n">
        <v>0</v>
      </c>
      <c r="I1802" s="3">
        <f>E1802+G1802+H1802</f>
        <v/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/>
      </c>
      <c r="K1802" s="3">
        <f>I1802-J1802</f>
        <v/>
      </c>
      <c r="L1802" s="3">
        <f>IF(K1802&lt;-5,"CRÍTICO",IF(K1802&lt;0,"ATENÇÃO",IF(K1802&lt;=5,"BOM","EXCELENTE")))</f>
        <v/>
      </c>
      <c r="M1802" s="3" t="n">
        <v>30</v>
      </c>
      <c r="N1802" s="3" t="n">
        <v>98.53</v>
      </c>
      <c r="O1802" s="12" t="n">
        <v>31.57894736842105</v>
      </c>
    </row>
    <row r="1803">
      <c r="A1803" s="10" t="n">
        <v>46057</v>
      </c>
      <c r="B1803" t="inlineStr">
        <is>
          <t>Janaina Lima dos Reis Urany</t>
        </is>
      </c>
      <c r="C1803" s="1" t="inlineStr">
        <is>
          <t>Técnico III</t>
        </is>
      </c>
      <c r="D1803" s="3" t="n">
        <v>57</v>
      </c>
      <c r="E1803" s="3" t="n">
        <v>53</v>
      </c>
      <c r="F1803" s="3" t="n">
        <v>11.55</v>
      </c>
      <c r="G1803" s="3" t="n">
        <v>0</v>
      </c>
      <c r="H1803" s="3" t="n">
        <v>0</v>
      </c>
      <c r="I1803" s="3">
        <f>E1803+G1803+H1803</f>
        <v/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/>
      </c>
      <c r="K1803" s="3">
        <f>I1803-J1803</f>
        <v/>
      </c>
      <c r="L1803" s="3">
        <f>IF(K1803&lt;-5,"CRÍTICO",IF(K1803&lt;0,"ATENÇÃO",IF(K1803&lt;=5,"BOM","EXCELENTE")))</f>
        <v/>
      </c>
      <c r="M1803" s="3" t="n">
        <v>55</v>
      </c>
      <c r="N1803" s="3" t="n">
        <v>100</v>
      </c>
      <c r="O1803" s="12" t="n">
        <v>25.72214580467676</v>
      </c>
    </row>
    <row r="1804">
      <c r="A1804" s="10" t="n">
        <v>46057</v>
      </c>
      <c r="B1804" t="inlineStr">
        <is>
          <t>Jaqueline Evangelista da Silva Martins</t>
        </is>
      </c>
      <c r="C1804" s="1" t="inlineStr">
        <is>
          <t>Técnico III</t>
        </is>
      </c>
      <c r="D1804" s="3" t="n">
        <v>50</v>
      </c>
      <c r="E1804" s="3" t="n">
        <v>46</v>
      </c>
      <c r="F1804" s="3" t="n">
        <v>10.35</v>
      </c>
      <c r="G1804" s="3" t="n">
        <v>0</v>
      </c>
      <c r="H1804" s="3" t="n">
        <v>0</v>
      </c>
      <c r="I1804" s="3">
        <f>E1804+G1804+H1804</f>
        <v/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/>
      </c>
      <c r="K1804" s="3">
        <f>I1804-J1804</f>
        <v/>
      </c>
      <c r="L1804" s="3">
        <f>IF(K1804&lt;-5,"CRÍTICO",IF(K1804&lt;0,"ATENÇÃO",IF(K1804&lt;=5,"BOM","EXCELENTE")))</f>
        <v/>
      </c>
      <c r="M1804" s="3" t="n">
        <v>41</v>
      </c>
      <c r="N1804" s="3" t="n">
        <v>94.64</v>
      </c>
      <c r="O1804" s="12" t="n">
        <v>27.52941176470588</v>
      </c>
    </row>
    <row r="1805">
      <c r="A1805" s="10" t="n">
        <v>46057</v>
      </c>
      <c r="B1805" t="inlineStr">
        <is>
          <t>Jessica Faria da Silveira</t>
        </is>
      </c>
      <c r="C1805" s="1" t="inlineStr">
        <is>
          <t>Técnico II</t>
        </is>
      </c>
      <c r="D1805" s="3" t="n">
        <v>41</v>
      </c>
      <c r="E1805" s="3" t="n">
        <v>33</v>
      </c>
      <c r="F1805" s="3" t="n">
        <v>13.59</v>
      </c>
      <c r="G1805" s="3" t="n">
        <v>0</v>
      </c>
      <c r="H1805" s="3" t="n">
        <v>0</v>
      </c>
      <c r="I1805" s="3">
        <f>E1805+G1805+H1805</f>
        <v/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/>
      </c>
      <c r="K1805" s="3">
        <f>I1805-J1805</f>
        <v/>
      </c>
      <c r="L1805" s="3">
        <f>IF(K1805&lt;-5,"CRÍTICO",IF(K1805&lt;0,"ATENÇÃO",IF(K1805&lt;=5,"BOM","EXCELENTE")))</f>
        <v/>
      </c>
      <c r="M1805" s="3" t="n">
        <v>31</v>
      </c>
      <c r="N1805" s="3" t="n">
        <v>99.06999999999999</v>
      </c>
      <c r="O1805" s="12" t="n">
        <v>26.3768115942029</v>
      </c>
    </row>
    <row r="1806">
      <c r="A1806" s="10" t="n">
        <v>46057</v>
      </c>
      <c r="B1806" t="inlineStr">
        <is>
          <t>Jéssica Fé Moura</t>
        </is>
      </c>
      <c r="C1806" s="1" t="inlineStr">
        <is>
          <t>Técnico III</t>
        </is>
      </c>
      <c r="D1806" s="3" t="n">
        <v>0</v>
      </c>
      <c r="E1806" s="3" t="n">
        <v>0</v>
      </c>
      <c r="F1806" s="3" t="n">
        <v>0</v>
      </c>
      <c r="G1806" s="3" t="n">
        <v>0</v>
      </c>
      <c r="H1806" s="3" t="n">
        <v>0</v>
      </c>
      <c r="I1806" s="3" t="n">
        <v>0</v>
      </c>
      <c r="J1806" s="3" t="n">
        <v>0</v>
      </c>
      <c r="K1806" s="3" t="n">
        <v>0</v>
      </c>
      <c r="L1806" s="3">
        <f>IF(K1806&lt;-5,"CRÍTICO",IF(K1806&lt;0,"ATENÇÃO",IF(K1806&lt;=5,"BOM","EXCELENTE")))</f>
        <v/>
      </c>
      <c r="M1806" s="3" t="n">
        <v>0</v>
      </c>
      <c r="N1806" s="3" t="n">
        <v>100</v>
      </c>
      <c r="O1806" s="12" t="n">
        <v>0</v>
      </c>
    </row>
    <row r="1807">
      <c r="A1807" s="10" t="n">
        <v>46057</v>
      </c>
      <c r="B1807" t="inlineStr">
        <is>
          <t>Karina Gonçalves Martins</t>
        </is>
      </c>
      <c r="C1807" s="1" t="inlineStr">
        <is>
          <t>JR</t>
        </is>
      </c>
      <c r="D1807" s="3" t="n">
        <v>17</v>
      </c>
      <c r="E1807" s="3" t="n">
        <v>17</v>
      </c>
      <c r="F1807" s="3" t="n">
        <v>30.12</v>
      </c>
      <c r="G1807" s="3" t="n">
        <v>0</v>
      </c>
      <c r="H1807" s="3" t="n">
        <v>0</v>
      </c>
      <c r="I1807" s="3">
        <f>E1807+G1807+H1807</f>
        <v/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/>
      </c>
      <c r="K1807" s="3">
        <f>I1807-J1807</f>
        <v/>
      </c>
      <c r="L1807" s="3">
        <f>IF(K1807&lt;-5,"CRÍTICO",IF(K1807&lt;0,"ATENÇÃO",IF(K1807&lt;=5,"BOM","EXCELENTE")))</f>
        <v/>
      </c>
      <c r="M1807" s="3" t="n">
        <v>15</v>
      </c>
      <c r="N1807" s="3" t="n">
        <v>98.48</v>
      </c>
      <c r="O1807" s="12" t="n">
        <v>27.85388127853881</v>
      </c>
    </row>
    <row r="1808">
      <c r="A1808" s="10" t="n">
        <v>46057</v>
      </c>
      <c r="B1808" t="inlineStr">
        <is>
          <t>Kerollen Cristielly de Jesus Siqueira</t>
        </is>
      </c>
      <c r="C1808" s="1" t="inlineStr">
        <is>
          <t>Técnico III</t>
        </is>
      </c>
      <c r="D1808" s="3" t="n">
        <v>33</v>
      </c>
      <c r="E1808" s="3" t="n">
        <v>31</v>
      </c>
      <c r="F1808" s="3" t="n">
        <v>18.4</v>
      </c>
      <c r="G1808" s="3" t="n">
        <v>0</v>
      </c>
      <c r="H1808" s="3" t="n">
        <v>0</v>
      </c>
      <c r="I1808" s="3">
        <f>E1808+G1808+H1808</f>
        <v/>
      </c>
      <c r="J1808" s="3">
        <f>ROUND(MIN(IF(C1808="Técnico III",35,IF(C1808="Técnico II",28,IF(C1808="Técnico I",23,IF(C1808="JR",20,IF(C1808="Estágio",10,0))))),IF(C1808="Técnico III",SUMIFS($D:$D,$A:$A,$A1808,$B:$B,"&lt;&gt;Patrícia Karla de Sousa Araújo",$B:$B,"&lt;&gt;Lorena Dias de Araujo",$B:$B,"&lt;&gt;Lucas Luiz Romero")*(35/1083),IF(C1808="Técnico II",SUMIFS($D:$D,$A:$A,$A1808,$B:$B,"&lt;&gt;Patrícia Karla de Sousa Araújo",$B:$B,"&lt;&gt;Lorena Dias de Araujo",$B:$B,"&lt;&gt;Lucas Luiz Romero")*(28/1083),IF(C1808="Técnico I",SUMIFS($D:$D,$A:$A,$A1808,$B:$B,"&lt;&gt;Patrícia Karla de Sousa Araújo",$B:$B,"&lt;&gt;Lorena Dias de Araujo",$B:$B,"&lt;&gt;Lucas Luiz Romero")*(23/1083),IF(C1808="JR",SUMIFS($D:$D,$A:$A,$A1808,$B:$B,"&lt;&gt;Patrícia Karla de Sousa Araújo",$B:$B,"&lt;&gt;Lorena Dias de Araujo",$B:$B,"&lt;&gt;Lucas Luiz Romero")*(20/1083),IF(C1808="Estágio",SUMIFS($D:$D,$A:$A,$A1808,$B:$B,"&lt;&gt;Patrícia Karla de Sousa Araújo",$B:$B,"&lt;&gt;Lorena Dias de Araujo",$B:$B,"&lt;&gt;Lucas Luiz Romero")*(10/1083),0)))))),0)</f>
        <v/>
      </c>
      <c r="K1808" s="3">
        <f>I1808-J1808</f>
        <v/>
      </c>
      <c r="L1808" s="3">
        <f>IF(K1808&lt;-5,"CRÍTICO",IF(K1808&lt;0,"ATENÇÃO",IF(K1808&lt;=5,"BOM","EXCELENTE")))</f>
        <v/>
      </c>
      <c r="M1808" s="3" t="n">
        <v>30</v>
      </c>
      <c r="N1808" s="3" t="n">
        <v>95.15000000000001</v>
      </c>
      <c r="O1808" s="12" t="n">
        <v>34.13173652694611</v>
      </c>
    </row>
    <row r="1809">
      <c r="A1809" s="10" t="n">
        <v>46057</v>
      </c>
      <c r="B1809" t="inlineStr">
        <is>
          <t>Leandro de Souza Silva</t>
        </is>
      </c>
      <c r="C1809" s="1" t="inlineStr">
        <is>
          <t>JR</t>
        </is>
      </c>
      <c r="D1809" s="3" t="n">
        <v>0</v>
      </c>
      <c r="E1809" s="3" t="n">
        <v>0</v>
      </c>
      <c r="F1809" s="3" t="n">
        <v>0</v>
      </c>
      <c r="G1809" s="3" t="n">
        <v>0</v>
      </c>
      <c r="H1809" s="3" t="n">
        <v>0</v>
      </c>
      <c r="I1809" s="3" t="n">
        <v>0</v>
      </c>
      <c r="J1809" s="3" t="n">
        <v>0</v>
      </c>
      <c r="K1809" s="3" t="n">
        <v>0</v>
      </c>
      <c r="L1809" s="3">
        <f>IF(K1809&lt;-5,"CRÍTICO",IF(K1809&lt;0,"ATENÇÃO",IF(K1809&lt;=5,"BOM","EXCELENTE")))</f>
        <v/>
      </c>
      <c r="M1809" s="3" t="n">
        <v>0</v>
      </c>
      <c r="N1809" s="3" t="n">
        <v>0</v>
      </c>
      <c r="O1809" s="12" t="n">
        <v>0</v>
      </c>
    </row>
    <row r="1810">
      <c r="A1810" s="10" t="n">
        <v>46057</v>
      </c>
      <c r="B1810" t="inlineStr">
        <is>
          <t>Leandro Oliveira de Sousa</t>
        </is>
      </c>
      <c r="C1810" s="1" t="inlineStr">
        <is>
          <t>Técnico III</t>
        </is>
      </c>
      <c r="D1810" s="3" t="n">
        <v>29</v>
      </c>
      <c r="E1810" s="3" t="n">
        <v>26</v>
      </c>
      <c r="F1810" s="3" t="n">
        <v>23.36</v>
      </c>
      <c r="G1810" s="3" t="n">
        <v>0</v>
      </c>
      <c r="H1810" s="3" t="n">
        <v>0</v>
      </c>
      <c r="I1810" s="3">
        <f>E1810+G1810+H1810</f>
        <v/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/>
      </c>
      <c r="K1810" s="3">
        <f>I1810-J1810</f>
        <v/>
      </c>
      <c r="L1810" s="3">
        <f>IF(K1810&lt;-5,"CRÍTICO",IF(K1810&lt;0,"ATENÇÃO",IF(K1810&lt;=5,"BOM","EXCELENTE")))</f>
        <v/>
      </c>
      <c r="M1810" s="3" t="n">
        <v>25</v>
      </c>
      <c r="N1810" s="3" t="n">
        <v>99.26000000000001</v>
      </c>
      <c r="O1810" s="12" t="n">
        <v>30.84832904884319</v>
      </c>
    </row>
    <row r="1811">
      <c r="A1811" s="10" t="n">
        <v>46057</v>
      </c>
      <c r="B1811" t="inlineStr">
        <is>
          <t>Lizandra Gomes Duarte</t>
        </is>
      </c>
      <c r="C1811" s="1" t="inlineStr">
        <is>
          <t>Técnico II</t>
        </is>
      </c>
      <c r="D1811" s="3" t="n">
        <v>33</v>
      </c>
      <c r="E1811" s="3" t="n">
        <v>26</v>
      </c>
      <c r="F1811" s="3" t="n">
        <v>17.24</v>
      </c>
      <c r="G1811" s="3" t="n">
        <v>0</v>
      </c>
      <c r="H1811" s="3" t="n">
        <v>0</v>
      </c>
      <c r="I1811" s="3">
        <f>E1811+G1811+H1811</f>
        <v/>
      </c>
      <c r="J1811" s="3">
        <f>ROUND(MIN(IF(C1811="Técnico III",35,IF(C1811="Técnico II",28,IF(C1811="Técnico I",23,IF(C1811="JR",20,IF(C1811="Estágio",10,0))))),IF(C1811="Técnico III",SUMIFS($D:$D,$A:$A,$A1811,$B:$B,"&lt;&gt;Patrícia Karla de Sousa Araújo",$B:$B,"&lt;&gt;Lorena Dias de Araujo",$B:$B,"&lt;&gt;Lucas Luiz Romero")*(35/1083),IF(C1811="Técnico II",SUMIFS($D:$D,$A:$A,$A1811,$B:$B,"&lt;&gt;Patrícia Karla de Sousa Araújo",$B:$B,"&lt;&gt;Lorena Dias de Araujo",$B:$B,"&lt;&gt;Lucas Luiz Romero")*(28/1083),IF(C1811="Técnico I",SUMIFS($D:$D,$A:$A,$A1811,$B:$B,"&lt;&gt;Patrícia Karla de Sousa Araújo",$B:$B,"&lt;&gt;Lorena Dias de Araujo",$B:$B,"&lt;&gt;Lucas Luiz Romero")*(23/1083),IF(C1811="JR",SUMIFS($D:$D,$A:$A,$A1811,$B:$B,"&lt;&gt;Patrícia Karla de Sousa Araújo",$B:$B,"&lt;&gt;Lorena Dias de Araujo",$B:$B,"&lt;&gt;Lucas Luiz Romero")*(20/1083),IF(C1811="Estágio",SUMIFS($D:$D,$A:$A,$A1811,$B:$B,"&lt;&gt;Patrícia Karla de Sousa Araújo",$B:$B,"&lt;&gt;Lorena Dias de Araujo",$B:$B,"&lt;&gt;Lucas Luiz Romero")*(10/1083),0)))))),0)</f>
        <v/>
      </c>
      <c r="K1811" s="3">
        <f>I1811-J1811</f>
        <v/>
      </c>
      <c r="L1811" s="3">
        <f>IF(K1811&lt;-5,"CRÍTICO",IF(K1811&lt;0,"ATENÇÃO",IF(K1811&lt;=5,"BOM","EXCELENTE")))</f>
        <v/>
      </c>
      <c r="M1811" s="3" t="n">
        <v>27</v>
      </c>
      <c r="N1811" s="3" t="n">
        <v>97.48</v>
      </c>
      <c r="O1811" s="12" t="n">
        <v>27.76470588235294</v>
      </c>
    </row>
    <row r="1812">
      <c r="A1812" s="10" t="n">
        <v>46057</v>
      </c>
      <c r="B1812" t="inlineStr">
        <is>
          <t>Lorena Dias de Araujo</t>
        </is>
      </c>
      <c r="C1812" s="1" t="inlineStr">
        <is>
          <t>Técnico II</t>
        </is>
      </c>
      <c r="D1812" s="3" t="n">
        <v>44</v>
      </c>
      <c r="E1812" s="3" t="n">
        <v>42</v>
      </c>
      <c r="F1812" s="3" t="n">
        <v>16.54</v>
      </c>
      <c r="G1812" s="3" t="n">
        <v>0</v>
      </c>
      <c r="H1812" s="3" t="n">
        <v>0</v>
      </c>
      <c r="I1812" s="3" t="n">
        <v>0</v>
      </c>
      <c r="J1812" s="3" t="n">
        <v>0</v>
      </c>
      <c r="K1812" s="3" t="n">
        <v>0</v>
      </c>
      <c r="L1812" s="3">
        <f>IF(K1812&lt;-5,"CRÍTICO",IF(K1812&lt;0,"ATENÇÃO",IF(K1812&lt;=5,"BOM","EXCELENTE")))</f>
        <v/>
      </c>
      <c r="M1812" s="3" t="n">
        <v>38</v>
      </c>
      <c r="N1812" s="3" t="n">
        <v>99.34</v>
      </c>
      <c r="O1812" s="12" t="n">
        <v>30.04291845493562</v>
      </c>
    </row>
    <row r="1813">
      <c r="A1813" s="10" t="n">
        <v>46057</v>
      </c>
      <c r="B1813" t="inlineStr">
        <is>
          <t>Lucas Luiz Romero</t>
        </is>
      </c>
      <c r="C1813" s="1" t="inlineStr">
        <is>
          <t>Técnico III</t>
        </is>
      </c>
      <c r="D1813" s="3" t="n">
        <v>40</v>
      </c>
      <c r="E1813" s="3" t="n">
        <v>34</v>
      </c>
      <c r="F1813" s="3" t="n">
        <v>14.04</v>
      </c>
      <c r="G1813" s="3" t="n">
        <v>0</v>
      </c>
      <c r="H1813" s="3" t="n">
        <v>0</v>
      </c>
      <c r="I1813" s="3">
        <f>E1813+G1813+H1813</f>
        <v/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/>
      </c>
      <c r="K1813" s="3">
        <f>I1813-J1813</f>
        <v/>
      </c>
      <c r="L1813" s="3">
        <f>IF(K1813&lt;-5,"CRÍTICO",IF(K1813&lt;0,"ATENÇÃO",IF(K1813&lt;=5,"BOM","EXCELENTE")))</f>
        <v/>
      </c>
      <c r="M1813" s="3" t="n">
        <v>26</v>
      </c>
      <c r="N1813" s="3" t="n">
        <v>96.3</v>
      </c>
      <c r="O1813" s="12" t="n">
        <v>24.29378531073446</v>
      </c>
    </row>
    <row r="1814">
      <c r="A1814" s="10" t="n">
        <v>46057</v>
      </c>
      <c r="B1814" t="inlineStr">
        <is>
          <t>Luiz Fernando de Carvalho Junior</t>
        </is>
      </c>
      <c r="C1814" s="1" t="inlineStr">
        <is>
          <t>Técnico I</t>
        </is>
      </c>
      <c r="D1814" s="3" t="n">
        <v>24</v>
      </c>
      <c r="E1814" s="3" t="n">
        <v>23</v>
      </c>
      <c r="F1814" s="3" t="n">
        <v>26.48</v>
      </c>
      <c r="G1814" s="3" t="n">
        <v>0</v>
      </c>
      <c r="H1814" s="3" t="n">
        <v>0</v>
      </c>
      <c r="I1814" s="3">
        <f>E1814+G1814+H1814</f>
        <v/>
      </c>
      <c r="J1814" s="3">
        <f>ROUND(MIN(IF(C1814="Técnico III",35,IF(C1814="Técnico II",28,IF(C1814="Técnico I",23,IF(C1814="JR",20,IF(C1814="Estágio",10,0))))),IF(C1814="Técnico III",SUMIFS($D:$D,$A:$A,$A1814,$B:$B,"&lt;&gt;Patrícia Karla de Sousa Araújo",$B:$B,"&lt;&gt;Lorena Dias de Araujo",$B:$B,"&lt;&gt;Lucas Luiz Romero")*(35/1083),IF(C1814="Técnico II",SUMIFS($D:$D,$A:$A,$A1814,$B:$B,"&lt;&gt;Patrícia Karla de Sousa Araújo",$B:$B,"&lt;&gt;Lorena Dias de Araujo",$B:$B,"&lt;&gt;Lucas Luiz Romero")*(28/1083),IF(C1814="Técnico I",SUMIFS($D:$D,$A:$A,$A1814,$B:$B,"&lt;&gt;Patrícia Karla de Sousa Araújo",$B:$B,"&lt;&gt;Lorena Dias de Araujo",$B:$B,"&lt;&gt;Lucas Luiz Romero")*(23/1083),IF(C1814="JR",SUMIFS($D:$D,$A:$A,$A1814,$B:$B,"&lt;&gt;Patrícia Karla de Sousa Araújo",$B:$B,"&lt;&gt;Lorena Dias de Araujo",$B:$B,"&lt;&gt;Lucas Luiz Romero")*(20/1083),IF(C1814="Estágio",SUMIFS($D:$D,$A:$A,$A1814,$B:$B,"&lt;&gt;Patrícia Karla de Sousa Araújo",$B:$B,"&lt;&gt;Lorena Dias de Araujo",$B:$B,"&lt;&gt;Lucas Luiz Romero")*(10/1083),0)))))),0)</f>
        <v/>
      </c>
      <c r="K1814" s="3">
        <f>I1814-J1814</f>
        <v/>
      </c>
      <c r="L1814" s="3">
        <f>IF(K1814&lt;-5,"CRÍTICO",IF(K1814&lt;0,"ATENÇÃO",IF(K1814&lt;=5,"BOM","EXCELENTE")))</f>
        <v/>
      </c>
      <c r="M1814" s="3" t="n">
        <v>21</v>
      </c>
      <c r="N1814" s="3" t="n">
        <v>100</v>
      </c>
      <c r="O1814" s="12" t="n">
        <v>26.54320987654321</v>
      </c>
    </row>
    <row r="1815">
      <c r="A1815" s="10" t="n">
        <v>46057</v>
      </c>
      <c r="B1815" t="inlineStr">
        <is>
          <t>Maria Eduarda Sousa Costa</t>
        </is>
      </c>
      <c r="C1815" s="1" t="inlineStr">
        <is>
          <t>Estágio</t>
        </is>
      </c>
      <c r="D1815" s="3" t="n">
        <v>8</v>
      </c>
      <c r="E1815" s="3" t="n">
        <v>8</v>
      </c>
      <c r="F1815" s="3" t="n">
        <v>45.17</v>
      </c>
      <c r="G1815" s="3" t="n">
        <v>0</v>
      </c>
      <c r="H1815" s="3" t="n">
        <v>0</v>
      </c>
      <c r="I1815" s="3">
        <f>E1815+G1815+H1815</f>
        <v/>
      </c>
      <c r="J1815" s="3">
        <f>ROUND(MIN(IF(C1815="Técnico III",35,IF(C1815="Técnico II",28,IF(C1815="Técnico I",23,IF(C1815="JR",20,IF(C1815="Estágio",10,0))))),IF(C1815="Técnico III",SUMIFS($D:$D,$A:$A,$A1815,$B:$B,"&lt;&gt;Patrícia Karla de Sousa Araújo",$B:$B,"&lt;&gt;Lorena Dias de Araujo",$B:$B,"&lt;&gt;Lucas Luiz Romero")*(35/1083),IF(C1815="Técnico II",SUMIFS($D:$D,$A:$A,$A1815,$B:$B,"&lt;&gt;Patrícia Karla de Sousa Araújo",$B:$B,"&lt;&gt;Lorena Dias de Araujo",$B:$B,"&lt;&gt;Lucas Luiz Romero")*(28/1083),IF(C1815="Técnico I",SUMIFS($D:$D,$A:$A,$A1815,$B:$B,"&lt;&gt;Patrícia Karla de Sousa Araújo",$B:$B,"&lt;&gt;Lorena Dias de Araujo",$B:$B,"&lt;&gt;Lucas Luiz Romero")*(23/1083),IF(C1815="JR",SUMIFS($D:$D,$A:$A,$A1815,$B:$B,"&lt;&gt;Patrícia Karla de Sousa Araújo",$B:$B,"&lt;&gt;Lorena Dias de Araujo",$B:$B,"&lt;&gt;Lucas Luiz Romero")*(20/1083),IF(C1815="Estágio",SUMIFS($D:$D,$A:$A,$A1815,$B:$B,"&lt;&gt;Patrícia Karla de Sousa Araújo",$B:$B,"&lt;&gt;Lorena Dias de Araujo",$B:$B,"&lt;&gt;Lucas Luiz Romero")*(10/1083),0)))))),0)</f>
        <v/>
      </c>
      <c r="K1815" s="3">
        <f>I1815-J1815</f>
        <v/>
      </c>
      <c r="L1815" s="3">
        <f>IF(K1815&lt;-5,"CRÍTICO",IF(K1815&lt;0,"ATENÇÃO",IF(K1815&lt;=5,"BOM","EXCELENTE")))</f>
        <v/>
      </c>
      <c r="M1815" s="3" t="n">
        <v>6</v>
      </c>
      <c r="N1815" s="3" t="n">
        <v>100</v>
      </c>
      <c r="O1815" s="12" t="n">
        <v>35.48387096774194</v>
      </c>
    </row>
    <row r="1816">
      <c r="A1816" s="10" t="n">
        <v>46057</v>
      </c>
      <c r="B1816" t="inlineStr">
        <is>
          <t>Matheus Farias De Souza</t>
        </is>
      </c>
      <c r="C1816" s="1" t="inlineStr">
        <is>
          <t>Técnico III</t>
        </is>
      </c>
      <c r="D1816" s="3" t="n">
        <v>39</v>
      </c>
      <c r="E1816" s="3" t="n">
        <v>38</v>
      </c>
      <c r="F1816" s="3" t="n">
        <v>17.36</v>
      </c>
      <c r="G1816" s="3" t="n">
        <v>0</v>
      </c>
      <c r="H1816" s="3" t="n">
        <v>0</v>
      </c>
      <c r="I1816" s="3">
        <f>E1816+G1816+H1816</f>
        <v/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/>
      </c>
      <c r="K1816" s="3">
        <f>I1816-J1816</f>
        <v/>
      </c>
      <c r="L1816" s="3">
        <f>IF(K1816&lt;-5,"CRÍTICO",IF(K1816&lt;0,"ATENÇÃO",IF(K1816&lt;=5,"BOM","EXCELENTE")))</f>
        <v/>
      </c>
      <c r="M1816" s="3" t="n">
        <v>36</v>
      </c>
      <c r="N1816" s="3" t="n">
        <v>99.27</v>
      </c>
      <c r="O1816" s="12" t="n">
        <v>31.16370808678501</v>
      </c>
    </row>
    <row r="1817">
      <c r="A1817" s="10" t="n">
        <v>46057</v>
      </c>
      <c r="B1817" t="inlineStr">
        <is>
          <t>Maysa Victoria Dias Moura</t>
        </is>
      </c>
      <c r="C1817" s="1" t="inlineStr">
        <is>
          <t>Técnico III</t>
        </is>
      </c>
      <c r="D1817" s="3" t="n">
        <v>33</v>
      </c>
      <c r="E1817" s="3" t="n">
        <v>31</v>
      </c>
      <c r="F1817" s="3" t="n">
        <v>17.07</v>
      </c>
      <c r="G1817" s="3" t="n">
        <v>0</v>
      </c>
      <c r="H1817" s="3" t="n">
        <v>0</v>
      </c>
      <c r="I1817" s="3">
        <f>E1817+G1817+H1817</f>
        <v/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/>
      </c>
      <c r="K1817" s="3">
        <f>I1817-J1817</f>
        <v/>
      </c>
      <c r="L1817" s="3">
        <f>IF(K1817&lt;-5,"CRÍTICO",IF(K1817&lt;0,"ATENÇÃO",IF(K1817&lt;=5,"BOM","EXCELENTE")))</f>
        <v/>
      </c>
      <c r="M1817" s="3" t="n">
        <v>32</v>
      </c>
      <c r="N1817" s="3" t="n">
        <v>94.16</v>
      </c>
      <c r="O1817" s="12" t="n">
        <v>27.03862660944206</v>
      </c>
    </row>
    <row r="1818">
      <c r="A1818" s="10" t="n">
        <v>46057</v>
      </c>
      <c r="B1818" t="inlineStr">
        <is>
          <t>Michelle G Santos</t>
        </is>
      </c>
      <c r="C1818" s="1" t="inlineStr">
        <is>
          <t>Estágio</t>
        </is>
      </c>
      <c r="D1818" s="3" t="n">
        <v>15</v>
      </c>
      <c r="E1818" s="3" t="n">
        <v>15</v>
      </c>
      <c r="F1818" s="3" t="n">
        <v>40.08</v>
      </c>
      <c r="G1818" s="3" t="n">
        <v>0</v>
      </c>
      <c r="H1818" s="3" t="n">
        <v>0</v>
      </c>
      <c r="I1818" s="3">
        <f>E1818+G1818+H1818</f>
        <v/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/>
      </c>
      <c r="K1818" s="3">
        <f>I1818-J1818</f>
        <v/>
      </c>
      <c r="L1818" s="3">
        <f>IF(K1818&lt;-5,"CRÍTICO",IF(K1818&lt;0,"ATENÇÃO",IF(K1818&lt;=5,"BOM","EXCELENTE")))</f>
        <v/>
      </c>
      <c r="M1818" s="3" t="n">
        <v>6</v>
      </c>
      <c r="N1818" s="3" t="n">
        <v>93.75</v>
      </c>
      <c r="O1818" s="12" t="n">
        <v>19.31818181818182</v>
      </c>
    </row>
    <row r="1819">
      <c r="A1819" s="10" t="n">
        <v>46057</v>
      </c>
      <c r="B1819" t="inlineStr">
        <is>
          <t>Milena Sales</t>
        </is>
      </c>
      <c r="C1819" s="1" t="inlineStr">
        <is>
          <t>JR</t>
        </is>
      </c>
      <c r="D1819" s="3" t="n">
        <v>0</v>
      </c>
      <c r="E1819" s="3" t="n">
        <v>0</v>
      </c>
      <c r="F1819" s="3" t="n">
        <v>0</v>
      </c>
      <c r="G1819" s="3" t="n">
        <v>0</v>
      </c>
      <c r="H1819" s="3" t="n">
        <v>0</v>
      </c>
      <c r="I1819" s="3" t="n">
        <v>0</v>
      </c>
      <c r="J1819" s="3" t="n">
        <v>0</v>
      </c>
      <c r="K1819" s="3" t="n">
        <v>0</v>
      </c>
      <c r="L1819" s="3">
        <f>IF(K1819&lt;-5,"CRÍTICO",IF(K1819&lt;0,"ATENÇÃO",IF(K1819&lt;=5,"BOM","EXCELENTE")))</f>
        <v/>
      </c>
      <c r="M1819" s="3" t="n">
        <v>0</v>
      </c>
      <c r="N1819" s="3" t="n">
        <v>0</v>
      </c>
      <c r="O1819" s="12" t="n">
        <v>0</v>
      </c>
    </row>
    <row r="1820">
      <c r="A1820" s="10" t="n">
        <v>46057</v>
      </c>
      <c r="B1820" t="inlineStr">
        <is>
          <t>Patrícia Karla de Sousa Araújo</t>
        </is>
      </c>
      <c r="C1820" s="1" t="inlineStr">
        <is>
          <t>Técnico II</t>
        </is>
      </c>
      <c r="D1820" s="3" t="n">
        <v>0</v>
      </c>
      <c r="E1820" s="3" t="n">
        <v>0</v>
      </c>
      <c r="F1820" s="3" t="n">
        <v>0</v>
      </c>
      <c r="G1820" s="3" t="n">
        <v>0</v>
      </c>
      <c r="H1820" s="3" t="n">
        <v>0</v>
      </c>
      <c r="I1820" s="3" t="n">
        <v>0</v>
      </c>
      <c r="J1820" s="3" t="n">
        <v>0</v>
      </c>
      <c r="K1820" s="3" t="n">
        <v>0</v>
      </c>
      <c r="L1820" s="3">
        <f>IF(K1820&lt;-5,"CRÍTICO",IF(K1820&lt;0,"ATENÇÃO",IF(K1820&lt;=5,"BOM","EXCELENTE")))</f>
        <v/>
      </c>
      <c r="M1820" s="3" t="n">
        <v>0</v>
      </c>
      <c r="N1820" s="3" t="n">
        <v>97.92</v>
      </c>
      <c r="O1820" s="12" t="n">
        <v>32.87671232876712</v>
      </c>
    </row>
    <row r="1821">
      <c r="A1821" s="10" t="n">
        <v>46057</v>
      </c>
      <c r="B1821" t="inlineStr">
        <is>
          <t>Paulo Ricardo Santos</t>
        </is>
      </c>
      <c r="C1821" s="1" t="inlineStr">
        <is>
          <t>JR</t>
        </is>
      </c>
      <c r="D1821" s="3" t="n">
        <v>0</v>
      </c>
      <c r="E1821" s="3" t="n">
        <v>0</v>
      </c>
      <c r="F1821" s="3" t="n">
        <v>0</v>
      </c>
      <c r="G1821" s="3" t="n">
        <v>0</v>
      </c>
      <c r="H1821" s="3" t="n">
        <v>0</v>
      </c>
      <c r="I1821" s="3" t="n">
        <v>0</v>
      </c>
      <c r="J1821" s="3" t="n">
        <v>0</v>
      </c>
      <c r="K1821" s="3" t="n">
        <v>0</v>
      </c>
      <c r="L1821" s="3">
        <f>IF(K1821&lt;-5,"CRÍTICO",IF(K1821&lt;0,"ATENÇÃO",IF(K1821&lt;=5,"BOM","EXCELENTE")))</f>
        <v/>
      </c>
      <c r="M1821" s="3" t="n">
        <v>0</v>
      </c>
      <c r="N1821" s="3" t="n">
        <v>0</v>
      </c>
      <c r="O1821" s="12" t="n">
        <v>0</v>
      </c>
    </row>
    <row r="1822">
      <c r="A1822" s="10" t="n">
        <v>46057</v>
      </c>
      <c r="B1822" t="inlineStr">
        <is>
          <t>Pedro Luiz Mota Sousa</t>
        </is>
      </c>
      <c r="C1822" s="1" t="inlineStr">
        <is>
          <t>JR</t>
        </is>
      </c>
      <c r="D1822" s="3" t="n">
        <v>0</v>
      </c>
      <c r="E1822" s="3" t="n">
        <v>0</v>
      </c>
      <c r="F1822" s="3" t="n">
        <v>0</v>
      </c>
      <c r="G1822" s="3" t="n">
        <v>0</v>
      </c>
      <c r="H1822" s="3" t="n">
        <v>0</v>
      </c>
      <c r="I1822" s="3" t="n">
        <v>0</v>
      </c>
      <c r="J1822" s="3" t="n">
        <v>0</v>
      </c>
      <c r="K1822" s="3" t="n">
        <v>0</v>
      </c>
      <c r="L1822" s="3">
        <f>IF(K1822&lt;-5,"CRÍTICO",IF(K1822&lt;0,"ATENÇÃO",IF(K1822&lt;=5,"BOM","EXCELENTE")))</f>
        <v/>
      </c>
      <c r="M1822" s="3" t="n">
        <v>0</v>
      </c>
      <c r="N1822" s="3" t="n">
        <v>0</v>
      </c>
      <c r="O1822" s="12" t="n">
        <v>0</v>
      </c>
    </row>
    <row r="1823">
      <c r="A1823" s="10" t="n">
        <v>46057</v>
      </c>
      <c r="B1823" t="inlineStr">
        <is>
          <t>Quirino Diogo Leite Torres</t>
        </is>
      </c>
      <c r="C1823" s="1" t="inlineStr">
        <is>
          <t>Estágio</t>
        </is>
      </c>
      <c r="D1823" s="3" t="n">
        <v>0</v>
      </c>
      <c r="E1823" s="3" t="n">
        <v>0</v>
      </c>
      <c r="F1823" s="3" t="n">
        <v>0</v>
      </c>
      <c r="G1823" s="3" t="n">
        <v>0</v>
      </c>
      <c r="H1823" s="3" t="n">
        <v>0</v>
      </c>
      <c r="I1823" s="3" t="n">
        <v>0</v>
      </c>
      <c r="J1823" s="3" t="n">
        <v>0</v>
      </c>
      <c r="K1823" s="3" t="n">
        <v>0</v>
      </c>
      <c r="L1823" s="3">
        <f>IF(K1823&lt;-5,"CRÍTICO",IF(K1823&lt;0,"ATENÇÃO",IF(K1823&lt;=5,"BOM","EXCELENTE")))</f>
        <v/>
      </c>
      <c r="M1823" s="3" t="n">
        <v>0</v>
      </c>
      <c r="N1823" s="3" t="n">
        <v>0</v>
      </c>
      <c r="O1823" s="12" t="n">
        <v>0</v>
      </c>
    </row>
    <row r="1824">
      <c r="A1824" s="10" t="n">
        <v>46057</v>
      </c>
      <c r="B1824" t="inlineStr">
        <is>
          <t>Raane Batista Matos</t>
        </is>
      </c>
      <c r="C1824" s="1" t="inlineStr">
        <is>
          <t>Técnico I</t>
        </is>
      </c>
      <c r="D1824" s="3" t="n">
        <v>17</v>
      </c>
      <c r="E1824" s="3" t="n">
        <v>16</v>
      </c>
      <c r="F1824" s="3" t="n">
        <v>40.1</v>
      </c>
      <c r="G1824" s="3" t="n">
        <v>0</v>
      </c>
      <c r="H1824" s="3" t="n">
        <v>0</v>
      </c>
      <c r="I1824" s="3">
        <f>E1824+G1824+H1824</f>
        <v/>
      </c>
      <c r="J1824" s="3">
        <f>ROUND(MIN(IF(C1824="Técnico III",35,IF(C1824="Técnico II",28,IF(C1824="Técnico I",23,IF(C1824="JR",20,IF(C1824="Estágio",10,0))))),IF(C1824="Técnico III",SUMIFS($D:$D,$A:$A,$A1824,$B:$B,"&lt;&gt;Patrícia Karla de Sousa Araújo",$B:$B,"&lt;&gt;Lorena Dias de Araujo",$B:$B,"&lt;&gt;Lucas Luiz Romero")*(35/1083),IF(C1824="Técnico II",SUMIFS($D:$D,$A:$A,$A1824,$B:$B,"&lt;&gt;Patrícia Karla de Sousa Araújo",$B:$B,"&lt;&gt;Lorena Dias de Araujo",$B:$B,"&lt;&gt;Lucas Luiz Romero")*(28/1083),IF(C1824="Técnico I",SUMIFS($D:$D,$A:$A,$A1824,$B:$B,"&lt;&gt;Patrícia Karla de Sousa Araújo",$B:$B,"&lt;&gt;Lorena Dias de Araujo",$B:$B,"&lt;&gt;Lucas Luiz Romero")*(23/1083),IF(C1824="JR",SUMIFS($D:$D,$A:$A,$A1824,$B:$B,"&lt;&gt;Patrícia Karla de Sousa Araújo",$B:$B,"&lt;&gt;Lorena Dias de Araujo",$B:$B,"&lt;&gt;Lucas Luiz Romero")*(20/1083),IF(C1824="Estágio",SUMIFS($D:$D,$A:$A,$A1824,$B:$B,"&lt;&gt;Patrícia Karla de Sousa Araújo",$B:$B,"&lt;&gt;Lorena Dias de Araujo",$B:$B,"&lt;&gt;Lucas Luiz Romero")*(10/1083),0)))))),0)</f>
        <v/>
      </c>
      <c r="K1824" s="3">
        <f>I1824-J1824</f>
        <v/>
      </c>
      <c r="L1824" s="3">
        <f>IF(K1824&lt;-5,"CRÍTICO",IF(K1824&lt;0,"ATENÇÃO",IF(K1824&lt;=5,"BOM","EXCELENTE")))</f>
        <v/>
      </c>
      <c r="M1824" s="3" t="n">
        <v>16</v>
      </c>
      <c r="N1824" s="3" t="n">
        <v>98.51000000000001</v>
      </c>
      <c r="O1824" s="12" t="n">
        <v>29.71014492753623</v>
      </c>
    </row>
    <row r="1825">
      <c r="A1825" s="10" t="n">
        <v>46057</v>
      </c>
      <c r="B1825" t="inlineStr">
        <is>
          <t>Rafael Gomes de Morais</t>
        </is>
      </c>
      <c r="C1825" s="1" t="inlineStr">
        <is>
          <t>Técnico III</t>
        </is>
      </c>
      <c r="D1825" s="3" t="n">
        <v>47</v>
      </c>
      <c r="E1825" s="3" t="n">
        <v>43</v>
      </c>
      <c r="F1825" s="3" t="n">
        <v>15.02</v>
      </c>
      <c r="G1825" s="3" t="n">
        <v>0</v>
      </c>
      <c r="H1825" s="3" t="n">
        <v>0</v>
      </c>
      <c r="I1825" s="3">
        <f>E1825+G1825+H1825</f>
        <v/>
      </c>
      <c r="J1825" s="3">
        <f>ROUND(MIN(IF(C1825="Técnico III",35,IF(C1825="Técnico II",28,IF(C1825="Técnico I",23,IF(C1825="JR",20,IF(C1825="Estágio",10,0))))),IF(C1825="Técnico III",SUMIFS($D:$D,$A:$A,$A1825,$B:$B,"&lt;&gt;Patrícia Karla de Sousa Araújo",$B:$B,"&lt;&gt;Lorena Dias de Araujo",$B:$B,"&lt;&gt;Lucas Luiz Romero")*(35/1083),IF(C1825="Técnico II",SUMIFS($D:$D,$A:$A,$A1825,$B:$B,"&lt;&gt;Patrícia Karla de Sousa Araújo",$B:$B,"&lt;&gt;Lorena Dias de Araujo",$B:$B,"&lt;&gt;Lucas Luiz Romero")*(28/1083),IF(C1825="Técnico I",SUMIFS($D:$D,$A:$A,$A1825,$B:$B,"&lt;&gt;Patrícia Karla de Sousa Araújo",$B:$B,"&lt;&gt;Lorena Dias de Araujo",$B:$B,"&lt;&gt;Lucas Luiz Romero")*(23/1083),IF(C1825="JR",SUMIFS($D:$D,$A:$A,$A1825,$B:$B,"&lt;&gt;Patrícia Karla de Sousa Araújo",$B:$B,"&lt;&gt;Lorena Dias de Araujo",$B:$B,"&lt;&gt;Lucas Luiz Romero")*(20/1083),IF(C1825="Estágio",SUMIFS($D:$D,$A:$A,$A1825,$B:$B,"&lt;&gt;Patrícia Karla de Sousa Araújo",$B:$B,"&lt;&gt;Lorena Dias de Araujo",$B:$B,"&lt;&gt;Lucas Luiz Romero")*(10/1083),0)))))),0)</f>
        <v/>
      </c>
      <c r="K1825" s="3">
        <f>I1825-J1825</f>
        <v/>
      </c>
      <c r="L1825" s="3">
        <f>IF(K1825&lt;-5,"CRÍTICO",IF(K1825&lt;0,"ATENÇÃO",IF(K1825&lt;=5,"BOM","EXCELENTE")))</f>
        <v/>
      </c>
      <c r="M1825" s="3" t="n">
        <v>30</v>
      </c>
      <c r="N1825" s="3" t="n">
        <v>98.81</v>
      </c>
      <c r="O1825" s="12" t="n">
        <v>30.71297989031079</v>
      </c>
    </row>
    <row r="1826">
      <c r="A1826" s="10" t="n">
        <v>46057</v>
      </c>
      <c r="B1826" t="inlineStr">
        <is>
          <t>Sara Maria Monteiro Lopes</t>
        </is>
      </c>
      <c r="C1826" s="1" t="inlineStr">
        <is>
          <t>Técnico I</t>
        </is>
      </c>
      <c r="D1826" s="3" t="n">
        <v>17</v>
      </c>
      <c r="E1826" s="3" t="n">
        <v>17</v>
      </c>
      <c r="F1826" s="3" t="n">
        <v>31.47</v>
      </c>
      <c r="G1826" s="3" t="n">
        <v>0</v>
      </c>
      <c r="H1826" s="3" t="n">
        <v>0</v>
      </c>
      <c r="I1826" s="3">
        <f>E1826+G1826+H1826</f>
        <v/>
      </c>
      <c r="J1826" s="3">
        <f>ROUND(MIN(IF(C1826="Técnico III",35,IF(C1826="Técnico II",28,IF(C1826="Técnico I",23,IF(C1826="JR",20,IF(C1826="Estágio",10,0))))),IF(C1826="Técnico III",SUMIFS($D:$D,$A:$A,$A1826,$B:$B,"&lt;&gt;Patrícia Karla de Sousa Araújo",$B:$B,"&lt;&gt;Lorena Dias de Araujo",$B:$B,"&lt;&gt;Lucas Luiz Romero")*(35/1083),IF(C1826="Técnico II",SUMIFS($D:$D,$A:$A,$A1826,$B:$B,"&lt;&gt;Patrícia Karla de Sousa Araújo",$B:$B,"&lt;&gt;Lorena Dias de Araujo",$B:$B,"&lt;&gt;Lucas Luiz Romero")*(28/1083),IF(C1826="Técnico I",SUMIFS($D:$D,$A:$A,$A1826,$B:$B,"&lt;&gt;Patrícia Karla de Sousa Araújo",$B:$B,"&lt;&gt;Lorena Dias de Araujo",$B:$B,"&lt;&gt;Lucas Luiz Romero")*(23/1083),IF(C1826="JR",SUMIFS($D:$D,$A:$A,$A1826,$B:$B,"&lt;&gt;Patrícia Karla de Sousa Araújo",$B:$B,"&lt;&gt;Lorena Dias de Araujo",$B:$B,"&lt;&gt;Lucas Luiz Romero")*(20/1083),IF(C1826="Estágio",SUMIFS($D:$D,$A:$A,$A1826,$B:$B,"&lt;&gt;Patrícia Karla de Sousa Araújo",$B:$B,"&lt;&gt;Lorena Dias de Araujo",$B:$B,"&lt;&gt;Lucas Luiz Romero")*(10/1083),0)))))),0)</f>
        <v/>
      </c>
      <c r="K1826" s="3">
        <f>I1826-J1826</f>
        <v/>
      </c>
      <c r="L1826" s="3">
        <f>IF(K1826&lt;-5,"CRÍTICO",IF(K1826&lt;0,"ATENÇÃO",IF(K1826&lt;=5,"BOM","EXCELENTE")))</f>
        <v/>
      </c>
      <c r="M1826" s="3" t="n">
        <v>16</v>
      </c>
      <c r="N1826" s="3" t="n">
        <v>98.48</v>
      </c>
      <c r="O1826" s="12" t="n">
        <v>29.35323383084577</v>
      </c>
    </row>
    <row r="1827">
      <c r="A1827" s="10" t="n">
        <v>46057</v>
      </c>
      <c r="B1827" t="inlineStr">
        <is>
          <t>Sarah Steffanie de Lima Borges</t>
        </is>
      </c>
      <c r="C1827" s="1" t="inlineStr">
        <is>
          <t>Técnico III</t>
        </is>
      </c>
      <c r="D1827" s="3" t="n">
        <v>39</v>
      </c>
      <c r="E1827" s="3" t="n">
        <v>37</v>
      </c>
      <c r="F1827" s="3" t="n">
        <v>14.12</v>
      </c>
      <c r="G1827" s="3" t="n">
        <v>0</v>
      </c>
      <c r="H1827" s="3" t="n">
        <v>0</v>
      </c>
      <c r="I1827" s="3">
        <f>E1827+G1827+H1827</f>
        <v/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/>
      </c>
      <c r="K1827" s="3">
        <f>I1827-J1827</f>
        <v/>
      </c>
      <c r="L1827" s="3">
        <f>IF(K1827&lt;-5,"CRÍTICO",IF(K1827&lt;0,"ATENÇÃO",IF(K1827&lt;=5,"BOM","EXCELENTE")))</f>
        <v/>
      </c>
      <c r="M1827" s="3" t="n">
        <v>36</v>
      </c>
      <c r="N1827" s="3" t="n">
        <v>98.56</v>
      </c>
      <c r="O1827" s="12" t="n">
        <v>29.37365010799136</v>
      </c>
    </row>
    <row r="1828">
      <c r="A1828" s="10" t="n">
        <v>46058</v>
      </c>
      <c r="B1828" t="inlineStr">
        <is>
          <t>Alisson de Freitas Silva</t>
        </is>
      </c>
      <c r="C1828" s="1" t="inlineStr">
        <is>
          <t>Técnico II</t>
        </is>
      </c>
      <c r="D1828" s="3" t="n">
        <v>36</v>
      </c>
      <c r="E1828" s="3" t="n">
        <v>34</v>
      </c>
      <c r="F1828" s="3" t="n">
        <v>15.2</v>
      </c>
      <c r="G1828" s="3" t="n">
        <v>0</v>
      </c>
      <c r="H1828" s="3" t="n">
        <v>0</v>
      </c>
      <c r="I1828" s="3">
        <f>E1828+G1828+H1828</f>
        <v/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/>
      </c>
      <c r="K1828" s="3">
        <f>I1828-J1828</f>
        <v/>
      </c>
      <c r="L1828" s="3">
        <f>IF(K1828&lt;-5,"CRÍTICO",IF(K1828&lt;0,"ATENÇÃO",IF(K1828&lt;=5,"BOM","EXCELENTE")))</f>
        <v/>
      </c>
      <c r="M1828" s="3" t="n">
        <v>33</v>
      </c>
      <c r="N1828" s="3" t="n">
        <v>98.31999999999999</v>
      </c>
      <c r="O1828" s="12" t="n">
        <v>30.3030303030303</v>
      </c>
    </row>
    <row r="1829">
      <c r="A1829" s="10" t="n">
        <v>46058</v>
      </c>
      <c r="B1829" t="inlineStr">
        <is>
          <t>Amanda Moura Ferreira</t>
        </is>
      </c>
      <c r="C1829" s="1" t="inlineStr">
        <is>
          <t>Técnico III</t>
        </is>
      </c>
      <c r="D1829" s="3" t="n">
        <v>0</v>
      </c>
      <c r="E1829" s="3" t="n">
        <v>0</v>
      </c>
      <c r="F1829" s="3" t="n">
        <v>0</v>
      </c>
      <c r="G1829" s="3" t="n">
        <v>0</v>
      </c>
      <c r="H1829" s="3" t="n">
        <v>0</v>
      </c>
      <c r="I1829" s="3" t="n">
        <v>0</v>
      </c>
      <c r="J1829" s="3" t="n">
        <v>0</v>
      </c>
      <c r="K1829" s="3" t="n">
        <v>0</v>
      </c>
      <c r="L1829" s="3">
        <f>IF(K1829&lt;-5,"CRÍTICO",IF(K1829&lt;0,"ATENÇÃO",IF(K1829&lt;=5,"BOM","EXCELENTE")))</f>
        <v/>
      </c>
      <c r="M1829" s="3" t="n">
        <v>40</v>
      </c>
      <c r="N1829" s="3" t="n">
        <v>98.68000000000001</v>
      </c>
      <c r="O1829" s="12" t="n">
        <v>26.21951219512195</v>
      </c>
    </row>
    <row r="1830">
      <c r="A1830" s="10" t="n">
        <v>46058</v>
      </c>
      <c r="B1830" t="inlineStr">
        <is>
          <t>Ana Karollyne Souza Faria</t>
        </is>
      </c>
      <c r="C1830" s="1" t="inlineStr">
        <is>
          <t>Técnico I</t>
        </is>
      </c>
      <c r="D1830" s="3" t="n">
        <v>42</v>
      </c>
      <c r="E1830" s="3" t="n">
        <v>40</v>
      </c>
      <c r="F1830" s="3" t="n">
        <v>17.07</v>
      </c>
      <c r="G1830" s="3" t="n">
        <v>0</v>
      </c>
      <c r="H1830" s="3" t="n">
        <v>0</v>
      </c>
      <c r="I1830" s="3">
        <f>E1830+G1830+H1830</f>
        <v/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/>
      </c>
      <c r="K1830" s="3">
        <f>I1830-J1830</f>
        <v/>
      </c>
      <c r="L1830" s="3">
        <f>IF(K1830&lt;-5,"CRÍTICO",IF(K1830&lt;0,"ATENÇÃO",IF(K1830&lt;=5,"BOM","EXCELENTE")))</f>
        <v/>
      </c>
      <c r="M1830" s="3" t="n">
        <v>38</v>
      </c>
      <c r="N1830" s="3" t="n">
        <v>100</v>
      </c>
      <c r="O1830" s="12" t="n">
        <v>31.74224343675418</v>
      </c>
    </row>
    <row r="1831">
      <c r="A1831" s="10" t="n">
        <v>46058</v>
      </c>
      <c r="B1831" t="inlineStr">
        <is>
          <t>Ana Paula Da Luz Silva Aleixo</t>
        </is>
      </c>
      <c r="C1831" s="1" t="inlineStr">
        <is>
          <t>Técnico III</t>
        </is>
      </c>
      <c r="D1831" s="3" t="n">
        <v>42</v>
      </c>
      <c r="E1831" s="3" t="n">
        <v>40</v>
      </c>
      <c r="F1831" s="3" t="n">
        <v>17.06</v>
      </c>
      <c r="G1831" s="3" t="n">
        <v>0</v>
      </c>
      <c r="H1831" s="3" t="n">
        <v>0</v>
      </c>
      <c r="I1831" s="3">
        <f>E1831+G1831+H1831</f>
        <v/>
      </c>
      <c r="J1831" s="3">
        <f>ROUND(MIN(IF(C1831="Técnico III",35,IF(C1831="Técnico II",28,IF(C1831="Técnico I",23,IF(C1831="JR",20,IF(C1831="Estágio",10,0))))),IF(C1831="Técnico III",SUMIFS($D:$D,$A:$A,$A1831,$B:$B,"&lt;&gt;Patrícia Karla de Sousa Araújo",$B:$B,"&lt;&gt;Lorena Dias de Araujo",$B:$B,"&lt;&gt;Lucas Luiz Romero")*(35/1083),IF(C1831="Técnico II",SUMIFS($D:$D,$A:$A,$A1831,$B:$B,"&lt;&gt;Patrícia Karla de Sousa Araújo",$B:$B,"&lt;&gt;Lorena Dias de Araujo",$B:$B,"&lt;&gt;Lucas Luiz Romero")*(28/1083),IF(C1831="Técnico I",SUMIFS($D:$D,$A:$A,$A1831,$B:$B,"&lt;&gt;Patrícia Karla de Sousa Araújo",$B:$B,"&lt;&gt;Lorena Dias de Araujo",$B:$B,"&lt;&gt;Lucas Luiz Romero")*(23/1083),IF(C1831="JR",SUMIFS($D:$D,$A:$A,$A1831,$B:$B,"&lt;&gt;Patrícia Karla de Sousa Araújo",$B:$B,"&lt;&gt;Lorena Dias de Araujo",$B:$B,"&lt;&gt;Lucas Luiz Romero")*(20/1083),IF(C1831="Estágio",SUMIFS($D:$D,$A:$A,$A1831,$B:$B,"&lt;&gt;Patrícia Karla de Sousa Araújo",$B:$B,"&lt;&gt;Lorena Dias de Araujo",$B:$B,"&lt;&gt;Lucas Luiz Romero")*(10/1083),0)))))),0)</f>
        <v/>
      </c>
      <c r="K1831" s="3">
        <f>I1831-J1831</f>
        <v/>
      </c>
      <c r="L1831" s="3">
        <f>IF(K1831&lt;-5,"CRÍTICO",IF(K1831&lt;0,"ATENÇÃO",IF(K1831&lt;=5,"BOM","EXCELENTE")))</f>
        <v/>
      </c>
      <c r="M1831" s="3" t="n">
        <v>39</v>
      </c>
      <c r="N1831" s="3" t="n">
        <v>98.25</v>
      </c>
      <c r="O1831" s="12" t="n">
        <v>25.83518930957684</v>
      </c>
    </row>
    <row r="1832">
      <c r="A1832" s="10" t="n">
        <v>46058</v>
      </c>
      <c r="B1832" t="inlineStr">
        <is>
          <t>Anna Luiza Rezende Tavares</t>
        </is>
      </c>
      <c r="C1832" s="1" t="inlineStr">
        <is>
          <t>Estágio</t>
        </is>
      </c>
      <c r="D1832" s="3" t="n">
        <v>0</v>
      </c>
      <c r="E1832" s="3" t="n">
        <v>0</v>
      </c>
      <c r="F1832" s="3" t="n">
        <v>0</v>
      </c>
      <c r="G1832" s="3" t="n">
        <v>0</v>
      </c>
      <c r="H1832" s="3" t="n">
        <v>0</v>
      </c>
      <c r="I1832" s="3" t="n">
        <v>0</v>
      </c>
      <c r="J1832" s="3" t="n">
        <v>0</v>
      </c>
      <c r="K1832" s="3" t="n">
        <v>0</v>
      </c>
      <c r="L1832" s="3">
        <f>IF(K1832&lt;-5,"CRÍTICO",IF(K1832&lt;0,"ATENÇÃO",IF(K1832&lt;=5,"BOM","EXCELENTE")))</f>
        <v/>
      </c>
      <c r="M1832" s="3" t="n">
        <v>0</v>
      </c>
      <c r="N1832" s="3" t="n">
        <v>97.5</v>
      </c>
      <c r="O1832" s="12" t="n">
        <v>30.07518796992481</v>
      </c>
    </row>
    <row r="1833">
      <c r="A1833" s="10" t="n">
        <v>46058</v>
      </c>
      <c r="B1833" t="inlineStr">
        <is>
          <t>Brenda de Menezes Silva</t>
        </is>
      </c>
      <c r="C1833" s="1" t="inlineStr">
        <is>
          <t>Técnico II</t>
        </is>
      </c>
      <c r="D1833" s="3" t="n">
        <v>31</v>
      </c>
      <c r="E1833" s="3" t="n">
        <v>30</v>
      </c>
      <c r="F1833" s="3" t="n">
        <v>19.08</v>
      </c>
      <c r="G1833" s="3" t="n">
        <v>0</v>
      </c>
      <c r="H1833" s="3" t="n">
        <v>0</v>
      </c>
      <c r="I1833" s="3">
        <f>E1833+G1833+H1833</f>
        <v/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/>
      </c>
      <c r="K1833" s="3">
        <f>I1833-J1833</f>
        <v/>
      </c>
      <c r="L1833" s="3">
        <f>IF(K1833&lt;-5,"CRÍTICO",IF(K1833&lt;0,"ATENÇÃO",IF(K1833&lt;=5,"BOM","EXCELENTE")))</f>
        <v/>
      </c>
      <c r="M1833" s="3" t="n">
        <v>30</v>
      </c>
      <c r="N1833" s="3" t="n">
        <v>100</v>
      </c>
      <c r="O1833" s="12" t="n">
        <v>29.71311475409836</v>
      </c>
    </row>
    <row r="1834">
      <c r="A1834" s="10" t="n">
        <v>46058</v>
      </c>
      <c r="B1834" t="inlineStr">
        <is>
          <t>Carlos Mateus Cassimiro Nunes</t>
        </is>
      </c>
      <c r="C1834" s="1" t="inlineStr">
        <is>
          <t>Técnico II</t>
        </is>
      </c>
      <c r="D1834" s="3" t="n">
        <v>18</v>
      </c>
      <c r="E1834" s="3" t="n">
        <v>16</v>
      </c>
      <c r="F1834" s="3" t="n">
        <v>43.34</v>
      </c>
      <c r="G1834" s="3" t="n">
        <v>0</v>
      </c>
      <c r="H1834" s="3" t="n">
        <v>0</v>
      </c>
      <c r="I1834" s="3">
        <f>E1834+G1834+H1834</f>
        <v/>
      </c>
      <c r="J1834" s="3">
        <f>ROUND(MIN(IF(C1834="Técnico III",35,IF(C1834="Técnico II",28,IF(C1834="Técnico I",23,IF(C1834="JR",20,IF(C1834="Estágio",10,0))))),IF(C1834="Técnico III",SUMIFS($D:$D,$A:$A,$A1834,$B:$B,"&lt;&gt;Patrícia Karla de Sousa Araújo",$B:$B,"&lt;&gt;Lorena Dias de Araujo",$B:$B,"&lt;&gt;Lucas Luiz Romero")*(35/1083),IF(C1834="Técnico II",SUMIFS($D:$D,$A:$A,$A1834,$B:$B,"&lt;&gt;Patrícia Karla de Sousa Araújo",$B:$B,"&lt;&gt;Lorena Dias de Araujo",$B:$B,"&lt;&gt;Lucas Luiz Romero")*(28/1083),IF(C1834="Técnico I",SUMIFS($D:$D,$A:$A,$A1834,$B:$B,"&lt;&gt;Patrícia Karla de Sousa Araújo",$B:$B,"&lt;&gt;Lorena Dias de Araujo",$B:$B,"&lt;&gt;Lucas Luiz Romero")*(23/1083),IF(C1834="JR",SUMIFS($D:$D,$A:$A,$A1834,$B:$B,"&lt;&gt;Patrícia Karla de Sousa Araújo",$B:$B,"&lt;&gt;Lorena Dias de Araujo",$B:$B,"&lt;&gt;Lucas Luiz Romero")*(20/1083),IF(C1834="Estágio",SUMIFS($D:$D,$A:$A,$A1834,$B:$B,"&lt;&gt;Patrícia Karla de Sousa Araújo",$B:$B,"&lt;&gt;Lorena Dias de Araujo",$B:$B,"&lt;&gt;Lucas Luiz Romero")*(10/1083),0)))))),0)</f>
        <v/>
      </c>
      <c r="K1834" s="3">
        <f>I1834-J1834</f>
        <v/>
      </c>
      <c r="L1834" s="3">
        <f>IF(K1834&lt;-5,"CRÍTICO",IF(K1834&lt;0,"ATENÇÃO",IF(K1834&lt;=5,"BOM","EXCELENTE")))</f>
        <v/>
      </c>
      <c r="M1834" s="3" t="n">
        <v>17</v>
      </c>
      <c r="N1834" s="3" t="n">
        <v>99.22</v>
      </c>
      <c r="O1834" s="12" t="n">
        <v>35.25641025641026</v>
      </c>
    </row>
    <row r="1835">
      <c r="A1835" s="10" t="n">
        <v>46058</v>
      </c>
      <c r="B1835" t="inlineStr">
        <is>
          <t>Claudio de Sousa Velasco Filho</t>
        </is>
      </c>
      <c r="C1835" s="1" t="inlineStr">
        <is>
          <t>Estágio</t>
        </is>
      </c>
      <c r="D1835" s="3" t="n">
        <v>0</v>
      </c>
      <c r="E1835" s="3" t="n">
        <v>0</v>
      </c>
      <c r="F1835" s="3" t="n">
        <v>0</v>
      </c>
      <c r="G1835" s="3" t="n">
        <v>0</v>
      </c>
      <c r="H1835" s="3" t="n">
        <v>0</v>
      </c>
      <c r="I1835" s="3" t="n">
        <v>0</v>
      </c>
      <c r="J1835" s="3" t="n">
        <v>0</v>
      </c>
      <c r="K1835" s="3" t="n">
        <v>0</v>
      </c>
      <c r="L1835" s="3">
        <f>IF(K1835&lt;-5,"CRÍTICO",IF(K1835&lt;0,"ATENÇÃO",IF(K1835&lt;=5,"BOM","EXCELENTE")))</f>
        <v/>
      </c>
      <c r="M1835" s="3" t="n">
        <v>0</v>
      </c>
      <c r="N1835" s="3" t="n">
        <v>0</v>
      </c>
      <c r="O1835" s="12" t="n">
        <v>0</v>
      </c>
    </row>
    <row r="1836">
      <c r="A1836" s="10" t="n">
        <v>46058</v>
      </c>
      <c r="B1836" t="inlineStr">
        <is>
          <t>Clessiane Pereira dos Santos</t>
        </is>
      </c>
      <c r="C1836" s="1" t="inlineStr">
        <is>
          <t>Técnico I</t>
        </is>
      </c>
      <c r="D1836" s="3" t="n">
        <v>50</v>
      </c>
      <c r="E1836" s="3" t="n">
        <v>14</v>
      </c>
      <c r="F1836" s="3" t="n">
        <v>5.35</v>
      </c>
      <c r="G1836" s="3" t="n">
        <v>0</v>
      </c>
      <c r="H1836" s="3" t="n">
        <v>0</v>
      </c>
      <c r="I1836" s="3">
        <f>E1836+G1836+H1836</f>
        <v/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/>
      </c>
      <c r="K1836" s="3">
        <f>I1836-J1836</f>
        <v/>
      </c>
      <c r="L1836" s="3">
        <f>IF(K1836&lt;-5,"CRÍTICO",IF(K1836&lt;0,"ATENÇÃO",IF(K1836&lt;=5,"BOM","EXCELENTE")))</f>
        <v/>
      </c>
      <c r="M1836" s="3" t="n">
        <v>22</v>
      </c>
      <c r="N1836" s="3" t="n">
        <v>98.75</v>
      </c>
      <c r="O1836" s="12" t="n">
        <v>24.32432432432433</v>
      </c>
    </row>
    <row r="1837">
      <c r="A1837" s="10" t="n">
        <v>46058</v>
      </c>
      <c r="B1837" t="inlineStr">
        <is>
          <t>Cristiane Ramos da Silva Rocha</t>
        </is>
      </c>
      <c r="C1837" s="1" t="inlineStr">
        <is>
          <t>Técnico III</t>
        </is>
      </c>
      <c r="D1837" s="3" t="n">
        <v>28</v>
      </c>
      <c r="E1837" s="3" t="n">
        <v>28</v>
      </c>
      <c r="F1837" s="3" t="n">
        <v>15.18</v>
      </c>
      <c r="G1837" s="3" t="n">
        <v>0</v>
      </c>
      <c r="H1837" s="3" t="n">
        <v>0</v>
      </c>
      <c r="I1837" s="3">
        <f>E1837+G1837+H1837</f>
        <v/>
      </c>
      <c r="J1837" s="3">
        <f>ROUND(MIN(IF(C1837="Técnico III",35,IF(C1837="Técnico II",28,IF(C1837="Técnico I",23,IF(C1837="JR",20,IF(C1837="Estágio",10,0))))),IF(C1837="Técnico III",SUMIFS($D:$D,$A:$A,$A1837,$B:$B,"&lt;&gt;Patrícia Karla de Sousa Araújo",$B:$B,"&lt;&gt;Lorena Dias de Araujo",$B:$B,"&lt;&gt;Lucas Luiz Romero")*(35/1083),IF(C1837="Técnico II",SUMIFS($D:$D,$A:$A,$A1837,$B:$B,"&lt;&gt;Patrícia Karla de Sousa Araújo",$B:$B,"&lt;&gt;Lorena Dias de Araujo",$B:$B,"&lt;&gt;Lucas Luiz Romero")*(28/1083),IF(C1837="Técnico I",SUMIFS($D:$D,$A:$A,$A1837,$B:$B,"&lt;&gt;Patrícia Karla de Sousa Araújo",$B:$B,"&lt;&gt;Lorena Dias de Araujo",$B:$B,"&lt;&gt;Lucas Luiz Romero")*(23/1083),IF(C1837="JR",SUMIFS($D:$D,$A:$A,$A1837,$B:$B,"&lt;&gt;Patrícia Karla de Sousa Araújo",$B:$B,"&lt;&gt;Lorena Dias de Araujo",$B:$B,"&lt;&gt;Lucas Luiz Romero")*(20/1083),IF(C1837="Estágio",SUMIFS($D:$D,$A:$A,$A1837,$B:$B,"&lt;&gt;Patrícia Karla de Sousa Araújo",$B:$B,"&lt;&gt;Lorena Dias de Araujo",$B:$B,"&lt;&gt;Lucas Luiz Romero")*(10/1083),0)))))),0)</f>
        <v/>
      </c>
      <c r="K1837" s="3">
        <f>I1837-J1837</f>
        <v/>
      </c>
      <c r="L1837" s="3">
        <f>IF(K1837&lt;-5,"CRÍTICO",IF(K1837&lt;0,"ATENÇÃO",IF(K1837&lt;=5,"BOM","EXCELENTE")))</f>
        <v/>
      </c>
      <c r="M1837" s="3" t="n">
        <v>25</v>
      </c>
      <c r="N1837" s="3" t="n">
        <v>93.48</v>
      </c>
      <c r="O1837" s="12" t="n">
        <v>31.52804642166344</v>
      </c>
    </row>
    <row r="1838">
      <c r="A1838" s="10" t="n">
        <v>46058</v>
      </c>
      <c r="B1838" t="inlineStr">
        <is>
          <t>Damyllis Lorraine de Oliveira Gonçalves</t>
        </is>
      </c>
      <c r="C1838" s="1" t="inlineStr">
        <is>
          <t>Técnico II</t>
        </is>
      </c>
      <c r="D1838" s="3" t="n">
        <v>40</v>
      </c>
      <c r="E1838" s="3" t="n">
        <v>33</v>
      </c>
      <c r="F1838" s="3" t="n">
        <v>15.5</v>
      </c>
      <c r="G1838" s="3" t="n">
        <v>0</v>
      </c>
      <c r="H1838" s="3" t="n">
        <v>0</v>
      </c>
      <c r="I1838" s="3" t="n">
        <v>0</v>
      </c>
      <c r="J1838" s="3" t="n">
        <v>0</v>
      </c>
      <c r="K1838" s="3" t="n">
        <v>0</v>
      </c>
      <c r="L1838" s="3">
        <f>IF(K1838&lt;-5,"CRÍTICO",IF(K1838&lt;0,"ATENÇÃO",IF(K1838&lt;=5,"BOM","EXCELENTE")))</f>
        <v/>
      </c>
      <c r="M1838" s="3" t="n">
        <v>37</v>
      </c>
      <c r="N1838" s="3" t="n">
        <v>99.16</v>
      </c>
      <c r="O1838" s="12" t="n">
        <v>26.13908872901678</v>
      </c>
    </row>
    <row r="1839">
      <c r="A1839" s="10" t="n">
        <v>46058</v>
      </c>
      <c r="B1839" t="inlineStr">
        <is>
          <t>Daniel Gomes da Silva</t>
        </is>
      </c>
      <c r="C1839" s="1" t="inlineStr">
        <is>
          <t>Técnico I</t>
        </is>
      </c>
      <c r="D1839" s="3" t="n">
        <v>20</v>
      </c>
      <c r="E1839" s="3" t="n">
        <v>20</v>
      </c>
      <c r="F1839" s="3" t="n">
        <v>33.52</v>
      </c>
      <c r="G1839" s="3" t="n">
        <v>0</v>
      </c>
      <c r="H1839" s="3" t="n">
        <v>0</v>
      </c>
      <c r="I1839" s="3">
        <f>E1839+G1839+H1839</f>
        <v/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/>
      </c>
      <c r="K1839" s="3">
        <f>I1839-J1839</f>
        <v/>
      </c>
      <c r="L1839" s="3">
        <f>IF(K1839&lt;-5,"CRÍTICO",IF(K1839&lt;0,"ATENÇÃO",IF(K1839&lt;=5,"BOM","EXCELENTE")))</f>
        <v/>
      </c>
      <c r="M1839" s="3" t="n">
        <v>29</v>
      </c>
      <c r="N1839" s="3" t="n">
        <v>100</v>
      </c>
      <c r="O1839" s="12" t="n">
        <v>31.08974358974359</v>
      </c>
    </row>
    <row r="1840">
      <c r="A1840" s="10" t="n">
        <v>46058</v>
      </c>
      <c r="B1840" t="inlineStr">
        <is>
          <t>Davylla Rodrigues Freitas Silva</t>
        </is>
      </c>
      <c r="C1840" s="1" t="inlineStr">
        <is>
          <t>Técnico III</t>
        </is>
      </c>
      <c r="D1840" s="3" t="n">
        <v>37</v>
      </c>
      <c r="E1840" s="3" t="n">
        <v>36</v>
      </c>
      <c r="F1840" s="3" t="n">
        <v>20.3</v>
      </c>
      <c r="G1840" s="3" t="n">
        <v>0</v>
      </c>
      <c r="H1840" s="3" t="n">
        <v>0</v>
      </c>
      <c r="I1840" s="3" t="n">
        <v>0</v>
      </c>
      <c r="J1840" s="3" t="n">
        <v>0</v>
      </c>
      <c r="K1840" s="3" t="n">
        <v>0</v>
      </c>
      <c r="L1840" s="3">
        <f>IF(K1840&lt;-5,"CRÍTICO",IF(K1840&lt;0,"ATENÇÃO",IF(K1840&lt;=5,"BOM","EXCELENTE")))</f>
        <v/>
      </c>
      <c r="M1840" s="3" t="n">
        <v>35</v>
      </c>
      <c r="N1840" s="3" t="n">
        <v>98.11</v>
      </c>
      <c r="O1840" s="12" t="n">
        <v>33.03370786516854</v>
      </c>
    </row>
    <row r="1841">
      <c r="A1841" s="10" t="n">
        <v>46058</v>
      </c>
      <c r="B1841" t="inlineStr">
        <is>
          <t>Emilly Caylane Costa</t>
        </is>
      </c>
      <c r="C1841" s="1" t="inlineStr">
        <is>
          <t>Estágio</t>
        </is>
      </c>
      <c r="D1841" s="3" t="n">
        <v>39</v>
      </c>
      <c r="E1841" s="3" t="n">
        <v>28</v>
      </c>
      <c r="F1841" s="3" t="n">
        <v>5.44</v>
      </c>
      <c r="G1841" s="3" t="n">
        <v>0</v>
      </c>
      <c r="H1841" s="3" t="n">
        <v>0</v>
      </c>
      <c r="I1841" s="3">
        <f>E1841+G1841+H1841</f>
        <v/>
      </c>
      <c r="J1841" s="3">
        <f>ROUND(MIN(IF(C1841="Técnico III",35,IF(C1841="Técnico II",28,IF(C1841="Técnico I",23,IF(C1841="JR",20,IF(C1841="Estágio",10,0))))),IF(C1841="Técnico III",SUMIFS($D:$D,$A:$A,$A1841,$B:$B,"&lt;&gt;Patrícia Karla de Sousa Araújo",$B:$B,"&lt;&gt;Lorena Dias de Araujo",$B:$B,"&lt;&gt;Lucas Luiz Romero")*(35/1083),IF(C1841="Técnico II",SUMIFS($D:$D,$A:$A,$A1841,$B:$B,"&lt;&gt;Patrícia Karla de Sousa Araújo",$B:$B,"&lt;&gt;Lorena Dias de Araujo",$B:$B,"&lt;&gt;Lucas Luiz Romero")*(28/1083),IF(C1841="Técnico I",SUMIFS($D:$D,$A:$A,$A1841,$B:$B,"&lt;&gt;Patrícia Karla de Sousa Araújo",$B:$B,"&lt;&gt;Lorena Dias de Araujo",$B:$B,"&lt;&gt;Lucas Luiz Romero")*(23/1083),IF(C1841="JR",SUMIFS($D:$D,$A:$A,$A1841,$B:$B,"&lt;&gt;Patrícia Karla de Sousa Araújo",$B:$B,"&lt;&gt;Lorena Dias de Araujo",$B:$B,"&lt;&gt;Lucas Luiz Romero")*(20/1083),IF(C1841="Estágio",SUMIFS($D:$D,$A:$A,$A1841,$B:$B,"&lt;&gt;Patrícia Karla de Sousa Araújo",$B:$B,"&lt;&gt;Lorena Dias de Araujo",$B:$B,"&lt;&gt;Lucas Luiz Romero")*(10/1083),0)))))),0)</f>
        <v/>
      </c>
      <c r="K1841" s="3">
        <f>I1841-J1841</f>
        <v/>
      </c>
      <c r="L1841" s="3">
        <f>IF(K1841&lt;-5,"CRÍTICO",IF(K1841&lt;0,"ATENÇÃO",IF(K1841&lt;=5,"BOM","EXCELENTE")))</f>
        <v/>
      </c>
      <c r="M1841" s="3" t="n">
        <v>2</v>
      </c>
      <c r="N1841" s="3" t="n">
        <v>78.95</v>
      </c>
      <c r="O1841" s="12" t="n">
        <v>38.98305084745763</v>
      </c>
    </row>
    <row r="1842">
      <c r="A1842" s="10" t="n">
        <v>46058</v>
      </c>
      <c r="B1842" t="inlineStr">
        <is>
          <t>Emilly Kamilly Medeiros Miranda</t>
        </is>
      </c>
      <c r="C1842" s="1" t="inlineStr">
        <is>
          <t>Técnico II</t>
        </is>
      </c>
      <c r="D1842" s="3" t="n">
        <v>38</v>
      </c>
      <c r="E1842" s="3" t="n">
        <v>35</v>
      </c>
      <c r="F1842" s="3" t="n">
        <v>13.48</v>
      </c>
      <c r="G1842" s="3" t="n">
        <v>0</v>
      </c>
      <c r="H1842" s="3" t="n">
        <v>0</v>
      </c>
      <c r="I1842" s="3">
        <f>E1842+G1842+H1842</f>
        <v/>
      </c>
      <c r="J1842" s="3">
        <f>ROUND(MIN(IF(C1842="Técnico III",35,IF(C1842="Técnico II",28,IF(C1842="Técnico I",23,IF(C1842="JR",20,IF(C1842="Estágio",10,0))))),IF(C1842="Técnico III",SUMIFS($D:$D,$A:$A,$A1842,$B:$B,"&lt;&gt;Patrícia Karla de Sousa Araújo",$B:$B,"&lt;&gt;Lorena Dias de Araujo",$B:$B,"&lt;&gt;Lucas Luiz Romero")*(35/1083),IF(C1842="Técnico II",SUMIFS($D:$D,$A:$A,$A1842,$B:$B,"&lt;&gt;Patrícia Karla de Sousa Araújo",$B:$B,"&lt;&gt;Lorena Dias de Araujo",$B:$B,"&lt;&gt;Lucas Luiz Romero")*(28/1083),IF(C1842="Técnico I",SUMIFS($D:$D,$A:$A,$A1842,$B:$B,"&lt;&gt;Patrícia Karla de Sousa Araújo",$B:$B,"&lt;&gt;Lorena Dias de Araujo",$B:$B,"&lt;&gt;Lucas Luiz Romero")*(23/1083),IF(C1842="JR",SUMIFS($D:$D,$A:$A,$A1842,$B:$B,"&lt;&gt;Patrícia Karla de Sousa Araújo",$B:$B,"&lt;&gt;Lorena Dias de Araujo",$B:$B,"&lt;&gt;Lucas Luiz Romero")*(20/1083),IF(C1842="Estágio",SUMIFS($D:$D,$A:$A,$A1842,$B:$B,"&lt;&gt;Patrícia Karla de Sousa Araújo",$B:$B,"&lt;&gt;Lorena Dias de Araujo",$B:$B,"&lt;&gt;Lucas Luiz Romero")*(10/1083),0)))))),0)</f>
        <v/>
      </c>
      <c r="K1842" s="3">
        <f>I1842-J1842</f>
        <v/>
      </c>
      <c r="L1842" s="3">
        <f>IF(K1842&lt;-5,"CRÍTICO",IF(K1842&lt;0,"ATENÇÃO",IF(K1842&lt;=5,"BOM","EXCELENTE")))</f>
        <v/>
      </c>
      <c r="M1842" s="3" t="n">
        <v>30</v>
      </c>
      <c r="N1842" s="3" t="n">
        <v>98.45</v>
      </c>
      <c r="O1842" s="12" t="n">
        <v>29.2817679558011</v>
      </c>
    </row>
    <row r="1843">
      <c r="A1843" s="10" t="n">
        <v>46058</v>
      </c>
      <c r="B1843" t="inlineStr">
        <is>
          <t>Francielson de Oliveira</t>
        </is>
      </c>
      <c r="C1843" s="1" t="inlineStr">
        <is>
          <t>Técnico III</t>
        </is>
      </c>
      <c r="D1843" s="3" t="n">
        <v>35</v>
      </c>
      <c r="E1843" s="3" t="n">
        <v>35</v>
      </c>
      <c r="F1843" s="3" t="n">
        <v>16.56</v>
      </c>
      <c r="G1843" s="3" t="n">
        <v>0</v>
      </c>
      <c r="H1843" s="3" t="n">
        <v>0</v>
      </c>
      <c r="I1843" s="3">
        <f>E1843+G1843+H1843</f>
        <v/>
      </c>
      <c r="J1843" s="3">
        <f>ROUND(MIN(IF(C1843="Técnico III",35,IF(C1843="Técnico II",28,IF(C1843="Técnico I",23,IF(C1843="JR",20,IF(C1843="Estágio",10,0))))),IF(C1843="Técnico III",SUMIFS($D:$D,$A:$A,$A1843,$B:$B,"&lt;&gt;Patrícia Karla de Sousa Araújo",$B:$B,"&lt;&gt;Lorena Dias de Araujo",$B:$B,"&lt;&gt;Lucas Luiz Romero")*(35/1083),IF(C1843="Técnico II",SUMIFS($D:$D,$A:$A,$A1843,$B:$B,"&lt;&gt;Patrícia Karla de Sousa Araújo",$B:$B,"&lt;&gt;Lorena Dias de Araujo",$B:$B,"&lt;&gt;Lucas Luiz Romero")*(28/1083),IF(C1843="Técnico I",SUMIFS($D:$D,$A:$A,$A1843,$B:$B,"&lt;&gt;Patrícia Karla de Sousa Araújo",$B:$B,"&lt;&gt;Lorena Dias de Araujo",$B:$B,"&lt;&gt;Lucas Luiz Romero")*(23/1083),IF(C1843="JR",SUMIFS($D:$D,$A:$A,$A1843,$B:$B,"&lt;&gt;Patrícia Karla de Sousa Araújo",$B:$B,"&lt;&gt;Lorena Dias de Araujo",$B:$B,"&lt;&gt;Lucas Luiz Romero")*(20/1083),IF(C1843="Estágio",SUMIFS($D:$D,$A:$A,$A1843,$B:$B,"&lt;&gt;Patrícia Karla de Sousa Araújo",$B:$B,"&lt;&gt;Lorena Dias de Araujo",$B:$B,"&lt;&gt;Lucas Luiz Romero")*(10/1083),0)))))),0)</f>
        <v/>
      </c>
      <c r="K1843" s="3">
        <f>I1843-J1843</f>
        <v/>
      </c>
      <c r="L1843" s="3">
        <f>IF(K1843&lt;-5,"CRÍTICO",IF(K1843&lt;0,"ATENÇÃO",IF(K1843&lt;=5,"BOM","EXCELENTE")))</f>
        <v/>
      </c>
      <c r="M1843" s="3" t="n">
        <v>35</v>
      </c>
      <c r="N1843" s="3" t="n">
        <v>97.84</v>
      </c>
      <c r="O1843" s="12" t="n">
        <v>26.28205128205128</v>
      </c>
    </row>
    <row r="1844">
      <c r="A1844" s="10" t="n">
        <v>46058</v>
      </c>
      <c r="B1844" t="inlineStr">
        <is>
          <t>Francilene Ferreira de Jesus</t>
        </is>
      </c>
      <c r="C1844" s="1" t="inlineStr">
        <is>
          <t>Técnico II</t>
        </is>
      </c>
      <c r="D1844" s="3" t="n">
        <v>48</v>
      </c>
      <c r="E1844" s="3" t="n">
        <v>44</v>
      </c>
      <c r="F1844" s="3" t="n">
        <v>15.05</v>
      </c>
      <c r="G1844" s="3" t="n">
        <v>0</v>
      </c>
      <c r="H1844" s="3" t="n">
        <v>0</v>
      </c>
      <c r="I1844" s="3">
        <f>E1844+G1844+H1844</f>
        <v/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/>
      </c>
      <c r="K1844" s="3">
        <f>I1844-J1844</f>
        <v/>
      </c>
      <c r="L1844" s="3">
        <f>IF(K1844&lt;-5,"CRÍTICO",IF(K1844&lt;0,"ATENÇÃO",IF(K1844&lt;=5,"BOM","EXCELENTE")))</f>
        <v/>
      </c>
      <c r="M1844" s="3" t="n">
        <v>42</v>
      </c>
      <c r="N1844" s="3" t="n">
        <v>98.5</v>
      </c>
      <c r="O1844" s="12" t="n">
        <v>23.97769516728625</v>
      </c>
    </row>
    <row r="1845">
      <c r="A1845" s="10" t="n">
        <v>46092</v>
      </c>
      <c r="B1845" t="inlineStr">
        <is>
          <t>Gabriel Gomes de Andrade</t>
        </is>
      </c>
      <c r="C1845" s="1" t="inlineStr">
        <is>
          <t>Técnico I</t>
        </is>
      </c>
      <c r="D1845" s="3" t="n">
        <v>3</v>
      </c>
      <c r="E1845" s="3" t="n">
        <v>3</v>
      </c>
      <c r="F1845" s="3" t="n">
        <v>24.03</v>
      </c>
      <c r="G1845" s="3" t="n">
        <v>0</v>
      </c>
      <c r="H1845" s="3" t="n">
        <v>0</v>
      </c>
      <c r="I1845" s="3">
        <f>E1845+G1845+H1845</f>
        <v/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/>
      </c>
      <c r="K1845" s="3">
        <f>I1845-J1845</f>
        <v/>
      </c>
      <c r="L1845" s="3">
        <f>IF(K1845&lt;-5,"CRÍTICO",IF(K1845&lt;0,"ATENÇÃO",IF(K1845&lt;=5,"BOM","EXCELENTE")))</f>
        <v/>
      </c>
      <c r="M1845" s="3" t="n">
        <v>10</v>
      </c>
      <c r="N1845" s="3" t="n">
        <v>99.05</v>
      </c>
      <c r="O1845" s="12" t="n">
        <v>26.62192393736018</v>
      </c>
    </row>
    <row r="1846">
      <c r="A1846" s="10" t="n">
        <v>46058</v>
      </c>
      <c r="B1846" t="inlineStr">
        <is>
          <t>Isabella Borges de Oliveira</t>
        </is>
      </c>
      <c r="C1846" s="1" t="inlineStr">
        <is>
          <t>Técnico II</t>
        </is>
      </c>
      <c r="D1846" s="3" t="n">
        <v>37</v>
      </c>
      <c r="E1846" s="3" t="n">
        <v>37</v>
      </c>
      <c r="F1846" s="3" t="n">
        <v>21.44</v>
      </c>
      <c r="G1846" s="3" t="n">
        <v>0</v>
      </c>
      <c r="H1846" s="3" t="n">
        <v>0</v>
      </c>
      <c r="I1846" s="3">
        <f>E1846+G1846+H1846</f>
        <v/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/>
      </c>
      <c r="K1846" s="3">
        <f>I1846-J1846</f>
        <v/>
      </c>
      <c r="L1846" s="3">
        <f>IF(K1846&lt;-5,"CRÍTICO",IF(K1846&lt;0,"ATENÇÃO",IF(K1846&lt;=5,"BOM","EXCELENTE")))</f>
        <v/>
      </c>
      <c r="M1846" s="3" t="n">
        <v>34</v>
      </c>
      <c r="N1846" s="3" t="n">
        <v>98.53</v>
      </c>
      <c r="O1846" s="12" t="n">
        <v>31.57894736842105</v>
      </c>
    </row>
    <row r="1847">
      <c r="A1847" s="10" t="n">
        <v>46058</v>
      </c>
      <c r="B1847" t="inlineStr">
        <is>
          <t>Janaina Lima dos Reis Urany</t>
        </is>
      </c>
      <c r="C1847" s="1" t="inlineStr">
        <is>
          <t>Técnico III</t>
        </is>
      </c>
      <c r="D1847" s="3" t="n">
        <v>47</v>
      </c>
      <c r="E1847" s="3" t="n">
        <v>43</v>
      </c>
      <c r="F1847" s="3" t="n">
        <v>13.22</v>
      </c>
      <c r="G1847" s="3" t="n">
        <v>0</v>
      </c>
      <c r="H1847" s="3" t="n">
        <v>0</v>
      </c>
      <c r="I1847" s="3">
        <f>E1847+G1847+H1847</f>
        <v/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/>
      </c>
      <c r="K1847" s="3">
        <f>I1847-J1847</f>
        <v/>
      </c>
      <c r="L1847" s="3">
        <f>IF(K1847&lt;-5,"CRÍTICO",IF(K1847&lt;0,"ATENÇÃO",IF(K1847&lt;=5,"BOM","EXCELENTE")))</f>
        <v/>
      </c>
      <c r="M1847" s="3" t="n">
        <v>46</v>
      </c>
      <c r="N1847" s="3" t="n">
        <v>100</v>
      </c>
      <c r="O1847" s="12" t="n">
        <v>25.72214580467676</v>
      </c>
    </row>
    <row r="1848">
      <c r="A1848" s="10" t="n">
        <v>46058</v>
      </c>
      <c r="B1848" t="inlineStr">
        <is>
          <t>Jaqueline Evangelista da Silva Martins</t>
        </is>
      </c>
      <c r="C1848" s="1" t="inlineStr">
        <is>
          <t>Técnico III</t>
        </is>
      </c>
      <c r="D1848" s="3" t="n">
        <v>53</v>
      </c>
      <c r="E1848" s="3" t="n">
        <v>44</v>
      </c>
      <c r="F1848" s="3" t="n">
        <v>10.47</v>
      </c>
      <c r="G1848" s="3" t="n">
        <v>0</v>
      </c>
      <c r="H1848" s="3" t="n">
        <v>0</v>
      </c>
      <c r="I1848" s="3">
        <f>E1848+G1848+H1848</f>
        <v/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/>
      </c>
      <c r="K1848" s="3">
        <f>I1848-J1848</f>
        <v/>
      </c>
      <c r="L1848" s="3">
        <f>IF(K1848&lt;-5,"CRÍTICO",IF(K1848&lt;0,"ATENÇÃO",IF(K1848&lt;=5,"BOM","EXCELENTE")))</f>
        <v/>
      </c>
      <c r="M1848" s="3" t="n">
        <v>41</v>
      </c>
      <c r="N1848" s="3" t="n">
        <v>94.64</v>
      </c>
      <c r="O1848" s="12" t="n">
        <v>27.52941176470588</v>
      </c>
    </row>
    <row r="1849">
      <c r="A1849" s="10" t="n">
        <v>46058</v>
      </c>
      <c r="B1849" t="inlineStr">
        <is>
          <t>Jessica Faria da Silveira</t>
        </is>
      </c>
      <c r="C1849" s="1" t="inlineStr">
        <is>
          <t>Técnico II</t>
        </is>
      </c>
      <c r="D1849" s="3" t="n">
        <v>50</v>
      </c>
      <c r="E1849" s="3" t="n">
        <v>38</v>
      </c>
      <c r="F1849" s="3" t="n">
        <v>13.39</v>
      </c>
      <c r="G1849" s="3" t="n">
        <v>0</v>
      </c>
      <c r="H1849" s="3" t="n">
        <v>0</v>
      </c>
      <c r="I1849" s="3">
        <f>E1849+G1849+H1849</f>
        <v/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/>
      </c>
      <c r="K1849" s="3">
        <f>I1849-J1849</f>
        <v/>
      </c>
      <c r="L1849" s="3">
        <f>IF(K1849&lt;-5,"CRÍTICO",IF(K1849&lt;0,"ATENÇÃO",IF(K1849&lt;=5,"BOM","EXCELENTE")))</f>
        <v/>
      </c>
      <c r="M1849" s="3" t="n">
        <v>32</v>
      </c>
      <c r="N1849" s="3" t="n">
        <v>99.06999999999999</v>
      </c>
      <c r="O1849" s="12" t="n">
        <v>26.3768115942029</v>
      </c>
    </row>
    <row r="1850">
      <c r="A1850" s="10" t="n">
        <v>46058</v>
      </c>
      <c r="B1850" t="inlineStr">
        <is>
          <t>Jéssica Fé Moura</t>
        </is>
      </c>
      <c r="C1850" s="1" t="inlineStr">
        <is>
          <t>Técnico III</t>
        </is>
      </c>
      <c r="D1850" s="3" t="n">
        <v>0</v>
      </c>
      <c r="E1850" s="3" t="n">
        <v>0</v>
      </c>
      <c r="F1850" s="3" t="n">
        <v>0</v>
      </c>
      <c r="G1850" s="3" t="n">
        <v>0</v>
      </c>
      <c r="H1850" s="3" t="n">
        <v>0</v>
      </c>
      <c r="I1850" s="3" t="n">
        <v>0</v>
      </c>
      <c r="J1850" s="3" t="n">
        <v>0</v>
      </c>
      <c r="K1850" s="3" t="n">
        <v>0</v>
      </c>
      <c r="L1850" s="3">
        <f>IF(K1850&lt;-5,"CRÍTICO",IF(K1850&lt;0,"ATENÇÃO",IF(K1850&lt;=5,"BOM","EXCELENTE")))</f>
        <v/>
      </c>
      <c r="M1850" s="3" t="n">
        <v>0</v>
      </c>
      <c r="N1850" s="3" t="n">
        <v>100</v>
      </c>
      <c r="O1850" s="12" t="n">
        <v>0</v>
      </c>
    </row>
    <row r="1851">
      <c r="A1851" s="10" t="n">
        <v>46058</v>
      </c>
      <c r="B1851" t="inlineStr">
        <is>
          <t>Karina Gonçalves Martins</t>
        </is>
      </c>
      <c r="C1851" s="1" t="inlineStr">
        <is>
          <t>JR</t>
        </is>
      </c>
      <c r="D1851" s="3" t="n">
        <v>20</v>
      </c>
      <c r="E1851" s="3" t="n">
        <v>19</v>
      </c>
      <c r="F1851" s="3" t="n">
        <v>25.5</v>
      </c>
      <c r="G1851" s="3" t="n">
        <v>0</v>
      </c>
      <c r="H1851" s="3" t="n">
        <v>0</v>
      </c>
      <c r="I1851" s="3">
        <f>E1851+G1851+H1851</f>
        <v/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/>
      </c>
      <c r="K1851" s="3">
        <f>I1851-J1851</f>
        <v/>
      </c>
      <c r="L1851" s="3">
        <f>IF(K1851&lt;-5,"CRÍTICO",IF(K1851&lt;0,"ATENÇÃO",IF(K1851&lt;=5,"BOM","EXCELENTE")))</f>
        <v/>
      </c>
      <c r="M1851" s="3" t="n">
        <v>19</v>
      </c>
      <c r="N1851" s="3" t="n">
        <v>98.48</v>
      </c>
      <c r="O1851" s="12" t="n">
        <v>27.85388127853881</v>
      </c>
    </row>
    <row r="1852">
      <c r="A1852" s="10" t="n">
        <v>46058</v>
      </c>
      <c r="B1852" t="inlineStr">
        <is>
          <t>Kerollen Cristielly de Jesus Siqueira</t>
        </is>
      </c>
      <c r="C1852" s="1" t="inlineStr">
        <is>
          <t>Técnico III</t>
        </is>
      </c>
      <c r="D1852" s="3" t="n">
        <v>17</v>
      </c>
      <c r="E1852" s="3" t="n">
        <v>7</v>
      </c>
      <c r="F1852" s="3" t="n">
        <v>7.21</v>
      </c>
      <c r="G1852" s="3" t="n">
        <v>0</v>
      </c>
      <c r="H1852" s="3" t="n">
        <v>0</v>
      </c>
      <c r="I1852" s="3">
        <f>E1852+G1852+H1852</f>
        <v/>
      </c>
      <c r="J1852" s="3">
        <f>ROUND(MIN(IF(C1852="Técnico III",35,IF(C1852="Técnico II",28,IF(C1852="Técnico I",23,IF(C1852="JR",20,IF(C1852="Estágio",10,0))))),IF(C1852="Técnico III",SUMIFS($D:$D,$A:$A,$A1852,$B:$B,"&lt;&gt;Patrícia Karla de Sousa Araújo",$B:$B,"&lt;&gt;Lorena Dias de Araujo",$B:$B,"&lt;&gt;Lucas Luiz Romero")*(35/1083),IF(C1852="Técnico II",SUMIFS($D:$D,$A:$A,$A1852,$B:$B,"&lt;&gt;Patrícia Karla de Sousa Araújo",$B:$B,"&lt;&gt;Lorena Dias de Araujo",$B:$B,"&lt;&gt;Lucas Luiz Romero")*(28/1083),IF(C1852="Técnico I",SUMIFS($D:$D,$A:$A,$A1852,$B:$B,"&lt;&gt;Patrícia Karla de Sousa Araújo",$B:$B,"&lt;&gt;Lorena Dias de Araujo",$B:$B,"&lt;&gt;Lucas Luiz Romero")*(23/1083),IF(C1852="JR",SUMIFS($D:$D,$A:$A,$A1852,$B:$B,"&lt;&gt;Patrícia Karla de Sousa Araújo",$B:$B,"&lt;&gt;Lorena Dias de Araujo",$B:$B,"&lt;&gt;Lucas Luiz Romero")*(20/1083),IF(C1852="Estágio",SUMIFS($D:$D,$A:$A,$A1852,$B:$B,"&lt;&gt;Patrícia Karla de Sousa Araújo",$B:$B,"&lt;&gt;Lorena Dias de Araujo",$B:$B,"&lt;&gt;Lucas Luiz Romero")*(10/1083),0)))))),0)</f>
        <v/>
      </c>
      <c r="K1852" s="3">
        <f>I1852-J1852</f>
        <v/>
      </c>
      <c r="L1852" s="3">
        <f>IF(K1852&lt;-5,"CRÍTICO",IF(K1852&lt;0,"ATENÇÃO",IF(K1852&lt;=5,"BOM","EXCELENTE")))</f>
        <v/>
      </c>
      <c r="M1852" s="3" t="n">
        <v>29</v>
      </c>
      <c r="N1852" s="3" t="n">
        <v>95.15000000000001</v>
      </c>
      <c r="O1852" s="12" t="n">
        <v>34.13173652694611</v>
      </c>
    </row>
    <row r="1853">
      <c r="A1853" s="10" t="n">
        <v>46058</v>
      </c>
      <c r="B1853" t="inlineStr">
        <is>
          <t>Leandro de Souza Silva</t>
        </is>
      </c>
      <c r="C1853" s="1" t="inlineStr">
        <is>
          <t>JR</t>
        </is>
      </c>
      <c r="D1853" s="3" t="n">
        <v>0</v>
      </c>
      <c r="E1853" s="3" t="n">
        <v>0</v>
      </c>
      <c r="F1853" s="3" t="n">
        <v>0</v>
      </c>
      <c r="G1853" s="3" t="n">
        <v>0</v>
      </c>
      <c r="H1853" s="3" t="n">
        <v>0</v>
      </c>
      <c r="I1853" s="3" t="n">
        <v>0</v>
      </c>
      <c r="J1853" s="3" t="n">
        <v>0</v>
      </c>
      <c r="K1853" s="3" t="n">
        <v>0</v>
      </c>
      <c r="L1853" s="3">
        <f>IF(K1853&lt;-5,"CRÍTICO",IF(K1853&lt;0,"ATENÇÃO",IF(K1853&lt;=5,"BOM","EXCELENTE")))</f>
        <v/>
      </c>
      <c r="M1853" s="3" t="n">
        <v>0</v>
      </c>
      <c r="N1853" s="3" t="n">
        <v>0</v>
      </c>
      <c r="O1853" s="12" t="n">
        <v>0</v>
      </c>
    </row>
    <row r="1854">
      <c r="A1854" s="10" t="n">
        <v>46058</v>
      </c>
      <c r="B1854" t="inlineStr">
        <is>
          <t>Leandro Oliveira de Sousa</t>
        </is>
      </c>
      <c r="C1854" s="1" t="inlineStr">
        <is>
          <t>Técnico III</t>
        </is>
      </c>
      <c r="D1854" s="3" t="n">
        <v>22</v>
      </c>
      <c r="E1854" s="3" t="n">
        <v>22</v>
      </c>
      <c r="F1854" s="3" t="n">
        <v>24.13</v>
      </c>
      <c r="G1854" s="3" t="n">
        <v>0</v>
      </c>
      <c r="H1854" s="3" t="n">
        <v>0</v>
      </c>
      <c r="I1854" s="3">
        <f>E1854+G1854+H1854</f>
        <v/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/>
      </c>
      <c r="K1854" s="3">
        <f>I1854-J1854</f>
        <v/>
      </c>
      <c r="L1854" s="3">
        <f>IF(K1854&lt;-5,"CRÍTICO",IF(K1854&lt;0,"ATENÇÃO",IF(K1854&lt;=5,"BOM","EXCELENTE")))</f>
        <v/>
      </c>
      <c r="M1854" s="3" t="n">
        <v>24</v>
      </c>
      <c r="N1854" s="3" t="n">
        <v>99.26000000000001</v>
      </c>
      <c r="O1854" s="12" t="n">
        <v>30.84832904884319</v>
      </c>
    </row>
    <row r="1855">
      <c r="A1855" s="10" t="n">
        <v>46058</v>
      </c>
      <c r="B1855" t="inlineStr">
        <is>
          <t>Lizandra Gomes Duarte</t>
        </is>
      </c>
      <c r="C1855" s="1" t="inlineStr">
        <is>
          <t>Técnico II</t>
        </is>
      </c>
      <c r="D1855" s="3" t="n">
        <v>34</v>
      </c>
      <c r="E1855" s="3" t="n">
        <v>34</v>
      </c>
      <c r="F1855" s="3" t="n">
        <v>20.18</v>
      </c>
      <c r="G1855" s="3" t="n">
        <v>0</v>
      </c>
      <c r="H1855" s="3" t="n">
        <v>0</v>
      </c>
      <c r="I1855" s="3">
        <f>E1855+G1855+H1855</f>
        <v/>
      </c>
      <c r="J1855" s="3">
        <f>ROUND(MIN(IF(C1855="Técnico III",35,IF(C1855="Técnico II",28,IF(C1855="Técnico I",23,IF(C1855="JR",20,IF(C1855="Estágio",10,0))))),IF(C1855="Técnico III",SUMIFS($D:$D,$A:$A,$A1855,$B:$B,"&lt;&gt;Patrícia Karla de Sousa Araújo",$B:$B,"&lt;&gt;Lorena Dias de Araujo",$B:$B,"&lt;&gt;Lucas Luiz Romero")*(35/1083),IF(C1855="Técnico II",SUMIFS($D:$D,$A:$A,$A1855,$B:$B,"&lt;&gt;Patrícia Karla de Sousa Araújo",$B:$B,"&lt;&gt;Lorena Dias de Araujo",$B:$B,"&lt;&gt;Lucas Luiz Romero")*(28/1083),IF(C1855="Técnico I",SUMIFS($D:$D,$A:$A,$A1855,$B:$B,"&lt;&gt;Patrícia Karla de Sousa Araújo",$B:$B,"&lt;&gt;Lorena Dias de Araujo",$B:$B,"&lt;&gt;Lucas Luiz Romero")*(23/1083),IF(C1855="JR",SUMIFS($D:$D,$A:$A,$A1855,$B:$B,"&lt;&gt;Patrícia Karla de Sousa Araújo",$B:$B,"&lt;&gt;Lorena Dias de Araujo",$B:$B,"&lt;&gt;Lucas Luiz Romero")*(20/1083),IF(C1855="Estágio",SUMIFS($D:$D,$A:$A,$A1855,$B:$B,"&lt;&gt;Patrícia Karla de Sousa Araújo",$B:$B,"&lt;&gt;Lorena Dias de Araujo",$B:$B,"&lt;&gt;Lucas Luiz Romero")*(10/1083),0)))))),0)</f>
        <v/>
      </c>
      <c r="K1855" s="3">
        <f>I1855-J1855</f>
        <v/>
      </c>
      <c r="L1855" s="3">
        <f>IF(K1855&lt;-5,"CRÍTICO",IF(K1855&lt;0,"ATENÇÃO",IF(K1855&lt;=5,"BOM","EXCELENTE")))</f>
        <v/>
      </c>
      <c r="M1855" s="3" t="n">
        <v>28</v>
      </c>
      <c r="N1855" s="3" t="n">
        <v>97.48</v>
      </c>
      <c r="O1855" s="12" t="n">
        <v>27.76470588235294</v>
      </c>
    </row>
    <row r="1856">
      <c r="A1856" s="10" t="n">
        <v>46058</v>
      </c>
      <c r="B1856" t="inlineStr">
        <is>
          <t>Lorena Dias de Araujo</t>
        </is>
      </c>
      <c r="C1856" s="1" t="inlineStr">
        <is>
          <t>Técnico II</t>
        </is>
      </c>
      <c r="D1856" s="3" t="n">
        <v>36</v>
      </c>
      <c r="E1856" s="3" t="n">
        <v>36</v>
      </c>
      <c r="F1856" s="3" t="n">
        <v>19.18</v>
      </c>
      <c r="G1856" s="3" t="n">
        <v>0</v>
      </c>
      <c r="H1856" s="3" t="n">
        <v>0</v>
      </c>
      <c r="I1856" s="3" t="n">
        <v>0</v>
      </c>
      <c r="J1856" s="3" t="n">
        <v>0</v>
      </c>
      <c r="K1856" s="3" t="n">
        <v>0</v>
      </c>
      <c r="L1856" s="3">
        <f>IF(K1856&lt;-5,"CRÍTICO",IF(K1856&lt;0,"ATENÇÃO",IF(K1856&lt;=5,"BOM","EXCELENTE")))</f>
        <v/>
      </c>
      <c r="M1856" s="3" t="n">
        <v>36</v>
      </c>
      <c r="N1856" s="3" t="n">
        <v>99.34</v>
      </c>
      <c r="O1856" s="12" t="n">
        <v>30.04291845493562</v>
      </c>
    </row>
    <row r="1857">
      <c r="A1857" s="10" t="n">
        <v>46058</v>
      </c>
      <c r="B1857" t="inlineStr">
        <is>
          <t>Lucas Luiz Romero</t>
        </is>
      </c>
      <c r="C1857" s="1" t="inlineStr">
        <is>
          <t>Técnico III</t>
        </is>
      </c>
      <c r="D1857" s="3" t="n">
        <v>55</v>
      </c>
      <c r="E1857" s="3" t="n">
        <v>36</v>
      </c>
      <c r="F1857" s="3" t="n">
        <v>10.44</v>
      </c>
      <c r="G1857" s="3" t="n">
        <v>0</v>
      </c>
      <c r="H1857" s="3" t="n">
        <v>0</v>
      </c>
      <c r="I1857" s="3">
        <f>E1857+G1857+H1857</f>
        <v/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/>
      </c>
      <c r="K1857" s="3">
        <f>I1857-J1857</f>
        <v/>
      </c>
      <c r="L1857" s="3">
        <f>IF(K1857&lt;-5,"CRÍTICO",IF(K1857&lt;0,"ATENÇÃO",IF(K1857&lt;=5,"BOM","EXCELENTE")))</f>
        <v/>
      </c>
      <c r="M1857" s="3" t="n">
        <v>27</v>
      </c>
      <c r="N1857" s="3" t="n">
        <v>96.3</v>
      </c>
      <c r="O1857" s="12" t="n">
        <v>24.29378531073446</v>
      </c>
    </row>
    <row r="1858">
      <c r="A1858" s="10" t="n">
        <v>46058</v>
      </c>
      <c r="B1858" t="inlineStr">
        <is>
          <t>Luiz Fernando de Carvalho Junior</t>
        </is>
      </c>
      <c r="C1858" s="1" t="inlineStr">
        <is>
          <t>Técnico I</t>
        </is>
      </c>
      <c r="D1858" s="3" t="n">
        <v>24</v>
      </c>
      <c r="E1858" s="3" t="n">
        <v>24</v>
      </c>
      <c r="F1858" s="3" t="n">
        <v>23.33</v>
      </c>
      <c r="G1858" s="3" t="n">
        <v>0</v>
      </c>
      <c r="H1858" s="3" t="n">
        <v>0</v>
      </c>
      <c r="I1858" s="3">
        <f>E1858+G1858+H1858</f>
        <v/>
      </c>
      <c r="J1858" s="3">
        <f>ROUND(MIN(IF(C1858="Técnico III",35,IF(C1858="Técnico II",28,IF(C1858="Técnico I",23,IF(C1858="JR",20,IF(C1858="Estágio",10,0))))),IF(C1858="Técnico III",SUMIFS($D:$D,$A:$A,$A1858,$B:$B,"&lt;&gt;Patrícia Karla de Sousa Araújo",$B:$B,"&lt;&gt;Lorena Dias de Araujo",$B:$B,"&lt;&gt;Lucas Luiz Romero")*(35/1083),IF(C1858="Técnico II",SUMIFS($D:$D,$A:$A,$A1858,$B:$B,"&lt;&gt;Patrícia Karla de Sousa Araújo",$B:$B,"&lt;&gt;Lorena Dias de Araujo",$B:$B,"&lt;&gt;Lucas Luiz Romero")*(28/1083),IF(C1858="Técnico I",SUMIFS($D:$D,$A:$A,$A1858,$B:$B,"&lt;&gt;Patrícia Karla de Sousa Araújo",$B:$B,"&lt;&gt;Lorena Dias de Araujo",$B:$B,"&lt;&gt;Lucas Luiz Romero")*(23/1083),IF(C1858="JR",SUMIFS($D:$D,$A:$A,$A1858,$B:$B,"&lt;&gt;Patrícia Karla de Sousa Araújo",$B:$B,"&lt;&gt;Lorena Dias de Araujo",$B:$B,"&lt;&gt;Lucas Luiz Romero")*(20/1083),IF(C1858="Estágio",SUMIFS($D:$D,$A:$A,$A1858,$B:$B,"&lt;&gt;Patrícia Karla de Sousa Araújo",$B:$B,"&lt;&gt;Lorena Dias de Araujo",$B:$B,"&lt;&gt;Lucas Luiz Romero")*(10/1083),0)))))),0)</f>
        <v/>
      </c>
      <c r="K1858" s="3">
        <f>I1858-J1858</f>
        <v/>
      </c>
      <c r="L1858" s="3">
        <f>IF(K1858&lt;-5,"CRÍTICO",IF(K1858&lt;0,"ATENÇÃO",IF(K1858&lt;=5,"BOM","EXCELENTE")))</f>
        <v/>
      </c>
      <c r="M1858" s="3" t="n">
        <v>21</v>
      </c>
      <c r="N1858" s="3" t="n">
        <v>100</v>
      </c>
      <c r="O1858" s="12" t="n">
        <v>26.54320987654321</v>
      </c>
    </row>
    <row r="1859">
      <c r="A1859" s="10" t="n">
        <v>46058</v>
      </c>
      <c r="B1859" t="inlineStr">
        <is>
          <t>Maria Eduarda Sousa Costa</t>
        </is>
      </c>
      <c r="C1859" s="1" t="inlineStr">
        <is>
          <t>Estágio</t>
        </is>
      </c>
      <c r="D1859" s="3" t="n">
        <v>80</v>
      </c>
      <c r="E1859" s="3" t="n">
        <v>39</v>
      </c>
      <c r="F1859" s="3" t="n">
        <v>5.47</v>
      </c>
      <c r="G1859" s="3" t="n">
        <v>0</v>
      </c>
      <c r="H1859" s="3" t="n">
        <v>0</v>
      </c>
      <c r="I1859" s="3">
        <f>E1859+G1859+H1859</f>
        <v/>
      </c>
      <c r="J1859" s="3">
        <f>ROUND(MIN(IF(C1859="Técnico III",35,IF(C1859="Técnico II",28,IF(C1859="Técnico I",23,IF(C1859="JR",20,IF(C1859="Estágio",10,0))))),IF(C1859="Técnico III",SUMIFS($D:$D,$A:$A,$A1859,$B:$B,"&lt;&gt;Patrícia Karla de Sousa Araújo",$B:$B,"&lt;&gt;Lorena Dias de Araujo",$B:$B,"&lt;&gt;Lucas Luiz Romero")*(35/1083),IF(C1859="Técnico II",SUMIFS($D:$D,$A:$A,$A1859,$B:$B,"&lt;&gt;Patrícia Karla de Sousa Araújo",$B:$B,"&lt;&gt;Lorena Dias de Araujo",$B:$B,"&lt;&gt;Lucas Luiz Romero")*(28/1083),IF(C1859="Técnico I",SUMIFS($D:$D,$A:$A,$A1859,$B:$B,"&lt;&gt;Patrícia Karla de Sousa Araújo",$B:$B,"&lt;&gt;Lorena Dias de Araujo",$B:$B,"&lt;&gt;Lucas Luiz Romero")*(23/1083),IF(C1859="JR",SUMIFS($D:$D,$A:$A,$A1859,$B:$B,"&lt;&gt;Patrícia Karla de Sousa Araújo",$B:$B,"&lt;&gt;Lorena Dias de Araujo",$B:$B,"&lt;&gt;Lucas Luiz Romero")*(20/1083),IF(C1859="Estágio",SUMIFS($D:$D,$A:$A,$A1859,$B:$B,"&lt;&gt;Patrícia Karla de Sousa Araújo",$B:$B,"&lt;&gt;Lorena Dias de Araujo",$B:$B,"&lt;&gt;Lucas Luiz Romero")*(10/1083),0)))))),0)</f>
        <v/>
      </c>
      <c r="K1859" s="3">
        <f>I1859-J1859</f>
        <v/>
      </c>
      <c r="L1859" s="3">
        <f>IF(K1859&lt;-5,"CRÍTICO",IF(K1859&lt;0,"ATENÇÃO",IF(K1859&lt;=5,"BOM","EXCELENTE")))</f>
        <v/>
      </c>
      <c r="M1859" s="3" t="n">
        <v>0</v>
      </c>
      <c r="N1859" s="3" t="n">
        <v>100</v>
      </c>
      <c r="O1859" s="12" t="n">
        <v>35.48387096774194</v>
      </c>
    </row>
    <row r="1860">
      <c r="A1860" s="10" t="n">
        <v>46058</v>
      </c>
      <c r="B1860" t="inlineStr">
        <is>
          <t>Matheus Farias De Souza</t>
        </is>
      </c>
      <c r="C1860" s="1" t="inlineStr">
        <is>
          <t>Técnico III</t>
        </is>
      </c>
      <c r="D1860" s="3" t="n">
        <v>40</v>
      </c>
      <c r="E1860" s="3" t="n">
        <v>40</v>
      </c>
      <c r="F1860" s="3" t="n">
        <v>14.18</v>
      </c>
      <c r="G1860" s="3" t="n">
        <v>0</v>
      </c>
      <c r="H1860" s="3" t="n">
        <v>0</v>
      </c>
      <c r="I1860" s="3">
        <f>E1860+G1860+H1860</f>
        <v/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/>
      </c>
      <c r="K1860" s="3">
        <f>I1860-J1860</f>
        <v/>
      </c>
      <c r="L1860" s="3">
        <f>IF(K1860&lt;-5,"CRÍTICO",IF(K1860&lt;0,"ATENÇÃO",IF(K1860&lt;=5,"BOM","EXCELENTE")))</f>
        <v/>
      </c>
      <c r="M1860" s="3" t="n">
        <v>40</v>
      </c>
      <c r="N1860" s="3" t="n">
        <v>99.27</v>
      </c>
      <c r="O1860" s="12" t="n">
        <v>31.16370808678501</v>
      </c>
    </row>
    <row r="1861">
      <c r="A1861" s="10" t="n">
        <v>46058</v>
      </c>
      <c r="B1861" t="inlineStr">
        <is>
          <t>Maysa Victoria Dias Moura</t>
        </is>
      </c>
      <c r="C1861" s="1" t="inlineStr">
        <is>
          <t>Técnico III</t>
        </is>
      </c>
      <c r="D1861" s="3" t="n">
        <v>33</v>
      </c>
      <c r="E1861" s="3" t="n">
        <v>32</v>
      </c>
      <c r="F1861" s="3" t="n">
        <v>15.14</v>
      </c>
      <c r="G1861" s="3" t="n">
        <v>0</v>
      </c>
      <c r="H1861" s="3" t="n">
        <v>0</v>
      </c>
      <c r="I1861" s="3">
        <f>E1861+G1861+H1861</f>
        <v/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/>
      </c>
      <c r="K1861" s="3">
        <f>I1861-J1861</f>
        <v/>
      </c>
      <c r="L1861" s="3">
        <f>IF(K1861&lt;-5,"CRÍTICO",IF(K1861&lt;0,"ATENÇÃO",IF(K1861&lt;=5,"BOM","EXCELENTE")))</f>
        <v/>
      </c>
      <c r="M1861" s="3" t="n">
        <v>33</v>
      </c>
      <c r="N1861" s="3" t="n">
        <v>94.16</v>
      </c>
      <c r="O1861" s="12" t="n">
        <v>27.03862660944206</v>
      </c>
    </row>
    <row r="1862">
      <c r="A1862" s="10" t="n">
        <v>46058</v>
      </c>
      <c r="B1862" t="inlineStr">
        <is>
          <t>Michelle G Santos</t>
        </is>
      </c>
      <c r="C1862" s="1" t="inlineStr">
        <is>
          <t>Estágio</t>
        </is>
      </c>
      <c r="D1862" s="3" t="n">
        <v>17</v>
      </c>
      <c r="E1862" s="3" t="n">
        <v>16</v>
      </c>
      <c r="F1862" s="3" t="n">
        <v>35.51</v>
      </c>
      <c r="G1862" s="3" t="n">
        <v>0</v>
      </c>
      <c r="H1862" s="3" t="n">
        <v>0</v>
      </c>
      <c r="I1862" s="3">
        <f>E1862+G1862+H1862</f>
        <v/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/>
      </c>
      <c r="K1862" s="3">
        <f>I1862-J1862</f>
        <v/>
      </c>
      <c r="L1862" s="3">
        <f>IF(K1862&lt;-5,"CRÍTICO",IF(K1862&lt;0,"ATENÇÃO",IF(K1862&lt;=5,"BOM","EXCELENTE")))</f>
        <v/>
      </c>
      <c r="M1862" s="3" t="n">
        <v>13</v>
      </c>
      <c r="N1862" s="3" t="n">
        <v>93.75</v>
      </c>
      <c r="O1862" s="12" t="n">
        <v>19.31818181818182</v>
      </c>
    </row>
    <row r="1863">
      <c r="A1863" s="10" t="n">
        <v>46058</v>
      </c>
      <c r="B1863" t="inlineStr">
        <is>
          <t>Milena Sales</t>
        </is>
      </c>
      <c r="C1863" s="1" t="inlineStr">
        <is>
          <t>JR</t>
        </is>
      </c>
      <c r="D1863" s="3" t="n">
        <v>0</v>
      </c>
      <c r="E1863" s="3" t="n">
        <v>0</v>
      </c>
      <c r="F1863" s="3" t="n">
        <v>0</v>
      </c>
      <c r="G1863" s="3" t="n">
        <v>0</v>
      </c>
      <c r="H1863" s="3" t="n">
        <v>0</v>
      </c>
      <c r="I1863" s="3" t="n">
        <v>0</v>
      </c>
      <c r="J1863" s="3" t="n">
        <v>0</v>
      </c>
      <c r="K1863" s="3" t="n">
        <v>0</v>
      </c>
      <c r="L1863" s="3">
        <f>IF(K1863&lt;-5,"CRÍTICO",IF(K1863&lt;0,"ATENÇÃO",IF(K1863&lt;=5,"BOM","EXCELENTE")))</f>
        <v/>
      </c>
      <c r="M1863" s="3" t="n">
        <v>0</v>
      </c>
      <c r="N1863" s="3" t="n">
        <v>0</v>
      </c>
      <c r="O1863" s="12" t="n">
        <v>0</v>
      </c>
    </row>
    <row r="1864">
      <c r="A1864" s="10" t="n">
        <v>46058</v>
      </c>
      <c r="B1864" t="inlineStr">
        <is>
          <t>Patrícia Karla de Sousa Araújo</t>
        </is>
      </c>
      <c r="C1864" s="1" t="inlineStr">
        <is>
          <t>Técnico II</t>
        </is>
      </c>
      <c r="D1864" s="3" t="n">
        <v>29</v>
      </c>
      <c r="E1864" s="3" t="n">
        <v>27</v>
      </c>
      <c r="F1864" s="3" t="n">
        <v>20.54</v>
      </c>
      <c r="G1864" s="3" t="n">
        <v>0</v>
      </c>
      <c r="H1864" s="3" t="n">
        <v>0</v>
      </c>
      <c r="I1864" s="3">
        <f>E1864+G1864+H1864</f>
        <v/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/>
      </c>
      <c r="K1864" s="3">
        <f>I1864-J1864</f>
        <v/>
      </c>
      <c r="L1864" s="3">
        <f>IF(K1864&lt;-5,"CRÍTICO",IF(K1864&lt;0,"ATENÇÃO",IF(K1864&lt;=5,"BOM","EXCELENTE")))</f>
        <v/>
      </c>
      <c r="M1864" s="3" t="n">
        <v>24</v>
      </c>
      <c r="N1864" s="3" t="n">
        <v>97.92</v>
      </c>
      <c r="O1864" s="12" t="n">
        <v>32.87671232876712</v>
      </c>
    </row>
    <row r="1865">
      <c r="A1865" s="10" t="n">
        <v>46058</v>
      </c>
      <c r="B1865" t="inlineStr">
        <is>
          <t>Paulo Ricardo Santos</t>
        </is>
      </c>
      <c r="C1865" s="1" t="inlineStr">
        <is>
          <t>JR</t>
        </is>
      </c>
      <c r="D1865" s="3" t="n">
        <v>0</v>
      </c>
      <c r="E1865" s="3" t="n">
        <v>0</v>
      </c>
      <c r="F1865" s="3" t="n">
        <v>0</v>
      </c>
      <c r="G1865" s="3" t="n">
        <v>0</v>
      </c>
      <c r="H1865" s="3" t="n">
        <v>0</v>
      </c>
      <c r="I1865" s="3" t="n">
        <v>0</v>
      </c>
      <c r="J1865" s="3" t="n">
        <v>0</v>
      </c>
      <c r="K1865" s="3" t="n">
        <v>0</v>
      </c>
      <c r="L1865" s="3">
        <f>IF(K1865&lt;-5,"CRÍTICO",IF(K1865&lt;0,"ATENÇÃO",IF(K1865&lt;=5,"BOM","EXCELENTE")))</f>
        <v/>
      </c>
      <c r="M1865" s="3" t="n">
        <v>0</v>
      </c>
      <c r="N1865" s="3" t="n">
        <v>0</v>
      </c>
      <c r="O1865" s="12" t="n">
        <v>0</v>
      </c>
    </row>
    <row r="1866">
      <c r="A1866" s="10" t="n">
        <v>46058</v>
      </c>
      <c r="B1866" t="inlineStr">
        <is>
          <t>Pedro Luiz Mota Sousa</t>
        </is>
      </c>
      <c r="C1866" s="1" t="inlineStr">
        <is>
          <t>JR</t>
        </is>
      </c>
      <c r="D1866" s="3" t="n">
        <v>0</v>
      </c>
      <c r="E1866" s="3" t="n">
        <v>0</v>
      </c>
      <c r="F1866" s="3" t="n">
        <v>0</v>
      </c>
      <c r="G1866" s="3" t="n">
        <v>0</v>
      </c>
      <c r="H1866" s="3" t="n">
        <v>0</v>
      </c>
      <c r="I1866" s="3" t="n">
        <v>0</v>
      </c>
      <c r="J1866" s="3" t="n">
        <v>0</v>
      </c>
      <c r="K1866" s="3" t="n">
        <v>0</v>
      </c>
      <c r="L1866" s="3">
        <f>IF(K1866&lt;-5,"CRÍTICO",IF(K1866&lt;0,"ATENÇÃO",IF(K1866&lt;=5,"BOM","EXCELENTE")))</f>
        <v/>
      </c>
      <c r="M1866" s="3" t="n">
        <v>0</v>
      </c>
      <c r="N1866" s="3" t="n">
        <v>0</v>
      </c>
      <c r="O1866" s="12" t="n">
        <v>0</v>
      </c>
    </row>
    <row r="1867">
      <c r="A1867" s="10" t="n">
        <v>46058</v>
      </c>
      <c r="B1867" t="inlineStr">
        <is>
          <t>Quirino Diogo Leite Torres</t>
        </is>
      </c>
      <c r="C1867" s="1" t="inlineStr">
        <is>
          <t>Estágio</t>
        </is>
      </c>
      <c r="D1867" s="3" t="n">
        <v>0</v>
      </c>
      <c r="E1867" s="3" t="n">
        <v>0</v>
      </c>
      <c r="F1867" s="3" t="n">
        <v>0</v>
      </c>
      <c r="G1867" s="3" t="n">
        <v>0</v>
      </c>
      <c r="H1867" s="3" t="n">
        <v>0</v>
      </c>
      <c r="I1867" s="3" t="n">
        <v>0</v>
      </c>
      <c r="J1867" s="3" t="n">
        <v>0</v>
      </c>
      <c r="K1867" s="3" t="n">
        <v>0</v>
      </c>
      <c r="L1867" s="3">
        <f>IF(K1867&lt;-5,"CRÍTICO",IF(K1867&lt;0,"ATENÇÃO",IF(K1867&lt;=5,"BOM","EXCELENTE")))</f>
        <v/>
      </c>
      <c r="M1867" s="3" t="n">
        <v>0</v>
      </c>
      <c r="N1867" s="3" t="n">
        <v>0</v>
      </c>
      <c r="O1867" s="12" t="n">
        <v>0</v>
      </c>
    </row>
    <row r="1868">
      <c r="A1868" s="10" t="n">
        <v>46058</v>
      </c>
      <c r="B1868" t="inlineStr">
        <is>
          <t>Raane Batista Matos</t>
        </is>
      </c>
      <c r="C1868" s="1" t="inlineStr">
        <is>
          <t>Técnico I</t>
        </is>
      </c>
      <c r="D1868" s="3" t="n">
        <v>24</v>
      </c>
      <c r="E1868" s="3" t="n">
        <v>23</v>
      </c>
      <c r="F1868" s="3" t="n">
        <v>25.01</v>
      </c>
      <c r="G1868" s="3" t="n">
        <v>0</v>
      </c>
      <c r="H1868" s="3" t="n">
        <v>0</v>
      </c>
      <c r="I1868" s="3">
        <f>E1868+G1868+H1868</f>
        <v/>
      </c>
      <c r="J1868" s="3">
        <f>ROUND(MIN(IF(C1868="Técnico III",35,IF(C1868="Técnico II",28,IF(C1868="Técnico I",23,IF(C1868="JR",20,IF(C1868="Estágio",10,0))))),IF(C1868="Técnico III",SUMIFS($D:$D,$A:$A,$A1868,$B:$B,"&lt;&gt;Patrícia Karla de Sousa Araújo",$B:$B,"&lt;&gt;Lorena Dias de Araujo",$B:$B,"&lt;&gt;Lucas Luiz Romero")*(35/1083),IF(C1868="Técnico II",SUMIFS($D:$D,$A:$A,$A1868,$B:$B,"&lt;&gt;Patrícia Karla de Sousa Araújo",$B:$B,"&lt;&gt;Lorena Dias de Araujo",$B:$B,"&lt;&gt;Lucas Luiz Romero")*(28/1083),IF(C1868="Técnico I",SUMIFS($D:$D,$A:$A,$A1868,$B:$B,"&lt;&gt;Patrícia Karla de Sousa Araújo",$B:$B,"&lt;&gt;Lorena Dias de Araujo",$B:$B,"&lt;&gt;Lucas Luiz Romero")*(23/1083),IF(C1868="JR",SUMIFS($D:$D,$A:$A,$A1868,$B:$B,"&lt;&gt;Patrícia Karla de Sousa Araújo",$B:$B,"&lt;&gt;Lorena Dias de Araujo",$B:$B,"&lt;&gt;Lucas Luiz Romero")*(20/1083),IF(C1868="Estágio",SUMIFS($D:$D,$A:$A,$A1868,$B:$B,"&lt;&gt;Patrícia Karla de Sousa Araújo",$B:$B,"&lt;&gt;Lorena Dias de Araujo",$B:$B,"&lt;&gt;Lucas Luiz Romero")*(10/1083),0)))))),0)</f>
        <v/>
      </c>
      <c r="K1868" s="3">
        <f>I1868-J1868</f>
        <v/>
      </c>
      <c r="L1868" s="3">
        <f>IF(K1868&lt;-5,"CRÍTICO",IF(K1868&lt;0,"ATENÇÃO",IF(K1868&lt;=5,"BOM","EXCELENTE")))</f>
        <v/>
      </c>
      <c r="M1868" s="3" t="n">
        <v>22</v>
      </c>
      <c r="N1868" s="3" t="n">
        <v>98.51000000000001</v>
      </c>
      <c r="O1868" s="12" t="n">
        <v>29.71014492753623</v>
      </c>
    </row>
    <row r="1869">
      <c r="A1869" s="10" t="n">
        <v>46058</v>
      </c>
      <c r="B1869" t="inlineStr">
        <is>
          <t>Rafael Gomes de Morais</t>
        </is>
      </c>
      <c r="C1869" s="1" t="inlineStr">
        <is>
          <t>Técnico III</t>
        </is>
      </c>
      <c r="D1869" s="3" t="n">
        <v>30</v>
      </c>
      <c r="E1869" s="3" t="n">
        <v>27</v>
      </c>
      <c r="F1869" s="3" t="n">
        <v>15.32</v>
      </c>
      <c r="G1869" s="3" t="n">
        <v>0</v>
      </c>
      <c r="H1869" s="3" t="n">
        <v>0</v>
      </c>
      <c r="I1869" s="3">
        <f>E1869+G1869+H1869</f>
        <v/>
      </c>
      <c r="J1869" s="3">
        <f>ROUND(MIN(IF(C1869="Técnico III",35,IF(C1869="Técnico II",28,IF(C1869="Técnico I",23,IF(C1869="JR",20,IF(C1869="Estágio",10,0))))),IF(C1869="Técnico III",SUMIFS($D:$D,$A:$A,$A1869,$B:$B,"&lt;&gt;Patrícia Karla de Sousa Araújo",$B:$B,"&lt;&gt;Lorena Dias de Araujo",$B:$B,"&lt;&gt;Lucas Luiz Romero")*(35/1083),IF(C1869="Técnico II",SUMIFS($D:$D,$A:$A,$A1869,$B:$B,"&lt;&gt;Patrícia Karla de Sousa Araújo",$B:$B,"&lt;&gt;Lorena Dias de Araujo",$B:$B,"&lt;&gt;Lucas Luiz Romero")*(28/1083),IF(C1869="Técnico I",SUMIFS($D:$D,$A:$A,$A1869,$B:$B,"&lt;&gt;Patrícia Karla de Sousa Araújo",$B:$B,"&lt;&gt;Lorena Dias de Araujo",$B:$B,"&lt;&gt;Lucas Luiz Romero")*(23/1083),IF(C1869="JR",SUMIFS($D:$D,$A:$A,$A1869,$B:$B,"&lt;&gt;Patrícia Karla de Sousa Araújo",$B:$B,"&lt;&gt;Lorena Dias de Araujo",$B:$B,"&lt;&gt;Lucas Luiz Romero")*(20/1083),IF(C1869="Estágio",SUMIFS($D:$D,$A:$A,$A1869,$B:$B,"&lt;&gt;Patrícia Karla de Sousa Araújo",$B:$B,"&lt;&gt;Lorena Dias de Araujo",$B:$B,"&lt;&gt;Lucas Luiz Romero")*(10/1083),0)))))),0)</f>
        <v/>
      </c>
      <c r="K1869" s="3">
        <f>I1869-J1869</f>
        <v/>
      </c>
      <c r="L1869" s="3">
        <f>IF(K1869&lt;-5,"CRÍTICO",IF(K1869&lt;0,"ATENÇÃO",IF(K1869&lt;=5,"BOM","EXCELENTE")))</f>
        <v/>
      </c>
      <c r="M1869" s="3" t="n">
        <v>28</v>
      </c>
      <c r="N1869" s="3" t="n">
        <v>98.81</v>
      </c>
      <c r="O1869" s="12" t="n">
        <v>30.71297989031079</v>
      </c>
    </row>
    <row r="1870">
      <c r="A1870" s="10" t="n">
        <v>46058</v>
      </c>
      <c r="B1870" t="inlineStr">
        <is>
          <t>Sara Maria Monteiro Lopes</t>
        </is>
      </c>
      <c r="C1870" s="1" t="inlineStr">
        <is>
          <t>Técnico I</t>
        </is>
      </c>
      <c r="D1870" s="3" t="n">
        <v>18</v>
      </c>
      <c r="E1870" s="3" t="n">
        <v>18</v>
      </c>
      <c r="F1870" s="3" t="n">
        <v>30.58</v>
      </c>
      <c r="G1870" s="3" t="n">
        <v>0</v>
      </c>
      <c r="H1870" s="3" t="n">
        <v>0</v>
      </c>
      <c r="I1870" s="3">
        <f>E1870+G1870+H1870</f>
        <v/>
      </c>
      <c r="J1870" s="3">
        <f>ROUND(MIN(IF(C1870="Técnico III",35,IF(C1870="Técnico II",28,IF(C1870="Técnico I",23,IF(C1870="JR",20,IF(C1870="Estágio",10,0))))),IF(C1870="Técnico III",SUMIFS($D:$D,$A:$A,$A1870,$B:$B,"&lt;&gt;Patrícia Karla de Sousa Araújo",$B:$B,"&lt;&gt;Lorena Dias de Araujo",$B:$B,"&lt;&gt;Lucas Luiz Romero")*(35/1083),IF(C1870="Técnico II",SUMIFS($D:$D,$A:$A,$A1870,$B:$B,"&lt;&gt;Patrícia Karla de Sousa Araújo",$B:$B,"&lt;&gt;Lorena Dias de Araujo",$B:$B,"&lt;&gt;Lucas Luiz Romero")*(28/1083),IF(C1870="Técnico I",SUMIFS($D:$D,$A:$A,$A1870,$B:$B,"&lt;&gt;Patrícia Karla de Sousa Araújo",$B:$B,"&lt;&gt;Lorena Dias de Araujo",$B:$B,"&lt;&gt;Lucas Luiz Romero")*(23/1083),IF(C1870="JR",SUMIFS($D:$D,$A:$A,$A1870,$B:$B,"&lt;&gt;Patrícia Karla de Sousa Araújo",$B:$B,"&lt;&gt;Lorena Dias de Araujo",$B:$B,"&lt;&gt;Lucas Luiz Romero")*(20/1083),IF(C1870="Estágio",SUMIFS($D:$D,$A:$A,$A1870,$B:$B,"&lt;&gt;Patrícia Karla de Sousa Araújo",$B:$B,"&lt;&gt;Lorena Dias de Araujo",$B:$B,"&lt;&gt;Lucas Luiz Romero")*(10/1083),0)))))),0)</f>
        <v/>
      </c>
      <c r="K1870" s="3">
        <f>I1870-J1870</f>
        <v/>
      </c>
      <c r="L1870" s="3">
        <f>IF(K1870&lt;-5,"CRÍTICO",IF(K1870&lt;0,"ATENÇÃO",IF(K1870&lt;=5,"BOM","EXCELENTE")))</f>
        <v/>
      </c>
      <c r="M1870" s="3" t="n">
        <v>18</v>
      </c>
      <c r="N1870" s="3" t="n">
        <v>98.48</v>
      </c>
      <c r="O1870" s="12" t="n">
        <v>29.35323383084577</v>
      </c>
    </row>
    <row r="1871">
      <c r="A1871" s="10" t="n">
        <v>46058</v>
      </c>
      <c r="B1871" t="inlineStr">
        <is>
          <t>Sarah Steffanie de Lima Borges</t>
        </is>
      </c>
      <c r="C1871" s="1" t="inlineStr">
        <is>
          <t>Técnico III</t>
        </is>
      </c>
      <c r="D1871" s="3" t="n">
        <v>40</v>
      </c>
      <c r="E1871" s="3" t="n">
        <v>38</v>
      </c>
      <c r="F1871" s="3" t="n">
        <v>15.31</v>
      </c>
      <c r="G1871" s="3" t="n">
        <v>0</v>
      </c>
      <c r="H1871" s="3" t="n">
        <v>0</v>
      </c>
      <c r="I1871" s="3">
        <f>E1871+G1871+H1871</f>
        <v/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/>
      </c>
      <c r="K1871" s="3">
        <f>I1871-J1871</f>
        <v/>
      </c>
      <c r="L1871" s="3">
        <f>IF(K1871&lt;-5,"CRÍTICO",IF(K1871&lt;0,"ATENÇÃO",IF(K1871&lt;=5,"BOM","EXCELENTE")))</f>
        <v/>
      </c>
      <c r="M1871" s="3" t="n">
        <v>34</v>
      </c>
      <c r="N1871" s="3" t="n">
        <v>98.56</v>
      </c>
      <c r="O1871" s="12" t="n">
        <v>29.37365010799136</v>
      </c>
    </row>
    <row r="1872">
      <c r="A1872" s="10" t="n">
        <v>46059</v>
      </c>
      <c r="B1872" t="inlineStr">
        <is>
          <t>Alisson de Freitas Silva</t>
        </is>
      </c>
      <c r="C1872" s="1" t="inlineStr">
        <is>
          <t>Técnico II</t>
        </is>
      </c>
      <c r="D1872" s="3" t="n">
        <v>19</v>
      </c>
      <c r="E1872" s="3" t="n">
        <v>18</v>
      </c>
      <c r="F1872" s="3" t="n">
        <v>26.47</v>
      </c>
      <c r="G1872" s="3" t="n">
        <v>0</v>
      </c>
      <c r="H1872" s="3" t="n">
        <v>0</v>
      </c>
      <c r="I1872" s="3">
        <f>E1872+G1872+H1872</f>
        <v/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/>
      </c>
      <c r="K1872" s="3">
        <f>I1872-J1872</f>
        <v/>
      </c>
      <c r="L1872" s="3">
        <f>IF(K1872&lt;-5,"CRÍTICO",IF(K1872&lt;0,"ATENÇÃO",IF(K1872&lt;=5,"BOM","EXCELENTE")))</f>
        <v/>
      </c>
      <c r="M1872" s="3" t="n">
        <v>16</v>
      </c>
      <c r="N1872" s="3" t="n">
        <v>98.31999999999999</v>
      </c>
      <c r="O1872" s="12" t="n">
        <v>30.3030303030303</v>
      </c>
    </row>
    <row r="1873">
      <c r="A1873" s="10" t="n">
        <v>46059</v>
      </c>
      <c r="B1873" t="inlineStr">
        <is>
          <t>Amanda Moura Ferreira</t>
        </is>
      </c>
      <c r="C1873" s="1" t="inlineStr">
        <is>
          <t>Técnico III</t>
        </is>
      </c>
      <c r="D1873" s="3" t="n">
        <v>0</v>
      </c>
      <c r="E1873" s="3" t="n">
        <v>0</v>
      </c>
      <c r="F1873" s="3" t="n">
        <v>0</v>
      </c>
      <c r="G1873" s="3" t="n">
        <v>0</v>
      </c>
      <c r="H1873" s="3" t="n">
        <v>0</v>
      </c>
      <c r="I1873" s="3" t="n">
        <v>0</v>
      </c>
      <c r="J1873" s="3" t="n">
        <v>0</v>
      </c>
      <c r="K1873" s="3" t="n">
        <v>0</v>
      </c>
      <c r="L1873" s="3">
        <f>IF(K1873&lt;-5,"CRÍTICO",IF(K1873&lt;0,"ATENÇÃO",IF(K1873&lt;=5,"BOM","EXCELENTE")))</f>
        <v/>
      </c>
      <c r="M1873" s="3" t="n">
        <v>24</v>
      </c>
      <c r="N1873" s="3" t="n">
        <v>98.68000000000001</v>
      </c>
      <c r="O1873" s="12" t="n">
        <v>26.21951219512195</v>
      </c>
    </row>
    <row r="1874">
      <c r="A1874" s="10" t="n">
        <v>46059</v>
      </c>
      <c r="B1874" t="inlineStr">
        <is>
          <t>Ana Karollyne Souza Faria</t>
        </is>
      </c>
      <c r="C1874" s="1" t="inlineStr">
        <is>
          <t>Técnico I</t>
        </is>
      </c>
      <c r="D1874" s="3" t="n">
        <v>30</v>
      </c>
      <c r="E1874" s="3" t="n">
        <v>26</v>
      </c>
      <c r="F1874" s="3" t="n">
        <v>23.48</v>
      </c>
      <c r="G1874" s="3" t="n">
        <v>0</v>
      </c>
      <c r="H1874" s="3" t="n">
        <v>0</v>
      </c>
      <c r="I1874" s="3">
        <f>E1874+G1874+H1874</f>
        <v/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/>
      </c>
      <c r="K1874" s="3">
        <f>I1874-J1874</f>
        <v/>
      </c>
      <c r="L1874" s="3">
        <f>IF(K1874&lt;-5,"CRÍTICO",IF(K1874&lt;0,"ATENÇÃO",IF(K1874&lt;=5,"BOM","EXCELENTE")))</f>
        <v/>
      </c>
      <c r="M1874" s="3" t="n">
        <v>22</v>
      </c>
      <c r="N1874" s="3" t="n">
        <v>100</v>
      </c>
      <c r="O1874" s="12" t="n">
        <v>31.74224343675418</v>
      </c>
    </row>
    <row r="1875">
      <c r="A1875" s="10" t="n">
        <v>46059</v>
      </c>
      <c r="B1875" t="inlineStr">
        <is>
          <t>Ana Paula Da Luz Silva Aleixo</t>
        </is>
      </c>
      <c r="C1875" s="1" t="inlineStr">
        <is>
          <t>Técnico III</t>
        </is>
      </c>
      <c r="D1875" s="3" t="n">
        <v>32</v>
      </c>
      <c r="E1875" s="3" t="n">
        <v>30</v>
      </c>
      <c r="F1875" s="3" t="n">
        <v>18.24</v>
      </c>
      <c r="G1875" s="3" t="n">
        <v>0</v>
      </c>
      <c r="H1875" s="3" t="n">
        <v>0</v>
      </c>
      <c r="I1875" s="3">
        <f>E1875+G1875+H1875</f>
        <v/>
      </c>
      <c r="J1875" s="3">
        <f>ROUND(MIN(IF(C1875="Técnico III",35,IF(C1875="Técnico II",28,IF(C1875="Técnico I",23,IF(C1875="JR",20,IF(C1875="Estágio",10,0))))),IF(C1875="Técnico III",SUMIFS($D:$D,$A:$A,$A1875,$B:$B,"&lt;&gt;Patrícia Karla de Sousa Araújo",$B:$B,"&lt;&gt;Lorena Dias de Araujo",$B:$B,"&lt;&gt;Lucas Luiz Romero")*(35/1083),IF(C1875="Técnico II",SUMIFS($D:$D,$A:$A,$A1875,$B:$B,"&lt;&gt;Patrícia Karla de Sousa Araújo",$B:$B,"&lt;&gt;Lorena Dias de Araujo",$B:$B,"&lt;&gt;Lucas Luiz Romero")*(28/1083),IF(C1875="Técnico I",SUMIFS($D:$D,$A:$A,$A1875,$B:$B,"&lt;&gt;Patrícia Karla de Sousa Araújo",$B:$B,"&lt;&gt;Lorena Dias de Araujo",$B:$B,"&lt;&gt;Lucas Luiz Romero")*(23/1083),IF(C1875="JR",SUMIFS($D:$D,$A:$A,$A1875,$B:$B,"&lt;&gt;Patrícia Karla de Sousa Araújo",$B:$B,"&lt;&gt;Lorena Dias de Araujo",$B:$B,"&lt;&gt;Lucas Luiz Romero")*(20/1083),IF(C1875="Estágio",SUMIFS($D:$D,$A:$A,$A1875,$B:$B,"&lt;&gt;Patrícia Karla de Sousa Araújo",$B:$B,"&lt;&gt;Lorena Dias de Araujo",$B:$B,"&lt;&gt;Lucas Luiz Romero")*(10/1083),0)))))),0)</f>
        <v/>
      </c>
      <c r="K1875" s="3">
        <f>I1875-J1875</f>
        <v/>
      </c>
      <c r="L1875" s="3">
        <f>IF(K1875&lt;-5,"CRÍTICO",IF(K1875&lt;0,"ATENÇÃO",IF(K1875&lt;=5,"BOM","EXCELENTE")))</f>
        <v/>
      </c>
      <c r="M1875" s="3" t="n">
        <v>26</v>
      </c>
      <c r="N1875" s="3" t="n">
        <v>98.25</v>
      </c>
      <c r="O1875" s="12" t="n">
        <v>25.83518930957684</v>
      </c>
    </row>
    <row r="1876">
      <c r="A1876" s="10" t="n">
        <v>46059</v>
      </c>
      <c r="B1876" t="inlineStr">
        <is>
          <t>Anna Luiza Rezende Tavares</t>
        </is>
      </c>
      <c r="C1876" s="1" t="inlineStr">
        <is>
          <t>Estágio</t>
        </is>
      </c>
      <c r="D1876" s="3" t="n">
        <v>11</v>
      </c>
      <c r="E1876" s="3" t="n">
        <v>11</v>
      </c>
      <c r="F1876" s="3" t="n">
        <v>30.04</v>
      </c>
      <c r="G1876" s="3" t="n">
        <v>0</v>
      </c>
      <c r="H1876" s="3" t="n">
        <v>0</v>
      </c>
      <c r="I1876" s="3">
        <f>E1876+G1876+H1876</f>
        <v/>
      </c>
      <c r="J1876" s="3">
        <f>ROUND(MIN(IF(C1876="Técnico III",35,IF(C1876="Técnico II",28,IF(C1876="Técnico I",23,IF(C1876="JR",20,IF(C1876="Estágio",10,0))))),IF(C1876="Técnico III",SUMIFS($D:$D,$A:$A,$A1876,$B:$B,"&lt;&gt;Patrícia Karla de Sousa Araújo",$B:$B,"&lt;&gt;Lorena Dias de Araujo",$B:$B,"&lt;&gt;Lucas Luiz Romero")*(35/1083),IF(C1876="Técnico II",SUMIFS($D:$D,$A:$A,$A1876,$B:$B,"&lt;&gt;Patrícia Karla de Sousa Araújo",$B:$B,"&lt;&gt;Lorena Dias de Araujo",$B:$B,"&lt;&gt;Lucas Luiz Romero")*(28/1083),IF(C1876="Técnico I",SUMIFS($D:$D,$A:$A,$A1876,$B:$B,"&lt;&gt;Patrícia Karla de Sousa Araújo",$B:$B,"&lt;&gt;Lorena Dias de Araujo",$B:$B,"&lt;&gt;Lucas Luiz Romero")*(23/1083),IF(C1876="JR",SUMIFS($D:$D,$A:$A,$A1876,$B:$B,"&lt;&gt;Patrícia Karla de Sousa Araújo",$B:$B,"&lt;&gt;Lorena Dias de Araujo",$B:$B,"&lt;&gt;Lucas Luiz Romero")*(20/1083),IF(C1876="Estágio",SUMIFS($D:$D,$A:$A,$A1876,$B:$B,"&lt;&gt;Patrícia Karla de Sousa Araújo",$B:$B,"&lt;&gt;Lorena Dias de Araujo",$B:$B,"&lt;&gt;Lucas Luiz Romero")*(10/1083),0)))))),0)</f>
        <v/>
      </c>
      <c r="K1876" s="3">
        <f>I1876-J1876</f>
        <v/>
      </c>
      <c r="L1876" s="3">
        <f>IF(K1876&lt;-5,"CRÍTICO",IF(K1876&lt;0,"ATENÇÃO",IF(K1876&lt;=5,"BOM","EXCELENTE")))</f>
        <v/>
      </c>
      <c r="M1876" s="3" t="n">
        <v>9</v>
      </c>
      <c r="N1876" s="3" t="n">
        <v>97.5</v>
      </c>
      <c r="O1876" s="12" t="n">
        <v>30.07518796992481</v>
      </c>
    </row>
    <row r="1877">
      <c r="A1877" s="10" t="n">
        <v>46059</v>
      </c>
      <c r="B1877" t="inlineStr">
        <is>
          <t>Brenda de Menezes Silva</t>
        </is>
      </c>
      <c r="C1877" s="1" t="inlineStr">
        <is>
          <t>Técnico II</t>
        </is>
      </c>
      <c r="D1877" s="3" t="n">
        <v>42</v>
      </c>
      <c r="E1877" s="3" t="n">
        <v>35</v>
      </c>
      <c r="F1877" s="3" t="n">
        <v>15.05</v>
      </c>
      <c r="G1877" s="3" t="n">
        <v>0</v>
      </c>
      <c r="H1877" s="3" t="n">
        <v>0</v>
      </c>
      <c r="I1877" s="3">
        <f>E1877+G1877+H1877</f>
        <v/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/>
      </c>
      <c r="K1877" s="3">
        <f>I1877-J1877</f>
        <v/>
      </c>
      <c r="L1877" s="3">
        <f>IF(K1877&lt;-5,"CRÍTICO",IF(K1877&lt;0,"ATENÇÃO",IF(K1877&lt;=5,"BOM","EXCELENTE")))</f>
        <v/>
      </c>
      <c r="M1877" s="3" t="n">
        <v>36</v>
      </c>
      <c r="N1877" s="3" t="n">
        <v>100</v>
      </c>
      <c r="O1877" s="12" t="n">
        <v>29.71311475409836</v>
      </c>
    </row>
    <row r="1878">
      <c r="A1878" s="10" t="n">
        <v>46059</v>
      </c>
      <c r="B1878" t="inlineStr">
        <is>
          <t>Carlos Mateus Cassimiro Nunes</t>
        </is>
      </c>
      <c r="C1878" s="1" t="inlineStr">
        <is>
          <t>Técnico II</t>
        </is>
      </c>
      <c r="D1878" s="3" t="n">
        <v>23</v>
      </c>
      <c r="E1878" s="3" t="n">
        <v>22</v>
      </c>
      <c r="F1878" s="3" t="n">
        <v>24.01</v>
      </c>
      <c r="G1878" s="3" t="n">
        <v>0</v>
      </c>
      <c r="H1878" s="3" t="n">
        <v>0</v>
      </c>
      <c r="I1878" s="3">
        <f>E1878+G1878+H1878</f>
        <v/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/>
      </c>
      <c r="K1878" s="3">
        <f>I1878-J1878</f>
        <v/>
      </c>
      <c r="L1878" s="3">
        <f>IF(K1878&lt;-5,"CRÍTICO",IF(K1878&lt;0,"ATENÇÃO",IF(K1878&lt;=5,"BOM","EXCELENTE")))</f>
        <v/>
      </c>
      <c r="M1878" s="3" t="n">
        <v>23</v>
      </c>
      <c r="N1878" s="3" t="n">
        <v>99.22</v>
      </c>
      <c r="O1878" s="12" t="n">
        <v>35.25641025641026</v>
      </c>
    </row>
    <row r="1879">
      <c r="A1879" s="10" t="n">
        <v>46059</v>
      </c>
      <c r="B1879" t="inlineStr">
        <is>
          <t>Claudio de Sousa Velasco Filho</t>
        </is>
      </c>
      <c r="C1879" s="1" t="inlineStr">
        <is>
          <t>Estágio</t>
        </is>
      </c>
      <c r="D1879" s="3" t="n">
        <v>0</v>
      </c>
      <c r="E1879" s="3" t="n">
        <v>0</v>
      </c>
      <c r="F1879" s="3" t="n">
        <v>0</v>
      </c>
      <c r="G1879" s="3" t="n">
        <v>0</v>
      </c>
      <c r="H1879" s="3" t="n">
        <v>0</v>
      </c>
      <c r="I1879" s="3" t="n">
        <v>0</v>
      </c>
      <c r="J1879" s="3" t="n">
        <v>0</v>
      </c>
      <c r="K1879" s="3" t="n">
        <v>0</v>
      </c>
      <c r="L1879" s="3">
        <f>IF(K1879&lt;-5,"CRÍTICO",IF(K1879&lt;0,"ATENÇÃO",IF(K1879&lt;=5,"BOM","EXCELENTE")))</f>
        <v/>
      </c>
      <c r="M1879" s="3" t="n">
        <v>0</v>
      </c>
      <c r="N1879" s="3" t="n">
        <v>0</v>
      </c>
      <c r="O1879" s="12" t="n">
        <v>0</v>
      </c>
    </row>
    <row r="1880">
      <c r="A1880" s="10" t="n">
        <v>46059</v>
      </c>
      <c r="B1880" t="inlineStr">
        <is>
          <t>Clessiane Pereira dos Santos</t>
        </is>
      </c>
      <c r="C1880" s="1" t="inlineStr">
        <is>
          <t>Técnico I</t>
        </is>
      </c>
      <c r="D1880" s="3" t="n">
        <v>40</v>
      </c>
      <c r="E1880" s="3" t="n">
        <v>5</v>
      </c>
      <c r="F1880" s="3" t="n">
        <v>3.32</v>
      </c>
      <c r="G1880" s="3" t="n">
        <v>0</v>
      </c>
      <c r="H1880" s="3" t="n">
        <v>0</v>
      </c>
      <c r="I1880" s="3">
        <f>E1880+G1880+H1880</f>
        <v/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/>
      </c>
      <c r="K1880" s="3">
        <f>I1880-J1880</f>
        <v/>
      </c>
      <c r="L1880" s="3">
        <f>IF(K1880&lt;-5,"CRÍTICO",IF(K1880&lt;0,"ATENÇÃO",IF(K1880&lt;=5,"BOM","EXCELENTE")))</f>
        <v/>
      </c>
      <c r="M1880" s="3" t="n">
        <v>20</v>
      </c>
      <c r="N1880" s="3" t="n">
        <v>98.75</v>
      </c>
      <c r="O1880" s="12" t="n">
        <v>24.32432432432433</v>
      </c>
    </row>
    <row r="1881">
      <c r="A1881" s="10" t="n">
        <v>46059</v>
      </c>
      <c r="B1881" t="inlineStr">
        <is>
          <t>Cristiane Ramos da Silva Rocha</t>
        </is>
      </c>
      <c r="C1881" s="1" t="inlineStr">
        <is>
          <t>Técnico III</t>
        </is>
      </c>
      <c r="D1881" s="3" t="n">
        <v>44</v>
      </c>
      <c r="E1881" s="3" t="n">
        <v>42</v>
      </c>
      <c r="F1881" s="3" t="n">
        <v>13.29</v>
      </c>
      <c r="G1881" s="3" t="n">
        <v>0</v>
      </c>
      <c r="H1881" s="3" t="n">
        <v>0</v>
      </c>
      <c r="I1881" s="3">
        <f>E1881+G1881+H1881</f>
        <v/>
      </c>
      <c r="J1881" s="3">
        <f>ROUND(MIN(IF(C1881="Técnico III",35,IF(C1881="Técnico II",28,IF(C1881="Técnico I",23,IF(C1881="JR",20,IF(C1881="Estágio",10,0))))),IF(C1881="Técnico III",SUMIFS($D:$D,$A:$A,$A1881,$B:$B,"&lt;&gt;Patrícia Karla de Sousa Araújo",$B:$B,"&lt;&gt;Lorena Dias de Araujo",$B:$B,"&lt;&gt;Lucas Luiz Romero")*(35/1083),IF(C1881="Técnico II",SUMIFS($D:$D,$A:$A,$A1881,$B:$B,"&lt;&gt;Patrícia Karla de Sousa Araújo",$B:$B,"&lt;&gt;Lorena Dias de Araujo",$B:$B,"&lt;&gt;Lucas Luiz Romero")*(28/1083),IF(C1881="Técnico I",SUMIFS($D:$D,$A:$A,$A1881,$B:$B,"&lt;&gt;Patrícia Karla de Sousa Araújo",$B:$B,"&lt;&gt;Lorena Dias de Araujo",$B:$B,"&lt;&gt;Lucas Luiz Romero")*(23/1083),IF(C1881="JR",SUMIFS($D:$D,$A:$A,$A1881,$B:$B,"&lt;&gt;Patrícia Karla de Sousa Araújo",$B:$B,"&lt;&gt;Lorena Dias de Araujo",$B:$B,"&lt;&gt;Lucas Luiz Romero")*(20/1083),IF(C1881="Estágio",SUMIFS($D:$D,$A:$A,$A1881,$B:$B,"&lt;&gt;Patrícia Karla de Sousa Araújo",$B:$B,"&lt;&gt;Lorena Dias de Araujo",$B:$B,"&lt;&gt;Lucas Luiz Romero")*(10/1083),0)))))),0)</f>
        <v/>
      </c>
      <c r="K1881" s="3">
        <f>I1881-J1881</f>
        <v/>
      </c>
      <c r="L1881" s="3">
        <f>IF(K1881&lt;-5,"CRÍTICO",IF(K1881&lt;0,"ATENÇÃO",IF(K1881&lt;=5,"BOM","EXCELENTE")))</f>
        <v/>
      </c>
      <c r="M1881" s="3" t="n">
        <v>41</v>
      </c>
      <c r="N1881" s="3" t="n">
        <v>93.48</v>
      </c>
      <c r="O1881" s="12" t="n">
        <v>31.52804642166344</v>
      </c>
    </row>
    <row r="1882">
      <c r="A1882" s="10" t="n">
        <v>46059</v>
      </c>
      <c r="B1882" t="inlineStr">
        <is>
          <t>Damyllis Lorraine de Oliveira Gonçalves</t>
        </is>
      </c>
      <c r="C1882" s="1" t="inlineStr">
        <is>
          <t>Técnico II</t>
        </is>
      </c>
      <c r="D1882" s="3" t="n">
        <v>35</v>
      </c>
      <c r="E1882" s="3" t="n">
        <v>32</v>
      </c>
      <c r="F1882" s="3" t="n">
        <v>18.35</v>
      </c>
      <c r="G1882" s="3" t="n">
        <v>0</v>
      </c>
      <c r="H1882" s="3" t="n">
        <v>0</v>
      </c>
      <c r="I1882" s="3" t="n">
        <v>0</v>
      </c>
      <c r="J1882" s="3" t="n">
        <v>0</v>
      </c>
      <c r="K1882" s="3" t="n">
        <v>0</v>
      </c>
      <c r="L1882" s="3">
        <f>IF(K1882&lt;-5,"CRÍTICO",IF(K1882&lt;0,"ATENÇÃO",IF(K1882&lt;=5,"BOM","EXCELENTE")))</f>
        <v/>
      </c>
      <c r="M1882" s="3" t="n">
        <v>28</v>
      </c>
      <c r="N1882" s="3" t="n">
        <v>99.16</v>
      </c>
      <c r="O1882" s="12" t="n">
        <v>26.13908872901678</v>
      </c>
    </row>
    <row r="1883">
      <c r="A1883" s="10" t="n">
        <v>46059</v>
      </c>
      <c r="B1883" t="inlineStr">
        <is>
          <t>Daniel Gomes da Silva</t>
        </is>
      </c>
      <c r="C1883" s="1" t="inlineStr">
        <is>
          <t>Técnico I</t>
        </is>
      </c>
      <c r="D1883" s="3" t="n">
        <v>24</v>
      </c>
      <c r="E1883" s="3" t="n">
        <v>21</v>
      </c>
      <c r="F1883" s="3" t="n">
        <v>22</v>
      </c>
      <c r="G1883" s="3" t="n">
        <v>0</v>
      </c>
      <c r="H1883" s="3" t="n">
        <v>0</v>
      </c>
      <c r="I1883" s="3">
        <f>E1883+G1883+H1883</f>
        <v/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/>
      </c>
      <c r="K1883" s="3">
        <f>I1883-J1883</f>
        <v/>
      </c>
      <c r="L1883" s="3">
        <f>IF(K1883&lt;-5,"CRÍTICO",IF(K1883&lt;0,"ATENÇÃO",IF(K1883&lt;=5,"BOM","EXCELENTE")))</f>
        <v/>
      </c>
      <c r="M1883" s="3" t="n">
        <v>27</v>
      </c>
      <c r="N1883" s="3" t="n">
        <v>100</v>
      </c>
      <c r="O1883" s="12" t="n">
        <v>31.08974358974359</v>
      </c>
    </row>
    <row r="1884">
      <c r="A1884" s="10" t="n">
        <v>46059</v>
      </c>
      <c r="B1884" t="inlineStr">
        <is>
          <t>Davylla Rodrigues Freitas Silva</t>
        </is>
      </c>
      <c r="C1884" s="1" t="inlineStr">
        <is>
          <t>Técnico III</t>
        </is>
      </c>
      <c r="D1884" s="3" t="n">
        <v>38</v>
      </c>
      <c r="E1884" s="3" t="n">
        <v>38</v>
      </c>
      <c r="F1884" s="3" t="n">
        <v>19.14</v>
      </c>
      <c r="G1884" s="3" t="n">
        <v>0</v>
      </c>
      <c r="H1884" s="3" t="n">
        <v>0</v>
      </c>
      <c r="I1884" s="3" t="n">
        <v>0</v>
      </c>
      <c r="J1884" s="3" t="n">
        <v>0</v>
      </c>
      <c r="K1884" s="3" t="n">
        <v>0</v>
      </c>
      <c r="L1884" s="3">
        <f>IF(K1884&lt;-5,"CRÍTICO",IF(K1884&lt;0,"ATENÇÃO",IF(K1884&lt;=5,"BOM","EXCELENTE")))</f>
        <v/>
      </c>
      <c r="M1884" s="3" t="n">
        <v>38</v>
      </c>
      <c r="N1884" s="3" t="n">
        <v>98.11</v>
      </c>
      <c r="O1884" s="12" t="n">
        <v>33.03370786516854</v>
      </c>
    </row>
    <row r="1885">
      <c r="A1885" s="10" t="n">
        <v>46059</v>
      </c>
      <c r="B1885" t="inlineStr">
        <is>
          <t>Emilly Caylane Costa</t>
        </is>
      </c>
      <c r="C1885" s="1" t="inlineStr">
        <is>
          <t>Estágio</t>
        </is>
      </c>
      <c r="D1885" s="3" t="n">
        <v>49</v>
      </c>
      <c r="E1885" s="3" t="n">
        <v>43</v>
      </c>
      <c r="F1885" s="3" t="n">
        <v>6.57</v>
      </c>
      <c r="G1885" s="3" t="n">
        <v>0</v>
      </c>
      <c r="H1885" s="3" t="n">
        <v>0</v>
      </c>
      <c r="I1885" s="3">
        <f>E1885+G1885+H1885</f>
        <v/>
      </c>
      <c r="J1885" s="3">
        <f>ROUND(MIN(IF(C1885="Técnico III",35,IF(C1885="Técnico II",28,IF(C1885="Técnico I",23,IF(C1885="JR",20,IF(C1885="Estágio",10,0))))),IF(C1885="Técnico III",SUMIFS($D:$D,$A:$A,$A1885,$B:$B,"&lt;&gt;Patrícia Karla de Sousa Araújo",$B:$B,"&lt;&gt;Lorena Dias de Araujo",$B:$B,"&lt;&gt;Lucas Luiz Romero")*(35/1083),IF(C1885="Técnico II",SUMIFS($D:$D,$A:$A,$A1885,$B:$B,"&lt;&gt;Patrícia Karla de Sousa Araújo",$B:$B,"&lt;&gt;Lorena Dias de Araujo",$B:$B,"&lt;&gt;Lucas Luiz Romero")*(28/1083),IF(C1885="Técnico I",SUMIFS($D:$D,$A:$A,$A1885,$B:$B,"&lt;&gt;Patrícia Karla de Sousa Araújo",$B:$B,"&lt;&gt;Lorena Dias de Araujo",$B:$B,"&lt;&gt;Lucas Luiz Romero")*(23/1083),IF(C1885="JR",SUMIFS($D:$D,$A:$A,$A1885,$B:$B,"&lt;&gt;Patrícia Karla de Sousa Araújo",$B:$B,"&lt;&gt;Lorena Dias de Araujo",$B:$B,"&lt;&gt;Lucas Luiz Romero")*(20/1083),IF(C1885="Estágio",SUMIFS($D:$D,$A:$A,$A1885,$B:$B,"&lt;&gt;Patrícia Karla de Sousa Araújo",$B:$B,"&lt;&gt;Lorena Dias de Araujo",$B:$B,"&lt;&gt;Lucas Luiz Romero")*(10/1083),0)))))),0)</f>
        <v/>
      </c>
      <c r="K1885" s="3">
        <f>I1885-J1885</f>
        <v/>
      </c>
      <c r="L1885" s="3">
        <f>IF(K1885&lt;-5,"CRÍTICO",IF(K1885&lt;0,"ATENÇÃO",IF(K1885&lt;=5,"BOM","EXCELENTE")))</f>
        <v/>
      </c>
      <c r="M1885" s="3" t="n">
        <v>3</v>
      </c>
      <c r="N1885" s="3" t="n">
        <v>78.95</v>
      </c>
      <c r="O1885" s="12" t="n">
        <v>38.98305084745763</v>
      </c>
    </row>
    <row r="1886">
      <c r="A1886" s="10" t="n">
        <v>46059</v>
      </c>
      <c r="B1886" t="inlineStr">
        <is>
          <t>Emilly Kamilly Medeiros Miranda</t>
        </is>
      </c>
      <c r="C1886" s="1" t="inlineStr">
        <is>
          <t>Técnico II</t>
        </is>
      </c>
      <c r="D1886" s="3" t="n">
        <v>35</v>
      </c>
      <c r="E1886" s="3" t="n">
        <v>31</v>
      </c>
      <c r="F1886" s="3" t="n">
        <v>17.26</v>
      </c>
      <c r="G1886" s="3" t="n">
        <v>0</v>
      </c>
      <c r="H1886" s="3" t="n">
        <v>0</v>
      </c>
      <c r="I1886" s="3">
        <f>E1886+G1886+H1886</f>
        <v/>
      </c>
      <c r="J1886" s="3">
        <f>ROUND(MIN(IF(C1886="Técnico III",35,IF(C1886="Técnico II",28,IF(C1886="Técnico I",23,IF(C1886="JR",20,IF(C1886="Estágio",10,0))))),IF(C1886="Técnico III",SUMIFS($D:$D,$A:$A,$A1886,$B:$B,"&lt;&gt;Patrícia Karla de Sousa Araújo",$B:$B,"&lt;&gt;Lorena Dias de Araujo",$B:$B,"&lt;&gt;Lucas Luiz Romero")*(35/1083),IF(C1886="Técnico II",SUMIFS($D:$D,$A:$A,$A1886,$B:$B,"&lt;&gt;Patrícia Karla de Sousa Araújo",$B:$B,"&lt;&gt;Lorena Dias de Araujo",$B:$B,"&lt;&gt;Lucas Luiz Romero")*(28/1083),IF(C1886="Técnico I",SUMIFS($D:$D,$A:$A,$A1886,$B:$B,"&lt;&gt;Patrícia Karla de Sousa Araújo",$B:$B,"&lt;&gt;Lorena Dias de Araujo",$B:$B,"&lt;&gt;Lucas Luiz Romero")*(23/1083),IF(C1886="JR",SUMIFS($D:$D,$A:$A,$A1886,$B:$B,"&lt;&gt;Patrícia Karla de Sousa Araújo",$B:$B,"&lt;&gt;Lorena Dias de Araujo",$B:$B,"&lt;&gt;Lucas Luiz Romero")*(20/1083),IF(C1886="Estágio",SUMIFS($D:$D,$A:$A,$A1886,$B:$B,"&lt;&gt;Patrícia Karla de Sousa Araújo",$B:$B,"&lt;&gt;Lorena Dias de Araujo",$B:$B,"&lt;&gt;Lucas Luiz Romero")*(10/1083),0)))))),0)</f>
        <v/>
      </c>
      <c r="K1886" s="3">
        <f>I1886-J1886</f>
        <v/>
      </c>
      <c r="L1886" s="3">
        <f>IF(K1886&lt;-5,"CRÍTICO",IF(K1886&lt;0,"ATENÇÃO",IF(K1886&lt;=5,"BOM","EXCELENTE")))</f>
        <v/>
      </c>
      <c r="M1886" s="3" t="n">
        <v>29</v>
      </c>
      <c r="N1886" s="3" t="n">
        <v>98.45</v>
      </c>
      <c r="O1886" s="12" t="n">
        <v>29.2817679558011</v>
      </c>
    </row>
    <row r="1887">
      <c r="A1887" s="10" t="n">
        <v>46059</v>
      </c>
      <c r="B1887" t="inlineStr">
        <is>
          <t>Francielson de Oliveira</t>
        </is>
      </c>
      <c r="C1887" s="1" t="inlineStr">
        <is>
          <t>Técnico III</t>
        </is>
      </c>
      <c r="D1887" s="3" t="n">
        <v>33</v>
      </c>
      <c r="E1887" s="3" t="n">
        <v>33</v>
      </c>
      <c r="F1887" s="3" t="n">
        <v>17.28</v>
      </c>
      <c r="G1887" s="3" t="n">
        <v>0</v>
      </c>
      <c r="H1887" s="3" t="n">
        <v>0</v>
      </c>
      <c r="I1887" s="3">
        <f>E1887+G1887+H1887</f>
        <v/>
      </c>
      <c r="J1887" s="3">
        <f>ROUND(MIN(IF(C1887="Técnico III",35,IF(C1887="Técnico II",28,IF(C1887="Técnico I",23,IF(C1887="JR",20,IF(C1887="Estágio",10,0))))),IF(C1887="Técnico III",SUMIFS($D:$D,$A:$A,$A1887,$B:$B,"&lt;&gt;Patrícia Karla de Sousa Araújo",$B:$B,"&lt;&gt;Lorena Dias de Araujo",$B:$B,"&lt;&gt;Lucas Luiz Romero")*(35/1083),IF(C1887="Técnico II",SUMIFS($D:$D,$A:$A,$A1887,$B:$B,"&lt;&gt;Patrícia Karla de Sousa Araújo",$B:$B,"&lt;&gt;Lorena Dias de Araujo",$B:$B,"&lt;&gt;Lucas Luiz Romero")*(28/1083),IF(C1887="Técnico I",SUMIFS($D:$D,$A:$A,$A1887,$B:$B,"&lt;&gt;Patrícia Karla de Sousa Araújo",$B:$B,"&lt;&gt;Lorena Dias de Araujo",$B:$B,"&lt;&gt;Lucas Luiz Romero")*(23/1083),IF(C1887="JR",SUMIFS($D:$D,$A:$A,$A1887,$B:$B,"&lt;&gt;Patrícia Karla de Sousa Araújo",$B:$B,"&lt;&gt;Lorena Dias de Araujo",$B:$B,"&lt;&gt;Lucas Luiz Romero")*(20/1083),IF(C1887="Estágio",SUMIFS($D:$D,$A:$A,$A1887,$B:$B,"&lt;&gt;Patrícia Karla de Sousa Araújo",$B:$B,"&lt;&gt;Lorena Dias de Araujo",$B:$B,"&lt;&gt;Lucas Luiz Romero")*(10/1083),0)))))),0)</f>
        <v/>
      </c>
      <c r="K1887" s="3">
        <f>I1887-J1887</f>
        <v/>
      </c>
      <c r="L1887" s="3">
        <f>IF(K1887&lt;-5,"CRÍTICO",IF(K1887&lt;0,"ATENÇÃO",IF(K1887&lt;=5,"BOM","EXCELENTE")))</f>
        <v/>
      </c>
      <c r="M1887" s="3" t="n">
        <v>33</v>
      </c>
      <c r="N1887" s="3" t="n">
        <v>97.84</v>
      </c>
      <c r="O1887" s="12" t="n">
        <v>26.28205128205128</v>
      </c>
    </row>
    <row r="1888">
      <c r="A1888" s="10" t="n">
        <v>46059</v>
      </c>
      <c r="B1888" t="inlineStr">
        <is>
          <t>Francilene Ferreira de Jesus</t>
        </is>
      </c>
      <c r="C1888" s="1" t="inlineStr">
        <is>
          <t>Técnico II</t>
        </is>
      </c>
      <c r="D1888" s="3" t="n">
        <v>31</v>
      </c>
      <c r="E1888" s="3" t="n">
        <v>29</v>
      </c>
      <c r="F1888" s="3" t="n">
        <v>20.48</v>
      </c>
      <c r="G1888" s="3" t="n">
        <v>0</v>
      </c>
      <c r="H1888" s="3" t="n">
        <v>0</v>
      </c>
      <c r="I1888" s="3">
        <f>E1888+G1888+H1888</f>
        <v/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/>
      </c>
      <c r="K1888" s="3">
        <f>I1888-J1888</f>
        <v/>
      </c>
      <c r="L1888" s="3">
        <f>IF(K1888&lt;-5,"CRÍTICO",IF(K1888&lt;0,"ATENÇÃO",IF(K1888&lt;=5,"BOM","EXCELENTE")))</f>
        <v/>
      </c>
      <c r="M1888" s="3" t="n">
        <v>26</v>
      </c>
      <c r="N1888" s="3" t="n">
        <v>98.5</v>
      </c>
      <c r="O1888" s="12" t="n">
        <v>23.97769516728625</v>
      </c>
    </row>
    <row r="1889">
      <c r="A1889" s="10" t="n">
        <v>46093</v>
      </c>
      <c r="B1889" t="inlineStr">
        <is>
          <t>Gabriel Gomes de Andrade</t>
        </is>
      </c>
      <c r="C1889" s="1" t="inlineStr">
        <is>
          <t>Técnico I</t>
        </is>
      </c>
      <c r="D1889" s="3" t="n">
        <v>0</v>
      </c>
      <c r="E1889" s="3" t="n">
        <v>0</v>
      </c>
      <c r="F1889" s="3" t="n">
        <v>0</v>
      </c>
      <c r="G1889" s="3" t="n">
        <v>0</v>
      </c>
      <c r="H1889" s="3" t="n">
        <v>0</v>
      </c>
      <c r="I1889" s="3" t="n">
        <v>0</v>
      </c>
      <c r="J1889" s="3" t="n">
        <v>0</v>
      </c>
      <c r="K1889" s="3" t="n">
        <v>0</v>
      </c>
      <c r="L1889" s="3">
        <f>IF(K1889&lt;-5,"CRÍTICO",IF(K1889&lt;0,"ATENÇÃO",IF(K1889&lt;=5,"BOM","EXCELENTE")))</f>
        <v/>
      </c>
      <c r="M1889" s="3" t="n">
        <v>14</v>
      </c>
      <c r="N1889" s="3" t="n">
        <v>99.05</v>
      </c>
      <c r="O1889" s="12" t="n">
        <v>26.62192393736018</v>
      </c>
    </row>
    <row r="1890">
      <c r="A1890" s="10" t="n">
        <v>46059</v>
      </c>
      <c r="B1890" t="inlineStr">
        <is>
          <t>Isabella Borges de Oliveira</t>
        </is>
      </c>
      <c r="C1890" s="1" t="inlineStr">
        <is>
          <t>Técnico II</t>
        </is>
      </c>
      <c r="D1890" s="3" t="n">
        <v>28</v>
      </c>
      <c r="E1890" s="3" t="n">
        <v>26</v>
      </c>
      <c r="F1890" s="3" t="n">
        <v>22.09</v>
      </c>
      <c r="G1890" s="3" t="n">
        <v>0</v>
      </c>
      <c r="H1890" s="3" t="n">
        <v>0</v>
      </c>
      <c r="I1890" s="3">
        <f>E1890+G1890+H1890</f>
        <v/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/>
      </c>
      <c r="K1890" s="3">
        <f>I1890-J1890</f>
        <v/>
      </c>
      <c r="L1890" s="3">
        <f>IF(K1890&lt;-5,"CRÍTICO",IF(K1890&lt;0,"ATENÇÃO",IF(K1890&lt;=5,"BOM","EXCELENTE")))</f>
        <v/>
      </c>
      <c r="M1890" s="3" t="n">
        <v>25</v>
      </c>
      <c r="N1890" s="3" t="n">
        <v>98.53</v>
      </c>
      <c r="O1890" s="12" t="n">
        <v>31.57894736842105</v>
      </c>
    </row>
    <row r="1891">
      <c r="A1891" s="10" t="n">
        <v>46059</v>
      </c>
      <c r="B1891" t="inlineStr">
        <is>
          <t>Janaina Lima dos Reis Urany</t>
        </is>
      </c>
      <c r="C1891" s="1" t="inlineStr">
        <is>
          <t>Técnico III</t>
        </is>
      </c>
      <c r="D1891" s="3" t="n">
        <v>62</v>
      </c>
      <c r="E1891" s="3" t="n">
        <v>56</v>
      </c>
      <c r="F1891" s="3" t="n">
        <v>12.1</v>
      </c>
      <c r="G1891" s="3" t="n">
        <v>0</v>
      </c>
      <c r="H1891" s="3" t="n">
        <v>0</v>
      </c>
      <c r="I1891" s="3">
        <f>E1891+G1891+H1891</f>
        <v/>
      </c>
      <c r="J1891" s="3">
        <f>ROUND(MIN(IF(C1891="Técnico III",35,IF(C1891="Técnico II",28,IF(C1891="Técnico I",23,IF(C1891="JR",20,IF(C1891="Estágio",10,0))))),IF(C1891="Técnico III",SUMIFS($D:$D,$A:$A,$A1891,$B:$B,"&lt;&gt;Patrícia Karla de Sousa Araújo",$B:$B,"&lt;&gt;Lorena Dias de Araujo",$B:$B,"&lt;&gt;Lucas Luiz Romero")*(35/1083),IF(C1891="Técnico II",SUMIFS($D:$D,$A:$A,$A1891,$B:$B,"&lt;&gt;Patrícia Karla de Sousa Araújo",$B:$B,"&lt;&gt;Lorena Dias de Araujo",$B:$B,"&lt;&gt;Lucas Luiz Romero")*(28/1083),IF(C1891="Técnico I",SUMIFS($D:$D,$A:$A,$A1891,$B:$B,"&lt;&gt;Patrícia Karla de Sousa Araújo",$B:$B,"&lt;&gt;Lorena Dias de Araujo",$B:$B,"&lt;&gt;Lucas Luiz Romero")*(23/1083),IF(C1891="JR",SUMIFS($D:$D,$A:$A,$A1891,$B:$B,"&lt;&gt;Patrícia Karla de Sousa Araújo",$B:$B,"&lt;&gt;Lorena Dias de Araujo",$B:$B,"&lt;&gt;Lucas Luiz Romero")*(20/1083),IF(C1891="Estágio",SUMIFS($D:$D,$A:$A,$A1891,$B:$B,"&lt;&gt;Patrícia Karla de Sousa Araújo",$B:$B,"&lt;&gt;Lorena Dias de Araujo",$B:$B,"&lt;&gt;Lucas Luiz Romero")*(10/1083),0)))))),0)</f>
        <v/>
      </c>
      <c r="K1891" s="3">
        <f>I1891-J1891</f>
        <v/>
      </c>
      <c r="L1891" s="3">
        <f>IF(K1891&lt;-5,"CRÍTICO",IF(K1891&lt;0,"ATENÇÃO",IF(K1891&lt;=5,"BOM","EXCELENTE")))</f>
        <v/>
      </c>
      <c r="M1891" s="3" t="n">
        <v>54</v>
      </c>
      <c r="N1891" s="3" t="n">
        <v>100</v>
      </c>
      <c r="O1891" s="12" t="n">
        <v>25.72214580467676</v>
      </c>
    </row>
    <row r="1892">
      <c r="A1892" s="10" t="n">
        <v>46059</v>
      </c>
      <c r="B1892" t="inlineStr">
        <is>
          <t>Jaqueline Evangelista da Silva Martins</t>
        </is>
      </c>
      <c r="C1892" s="1" t="inlineStr">
        <is>
          <t>Técnico III</t>
        </is>
      </c>
      <c r="D1892" s="3" t="n">
        <v>37</v>
      </c>
      <c r="E1892" s="3" t="n">
        <v>29</v>
      </c>
      <c r="F1892" s="3" t="n">
        <v>10.19</v>
      </c>
      <c r="G1892" s="3" t="n">
        <v>0</v>
      </c>
      <c r="H1892" s="3" t="n">
        <v>0</v>
      </c>
      <c r="I1892" s="3">
        <f>E1892+G1892+H1892</f>
        <v/>
      </c>
      <c r="J1892" s="3">
        <f>ROUND(MIN(IF(C1892="Técnico III",35,IF(C1892="Técnico II",28,IF(C1892="Técnico I",23,IF(C1892="JR",20,IF(C1892="Estágio",10,0))))),IF(C1892="Técnico III",SUMIFS($D:$D,$A:$A,$A1892,$B:$B,"&lt;&gt;Patrícia Karla de Sousa Araújo",$B:$B,"&lt;&gt;Lorena Dias de Araujo",$B:$B,"&lt;&gt;Lucas Luiz Romero")*(35/1083),IF(C1892="Técnico II",SUMIFS($D:$D,$A:$A,$A1892,$B:$B,"&lt;&gt;Patrícia Karla de Sousa Araújo",$B:$B,"&lt;&gt;Lorena Dias de Araujo",$B:$B,"&lt;&gt;Lucas Luiz Romero")*(28/1083),IF(C1892="Técnico I",SUMIFS($D:$D,$A:$A,$A1892,$B:$B,"&lt;&gt;Patrícia Karla de Sousa Araújo",$B:$B,"&lt;&gt;Lorena Dias de Araujo",$B:$B,"&lt;&gt;Lucas Luiz Romero")*(23/1083),IF(C1892="JR",SUMIFS($D:$D,$A:$A,$A1892,$B:$B,"&lt;&gt;Patrícia Karla de Sousa Araújo",$B:$B,"&lt;&gt;Lorena Dias de Araujo",$B:$B,"&lt;&gt;Lucas Luiz Romero")*(20/1083),IF(C1892="Estágio",SUMIFS($D:$D,$A:$A,$A1892,$B:$B,"&lt;&gt;Patrícia Karla de Sousa Araújo",$B:$B,"&lt;&gt;Lorena Dias de Araujo",$B:$B,"&lt;&gt;Lucas Luiz Romero")*(10/1083),0)))))),0)</f>
        <v/>
      </c>
      <c r="K1892" s="3">
        <f>I1892-J1892</f>
        <v/>
      </c>
      <c r="L1892" s="3">
        <f>IF(K1892&lt;-5,"CRÍTICO",IF(K1892&lt;0,"ATENÇÃO",IF(K1892&lt;=5,"BOM","EXCELENTE")))</f>
        <v/>
      </c>
      <c r="M1892" s="3" t="n">
        <v>27</v>
      </c>
      <c r="N1892" s="3" t="n">
        <v>94.64</v>
      </c>
      <c r="O1892" s="12" t="n">
        <v>27.52941176470588</v>
      </c>
    </row>
    <row r="1893">
      <c r="A1893" s="10" t="n">
        <v>46059</v>
      </c>
      <c r="B1893" t="inlineStr">
        <is>
          <t>Jessica Faria da Silveira</t>
        </is>
      </c>
      <c r="C1893" s="1" t="inlineStr">
        <is>
          <t>Técnico II</t>
        </is>
      </c>
      <c r="D1893" s="3" t="n">
        <v>28</v>
      </c>
      <c r="E1893" s="3" t="n">
        <v>23</v>
      </c>
      <c r="F1893" s="3" t="n">
        <v>18.45</v>
      </c>
      <c r="G1893" s="3" t="n">
        <v>0</v>
      </c>
      <c r="H1893" s="3" t="n">
        <v>0</v>
      </c>
      <c r="I1893" s="3">
        <f>E1893+G1893+H1893</f>
        <v/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/>
      </c>
      <c r="K1893" s="3">
        <f>I1893-J1893</f>
        <v/>
      </c>
      <c r="L1893" s="3">
        <f>IF(K1893&lt;-5,"CRÍTICO",IF(K1893&lt;0,"ATENÇÃO",IF(K1893&lt;=5,"BOM","EXCELENTE")))</f>
        <v/>
      </c>
      <c r="M1893" s="3" t="n">
        <v>21</v>
      </c>
      <c r="N1893" s="3" t="n">
        <v>99.06999999999999</v>
      </c>
      <c r="O1893" s="12" t="n">
        <v>26.3768115942029</v>
      </c>
    </row>
    <row r="1894">
      <c r="A1894" s="10" t="n">
        <v>46059</v>
      </c>
      <c r="B1894" t="inlineStr">
        <is>
          <t>Jéssica Fé Moura</t>
        </is>
      </c>
      <c r="C1894" s="1" t="inlineStr">
        <is>
          <t>Técnico III</t>
        </is>
      </c>
      <c r="D1894" s="3" t="n">
        <v>0</v>
      </c>
      <c r="E1894" s="3" t="n">
        <v>0</v>
      </c>
      <c r="F1894" s="3" t="n">
        <v>0</v>
      </c>
      <c r="G1894" s="3" t="n">
        <v>0</v>
      </c>
      <c r="H1894" s="3" t="n">
        <v>0</v>
      </c>
      <c r="I1894" s="3" t="n">
        <v>0</v>
      </c>
      <c r="J1894" s="3" t="n">
        <v>0</v>
      </c>
      <c r="K1894" s="3" t="n">
        <v>0</v>
      </c>
      <c r="L1894" s="3">
        <f>IF(K1894&lt;-5,"CRÍTICO",IF(K1894&lt;0,"ATENÇÃO",IF(K1894&lt;=5,"BOM","EXCELENTE")))</f>
        <v/>
      </c>
      <c r="M1894" s="3" t="n">
        <v>0</v>
      </c>
      <c r="N1894" s="3" t="n">
        <v>100</v>
      </c>
      <c r="O1894" s="12" t="n">
        <v>0</v>
      </c>
    </row>
    <row r="1895">
      <c r="A1895" s="10" t="n">
        <v>46059</v>
      </c>
      <c r="B1895" t="inlineStr">
        <is>
          <t>Karina Gonçalves Martins</t>
        </is>
      </c>
      <c r="C1895" s="1" t="inlineStr">
        <is>
          <t>JR</t>
        </is>
      </c>
      <c r="D1895" s="3" t="n">
        <v>16</v>
      </c>
      <c r="E1895" s="3" t="n">
        <v>15</v>
      </c>
      <c r="F1895" s="3" t="n">
        <v>31.5</v>
      </c>
      <c r="G1895" s="3" t="n">
        <v>0</v>
      </c>
      <c r="H1895" s="3" t="n">
        <v>0</v>
      </c>
      <c r="I1895" s="3">
        <f>E1895+G1895+H1895</f>
        <v/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/>
      </c>
      <c r="K1895" s="3">
        <f>I1895-J1895</f>
        <v/>
      </c>
      <c r="L1895" s="3">
        <f>IF(K1895&lt;-5,"CRÍTICO",IF(K1895&lt;0,"ATENÇÃO",IF(K1895&lt;=5,"BOM","EXCELENTE")))</f>
        <v/>
      </c>
      <c r="M1895" s="3" t="n">
        <v>15</v>
      </c>
      <c r="N1895" s="3" t="n">
        <v>98.48</v>
      </c>
      <c r="O1895" s="12" t="n">
        <v>27.85388127853881</v>
      </c>
    </row>
    <row r="1896">
      <c r="A1896" s="10" t="n">
        <v>46059</v>
      </c>
      <c r="B1896" t="inlineStr">
        <is>
          <t>Kerollen Cristielly de Jesus Siqueira</t>
        </is>
      </c>
      <c r="C1896" s="1" t="inlineStr">
        <is>
          <t>Técnico III</t>
        </is>
      </c>
      <c r="D1896" s="3" t="n">
        <v>3</v>
      </c>
      <c r="E1896" s="3" t="n">
        <v>3</v>
      </c>
      <c r="F1896" s="3" t="n">
        <v>18.2</v>
      </c>
      <c r="G1896" s="3" t="n">
        <v>0</v>
      </c>
      <c r="H1896" s="3" t="n">
        <v>0</v>
      </c>
      <c r="I1896" s="3">
        <f>E1896+G1896+H1896</f>
        <v/>
      </c>
      <c r="J1896" s="3">
        <f>ROUND(MIN(IF(C1896="Técnico III",35,IF(C1896="Técnico II",28,IF(C1896="Técnico I",23,IF(C1896="JR",20,IF(C1896="Estágio",10,0))))),IF(C1896="Técnico III",SUMIFS($D:$D,$A:$A,$A1896,$B:$B,"&lt;&gt;Patrícia Karla de Sousa Araújo",$B:$B,"&lt;&gt;Lorena Dias de Araujo",$B:$B,"&lt;&gt;Lucas Luiz Romero")*(35/1083),IF(C1896="Técnico II",SUMIFS($D:$D,$A:$A,$A1896,$B:$B,"&lt;&gt;Patrícia Karla de Sousa Araújo",$B:$B,"&lt;&gt;Lorena Dias de Araujo",$B:$B,"&lt;&gt;Lucas Luiz Romero")*(28/1083),IF(C1896="Técnico I",SUMIFS($D:$D,$A:$A,$A1896,$B:$B,"&lt;&gt;Patrícia Karla de Sousa Araújo",$B:$B,"&lt;&gt;Lorena Dias de Araujo",$B:$B,"&lt;&gt;Lucas Luiz Romero")*(23/1083),IF(C1896="JR",SUMIFS($D:$D,$A:$A,$A1896,$B:$B,"&lt;&gt;Patrícia Karla de Sousa Araújo",$B:$B,"&lt;&gt;Lorena Dias de Araujo",$B:$B,"&lt;&gt;Lucas Luiz Romero")*(20/1083),IF(C1896="Estágio",SUMIFS($D:$D,$A:$A,$A1896,$B:$B,"&lt;&gt;Patrícia Karla de Sousa Araújo",$B:$B,"&lt;&gt;Lorena Dias de Araujo",$B:$B,"&lt;&gt;Lucas Luiz Romero")*(10/1083),0)))))),0)</f>
        <v/>
      </c>
      <c r="K1896" s="3">
        <f>I1896-J1896</f>
        <v/>
      </c>
      <c r="L1896" s="3">
        <f>IF(K1896&lt;-5,"CRÍTICO",IF(K1896&lt;0,"ATENÇÃO",IF(K1896&lt;=5,"BOM","EXCELENTE")))</f>
        <v/>
      </c>
      <c r="M1896" s="3" t="n">
        <v>27</v>
      </c>
      <c r="N1896" s="3" t="n">
        <v>95.15000000000001</v>
      </c>
      <c r="O1896" s="12" t="n">
        <v>34.13173652694611</v>
      </c>
    </row>
    <row r="1897">
      <c r="A1897" s="10" t="n">
        <v>46059</v>
      </c>
      <c r="B1897" t="inlineStr">
        <is>
          <t>Leandro de Souza Silva</t>
        </is>
      </c>
      <c r="C1897" s="1" t="inlineStr">
        <is>
          <t>JR</t>
        </is>
      </c>
      <c r="D1897" s="3" t="n">
        <v>0</v>
      </c>
      <c r="E1897" s="3" t="n">
        <v>0</v>
      </c>
      <c r="F1897" s="3" t="n">
        <v>0</v>
      </c>
      <c r="G1897" s="3" t="n">
        <v>0</v>
      </c>
      <c r="H1897" s="3" t="n">
        <v>0</v>
      </c>
      <c r="I1897" s="3" t="n">
        <v>0</v>
      </c>
      <c r="J1897" s="3" t="n">
        <v>0</v>
      </c>
      <c r="K1897" s="3" t="n">
        <v>0</v>
      </c>
      <c r="L1897" s="3">
        <f>IF(K1897&lt;-5,"CRÍTICO",IF(K1897&lt;0,"ATENÇÃO",IF(K1897&lt;=5,"BOM","EXCELENTE")))</f>
        <v/>
      </c>
      <c r="M1897" s="3" t="n">
        <v>0</v>
      </c>
      <c r="N1897" s="3" t="n">
        <v>0</v>
      </c>
      <c r="O1897" s="12" t="n">
        <v>0</v>
      </c>
    </row>
    <row r="1898">
      <c r="A1898" s="10" t="n">
        <v>46059</v>
      </c>
      <c r="B1898" t="inlineStr">
        <is>
          <t>Leandro Oliveira de Sousa</t>
        </is>
      </c>
      <c r="C1898" s="1" t="inlineStr">
        <is>
          <t>Técnico III</t>
        </is>
      </c>
      <c r="D1898" s="3" t="n">
        <v>26</v>
      </c>
      <c r="E1898" s="3" t="n">
        <v>24</v>
      </c>
      <c r="F1898" s="3" t="n">
        <v>24.01</v>
      </c>
      <c r="G1898" s="3" t="n">
        <v>0</v>
      </c>
      <c r="H1898" s="3" t="n">
        <v>0</v>
      </c>
      <c r="I1898" s="3">
        <f>E1898+G1898+H1898</f>
        <v/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/>
      </c>
      <c r="K1898" s="3">
        <f>I1898-J1898</f>
        <v/>
      </c>
      <c r="L1898" s="3">
        <f>IF(K1898&lt;-5,"CRÍTICO",IF(K1898&lt;0,"ATENÇÃO",IF(K1898&lt;=5,"BOM","EXCELENTE")))</f>
        <v/>
      </c>
      <c r="M1898" s="3" t="n">
        <v>22</v>
      </c>
      <c r="N1898" s="3" t="n">
        <v>99.26000000000001</v>
      </c>
      <c r="O1898" s="12" t="n">
        <v>30.84832904884319</v>
      </c>
    </row>
    <row r="1899">
      <c r="A1899" s="10" t="n">
        <v>46059</v>
      </c>
      <c r="B1899" t="inlineStr">
        <is>
          <t>Lizandra Gomes Duarte</t>
        </is>
      </c>
      <c r="C1899" s="1" t="inlineStr">
        <is>
          <t>Técnico II</t>
        </is>
      </c>
      <c r="D1899" s="3" t="n">
        <v>38</v>
      </c>
      <c r="E1899" s="3" t="n">
        <v>29</v>
      </c>
      <c r="F1899" s="3" t="n">
        <v>15.05</v>
      </c>
      <c r="G1899" s="3" t="n">
        <v>0</v>
      </c>
      <c r="H1899" s="3" t="n">
        <v>0</v>
      </c>
      <c r="I1899" s="3">
        <f>E1899+G1899+H1899</f>
        <v/>
      </c>
      <c r="J1899" s="3">
        <f>ROUND(MIN(IF(C1899="Técnico III",35,IF(C1899="Técnico II",28,IF(C1899="Técnico I",23,IF(C1899="JR",20,IF(C1899="Estágio",10,0))))),IF(C1899="Técnico III",SUMIFS($D:$D,$A:$A,$A1899,$B:$B,"&lt;&gt;Patrícia Karla de Sousa Araújo",$B:$B,"&lt;&gt;Lorena Dias de Araujo",$B:$B,"&lt;&gt;Lucas Luiz Romero")*(35/1083),IF(C1899="Técnico II",SUMIFS($D:$D,$A:$A,$A1899,$B:$B,"&lt;&gt;Patrícia Karla de Sousa Araújo",$B:$B,"&lt;&gt;Lorena Dias de Araujo",$B:$B,"&lt;&gt;Lucas Luiz Romero")*(28/1083),IF(C1899="Técnico I",SUMIFS($D:$D,$A:$A,$A1899,$B:$B,"&lt;&gt;Patrícia Karla de Sousa Araújo",$B:$B,"&lt;&gt;Lorena Dias de Araujo",$B:$B,"&lt;&gt;Lucas Luiz Romero")*(23/1083),IF(C1899="JR",SUMIFS($D:$D,$A:$A,$A1899,$B:$B,"&lt;&gt;Patrícia Karla de Sousa Araújo",$B:$B,"&lt;&gt;Lorena Dias de Araujo",$B:$B,"&lt;&gt;Lucas Luiz Romero")*(20/1083),IF(C1899="Estágio",SUMIFS($D:$D,$A:$A,$A1899,$B:$B,"&lt;&gt;Patrícia Karla de Sousa Araújo",$B:$B,"&lt;&gt;Lorena Dias de Araujo",$B:$B,"&lt;&gt;Lucas Luiz Romero")*(10/1083),0)))))),0)</f>
        <v/>
      </c>
      <c r="K1899" s="3">
        <f>I1899-J1899</f>
        <v/>
      </c>
      <c r="L1899" s="3">
        <f>IF(K1899&lt;-5,"CRÍTICO",IF(K1899&lt;0,"ATENÇÃO",IF(K1899&lt;=5,"BOM","EXCELENTE")))</f>
        <v/>
      </c>
      <c r="M1899" s="3" t="n">
        <v>20</v>
      </c>
      <c r="N1899" s="3" t="n">
        <v>97.48</v>
      </c>
      <c r="O1899" s="12" t="n">
        <v>27.76470588235294</v>
      </c>
    </row>
    <row r="1900">
      <c r="A1900" s="10" t="n">
        <v>46059</v>
      </c>
      <c r="B1900" t="inlineStr">
        <is>
          <t>Lorena Dias de Araujo</t>
        </is>
      </c>
      <c r="C1900" s="1" t="inlineStr">
        <is>
          <t>Técnico II</t>
        </is>
      </c>
      <c r="D1900" s="3" t="n">
        <v>41</v>
      </c>
      <c r="E1900" s="3" t="n">
        <v>38</v>
      </c>
      <c r="F1900" s="3" t="n">
        <v>15.12</v>
      </c>
      <c r="G1900" s="3" t="n">
        <v>0</v>
      </c>
      <c r="H1900" s="3" t="n">
        <v>0</v>
      </c>
      <c r="I1900" s="3" t="n">
        <v>0</v>
      </c>
      <c r="J1900" s="3" t="n">
        <v>0</v>
      </c>
      <c r="K1900" s="3" t="n">
        <v>0</v>
      </c>
      <c r="L1900" s="3">
        <f>IF(K1900&lt;-5,"CRÍTICO",IF(K1900&lt;0,"ATENÇÃO",IF(K1900&lt;=5,"BOM","EXCELENTE")))</f>
        <v/>
      </c>
      <c r="M1900" s="3" t="n">
        <v>33</v>
      </c>
      <c r="N1900" s="3" t="n">
        <v>99.34</v>
      </c>
      <c r="O1900" s="12" t="n">
        <v>30.04291845493562</v>
      </c>
    </row>
    <row r="1901">
      <c r="A1901" s="10" t="n">
        <v>46059</v>
      </c>
      <c r="B1901" t="inlineStr">
        <is>
          <t>Lucas Luiz Romero</t>
        </is>
      </c>
      <c r="C1901" s="1" t="inlineStr">
        <is>
          <t>Técnico III</t>
        </is>
      </c>
      <c r="D1901" s="3" t="n">
        <v>42</v>
      </c>
      <c r="E1901" s="3" t="n">
        <v>27</v>
      </c>
      <c r="F1901" s="3" t="n">
        <v>11.53</v>
      </c>
      <c r="G1901" s="3" t="n">
        <v>0</v>
      </c>
      <c r="H1901" s="3" t="n">
        <v>0</v>
      </c>
      <c r="I1901" s="3">
        <f>E1901+G1901+H1901</f>
        <v/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/>
      </c>
      <c r="K1901" s="3">
        <f>I1901-J1901</f>
        <v/>
      </c>
      <c r="L1901" s="3">
        <f>IF(K1901&lt;-5,"CRÍTICO",IF(K1901&lt;0,"ATENÇÃO",IF(K1901&lt;=5,"BOM","EXCELENTE")))</f>
        <v/>
      </c>
      <c r="M1901" s="3" t="n">
        <v>19</v>
      </c>
      <c r="N1901" s="3" t="n">
        <v>96.3</v>
      </c>
      <c r="O1901" s="12" t="n">
        <v>24.29378531073446</v>
      </c>
    </row>
    <row r="1902">
      <c r="A1902" s="10" t="n">
        <v>46059</v>
      </c>
      <c r="B1902" t="inlineStr">
        <is>
          <t>Luiz Fernando de Carvalho Junior</t>
        </is>
      </c>
      <c r="C1902" s="1" t="inlineStr">
        <is>
          <t>Técnico I</t>
        </is>
      </c>
      <c r="D1902" s="3" t="n">
        <v>34</v>
      </c>
      <c r="E1902" s="3" t="n">
        <v>32</v>
      </c>
      <c r="F1902" s="3" t="n">
        <v>18.45</v>
      </c>
      <c r="G1902" s="3" t="n">
        <v>0</v>
      </c>
      <c r="H1902" s="3" t="n">
        <v>0</v>
      </c>
      <c r="I1902" s="3">
        <f>E1902+G1902+H1902</f>
        <v/>
      </c>
      <c r="J1902" s="3">
        <f>ROUND(MIN(IF(C1902="Técnico III",35,IF(C1902="Técnico II",28,IF(C1902="Técnico I",23,IF(C1902="JR",20,IF(C1902="Estágio",10,0))))),IF(C1902="Técnico III",SUMIFS($D:$D,$A:$A,$A1902,$B:$B,"&lt;&gt;Patrícia Karla de Sousa Araújo",$B:$B,"&lt;&gt;Lorena Dias de Araujo",$B:$B,"&lt;&gt;Lucas Luiz Romero")*(35/1083),IF(C1902="Técnico II",SUMIFS($D:$D,$A:$A,$A1902,$B:$B,"&lt;&gt;Patrícia Karla de Sousa Araújo",$B:$B,"&lt;&gt;Lorena Dias de Araujo",$B:$B,"&lt;&gt;Lucas Luiz Romero")*(28/1083),IF(C1902="Técnico I",SUMIFS($D:$D,$A:$A,$A1902,$B:$B,"&lt;&gt;Patrícia Karla de Sousa Araújo",$B:$B,"&lt;&gt;Lorena Dias de Araujo",$B:$B,"&lt;&gt;Lucas Luiz Romero")*(23/1083),IF(C1902="JR",SUMIFS($D:$D,$A:$A,$A1902,$B:$B,"&lt;&gt;Patrícia Karla de Sousa Araújo",$B:$B,"&lt;&gt;Lorena Dias de Araujo",$B:$B,"&lt;&gt;Lucas Luiz Romero")*(20/1083),IF(C1902="Estágio",SUMIFS($D:$D,$A:$A,$A1902,$B:$B,"&lt;&gt;Patrícia Karla de Sousa Araújo",$B:$B,"&lt;&gt;Lorena Dias de Araujo",$B:$B,"&lt;&gt;Lucas Luiz Romero")*(10/1083),0)))))),0)</f>
        <v/>
      </c>
      <c r="K1902" s="3">
        <f>I1902-J1902</f>
        <v/>
      </c>
      <c r="L1902" s="3">
        <f>IF(K1902&lt;-5,"CRÍTICO",IF(K1902&lt;0,"ATENÇÃO",IF(K1902&lt;=5,"BOM","EXCELENTE")))</f>
        <v/>
      </c>
      <c r="M1902" s="3" t="n">
        <v>32</v>
      </c>
      <c r="N1902" s="3" t="n">
        <v>100</v>
      </c>
      <c r="O1902" s="12" t="n">
        <v>26.54320987654321</v>
      </c>
    </row>
    <row r="1903">
      <c r="A1903" s="10" t="n">
        <v>46059</v>
      </c>
      <c r="B1903" t="inlineStr">
        <is>
          <t>Maria Eduarda Sousa Costa</t>
        </is>
      </c>
      <c r="C1903" s="1" t="inlineStr">
        <is>
          <t>Estágio</t>
        </is>
      </c>
      <c r="D1903" s="3" t="n">
        <v>74</v>
      </c>
      <c r="E1903" s="3" t="n">
        <v>33</v>
      </c>
      <c r="F1903" s="3" t="n">
        <v>3.27</v>
      </c>
      <c r="G1903" s="3" t="n">
        <v>0</v>
      </c>
      <c r="H1903" s="3" t="n">
        <v>0</v>
      </c>
      <c r="I1903" s="3">
        <f>E1903+G1903+H1903</f>
        <v/>
      </c>
      <c r="J1903" s="3">
        <f>ROUND(MIN(IF(C1903="Técnico III",35,IF(C1903="Técnico II",28,IF(C1903="Técnico I",23,IF(C1903="JR",20,IF(C1903="Estágio",10,0))))),IF(C1903="Técnico III",SUMIFS($D:$D,$A:$A,$A1903,$B:$B,"&lt;&gt;Patrícia Karla de Sousa Araújo",$B:$B,"&lt;&gt;Lorena Dias de Araujo",$B:$B,"&lt;&gt;Lucas Luiz Romero")*(35/1083),IF(C1903="Técnico II",SUMIFS($D:$D,$A:$A,$A1903,$B:$B,"&lt;&gt;Patrícia Karla de Sousa Araújo",$B:$B,"&lt;&gt;Lorena Dias de Araujo",$B:$B,"&lt;&gt;Lucas Luiz Romero")*(28/1083),IF(C1903="Técnico I",SUMIFS($D:$D,$A:$A,$A1903,$B:$B,"&lt;&gt;Patrícia Karla de Sousa Araújo",$B:$B,"&lt;&gt;Lorena Dias de Araujo",$B:$B,"&lt;&gt;Lucas Luiz Romero")*(23/1083),IF(C1903="JR",SUMIFS($D:$D,$A:$A,$A1903,$B:$B,"&lt;&gt;Patrícia Karla de Sousa Araújo",$B:$B,"&lt;&gt;Lorena Dias de Araujo",$B:$B,"&lt;&gt;Lucas Luiz Romero")*(20/1083),IF(C1903="Estágio",SUMIFS($D:$D,$A:$A,$A1903,$B:$B,"&lt;&gt;Patrícia Karla de Sousa Araújo",$B:$B,"&lt;&gt;Lorena Dias de Araujo",$B:$B,"&lt;&gt;Lucas Luiz Romero")*(10/1083),0)))))),0)</f>
        <v/>
      </c>
      <c r="K1903" s="3">
        <f>I1903-J1903</f>
        <v/>
      </c>
      <c r="L1903" s="3">
        <f>IF(K1903&lt;-5,"CRÍTICO",IF(K1903&lt;0,"ATENÇÃO",IF(K1903&lt;=5,"BOM","EXCELENTE")))</f>
        <v/>
      </c>
      <c r="M1903" s="3" t="n">
        <v>0</v>
      </c>
      <c r="N1903" s="3" t="n">
        <v>100</v>
      </c>
      <c r="O1903" s="12" t="n">
        <v>35.48387096774194</v>
      </c>
    </row>
    <row r="1904">
      <c r="A1904" s="10" t="n">
        <v>46059</v>
      </c>
      <c r="B1904" t="inlineStr">
        <is>
          <t>Matheus Farias De Souza</t>
        </is>
      </c>
      <c r="C1904" s="1" t="inlineStr">
        <is>
          <t>Técnico III</t>
        </is>
      </c>
      <c r="D1904" s="3" t="n">
        <v>42</v>
      </c>
      <c r="E1904" s="3" t="n">
        <v>40</v>
      </c>
      <c r="F1904" s="3" t="n">
        <v>13.59</v>
      </c>
      <c r="G1904" s="3" t="n">
        <v>0</v>
      </c>
      <c r="H1904" s="3" t="n">
        <v>0</v>
      </c>
      <c r="I1904" s="3">
        <f>E1904+G1904+H1904</f>
        <v/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/>
      </c>
      <c r="K1904" s="3">
        <f>I1904-J1904</f>
        <v/>
      </c>
      <c r="L1904" s="3">
        <f>IF(K1904&lt;-5,"CRÍTICO",IF(K1904&lt;0,"ATENÇÃO",IF(K1904&lt;=5,"BOM","EXCELENTE")))</f>
        <v/>
      </c>
      <c r="M1904" s="3" t="n">
        <v>38</v>
      </c>
      <c r="N1904" s="3" t="n">
        <v>99.27</v>
      </c>
      <c r="O1904" s="12" t="n">
        <v>31.16370808678501</v>
      </c>
    </row>
    <row r="1905">
      <c r="A1905" s="10" t="n">
        <v>46059</v>
      </c>
      <c r="B1905" t="inlineStr">
        <is>
          <t>Maysa Victoria Dias Moura</t>
        </is>
      </c>
      <c r="C1905" s="1" t="inlineStr">
        <is>
          <t>Técnico III</t>
        </is>
      </c>
      <c r="D1905" s="3" t="n">
        <v>27</v>
      </c>
      <c r="E1905" s="3" t="n">
        <v>25</v>
      </c>
      <c r="F1905" s="3" t="n">
        <v>20.44</v>
      </c>
      <c r="G1905" s="3" t="n">
        <v>0</v>
      </c>
      <c r="H1905" s="3" t="n">
        <v>0</v>
      </c>
      <c r="I1905" s="3">
        <f>E1905+G1905+H1905</f>
        <v/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/>
      </c>
      <c r="K1905" s="3">
        <f>I1905-J1905</f>
        <v/>
      </c>
      <c r="L1905" s="3">
        <f>IF(K1905&lt;-5,"CRÍTICO",IF(K1905&lt;0,"ATENÇÃO",IF(K1905&lt;=5,"BOM","EXCELENTE")))</f>
        <v/>
      </c>
      <c r="M1905" s="3" t="n">
        <v>22</v>
      </c>
      <c r="N1905" s="3" t="n">
        <v>94.16</v>
      </c>
      <c r="O1905" s="12" t="n">
        <v>27.03862660944206</v>
      </c>
    </row>
    <row r="1906">
      <c r="A1906" s="10" t="n">
        <v>46059</v>
      </c>
      <c r="B1906" t="inlineStr">
        <is>
          <t>Michelle G Santos</t>
        </is>
      </c>
      <c r="C1906" s="1" t="inlineStr">
        <is>
          <t>Estágio</t>
        </is>
      </c>
      <c r="D1906" s="3" t="n">
        <v>13</v>
      </c>
      <c r="E1906" s="3" t="n">
        <v>11</v>
      </c>
      <c r="F1906" s="3" t="n">
        <v>57.38</v>
      </c>
      <c r="G1906" s="3" t="n">
        <v>0</v>
      </c>
      <c r="H1906" s="3" t="n">
        <v>0</v>
      </c>
      <c r="I1906" s="3">
        <f>E1906+G1906+H1906</f>
        <v/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/>
      </c>
      <c r="K1906" s="3">
        <f>I1906-J1906</f>
        <v/>
      </c>
      <c r="L1906" s="3">
        <f>IF(K1906&lt;-5,"CRÍTICO",IF(K1906&lt;0,"ATENÇÃO",IF(K1906&lt;=5,"BOM","EXCELENTE")))</f>
        <v/>
      </c>
      <c r="M1906" s="3" t="n">
        <v>5</v>
      </c>
      <c r="N1906" s="3" t="n">
        <v>93.75</v>
      </c>
      <c r="O1906" s="12" t="n">
        <v>19.31818181818182</v>
      </c>
    </row>
    <row r="1907">
      <c r="A1907" s="10" t="n">
        <v>46059</v>
      </c>
      <c r="B1907" t="inlineStr">
        <is>
          <t>Milena Sales</t>
        </is>
      </c>
      <c r="C1907" s="1" t="inlineStr">
        <is>
          <t>JR</t>
        </is>
      </c>
      <c r="D1907" s="3" t="n">
        <v>0</v>
      </c>
      <c r="E1907" s="3" t="n">
        <v>0</v>
      </c>
      <c r="F1907" s="3" t="n">
        <v>0</v>
      </c>
      <c r="G1907" s="3" t="n">
        <v>0</v>
      </c>
      <c r="H1907" s="3" t="n">
        <v>0</v>
      </c>
      <c r="I1907" s="3" t="n">
        <v>0</v>
      </c>
      <c r="J1907" s="3" t="n">
        <v>0</v>
      </c>
      <c r="K1907" s="3" t="n">
        <v>0</v>
      </c>
      <c r="L1907" s="3">
        <f>IF(K1907&lt;-5,"CRÍTICO",IF(K1907&lt;0,"ATENÇÃO",IF(K1907&lt;=5,"BOM","EXCELENTE")))</f>
        <v/>
      </c>
      <c r="M1907" s="3" t="n">
        <v>0</v>
      </c>
      <c r="N1907" s="3" t="n">
        <v>0</v>
      </c>
      <c r="O1907" s="12" t="n">
        <v>0</v>
      </c>
    </row>
    <row r="1908">
      <c r="A1908" s="10" t="n">
        <v>46059</v>
      </c>
      <c r="B1908" t="inlineStr">
        <is>
          <t>Patrícia Karla de Sousa Araújo</t>
        </is>
      </c>
      <c r="C1908" s="1" t="inlineStr">
        <is>
          <t>Técnico II</t>
        </is>
      </c>
      <c r="D1908" s="3" t="n">
        <v>0</v>
      </c>
      <c r="E1908" s="3" t="n">
        <v>0</v>
      </c>
      <c r="F1908" s="3" t="n">
        <v>0</v>
      </c>
      <c r="G1908" s="3" t="n">
        <v>0</v>
      </c>
      <c r="H1908" s="3" t="n">
        <v>0</v>
      </c>
      <c r="I1908" s="3" t="n">
        <v>0</v>
      </c>
      <c r="J1908" s="3" t="n">
        <v>0</v>
      </c>
      <c r="K1908" s="3" t="n">
        <v>0</v>
      </c>
      <c r="L1908" s="3">
        <f>IF(K1908&lt;-5,"CRÍTICO",IF(K1908&lt;0,"ATENÇÃO",IF(K1908&lt;=5,"BOM","EXCELENTE")))</f>
        <v/>
      </c>
      <c r="M1908" s="3" t="n">
        <v>0</v>
      </c>
      <c r="N1908" s="3" t="n">
        <v>97.92</v>
      </c>
      <c r="O1908" s="12" t="n">
        <v>32.87671232876712</v>
      </c>
    </row>
    <row r="1909">
      <c r="A1909" s="10" t="n">
        <v>46059</v>
      </c>
      <c r="B1909" t="inlineStr">
        <is>
          <t>Paulo Ricardo Santos</t>
        </is>
      </c>
      <c r="C1909" s="1" t="inlineStr">
        <is>
          <t>JR</t>
        </is>
      </c>
      <c r="D1909" s="3" t="n">
        <v>0</v>
      </c>
      <c r="E1909" s="3" t="n">
        <v>0</v>
      </c>
      <c r="F1909" s="3" t="n">
        <v>0</v>
      </c>
      <c r="G1909" s="3" t="n">
        <v>0</v>
      </c>
      <c r="H1909" s="3" t="n">
        <v>0</v>
      </c>
      <c r="I1909" s="3" t="n">
        <v>0</v>
      </c>
      <c r="J1909" s="3" t="n">
        <v>0</v>
      </c>
      <c r="K1909" s="3" t="n">
        <v>0</v>
      </c>
      <c r="L1909" s="3">
        <f>IF(K1909&lt;-5,"CRÍTICO",IF(K1909&lt;0,"ATENÇÃO",IF(K1909&lt;=5,"BOM","EXCELENTE")))</f>
        <v/>
      </c>
      <c r="M1909" s="3" t="n">
        <v>0</v>
      </c>
      <c r="N1909" s="3" t="n">
        <v>0</v>
      </c>
      <c r="O1909" s="12" t="n">
        <v>0</v>
      </c>
    </row>
    <row r="1910">
      <c r="A1910" s="10" t="n">
        <v>46059</v>
      </c>
      <c r="B1910" t="inlineStr">
        <is>
          <t>Pedro Luiz Mota Sousa</t>
        </is>
      </c>
      <c r="C1910" s="1" t="inlineStr">
        <is>
          <t>JR</t>
        </is>
      </c>
      <c r="D1910" s="3" t="n">
        <v>0</v>
      </c>
      <c r="E1910" s="3" t="n">
        <v>0</v>
      </c>
      <c r="F1910" s="3" t="n">
        <v>0</v>
      </c>
      <c r="G1910" s="3" t="n">
        <v>0</v>
      </c>
      <c r="H1910" s="3" t="n">
        <v>0</v>
      </c>
      <c r="I1910" s="3" t="n">
        <v>0</v>
      </c>
      <c r="J1910" s="3" t="n">
        <v>0</v>
      </c>
      <c r="K1910" s="3" t="n">
        <v>0</v>
      </c>
      <c r="L1910" s="3">
        <f>IF(K1910&lt;-5,"CRÍTICO",IF(K1910&lt;0,"ATENÇÃO",IF(K1910&lt;=5,"BOM","EXCELENTE")))</f>
        <v/>
      </c>
      <c r="M1910" s="3" t="n">
        <v>0</v>
      </c>
      <c r="N1910" s="3" t="n">
        <v>0</v>
      </c>
      <c r="O1910" s="12" t="n">
        <v>0</v>
      </c>
    </row>
    <row r="1911">
      <c r="A1911" s="10" t="n">
        <v>46059</v>
      </c>
      <c r="B1911" t="inlineStr">
        <is>
          <t>Quirino Diogo Leite Torres</t>
        </is>
      </c>
      <c r="C1911" s="1" t="inlineStr">
        <is>
          <t>Estágio</t>
        </is>
      </c>
      <c r="D1911" s="3" t="n">
        <v>0</v>
      </c>
      <c r="E1911" s="3" t="n">
        <v>0</v>
      </c>
      <c r="F1911" s="3" t="n">
        <v>0</v>
      </c>
      <c r="G1911" s="3" t="n">
        <v>0</v>
      </c>
      <c r="H1911" s="3" t="n">
        <v>0</v>
      </c>
      <c r="I1911" s="3" t="n">
        <v>0</v>
      </c>
      <c r="J1911" s="3" t="n">
        <v>0</v>
      </c>
      <c r="K1911" s="3" t="n">
        <v>0</v>
      </c>
      <c r="L1911" s="3">
        <f>IF(K1911&lt;-5,"CRÍTICO",IF(K1911&lt;0,"ATENÇÃO",IF(K1911&lt;=5,"BOM","EXCELENTE")))</f>
        <v/>
      </c>
      <c r="M1911" s="3" t="n">
        <v>0</v>
      </c>
      <c r="N1911" s="3" t="n">
        <v>0</v>
      </c>
      <c r="O1911" s="12" t="n">
        <v>0</v>
      </c>
    </row>
    <row r="1912">
      <c r="A1912" s="10" t="n">
        <v>46059</v>
      </c>
      <c r="B1912" t="inlineStr">
        <is>
          <t>Raane Batista Matos</t>
        </is>
      </c>
      <c r="C1912" s="1" t="inlineStr">
        <is>
          <t>Técnico I</t>
        </is>
      </c>
      <c r="D1912" s="3" t="n">
        <v>15</v>
      </c>
      <c r="E1912" s="3" t="n">
        <v>13</v>
      </c>
      <c r="F1912" s="3" t="n">
        <v>48.42</v>
      </c>
      <c r="G1912" s="3" t="n">
        <v>0</v>
      </c>
      <c r="H1912" s="3" t="n">
        <v>0</v>
      </c>
      <c r="I1912" s="3">
        <f>E1912+G1912+H1912</f>
        <v/>
      </c>
      <c r="J1912" s="3">
        <f>ROUND(MIN(IF(C1912="Técnico III",35,IF(C1912="Técnico II",28,IF(C1912="Técnico I",23,IF(C1912="JR",20,IF(C1912="Estágio",10,0))))),IF(C1912="Técnico III",SUMIFS($D:$D,$A:$A,$A1912,$B:$B,"&lt;&gt;Patrícia Karla de Sousa Araújo",$B:$B,"&lt;&gt;Lorena Dias de Araujo",$B:$B,"&lt;&gt;Lucas Luiz Romero")*(35/1083),IF(C1912="Técnico II",SUMIFS($D:$D,$A:$A,$A1912,$B:$B,"&lt;&gt;Patrícia Karla de Sousa Araújo",$B:$B,"&lt;&gt;Lorena Dias de Araujo",$B:$B,"&lt;&gt;Lucas Luiz Romero")*(28/1083),IF(C1912="Técnico I",SUMIFS($D:$D,$A:$A,$A1912,$B:$B,"&lt;&gt;Patrícia Karla de Sousa Araújo",$B:$B,"&lt;&gt;Lorena Dias de Araujo",$B:$B,"&lt;&gt;Lucas Luiz Romero")*(23/1083),IF(C1912="JR",SUMIFS($D:$D,$A:$A,$A1912,$B:$B,"&lt;&gt;Patrícia Karla de Sousa Araújo",$B:$B,"&lt;&gt;Lorena Dias de Araujo",$B:$B,"&lt;&gt;Lucas Luiz Romero")*(20/1083),IF(C1912="Estágio",SUMIFS($D:$D,$A:$A,$A1912,$B:$B,"&lt;&gt;Patrícia Karla de Sousa Araújo",$B:$B,"&lt;&gt;Lorena Dias de Araujo",$B:$B,"&lt;&gt;Lucas Luiz Romero")*(10/1083),0)))))),0)</f>
        <v/>
      </c>
      <c r="K1912" s="3">
        <f>I1912-J1912</f>
        <v/>
      </c>
      <c r="L1912" s="3">
        <f>IF(K1912&lt;-5,"CRÍTICO",IF(K1912&lt;0,"ATENÇÃO",IF(K1912&lt;=5,"BOM","EXCELENTE")))</f>
        <v/>
      </c>
      <c r="M1912" s="3" t="n">
        <v>12</v>
      </c>
      <c r="N1912" s="3" t="n">
        <v>98.51000000000001</v>
      </c>
      <c r="O1912" s="12" t="n">
        <v>29.71014492753623</v>
      </c>
    </row>
    <row r="1913">
      <c r="A1913" s="10" t="n">
        <v>46059</v>
      </c>
      <c r="B1913" t="inlineStr">
        <is>
          <t>Rafael Gomes de Morais</t>
        </is>
      </c>
      <c r="C1913" s="1" t="inlineStr">
        <is>
          <t>Técnico III</t>
        </is>
      </c>
      <c r="D1913" s="3" t="n">
        <v>32</v>
      </c>
      <c r="E1913" s="3" t="n">
        <v>27</v>
      </c>
      <c r="F1913" s="3" t="n">
        <v>13.39</v>
      </c>
      <c r="G1913" s="3" t="n">
        <v>0</v>
      </c>
      <c r="H1913" s="3" t="n">
        <v>0</v>
      </c>
      <c r="I1913" s="3">
        <f>E1913+G1913+H1913</f>
        <v/>
      </c>
      <c r="J1913" s="3">
        <f>ROUND(MIN(IF(C1913="Técnico III",35,IF(C1913="Técnico II",28,IF(C1913="Técnico I",23,IF(C1913="JR",20,IF(C1913="Estágio",10,0))))),IF(C1913="Técnico III",SUMIFS($D:$D,$A:$A,$A1913,$B:$B,"&lt;&gt;Patrícia Karla de Sousa Araújo",$B:$B,"&lt;&gt;Lorena Dias de Araujo",$B:$B,"&lt;&gt;Lucas Luiz Romero")*(35/1083),IF(C1913="Técnico II",SUMIFS($D:$D,$A:$A,$A1913,$B:$B,"&lt;&gt;Patrícia Karla de Sousa Araújo",$B:$B,"&lt;&gt;Lorena Dias de Araujo",$B:$B,"&lt;&gt;Lucas Luiz Romero")*(28/1083),IF(C1913="Técnico I",SUMIFS($D:$D,$A:$A,$A1913,$B:$B,"&lt;&gt;Patrícia Karla de Sousa Araújo",$B:$B,"&lt;&gt;Lorena Dias de Araujo",$B:$B,"&lt;&gt;Lucas Luiz Romero")*(23/1083),IF(C1913="JR",SUMIFS($D:$D,$A:$A,$A1913,$B:$B,"&lt;&gt;Patrícia Karla de Sousa Araújo",$B:$B,"&lt;&gt;Lorena Dias de Araujo",$B:$B,"&lt;&gt;Lucas Luiz Romero")*(20/1083),IF(C1913="Estágio",SUMIFS($D:$D,$A:$A,$A1913,$B:$B,"&lt;&gt;Patrícia Karla de Sousa Araújo",$B:$B,"&lt;&gt;Lorena Dias de Araujo",$B:$B,"&lt;&gt;Lucas Luiz Romero")*(10/1083),0)))))),0)</f>
        <v/>
      </c>
      <c r="K1913" s="3">
        <f>I1913-J1913</f>
        <v/>
      </c>
      <c r="L1913" s="3">
        <f>IF(K1913&lt;-5,"CRÍTICO",IF(K1913&lt;0,"ATENÇÃO",IF(K1913&lt;=5,"BOM","EXCELENTE")))</f>
        <v/>
      </c>
      <c r="M1913" s="3" t="n">
        <v>21</v>
      </c>
      <c r="N1913" s="3" t="n">
        <v>98.81</v>
      </c>
      <c r="O1913" s="12" t="n">
        <v>30.71297989031079</v>
      </c>
    </row>
    <row r="1914">
      <c r="A1914" s="10" t="n">
        <v>46059</v>
      </c>
      <c r="B1914" t="inlineStr">
        <is>
          <t>Sara Maria Monteiro Lopes</t>
        </is>
      </c>
      <c r="C1914" s="1" t="inlineStr">
        <is>
          <t>Técnico I</t>
        </is>
      </c>
      <c r="D1914" s="3" t="n">
        <v>17</v>
      </c>
      <c r="E1914" s="3" t="n">
        <v>17</v>
      </c>
      <c r="F1914" s="3" t="n">
        <v>32.31</v>
      </c>
      <c r="G1914" s="3" t="n">
        <v>0</v>
      </c>
      <c r="H1914" s="3" t="n">
        <v>0</v>
      </c>
      <c r="I1914" s="3">
        <f>E1914+G1914+H1914</f>
        <v/>
      </c>
      <c r="J1914" s="3">
        <f>ROUND(MIN(IF(C1914="Técnico III",35,IF(C1914="Técnico II",28,IF(C1914="Técnico I",23,IF(C1914="JR",20,IF(C1914="Estágio",10,0))))),IF(C1914="Técnico III",SUMIFS($D:$D,$A:$A,$A1914,$B:$B,"&lt;&gt;Patrícia Karla de Sousa Araújo",$B:$B,"&lt;&gt;Lorena Dias de Araujo",$B:$B,"&lt;&gt;Lucas Luiz Romero")*(35/1083),IF(C1914="Técnico II",SUMIFS($D:$D,$A:$A,$A1914,$B:$B,"&lt;&gt;Patrícia Karla de Sousa Araújo",$B:$B,"&lt;&gt;Lorena Dias de Araujo",$B:$B,"&lt;&gt;Lucas Luiz Romero")*(28/1083),IF(C1914="Técnico I",SUMIFS($D:$D,$A:$A,$A1914,$B:$B,"&lt;&gt;Patrícia Karla de Sousa Araújo",$B:$B,"&lt;&gt;Lorena Dias de Araujo",$B:$B,"&lt;&gt;Lucas Luiz Romero")*(23/1083),IF(C1914="JR",SUMIFS($D:$D,$A:$A,$A1914,$B:$B,"&lt;&gt;Patrícia Karla de Sousa Araújo",$B:$B,"&lt;&gt;Lorena Dias de Araujo",$B:$B,"&lt;&gt;Lucas Luiz Romero")*(20/1083),IF(C1914="Estágio",SUMIFS($D:$D,$A:$A,$A1914,$B:$B,"&lt;&gt;Patrícia Karla de Sousa Araújo",$B:$B,"&lt;&gt;Lorena Dias de Araujo",$B:$B,"&lt;&gt;Lucas Luiz Romero")*(10/1083),0)))))),0)</f>
        <v/>
      </c>
      <c r="K1914" s="3">
        <f>I1914-J1914</f>
        <v/>
      </c>
      <c r="L1914" s="3">
        <f>IF(K1914&lt;-5,"CRÍTICO",IF(K1914&lt;0,"ATENÇÃO",IF(K1914&lt;=5,"BOM","EXCELENTE")))</f>
        <v/>
      </c>
      <c r="M1914" s="3" t="n">
        <v>15</v>
      </c>
      <c r="N1914" s="3" t="n">
        <v>98.48</v>
      </c>
      <c r="O1914" s="12" t="n">
        <v>29.35323383084577</v>
      </c>
    </row>
    <row r="1915">
      <c r="A1915" s="10" t="n">
        <v>46059</v>
      </c>
      <c r="B1915" t="inlineStr">
        <is>
          <t>Sarah Steffanie de Lima Borges</t>
        </is>
      </c>
      <c r="C1915" s="1" t="inlineStr">
        <is>
          <t>Técnico III</t>
        </is>
      </c>
      <c r="D1915" s="3" t="n">
        <v>40</v>
      </c>
      <c r="E1915" s="3" t="n">
        <v>40</v>
      </c>
      <c r="F1915" s="3" t="n">
        <v>13.29</v>
      </c>
      <c r="G1915" s="3" t="n">
        <v>0</v>
      </c>
      <c r="H1915" s="3" t="n">
        <v>0</v>
      </c>
      <c r="I1915" s="3">
        <f>E1915+G1915+H1915</f>
        <v/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/>
      </c>
      <c r="K1915" s="3">
        <f>I1915-J1915</f>
        <v/>
      </c>
      <c r="L1915" s="3">
        <f>IF(K1915&lt;-5,"CRÍTICO",IF(K1915&lt;0,"ATENÇÃO",IF(K1915&lt;=5,"BOM","EXCELENTE")))</f>
        <v/>
      </c>
      <c r="M1915" s="3" t="n">
        <v>37</v>
      </c>
      <c r="N1915" s="3" t="n">
        <v>98.56</v>
      </c>
      <c r="O1915" s="12" t="n">
        <v>29.37365010799136</v>
      </c>
    </row>
    <row r="1916">
      <c r="A1916" s="10" t="n">
        <v>46062</v>
      </c>
      <c r="B1916" t="inlineStr">
        <is>
          <t>Alisson de Freitas Silva</t>
        </is>
      </c>
      <c r="C1916" s="1" t="inlineStr">
        <is>
          <t>Técnico II</t>
        </is>
      </c>
      <c r="D1916" s="3" t="n">
        <v>31</v>
      </c>
      <c r="E1916" s="3" t="n">
        <v>28</v>
      </c>
      <c r="F1916" s="3" t="n">
        <v>13.22</v>
      </c>
      <c r="G1916" s="3" t="n">
        <v>0</v>
      </c>
      <c r="H1916" s="3" t="n">
        <v>0</v>
      </c>
      <c r="I1916" s="3">
        <f>E1916+G1916+H1916</f>
        <v/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/>
      </c>
      <c r="K1916" s="3">
        <f>I1916-J1916</f>
        <v/>
      </c>
      <c r="L1916" s="3">
        <f>IF(K1916&lt;-5,"CRÍTICO",IF(K1916&lt;0,"ATENÇÃO",IF(K1916&lt;=5,"BOM","EXCELENTE")))</f>
        <v/>
      </c>
      <c r="M1916" s="3" t="n">
        <v>26</v>
      </c>
      <c r="N1916" s="3" t="n">
        <v>98.31999999999999</v>
      </c>
      <c r="O1916" s="12" t="n">
        <v>30.3030303030303</v>
      </c>
    </row>
    <row r="1917">
      <c r="A1917" s="10" t="n">
        <v>46062</v>
      </c>
      <c r="B1917" t="inlineStr">
        <is>
          <t>Amanda Moura Ferreira</t>
        </is>
      </c>
      <c r="C1917" s="1" t="inlineStr">
        <is>
          <t>Técnico III</t>
        </is>
      </c>
      <c r="D1917" s="3" t="n">
        <v>0</v>
      </c>
      <c r="E1917" s="3" t="n">
        <v>0</v>
      </c>
      <c r="F1917" s="3" t="n">
        <v>0</v>
      </c>
      <c r="G1917" s="3" t="n">
        <v>0</v>
      </c>
      <c r="H1917" s="3" t="n">
        <v>0</v>
      </c>
      <c r="I1917" s="3" t="n">
        <v>0</v>
      </c>
      <c r="J1917" s="3" t="n">
        <v>0</v>
      </c>
      <c r="K1917" s="3" t="n">
        <v>0</v>
      </c>
      <c r="L1917" s="3">
        <f>IF(K1917&lt;-5,"CRÍTICO",IF(K1917&lt;0,"ATENÇÃO",IF(K1917&lt;=5,"BOM","EXCELENTE")))</f>
        <v/>
      </c>
      <c r="M1917" s="3" t="n">
        <v>29</v>
      </c>
      <c r="N1917" s="3" t="n">
        <v>98.68000000000001</v>
      </c>
      <c r="O1917" s="12" t="n">
        <v>26.21951219512195</v>
      </c>
    </row>
    <row r="1918">
      <c r="A1918" s="10" t="n">
        <v>46062</v>
      </c>
      <c r="B1918" t="inlineStr">
        <is>
          <t>Ana Karollyne Souza Faria</t>
        </is>
      </c>
      <c r="C1918" s="1" t="inlineStr">
        <is>
          <t>Técnico I</t>
        </is>
      </c>
      <c r="D1918" s="3" t="n">
        <v>32</v>
      </c>
      <c r="E1918" s="3" t="n">
        <v>29</v>
      </c>
      <c r="F1918" s="3" t="n">
        <v>20.19</v>
      </c>
      <c r="G1918" s="3" t="n">
        <v>0</v>
      </c>
      <c r="H1918" s="3" t="n">
        <v>0</v>
      </c>
      <c r="I1918" s="3">
        <f>E1918+G1918+H1918</f>
        <v/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/>
      </c>
      <c r="K1918" s="3">
        <f>I1918-J1918</f>
        <v/>
      </c>
      <c r="L1918" s="3">
        <f>IF(K1918&lt;-5,"CRÍTICO",IF(K1918&lt;0,"ATENÇÃO",IF(K1918&lt;=5,"BOM","EXCELENTE")))</f>
        <v/>
      </c>
      <c r="M1918" s="3" t="n">
        <v>30</v>
      </c>
      <c r="N1918" s="3" t="n">
        <v>100</v>
      </c>
      <c r="O1918" s="12" t="n">
        <v>31.74224343675418</v>
      </c>
    </row>
    <row r="1919">
      <c r="A1919" s="10" t="n">
        <v>46062</v>
      </c>
      <c r="B1919" t="inlineStr">
        <is>
          <t>Ana Paula Da Luz Silva Aleixo</t>
        </is>
      </c>
      <c r="C1919" s="1" t="inlineStr">
        <is>
          <t>Técnico III</t>
        </is>
      </c>
      <c r="D1919" s="3" t="n">
        <v>25</v>
      </c>
      <c r="E1919" s="3" t="n">
        <v>23</v>
      </c>
      <c r="F1919" s="3" t="n">
        <v>19.03</v>
      </c>
      <c r="G1919" s="3" t="n">
        <v>0</v>
      </c>
      <c r="H1919" s="3" t="n">
        <v>0</v>
      </c>
      <c r="I1919" s="3">
        <f>E1919+G1919+H1919</f>
        <v/>
      </c>
      <c r="J1919" s="3">
        <f>ROUND(MIN(IF(C1919="Técnico III",35,IF(C1919="Técnico II",28,IF(C1919="Técnico I",23,IF(C1919="JR",20,IF(C1919="Estágio",10,0))))),IF(C1919="Técnico III",SUMIFS($D:$D,$A:$A,$A1919,$B:$B,"&lt;&gt;Patrícia Karla de Sousa Araújo",$B:$B,"&lt;&gt;Lorena Dias de Araujo",$B:$B,"&lt;&gt;Lucas Luiz Romero")*(35/1083),IF(C1919="Técnico II",SUMIFS($D:$D,$A:$A,$A1919,$B:$B,"&lt;&gt;Patrícia Karla de Sousa Araújo",$B:$B,"&lt;&gt;Lorena Dias de Araujo",$B:$B,"&lt;&gt;Lucas Luiz Romero")*(28/1083),IF(C1919="Técnico I",SUMIFS($D:$D,$A:$A,$A1919,$B:$B,"&lt;&gt;Patrícia Karla de Sousa Araújo",$B:$B,"&lt;&gt;Lorena Dias de Araujo",$B:$B,"&lt;&gt;Lucas Luiz Romero")*(23/1083),IF(C1919="JR",SUMIFS($D:$D,$A:$A,$A1919,$B:$B,"&lt;&gt;Patrícia Karla de Sousa Araújo",$B:$B,"&lt;&gt;Lorena Dias de Araujo",$B:$B,"&lt;&gt;Lucas Luiz Romero")*(20/1083),IF(C1919="Estágio",SUMIFS($D:$D,$A:$A,$A1919,$B:$B,"&lt;&gt;Patrícia Karla de Sousa Araújo",$B:$B,"&lt;&gt;Lorena Dias de Araujo",$B:$B,"&lt;&gt;Lucas Luiz Romero")*(10/1083),0)))))),0)</f>
        <v/>
      </c>
      <c r="K1919" s="3">
        <f>I1919-J1919</f>
        <v/>
      </c>
      <c r="L1919" s="3">
        <f>IF(K1919&lt;-5,"CRÍTICO",IF(K1919&lt;0,"ATENÇÃO",IF(K1919&lt;=5,"BOM","EXCELENTE")))</f>
        <v/>
      </c>
      <c r="M1919" s="3" t="n">
        <v>24</v>
      </c>
      <c r="N1919" s="3" t="n">
        <v>98.25</v>
      </c>
      <c r="O1919" s="12" t="n">
        <v>25.83518930957684</v>
      </c>
    </row>
    <row r="1920">
      <c r="A1920" s="10" t="n">
        <v>46062</v>
      </c>
      <c r="B1920" t="inlineStr">
        <is>
          <t>Anna Luiza Rezende Tavares</t>
        </is>
      </c>
      <c r="C1920" s="1" t="inlineStr">
        <is>
          <t>Estágio</t>
        </is>
      </c>
      <c r="D1920" s="3" t="n">
        <v>9</v>
      </c>
      <c r="E1920" s="3" t="n">
        <v>9</v>
      </c>
      <c r="F1920" s="3" t="n">
        <v>38.29</v>
      </c>
      <c r="G1920" s="3" t="n">
        <v>0</v>
      </c>
      <c r="H1920" s="3" t="n">
        <v>0</v>
      </c>
      <c r="I1920" s="3">
        <f>E1920+G1920+H1920</f>
        <v/>
      </c>
      <c r="J1920" s="3">
        <f>ROUND(MIN(IF(C1920="Técnico III",35,IF(C1920="Técnico II",28,IF(C1920="Técnico I",23,IF(C1920="JR",20,IF(C1920="Estágio",10,0))))),IF(C1920="Técnico III",SUMIFS($D:$D,$A:$A,$A1920,$B:$B,"&lt;&gt;Patrícia Karla de Sousa Araújo",$B:$B,"&lt;&gt;Lorena Dias de Araujo",$B:$B,"&lt;&gt;Lucas Luiz Romero")*(35/1083),IF(C1920="Técnico II",SUMIFS($D:$D,$A:$A,$A1920,$B:$B,"&lt;&gt;Patrícia Karla de Sousa Araújo",$B:$B,"&lt;&gt;Lorena Dias de Araujo",$B:$B,"&lt;&gt;Lucas Luiz Romero")*(28/1083),IF(C1920="Técnico I",SUMIFS($D:$D,$A:$A,$A1920,$B:$B,"&lt;&gt;Patrícia Karla de Sousa Araújo",$B:$B,"&lt;&gt;Lorena Dias de Araujo",$B:$B,"&lt;&gt;Lucas Luiz Romero")*(23/1083),IF(C1920="JR",SUMIFS($D:$D,$A:$A,$A1920,$B:$B,"&lt;&gt;Patrícia Karla de Sousa Araújo",$B:$B,"&lt;&gt;Lorena Dias de Araujo",$B:$B,"&lt;&gt;Lucas Luiz Romero")*(20/1083),IF(C1920="Estágio",SUMIFS($D:$D,$A:$A,$A1920,$B:$B,"&lt;&gt;Patrícia Karla de Sousa Araújo",$B:$B,"&lt;&gt;Lorena Dias de Araujo",$B:$B,"&lt;&gt;Lucas Luiz Romero")*(10/1083),0)))))),0)</f>
        <v/>
      </c>
      <c r="K1920" s="3">
        <f>I1920-J1920</f>
        <v/>
      </c>
      <c r="L1920" s="3">
        <f>IF(K1920&lt;-5,"CRÍTICO",IF(K1920&lt;0,"ATENÇÃO",IF(K1920&lt;=5,"BOM","EXCELENTE")))</f>
        <v/>
      </c>
      <c r="M1920" s="3" t="n">
        <v>5</v>
      </c>
      <c r="N1920" s="3" t="n">
        <v>97.5</v>
      </c>
      <c r="O1920" s="12" t="n">
        <v>30.07518796992481</v>
      </c>
    </row>
    <row r="1921">
      <c r="A1921" s="10" t="n">
        <v>46062</v>
      </c>
      <c r="B1921" t="inlineStr">
        <is>
          <t>Brenda de Menezes Silva</t>
        </is>
      </c>
      <c r="C1921" s="1" t="inlineStr">
        <is>
          <t>Técnico II</t>
        </is>
      </c>
      <c r="D1921" s="3" t="n">
        <v>26</v>
      </c>
      <c r="E1921" s="3" t="n">
        <v>24</v>
      </c>
      <c r="F1921" s="3" t="n">
        <v>17.3</v>
      </c>
      <c r="G1921" s="3" t="n">
        <v>0</v>
      </c>
      <c r="H1921" s="3" t="n">
        <v>0</v>
      </c>
      <c r="I1921" s="3">
        <f>E1921+G1921+H1921</f>
        <v/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/>
      </c>
      <c r="K1921" s="3">
        <f>I1921-J1921</f>
        <v/>
      </c>
      <c r="L1921" s="3">
        <f>IF(K1921&lt;-5,"CRÍTICO",IF(K1921&lt;0,"ATENÇÃO",IF(K1921&lt;=5,"BOM","EXCELENTE")))</f>
        <v/>
      </c>
      <c r="M1921" s="3" t="n">
        <v>26</v>
      </c>
      <c r="N1921" s="3" t="n">
        <v>100</v>
      </c>
      <c r="O1921" s="12" t="n">
        <v>29.71311475409836</v>
      </c>
    </row>
    <row r="1922">
      <c r="A1922" s="10" t="n">
        <v>46062</v>
      </c>
      <c r="B1922" t="inlineStr">
        <is>
          <t>Carlos Mateus Cassimiro Nunes</t>
        </is>
      </c>
      <c r="C1922" s="1" t="inlineStr">
        <is>
          <t>Técnico II</t>
        </is>
      </c>
      <c r="D1922" s="3" t="n">
        <v>21</v>
      </c>
      <c r="E1922" s="3" t="n">
        <v>21</v>
      </c>
      <c r="F1922" s="3" t="n">
        <v>37.3</v>
      </c>
      <c r="G1922" s="3" t="n">
        <v>0</v>
      </c>
      <c r="H1922" s="3" t="n">
        <v>0</v>
      </c>
      <c r="I1922" s="3">
        <f>E1922+G1922+H1922</f>
        <v/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/>
      </c>
      <c r="K1922" s="3">
        <f>I1922-J1922</f>
        <v/>
      </c>
      <c r="L1922" s="3">
        <f>IF(K1922&lt;-5,"CRÍTICO",IF(K1922&lt;0,"ATENÇÃO",IF(K1922&lt;=5,"BOM","EXCELENTE")))</f>
        <v/>
      </c>
      <c r="M1922" s="3" t="n">
        <v>22</v>
      </c>
      <c r="N1922" s="3" t="n">
        <v>99.22</v>
      </c>
      <c r="O1922" s="12" t="n">
        <v>35.25641025641026</v>
      </c>
    </row>
    <row r="1923">
      <c r="A1923" s="10" t="n">
        <v>46062</v>
      </c>
      <c r="B1923" t="inlineStr">
        <is>
          <t>Claudio de Sousa Velasco Filho</t>
        </is>
      </c>
      <c r="C1923" s="1" t="inlineStr">
        <is>
          <t>Estágio</t>
        </is>
      </c>
      <c r="D1923" s="3" t="n">
        <v>0</v>
      </c>
      <c r="E1923" s="3" t="n">
        <v>0</v>
      </c>
      <c r="F1923" s="3" t="n">
        <v>0</v>
      </c>
      <c r="G1923" s="3" t="n">
        <v>0</v>
      </c>
      <c r="H1923" s="3" t="n">
        <v>0</v>
      </c>
      <c r="I1923" s="3" t="n">
        <v>0</v>
      </c>
      <c r="J1923" s="3" t="n">
        <v>0</v>
      </c>
      <c r="K1923" s="3" t="n">
        <v>0</v>
      </c>
      <c r="L1923" s="3">
        <f>IF(K1923&lt;-5,"CRÍTICO",IF(K1923&lt;0,"ATENÇÃO",IF(K1923&lt;=5,"BOM","EXCELENTE")))</f>
        <v/>
      </c>
      <c r="M1923" s="3" t="n">
        <v>0</v>
      </c>
      <c r="N1923" s="3" t="n">
        <v>0</v>
      </c>
      <c r="O1923" s="12" t="n">
        <v>0</v>
      </c>
    </row>
    <row r="1924">
      <c r="A1924" s="10" t="n">
        <v>46062</v>
      </c>
      <c r="B1924" t="inlineStr">
        <is>
          <t>Clessiane Pereira dos Santos</t>
        </is>
      </c>
      <c r="C1924" s="1" t="inlineStr">
        <is>
          <t>Técnico I</t>
        </is>
      </c>
      <c r="D1924" s="3" t="n">
        <v>19</v>
      </c>
      <c r="E1924" s="3" t="n">
        <v>17</v>
      </c>
      <c r="F1924" s="3" t="n">
        <v>25.31</v>
      </c>
      <c r="G1924" s="3" t="n">
        <v>0</v>
      </c>
      <c r="H1924" s="3" t="n">
        <v>0</v>
      </c>
      <c r="I1924" s="3">
        <f>E1924+G1924+H1924</f>
        <v/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/>
      </c>
      <c r="K1924" s="3">
        <f>I1924-J1924</f>
        <v/>
      </c>
      <c r="L1924" s="3">
        <f>IF(K1924&lt;-5,"CRÍTICO",IF(K1924&lt;0,"ATENÇÃO",IF(K1924&lt;=5,"BOM","EXCELENTE")))</f>
        <v/>
      </c>
      <c r="M1924" s="3" t="n">
        <v>19</v>
      </c>
      <c r="N1924" s="3" t="n">
        <v>98.75</v>
      </c>
      <c r="O1924" s="12" t="n">
        <v>24.32432432432433</v>
      </c>
    </row>
    <row r="1925">
      <c r="A1925" s="10" t="n">
        <v>46062</v>
      </c>
      <c r="B1925" t="inlineStr">
        <is>
          <t>Cristiane Ramos da Silva Rocha</t>
        </is>
      </c>
      <c r="C1925" s="1" t="inlineStr">
        <is>
          <t>Técnico III</t>
        </is>
      </c>
      <c r="D1925" s="3" t="n">
        <v>41</v>
      </c>
      <c r="E1925" s="3" t="n">
        <v>37</v>
      </c>
      <c r="F1925" s="3" t="n">
        <v>12.18</v>
      </c>
      <c r="G1925" s="3" t="n">
        <v>0</v>
      </c>
      <c r="H1925" s="3" t="n">
        <v>0</v>
      </c>
      <c r="I1925" s="3">
        <f>E1925+G1925+H1925</f>
        <v/>
      </c>
      <c r="J1925" s="3">
        <f>ROUND(MIN(IF(C1925="Técnico III",35,IF(C1925="Técnico II",28,IF(C1925="Técnico I",23,IF(C1925="JR",20,IF(C1925="Estágio",10,0))))),IF(C1925="Técnico III",SUMIFS($D:$D,$A:$A,$A1925,$B:$B,"&lt;&gt;Patrícia Karla de Sousa Araújo",$B:$B,"&lt;&gt;Lorena Dias de Araujo",$B:$B,"&lt;&gt;Lucas Luiz Romero")*(35/1083),IF(C1925="Técnico II",SUMIFS($D:$D,$A:$A,$A1925,$B:$B,"&lt;&gt;Patrícia Karla de Sousa Araújo",$B:$B,"&lt;&gt;Lorena Dias de Araujo",$B:$B,"&lt;&gt;Lucas Luiz Romero")*(28/1083),IF(C1925="Técnico I",SUMIFS($D:$D,$A:$A,$A1925,$B:$B,"&lt;&gt;Patrícia Karla de Sousa Araújo",$B:$B,"&lt;&gt;Lorena Dias de Araujo",$B:$B,"&lt;&gt;Lucas Luiz Romero")*(23/1083),IF(C1925="JR",SUMIFS($D:$D,$A:$A,$A1925,$B:$B,"&lt;&gt;Patrícia Karla de Sousa Araújo",$B:$B,"&lt;&gt;Lorena Dias de Araujo",$B:$B,"&lt;&gt;Lucas Luiz Romero")*(20/1083),IF(C1925="Estágio",SUMIFS($D:$D,$A:$A,$A1925,$B:$B,"&lt;&gt;Patrícia Karla de Sousa Araújo",$B:$B,"&lt;&gt;Lorena Dias de Araujo",$B:$B,"&lt;&gt;Lucas Luiz Romero")*(10/1083),0)))))),0)</f>
        <v/>
      </c>
      <c r="K1925" s="3">
        <f>I1925-J1925</f>
        <v/>
      </c>
      <c r="L1925" s="3">
        <f>IF(K1925&lt;-5,"CRÍTICO",IF(K1925&lt;0,"ATENÇÃO",IF(K1925&lt;=5,"BOM","EXCELENTE")))</f>
        <v/>
      </c>
      <c r="M1925" s="3" t="n">
        <v>35</v>
      </c>
      <c r="N1925" s="3" t="n">
        <v>93.48</v>
      </c>
      <c r="O1925" s="12" t="n">
        <v>31.52804642166344</v>
      </c>
    </row>
    <row r="1926">
      <c r="A1926" s="10" t="n">
        <v>46062</v>
      </c>
      <c r="B1926" t="inlineStr">
        <is>
          <t>Damyllis Lorraine de Oliveira Gonçalves</t>
        </is>
      </c>
      <c r="C1926" s="1" t="inlineStr">
        <is>
          <t>Técnico II</t>
        </is>
      </c>
      <c r="D1926" s="3" t="n">
        <v>0</v>
      </c>
      <c r="E1926" s="3" t="n">
        <v>0</v>
      </c>
      <c r="F1926" s="3" t="n">
        <v>0</v>
      </c>
      <c r="G1926" s="3" t="n">
        <v>0</v>
      </c>
      <c r="H1926" s="3" t="n">
        <v>0</v>
      </c>
      <c r="I1926" s="3" t="n">
        <v>0</v>
      </c>
      <c r="J1926" s="3" t="n">
        <v>0</v>
      </c>
      <c r="K1926" s="3" t="n">
        <v>0</v>
      </c>
      <c r="L1926" s="3">
        <f>IF(K1926&lt;-5,"CRÍTICO",IF(K1926&lt;0,"ATENÇÃO",IF(K1926&lt;=5,"BOM","EXCELENTE")))</f>
        <v/>
      </c>
      <c r="M1926" s="3" t="n">
        <v>1</v>
      </c>
      <c r="N1926" s="3" t="n">
        <v>99.16</v>
      </c>
      <c r="O1926" s="12" t="n">
        <v>26.13908872901678</v>
      </c>
    </row>
    <row r="1927">
      <c r="A1927" s="10" t="n">
        <v>46062</v>
      </c>
      <c r="B1927" t="inlineStr">
        <is>
          <t>Daniel Gomes da Silva</t>
        </is>
      </c>
      <c r="C1927" s="1" t="inlineStr">
        <is>
          <t>Técnico I</t>
        </is>
      </c>
      <c r="D1927" s="3" t="n">
        <v>18</v>
      </c>
      <c r="E1927" s="3" t="n">
        <v>18</v>
      </c>
      <c r="F1927" s="3" t="n">
        <v>33.48</v>
      </c>
      <c r="G1927" s="3" t="n">
        <v>0</v>
      </c>
      <c r="H1927" s="3" t="n">
        <v>0</v>
      </c>
      <c r="I1927" s="3">
        <f>E1927+G1927+H1927</f>
        <v/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/>
      </c>
      <c r="K1927" s="3">
        <f>I1927-J1927</f>
        <v/>
      </c>
      <c r="L1927" s="3">
        <f>IF(K1927&lt;-5,"CRÍTICO",IF(K1927&lt;0,"ATENÇÃO",IF(K1927&lt;=5,"BOM","EXCELENTE")))</f>
        <v/>
      </c>
      <c r="M1927" s="3" t="n">
        <v>25</v>
      </c>
      <c r="N1927" s="3" t="n">
        <v>100</v>
      </c>
      <c r="O1927" s="12" t="n">
        <v>31.08974358974359</v>
      </c>
    </row>
    <row r="1928">
      <c r="A1928" s="10" t="n">
        <v>46062</v>
      </c>
      <c r="B1928" t="inlineStr">
        <is>
          <t>Davylla Rodrigues Freitas Silva</t>
        </is>
      </c>
      <c r="C1928" s="1" t="inlineStr">
        <is>
          <t>Técnico III</t>
        </is>
      </c>
      <c r="D1928" s="3" t="n">
        <v>26</v>
      </c>
      <c r="E1928" s="3" t="n">
        <v>25</v>
      </c>
      <c r="F1928" s="3" t="n">
        <v>28.5</v>
      </c>
      <c r="G1928" s="3" t="n">
        <v>0</v>
      </c>
      <c r="H1928" s="3" t="n">
        <v>0</v>
      </c>
      <c r="I1928" s="3" t="n">
        <v>0</v>
      </c>
      <c r="J1928" s="3" t="n">
        <v>0</v>
      </c>
      <c r="K1928" s="3" t="n">
        <v>0</v>
      </c>
      <c r="L1928" s="3">
        <f>IF(K1928&lt;-5,"CRÍTICO",IF(K1928&lt;0,"ATENÇÃO",IF(K1928&lt;=5,"BOM","EXCELENTE")))</f>
        <v/>
      </c>
      <c r="M1928" s="3" t="n">
        <v>24</v>
      </c>
      <c r="N1928" s="3" t="n">
        <v>98.11</v>
      </c>
      <c r="O1928" s="12" t="n">
        <v>33.03370786516854</v>
      </c>
    </row>
    <row r="1929">
      <c r="A1929" s="10" t="n">
        <v>46062</v>
      </c>
      <c r="B1929" t="inlineStr">
        <is>
          <t>Emilly Caylane Costa</t>
        </is>
      </c>
      <c r="C1929" s="1" t="inlineStr">
        <is>
          <t>Estágio</t>
        </is>
      </c>
      <c r="D1929" s="3" t="n">
        <v>14</v>
      </c>
      <c r="E1929" s="3" t="n">
        <v>13</v>
      </c>
      <c r="F1929" s="3" t="n">
        <v>28.59</v>
      </c>
      <c r="G1929" s="3" t="n">
        <v>0</v>
      </c>
      <c r="H1929" s="3" t="n">
        <v>0</v>
      </c>
      <c r="I1929" s="3">
        <f>E1929+G1929+H1929</f>
        <v/>
      </c>
      <c r="J1929" s="3">
        <f>ROUND(MIN(IF(C1929="Técnico III",35,IF(C1929="Técnico II",28,IF(C1929="Técnico I",23,IF(C1929="JR",20,IF(C1929="Estágio",10,0))))),IF(C1929="Técnico III",SUMIFS($D:$D,$A:$A,$A1929,$B:$B,"&lt;&gt;Patrícia Karla de Sousa Araújo",$B:$B,"&lt;&gt;Lorena Dias de Araujo",$B:$B,"&lt;&gt;Lucas Luiz Romero")*(35/1083),IF(C1929="Técnico II",SUMIFS($D:$D,$A:$A,$A1929,$B:$B,"&lt;&gt;Patrícia Karla de Sousa Araújo",$B:$B,"&lt;&gt;Lorena Dias de Araujo",$B:$B,"&lt;&gt;Lucas Luiz Romero")*(28/1083),IF(C1929="Técnico I",SUMIFS($D:$D,$A:$A,$A1929,$B:$B,"&lt;&gt;Patrícia Karla de Sousa Araújo",$B:$B,"&lt;&gt;Lorena Dias de Araujo",$B:$B,"&lt;&gt;Lucas Luiz Romero")*(23/1083),IF(C1929="JR",SUMIFS($D:$D,$A:$A,$A1929,$B:$B,"&lt;&gt;Patrícia Karla de Sousa Araújo",$B:$B,"&lt;&gt;Lorena Dias de Araujo",$B:$B,"&lt;&gt;Lucas Luiz Romero")*(20/1083),IF(C1929="Estágio",SUMIFS($D:$D,$A:$A,$A1929,$B:$B,"&lt;&gt;Patrícia Karla de Sousa Araújo",$B:$B,"&lt;&gt;Lorena Dias de Araujo",$B:$B,"&lt;&gt;Lucas Luiz Romero")*(10/1083),0)))))),0)</f>
        <v/>
      </c>
      <c r="K1929" s="3">
        <f>I1929-J1929</f>
        <v/>
      </c>
      <c r="L1929" s="3">
        <f>IF(K1929&lt;-5,"CRÍTICO",IF(K1929&lt;0,"ATENÇÃO",IF(K1929&lt;=5,"BOM","EXCELENTE")))</f>
        <v/>
      </c>
      <c r="M1929" s="3" t="n">
        <v>3</v>
      </c>
      <c r="N1929" s="3" t="n">
        <v>78.95</v>
      </c>
      <c r="O1929" s="12" t="n">
        <v>38.98305084745763</v>
      </c>
    </row>
    <row r="1930">
      <c r="A1930" s="10" t="n">
        <v>46062</v>
      </c>
      <c r="B1930" t="inlineStr">
        <is>
          <t>Emilly Kamilly Medeiros Miranda</t>
        </is>
      </c>
      <c r="C1930" s="1" t="inlineStr">
        <is>
          <t>Técnico II</t>
        </is>
      </c>
      <c r="D1930" s="3" t="n">
        <v>35</v>
      </c>
      <c r="E1930" s="3" t="n">
        <v>33</v>
      </c>
      <c r="F1930" s="3" t="n">
        <v>22.21</v>
      </c>
      <c r="G1930" s="3" t="n">
        <v>0</v>
      </c>
      <c r="H1930" s="3" t="n">
        <v>0</v>
      </c>
      <c r="I1930" s="3">
        <f>E1930+G1930+H1930</f>
        <v/>
      </c>
      <c r="J1930" s="3">
        <f>ROUND(MIN(IF(C1930="Técnico III",35,IF(C1930="Técnico II",28,IF(C1930="Técnico I",23,IF(C1930="JR",20,IF(C1930="Estágio",10,0))))),IF(C1930="Técnico III",SUMIFS($D:$D,$A:$A,$A1930,$B:$B,"&lt;&gt;Patrícia Karla de Sousa Araújo",$B:$B,"&lt;&gt;Lorena Dias de Araujo",$B:$B,"&lt;&gt;Lucas Luiz Romero")*(35/1083),IF(C1930="Técnico II",SUMIFS($D:$D,$A:$A,$A1930,$B:$B,"&lt;&gt;Patrícia Karla de Sousa Araújo",$B:$B,"&lt;&gt;Lorena Dias de Araujo",$B:$B,"&lt;&gt;Lucas Luiz Romero")*(28/1083),IF(C1930="Técnico I",SUMIFS($D:$D,$A:$A,$A1930,$B:$B,"&lt;&gt;Patrícia Karla de Sousa Araújo",$B:$B,"&lt;&gt;Lorena Dias de Araujo",$B:$B,"&lt;&gt;Lucas Luiz Romero")*(23/1083),IF(C1930="JR",SUMIFS($D:$D,$A:$A,$A1930,$B:$B,"&lt;&gt;Patrícia Karla de Sousa Araújo",$B:$B,"&lt;&gt;Lorena Dias de Araujo",$B:$B,"&lt;&gt;Lucas Luiz Romero")*(20/1083),IF(C1930="Estágio",SUMIFS($D:$D,$A:$A,$A1930,$B:$B,"&lt;&gt;Patrícia Karla de Sousa Araújo",$B:$B,"&lt;&gt;Lorena Dias de Araujo",$B:$B,"&lt;&gt;Lucas Luiz Romero")*(10/1083),0)))))),0)</f>
        <v/>
      </c>
      <c r="K1930" s="3">
        <f>I1930-J1930</f>
        <v/>
      </c>
      <c r="L1930" s="3">
        <f>IF(K1930&lt;-5,"CRÍTICO",IF(K1930&lt;0,"ATENÇÃO",IF(K1930&lt;=5,"BOM","EXCELENTE")))</f>
        <v/>
      </c>
      <c r="M1930" s="3" t="n">
        <v>29</v>
      </c>
      <c r="N1930" s="3" t="n">
        <v>98.45</v>
      </c>
      <c r="O1930" s="12" t="n">
        <v>29.2817679558011</v>
      </c>
    </row>
    <row r="1931">
      <c r="A1931" s="10" t="n">
        <v>46062</v>
      </c>
      <c r="B1931" t="inlineStr">
        <is>
          <t>Francielson de Oliveira</t>
        </is>
      </c>
      <c r="C1931" s="1" t="inlineStr">
        <is>
          <t>Técnico III</t>
        </is>
      </c>
      <c r="D1931" s="3" t="n">
        <v>29</v>
      </c>
      <c r="E1931" s="3" t="n">
        <v>27</v>
      </c>
      <c r="F1931" s="3" t="n">
        <v>19.01</v>
      </c>
      <c r="G1931" s="3" t="n">
        <v>0</v>
      </c>
      <c r="H1931" s="3" t="n">
        <v>0</v>
      </c>
      <c r="I1931" s="3">
        <f>E1931+G1931+H1931</f>
        <v/>
      </c>
      <c r="J1931" s="3">
        <f>ROUND(MIN(IF(C1931="Técnico III",35,IF(C1931="Técnico II",28,IF(C1931="Técnico I",23,IF(C1931="JR",20,IF(C1931="Estágio",10,0))))),IF(C1931="Técnico III",SUMIFS($D:$D,$A:$A,$A1931,$B:$B,"&lt;&gt;Patrícia Karla de Sousa Araújo",$B:$B,"&lt;&gt;Lorena Dias de Araujo",$B:$B,"&lt;&gt;Lucas Luiz Romero")*(35/1083),IF(C1931="Técnico II",SUMIFS($D:$D,$A:$A,$A1931,$B:$B,"&lt;&gt;Patrícia Karla de Sousa Araújo",$B:$B,"&lt;&gt;Lorena Dias de Araujo",$B:$B,"&lt;&gt;Lucas Luiz Romero")*(28/1083),IF(C1931="Técnico I",SUMIFS($D:$D,$A:$A,$A1931,$B:$B,"&lt;&gt;Patrícia Karla de Sousa Araújo",$B:$B,"&lt;&gt;Lorena Dias de Araujo",$B:$B,"&lt;&gt;Lucas Luiz Romero")*(23/1083),IF(C1931="JR",SUMIFS($D:$D,$A:$A,$A1931,$B:$B,"&lt;&gt;Patrícia Karla de Sousa Araújo",$B:$B,"&lt;&gt;Lorena Dias de Araujo",$B:$B,"&lt;&gt;Lucas Luiz Romero")*(20/1083),IF(C1931="Estágio",SUMIFS($D:$D,$A:$A,$A1931,$B:$B,"&lt;&gt;Patrícia Karla de Sousa Araújo",$B:$B,"&lt;&gt;Lorena Dias de Araujo",$B:$B,"&lt;&gt;Lucas Luiz Romero")*(10/1083),0)))))),0)</f>
        <v/>
      </c>
      <c r="K1931" s="3">
        <f>I1931-J1931</f>
        <v/>
      </c>
      <c r="L1931" s="3">
        <f>IF(K1931&lt;-5,"CRÍTICO",IF(K1931&lt;0,"ATENÇÃO",IF(K1931&lt;=5,"BOM","EXCELENTE")))</f>
        <v/>
      </c>
      <c r="M1931" s="3" t="n">
        <v>28</v>
      </c>
      <c r="N1931" s="3" t="n">
        <v>97.84</v>
      </c>
      <c r="O1931" s="12" t="n">
        <v>26.28205128205128</v>
      </c>
    </row>
    <row r="1932">
      <c r="A1932" s="10" t="n">
        <v>46062</v>
      </c>
      <c r="B1932" t="inlineStr">
        <is>
          <t>Francilene Ferreira de Jesus</t>
        </is>
      </c>
      <c r="C1932" s="1" t="inlineStr">
        <is>
          <t>Técnico II</t>
        </is>
      </c>
      <c r="D1932" s="3" t="n">
        <v>53</v>
      </c>
      <c r="E1932" s="3" t="n">
        <v>46</v>
      </c>
      <c r="F1932" s="3" t="n">
        <v>12.33</v>
      </c>
      <c r="G1932" s="3" t="n">
        <v>0</v>
      </c>
      <c r="H1932" s="3" t="n">
        <v>0</v>
      </c>
      <c r="I1932" s="3">
        <f>E1932+G1932+H1932</f>
        <v/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/>
      </c>
      <c r="K1932" s="3">
        <f>I1932-J1932</f>
        <v/>
      </c>
      <c r="L1932" s="3">
        <f>IF(K1932&lt;-5,"CRÍTICO",IF(K1932&lt;0,"ATENÇÃO",IF(K1932&lt;=5,"BOM","EXCELENTE")))</f>
        <v/>
      </c>
      <c r="M1932" s="3" t="n">
        <v>40</v>
      </c>
      <c r="N1932" s="3" t="n">
        <v>98.5</v>
      </c>
      <c r="O1932" s="12" t="n">
        <v>23.97769516728625</v>
      </c>
    </row>
    <row r="1933">
      <c r="A1933" s="10" t="n">
        <v>46094</v>
      </c>
      <c r="B1933" t="inlineStr">
        <is>
          <t>Gabriel Gomes de Andrade</t>
        </is>
      </c>
      <c r="C1933" s="1" t="inlineStr">
        <is>
          <t>Técnico I</t>
        </is>
      </c>
      <c r="D1933" s="3" t="n">
        <v>9</v>
      </c>
      <c r="E1933" s="3" t="n">
        <v>9</v>
      </c>
      <c r="F1933" s="3" t="n">
        <v>28.58</v>
      </c>
      <c r="G1933" s="3" t="n">
        <v>0</v>
      </c>
      <c r="H1933" s="3" t="n">
        <v>0</v>
      </c>
      <c r="I1933" s="3">
        <f>E1933+G1933+H1933</f>
        <v/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/>
      </c>
      <c r="K1933" s="3">
        <f>I1933-J1933</f>
        <v/>
      </c>
      <c r="L1933" s="3">
        <f>IF(K1933&lt;-5,"CRÍTICO",IF(K1933&lt;0,"ATENÇÃO",IF(K1933&lt;=5,"BOM","EXCELENTE")))</f>
        <v/>
      </c>
      <c r="M1933" s="3" t="n">
        <v>11</v>
      </c>
      <c r="N1933" s="3" t="n">
        <v>99.05</v>
      </c>
      <c r="O1933" s="12" t="n">
        <v>26.62192393736018</v>
      </c>
    </row>
    <row r="1934">
      <c r="A1934" s="10" t="n">
        <v>46062</v>
      </c>
      <c r="B1934" t="inlineStr">
        <is>
          <t>Isabella Borges de Oliveira</t>
        </is>
      </c>
      <c r="C1934" s="1" t="inlineStr">
        <is>
          <t>Técnico II</t>
        </is>
      </c>
      <c r="D1934" s="3" t="n">
        <v>20</v>
      </c>
      <c r="E1934" s="3" t="n">
        <v>19</v>
      </c>
      <c r="F1934" s="3" t="n">
        <v>19.01</v>
      </c>
      <c r="G1934" s="3" t="n">
        <v>0</v>
      </c>
      <c r="H1934" s="3" t="n">
        <v>0</v>
      </c>
      <c r="I1934" s="3">
        <f>E1934+G1934+H1934</f>
        <v/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/>
      </c>
      <c r="K1934" s="3">
        <f>I1934-J1934</f>
        <v/>
      </c>
      <c r="L1934" s="3">
        <f>IF(K1934&lt;-5,"CRÍTICO",IF(K1934&lt;0,"ATENÇÃO",IF(K1934&lt;=5,"BOM","EXCELENTE")))</f>
        <v/>
      </c>
      <c r="M1934" s="3" t="n">
        <v>15</v>
      </c>
      <c r="N1934" s="3" t="n">
        <v>98.53</v>
      </c>
      <c r="O1934" s="12" t="n">
        <v>31.57894736842105</v>
      </c>
    </row>
    <row r="1935">
      <c r="A1935" s="10" t="n">
        <v>46062</v>
      </c>
      <c r="B1935" t="inlineStr">
        <is>
          <t>Janaina Lima dos Reis Urany</t>
        </is>
      </c>
      <c r="C1935" s="1" t="inlineStr">
        <is>
          <t>Técnico III</t>
        </is>
      </c>
      <c r="D1935" s="3" t="n">
        <v>43</v>
      </c>
      <c r="E1935" s="3" t="n">
        <v>40</v>
      </c>
      <c r="F1935" s="3" t="n">
        <v>14.17</v>
      </c>
      <c r="G1935" s="3" t="n">
        <v>0</v>
      </c>
      <c r="H1935" s="3" t="n">
        <v>0</v>
      </c>
      <c r="I1935" s="3">
        <f>E1935+G1935+H1935</f>
        <v/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/>
      </c>
      <c r="K1935" s="3">
        <f>I1935-J1935</f>
        <v/>
      </c>
      <c r="L1935" s="3">
        <f>IF(K1935&lt;-5,"CRÍTICO",IF(K1935&lt;0,"ATENÇÃO",IF(K1935&lt;=5,"BOM","EXCELENTE")))</f>
        <v/>
      </c>
      <c r="M1935" s="3" t="n">
        <v>39</v>
      </c>
      <c r="N1935" s="3" t="n">
        <v>100</v>
      </c>
      <c r="O1935" s="12" t="n">
        <v>25.72214580467676</v>
      </c>
    </row>
    <row r="1936">
      <c r="A1936" s="10" t="n">
        <v>46062</v>
      </c>
      <c r="B1936" t="inlineStr">
        <is>
          <t>Jaqueline Evangelista da Silva Martins</t>
        </is>
      </c>
      <c r="C1936" s="1" t="inlineStr">
        <is>
          <t>Técnico III</t>
        </is>
      </c>
      <c r="D1936" s="3" t="n">
        <v>22</v>
      </c>
      <c r="E1936" s="3" t="n">
        <v>20</v>
      </c>
      <c r="F1936" s="3" t="n">
        <v>12.13</v>
      </c>
      <c r="G1936" s="3" t="n">
        <v>0</v>
      </c>
      <c r="H1936" s="3" t="n">
        <v>0</v>
      </c>
      <c r="I1936" s="3">
        <f>E1936+G1936+H1936</f>
        <v/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/>
      </c>
      <c r="K1936" s="3">
        <f>I1936-J1936</f>
        <v/>
      </c>
      <c r="L1936" s="3">
        <f>IF(K1936&lt;-5,"CRÍTICO",IF(K1936&lt;0,"ATENÇÃO",IF(K1936&lt;=5,"BOM","EXCELENTE")))</f>
        <v/>
      </c>
      <c r="M1936" s="3" t="n">
        <v>18</v>
      </c>
      <c r="N1936" s="3" t="n">
        <v>94.64</v>
      </c>
      <c r="O1936" s="12" t="n">
        <v>27.52941176470588</v>
      </c>
    </row>
    <row r="1937">
      <c r="A1937" s="10" t="n">
        <v>46062</v>
      </c>
      <c r="B1937" t="inlineStr">
        <is>
          <t>Jessica Faria da Silveira</t>
        </is>
      </c>
      <c r="C1937" s="1" t="inlineStr">
        <is>
          <t>Técnico II</t>
        </is>
      </c>
      <c r="D1937" s="3" t="n">
        <v>33</v>
      </c>
      <c r="E1937" s="3" t="n">
        <v>22</v>
      </c>
      <c r="F1937" s="3" t="n">
        <v>20.44</v>
      </c>
      <c r="G1937" s="3" t="n">
        <v>0</v>
      </c>
      <c r="H1937" s="3" t="n">
        <v>0</v>
      </c>
      <c r="I1937" s="3">
        <f>E1937+G1937+H1937</f>
        <v/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/>
      </c>
      <c r="K1937" s="3">
        <f>I1937-J1937</f>
        <v/>
      </c>
      <c r="L1937" s="3">
        <f>IF(K1937&lt;-5,"CRÍTICO",IF(K1937&lt;0,"ATENÇÃO",IF(K1937&lt;=5,"BOM","EXCELENTE")))</f>
        <v/>
      </c>
      <c r="M1937" s="3" t="n">
        <v>20</v>
      </c>
      <c r="N1937" s="3" t="n">
        <v>99.06999999999999</v>
      </c>
      <c r="O1937" s="12" t="n">
        <v>26.3768115942029</v>
      </c>
    </row>
    <row r="1938">
      <c r="A1938" s="10" t="n">
        <v>46062</v>
      </c>
      <c r="B1938" t="inlineStr">
        <is>
          <t>Jéssica Fé Moura</t>
        </is>
      </c>
      <c r="C1938" s="1" t="inlineStr">
        <is>
          <t>Técnico III</t>
        </is>
      </c>
      <c r="D1938" s="3" t="n">
        <v>0</v>
      </c>
      <c r="E1938" s="3" t="n">
        <v>0</v>
      </c>
      <c r="F1938" s="3" t="n">
        <v>0</v>
      </c>
      <c r="G1938" s="3" t="n">
        <v>0</v>
      </c>
      <c r="H1938" s="3" t="n">
        <v>0</v>
      </c>
      <c r="I1938" s="3" t="n">
        <v>0</v>
      </c>
      <c r="J1938" s="3" t="n">
        <v>0</v>
      </c>
      <c r="K1938" s="3" t="n">
        <v>0</v>
      </c>
      <c r="L1938" s="3">
        <f>IF(K1938&lt;-5,"CRÍTICO",IF(K1938&lt;0,"ATENÇÃO",IF(K1938&lt;=5,"BOM","EXCELENTE")))</f>
        <v/>
      </c>
      <c r="M1938" s="3" t="n">
        <v>0</v>
      </c>
      <c r="N1938" s="3" t="n">
        <v>100</v>
      </c>
      <c r="O1938" s="12" t="n">
        <v>0</v>
      </c>
    </row>
    <row r="1939">
      <c r="A1939" s="10" t="n">
        <v>46062</v>
      </c>
      <c r="B1939" t="inlineStr">
        <is>
          <t>Karina Gonçalves Martins</t>
        </is>
      </c>
      <c r="C1939" s="1" t="inlineStr">
        <is>
          <t>JR</t>
        </is>
      </c>
      <c r="D1939" s="3" t="n">
        <v>7</v>
      </c>
      <c r="E1939" s="3" t="n">
        <v>6</v>
      </c>
      <c r="F1939" s="3" t="n">
        <v>26.45</v>
      </c>
      <c r="G1939" s="3" t="n">
        <v>0</v>
      </c>
      <c r="H1939" s="3" t="n">
        <v>0</v>
      </c>
      <c r="I1939" s="3">
        <f>E1939+G1939+H1939</f>
        <v/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/>
      </c>
      <c r="K1939" s="3">
        <f>I1939-J1939</f>
        <v/>
      </c>
      <c r="L1939" s="3">
        <f>IF(K1939&lt;-5,"CRÍTICO",IF(K1939&lt;0,"ATENÇÃO",IF(K1939&lt;=5,"BOM","EXCELENTE")))</f>
        <v/>
      </c>
      <c r="M1939" s="3" t="n">
        <v>7</v>
      </c>
      <c r="N1939" s="3" t="n">
        <v>98.48</v>
      </c>
      <c r="O1939" s="12" t="n">
        <v>27.85388127853881</v>
      </c>
    </row>
    <row r="1940">
      <c r="A1940" s="10" t="n">
        <v>46062</v>
      </c>
      <c r="B1940" t="inlineStr">
        <is>
          <t>Kerollen Cristielly de Jesus Siqueira</t>
        </is>
      </c>
      <c r="C1940" s="1" t="inlineStr">
        <is>
          <t>Técnico III</t>
        </is>
      </c>
      <c r="D1940" s="3" t="n">
        <v>78</v>
      </c>
      <c r="E1940" s="3" t="n">
        <v>16</v>
      </c>
      <c r="F1940" s="3" t="n">
        <v>5.37</v>
      </c>
      <c r="G1940" s="3" t="n">
        <v>0</v>
      </c>
      <c r="H1940" s="3" t="n">
        <v>0</v>
      </c>
      <c r="I1940" s="3">
        <f>E1940+G1940+H1940</f>
        <v/>
      </c>
      <c r="J1940" s="3">
        <f>ROUND(MIN(IF(C1940="Técnico III",35,IF(C1940="Técnico II",28,IF(C1940="Técnico I",23,IF(C1940="JR",20,IF(C1940="Estágio",10,0))))),IF(C1940="Técnico III",SUMIFS($D:$D,$A:$A,$A1940,$B:$B,"&lt;&gt;Patrícia Karla de Sousa Araújo",$B:$B,"&lt;&gt;Lorena Dias de Araujo",$B:$B,"&lt;&gt;Lucas Luiz Romero")*(35/1083),IF(C1940="Técnico II",SUMIFS($D:$D,$A:$A,$A1940,$B:$B,"&lt;&gt;Patrícia Karla de Sousa Araújo",$B:$B,"&lt;&gt;Lorena Dias de Araujo",$B:$B,"&lt;&gt;Lucas Luiz Romero")*(28/1083),IF(C1940="Técnico I",SUMIFS($D:$D,$A:$A,$A1940,$B:$B,"&lt;&gt;Patrícia Karla de Sousa Araújo",$B:$B,"&lt;&gt;Lorena Dias de Araujo",$B:$B,"&lt;&gt;Lucas Luiz Romero")*(23/1083),IF(C1940="JR",SUMIFS($D:$D,$A:$A,$A1940,$B:$B,"&lt;&gt;Patrícia Karla de Sousa Araújo",$B:$B,"&lt;&gt;Lorena Dias de Araujo",$B:$B,"&lt;&gt;Lucas Luiz Romero")*(20/1083),IF(C1940="Estágio",SUMIFS($D:$D,$A:$A,$A1940,$B:$B,"&lt;&gt;Patrícia Karla de Sousa Araújo",$B:$B,"&lt;&gt;Lorena Dias de Araujo",$B:$B,"&lt;&gt;Lucas Luiz Romero")*(10/1083),0)))))),0)</f>
        <v/>
      </c>
      <c r="K1940" s="3">
        <f>I1940-J1940</f>
        <v/>
      </c>
      <c r="L1940" s="3">
        <f>IF(K1940&lt;-5,"CRÍTICO",IF(K1940&lt;0,"ATENÇÃO",IF(K1940&lt;=5,"BOM","EXCELENTE")))</f>
        <v/>
      </c>
      <c r="M1940" s="3" t="n">
        <v>5</v>
      </c>
      <c r="N1940" s="3" t="n">
        <v>95.15000000000001</v>
      </c>
      <c r="O1940" s="12" t="n">
        <v>34.13173652694611</v>
      </c>
    </row>
    <row r="1941">
      <c r="A1941" s="10" t="n">
        <v>46062</v>
      </c>
      <c r="B1941" t="inlineStr">
        <is>
          <t>Leandro de Souza Silva</t>
        </is>
      </c>
      <c r="C1941" s="1" t="inlineStr">
        <is>
          <t>JR</t>
        </is>
      </c>
      <c r="D1941" s="3" t="n">
        <v>0</v>
      </c>
      <c r="E1941" s="3" t="n">
        <v>0</v>
      </c>
      <c r="F1941" s="3" t="n">
        <v>0</v>
      </c>
      <c r="G1941" s="3" t="n">
        <v>0</v>
      </c>
      <c r="H1941" s="3" t="n">
        <v>0</v>
      </c>
      <c r="I1941" s="3" t="n">
        <v>0</v>
      </c>
      <c r="J1941" s="3" t="n">
        <v>0</v>
      </c>
      <c r="K1941" s="3" t="n">
        <v>0</v>
      </c>
      <c r="L1941" s="3">
        <f>IF(K1941&lt;-5,"CRÍTICO",IF(K1941&lt;0,"ATENÇÃO",IF(K1941&lt;=5,"BOM","EXCELENTE")))</f>
        <v/>
      </c>
      <c r="M1941" s="3" t="n">
        <v>0</v>
      </c>
      <c r="N1941" s="3" t="n">
        <v>0</v>
      </c>
      <c r="O1941" s="12" t="n">
        <v>0</v>
      </c>
    </row>
    <row r="1942">
      <c r="A1942" s="10" t="n">
        <v>46062</v>
      </c>
      <c r="B1942" t="inlineStr">
        <is>
          <t>Leandro Oliveira de Sousa</t>
        </is>
      </c>
      <c r="C1942" s="1" t="inlineStr">
        <is>
          <t>Técnico III</t>
        </is>
      </c>
      <c r="D1942" s="3" t="n">
        <v>17</v>
      </c>
      <c r="E1942" s="3" t="n">
        <v>16</v>
      </c>
      <c r="F1942" s="3" t="n">
        <v>35.02</v>
      </c>
      <c r="G1942" s="3" t="n">
        <v>0</v>
      </c>
      <c r="H1942" s="3" t="n">
        <v>0</v>
      </c>
      <c r="I1942" s="3">
        <f>E1942+G1942+H1942</f>
        <v/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/>
      </c>
      <c r="K1942" s="3">
        <f>I1942-J1942</f>
        <v/>
      </c>
      <c r="L1942" s="3">
        <f>IF(K1942&lt;-5,"CRÍTICO",IF(K1942&lt;0,"ATENÇÃO",IF(K1942&lt;=5,"BOM","EXCELENTE")))</f>
        <v/>
      </c>
      <c r="M1942" s="3" t="n">
        <v>14</v>
      </c>
      <c r="N1942" s="3" t="n">
        <v>99.26000000000001</v>
      </c>
      <c r="O1942" s="12" t="n">
        <v>30.84832904884319</v>
      </c>
    </row>
    <row r="1943">
      <c r="A1943" s="10" t="n">
        <v>46062</v>
      </c>
      <c r="B1943" t="inlineStr">
        <is>
          <t>Lizandra Gomes Duarte</t>
        </is>
      </c>
      <c r="C1943" s="1" t="inlineStr">
        <is>
          <t>Técnico II</t>
        </is>
      </c>
      <c r="D1943" s="3" t="n">
        <v>28</v>
      </c>
      <c r="E1943" s="3" t="n">
        <v>26</v>
      </c>
      <c r="F1943" s="3" t="n">
        <v>25.46</v>
      </c>
      <c r="G1943" s="3" t="n">
        <v>0</v>
      </c>
      <c r="H1943" s="3" t="n">
        <v>0</v>
      </c>
      <c r="I1943" s="3">
        <f>E1943+G1943+H1943</f>
        <v/>
      </c>
      <c r="J1943" s="3">
        <f>ROUND(MIN(IF(C1943="Técnico III",35,IF(C1943="Técnico II",28,IF(C1943="Técnico I",23,IF(C1943="JR",20,IF(C1943="Estágio",10,0))))),IF(C1943="Técnico III",SUMIFS($D:$D,$A:$A,$A1943,$B:$B,"&lt;&gt;Patrícia Karla de Sousa Araújo",$B:$B,"&lt;&gt;Lorena Dias de Araujo",$B:$B,"&lt;&gt;Lucas Luiz Romero")*(35/1083),IF(C1943="Técnico II",SUMIFS($D:$D,$A:$A,$A1943,$B:$B,"&lt;&gt;Patrícia Karla de Sousa Araújo",$B:$B,"&lt;&gt;Lorena Dias de Araujo",$B:$B,"&lt;&gt;Lucas Luiz Romero")*(28/1083),IF(C1943="Técnico I",SUMIFS($D:$D,$A:$A,$A1943,$B:$B,"&lt;&gt;Patrícia Karla de Sousa Araújo",$B:$B,"&lt;&gt;Lorena Dias de Araujo",$B:$B,"&lt;&gt;Lucas Luiz Romero")*(23/1083),IF(C1943="JR",SUMIFS($D:$D,$A:$A,$A1943,$B:$B,"&lt;&gt;Patrícia Karla de Sousa Araújo",$B:$B,"&lt;&gt;Lorena Dias de Araujo",$B:$B,"&lt;&gt;Lucas Luiz Romero")*(20/1083),IF(C1943="Estágio",SUMIFS($D:$D,$A:$A,$A1943,$B:$B,"&lt;&gt;Patrícia Karla de Sousa Araújo",$B:$B,"&lt;&gt;Lorena Dias de Araujo",$B:$B,"&lt;&gt;Lucas Luiz Romero")*(10/1083),0)))))),0)</f>
        <v/>
      </c>
      <c r="K1943" s="3">
        <f>I1943-J1943</f>
        <v/>
      </c>
      <c r="L1943" s="3">
        <f>IF(K1943&lt;-5,"CRÍTICO",IF(K1943&lt;0,"ATENÇÃO",IF(K1943&lt;=5,"BOM","EXCELENTE")))</f>
        <v/>
      </c>
      <c r="M1943" s="3" t="n">
        <v>9</v>
      </c>
      <c r="N1943" s="3" t="n">
        <v>97.48</v>
      </c>
      <c r="O1943" s="12" t="n">
        <v>27.76470588235294</v>
      </c>
    </row>
    <row r="1944">
      <c r="A1944" s="10" t="n">
        <v>46062</v>
      </c>
      <c r="B1944" t="inlineStr">
        <is>
          <t>Lorena Dias de Araujo</t>
        </is>
      </c>
      <c r="C1944" s="1" t="inlineStr">
        <is>
          <t>Técnico II</t>
        </is>
      </c>
      <c r="D1944" s="3" t="n">
        <v>37</v>
      </c>
      <c r="E1944" s="3" t="n">
        <v>34</v>
      </c>
      <c r="F1944" s="3" t="n">
        <v>18.41</v>
      </c>
      <c r="G1944" s="3" t="n">
        <v>0</v>
      </c>
      <c r="H1944" s="3" t="n">
        <v>0</v>
      </c>
      <c r="I1944" s="3" t="n">
        <v>0</v>
      </c>
      <c r="J1944" s="3" t="n">
        <v>0</v>
      </c>
      <c r="K1944" s="3" t="n">
        <v>0</v>
      </c>
      <c r="L1944" s="3">
        <f>IF(K1944&lt;-5,"CRÍTICO",IF(K1944&lt;0,"ATENÇÃO",IF(K1944&lt;=5,"BOM","EXCELENTE")))</f>
        <v/>
      </c>
      <c r="M1944" s="3" t="n">
        <v>29</v>
      </c>
      <c r="N1944" s="3" t="n">
        <v>99.34</v>
      </c>
      <c r="O1944" s="12" t="n">
        <v>30.04291845493562</v>
      </c>
    </row>
    <row r="1945">
      <c r="A1945" s="10" t="n">
        <v>46062</v>
      </c>
      <c r="B1945" t="inlineStr">
        <is>
          <t>Lucas Luiz Romero</t>
        </is>
      </c>
      <c r="C1945" s="1" t="inlineStr">
        <is>
          <t>Técnico III</t>
        </is>
      </c>
      <c r="D1945" s="3" t="n">
        <v>53</v>
      </c>
      <c r="E1945" s="3" t="n">
        <v>35</v>
      </c>
      <c r="F1945" s="3" t="n">
        <v>13.34</v>
      </c>
      <c r="G1945" s="3" t="n">
        <v>0</v>
      </c>
      <c r="H1945" s="3" t="n">
        <v>0</v>
      </c>
      <c r="I1945" s="3">
        <f>E1945+G1945+H1945</f>
        <v/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/>
      </c>
      <c r="K1945" s="3">
        <f>I1945-J1945</f>
        <v/>
      </c>
      <c r="L1945" s="3">
        <f>IF(K1945&lt;-5,"CRÍTICO",IF(K1945&lt;0,"ATENÇÃO",IF(K1945&lt;=5,"BOM","EXCELENTE")))</f>
        <v/>
      </c>
      <c r="M1945" s="3" t="n">
        <v>18</v>
      </c>
      <c r="N1945" s="3" t="n">
        <v>96.3</v>
      </c>
      <c r="O1945" s="12" t="n">
        <v>24.29378531073446</v>
      </c>
    </row>
    <row r="1946">
      <c r="A1946" s="10" t="n">
        <v>46062</v>
      </c>
      <c r="B1946" t="inlineStr">
        <is>
          <t>Luiz Fernando de Carvalho Junior</t>
        </is>
      </c>
      <c r="C1946" s="1" t="inlineStr">
        <is>
          <t>Técnico I</t>
        </is>
      </c>
      <c r="D1946" s="3" t="n">
        <v>24</v>
      </c>
      <c r="E1946" s="3" t="n">
        <v>19</v>
      </c>
      <c r="F1946" s="3" t="n">
        <v>18.43</v>
      </c>
      <c r="G1946" s="3" t="n">
        <v>0</v>
      </c>
      <c r="H1946" s="3" t="n">
        <v>0</v>
      </c>
      <c r="I1946" s="3">
        <f>E1946+G1946+H1946</f>
        <v/>
      </c>
      <c r="J1946" s="3">
        <f>ROUND(MIN(IF(C1946="Técnico III",35,IF(C1946="Técnico II",28,IF(C1946="Técnico I",23,IF(C1946="JR",20,IF(C1946="Estágio",10,0))))),IF(C1946="Técnico III",SUMIFS($D:$D,$A:$A,$A1946,$B:$B,"&lt;&gt;Patrícia Karla de Sousa Araújo",$B:$B,"&lt;&gt;Lorena Dias de Araujo",$B:$B,"&lt;&gt;Lucas Luiz Romero")*(35/1083),IF(C1946="Técnico II",SUMIFS($D:$D,$A:$A,$A1946,$B:$B,"&lt;&gt;Patrícia Karla de Sousa Araújo",$B:$B,"&lt;&gt;Lorena Dias de Araujo",$B:$B,"&lt;&gt;Lucas Luiz Romero")*(28/1083),IF(C1946="Técnico I",SUMIFS($D:$D,$A:$A,$A1946,$B:$B,"&lt;&gt;Patrícia Karla de Sousa Araújo",$B:$B,"&lt;&gt;Lorena Dias de Araujo",$B:$B,"&lt;&gt;Lucas Luiz Romero")*(23/1083),IF(C1946="JR",SUMIFS($D:$D,$A:$A,$A1946,$B:$B,"&lt;&gt;Patrícia Karla de Sousa Araújo",$B:$B,"&lt;&gt;Lorena Dias de Araujo",$B:$B,"&lt;&gt;Lucas Luiz Romero")*(20/1083),IF(C1946="Estágio",SUMIFS($D:$D,$A:$A,$A1946,$B:$B,"&lt;&gt;Patrícia Karla de Sousa Araújo",$B:$B,"&lt;&gt;Lorena Dias de Araujo",$B:$B,"&lt;&gt;Lucas Luiz Romero")*(10/1083),0)))))),0)</f>
        <v/>
      </c>
      <c r="K1946" s="3">
        <f>I1946-J1946</f>
        <v/>
      </c>
      <c r="L1946" s="3">
        <f>IF(K1946&lt;-5,"CRÍTICO",IF(K1946&lt;0,"ATENÇÃO",IF(K1946&lt;=5,"BOM","EXCELENTE")))</f>
        <v/>
      </c>
      <c r="M1946" s="3" t="n">
        <v>20</v>
      </c>
      <c r="N1946" s="3" t="n">
        <v>100</v>
      </c>
      <c r="O1946" s="12" t="n">
        <v>26.54320987654321</v>
      </c>
    </row>
    <row r="1947">
      <c r="A1947" s="10" t="n">
        <v>46062</v>
      </c>
      <c r="B1947" t="inlineStr">
        <is>
          <t>Maria Eduarda Sousa Costa</t>
        </is>
      </c>
      <c r="C1947" s="1" t="inlineStr">
        <is>
          <t>Estágio</t>
        </is>
      </c>
      <c r="D1947" s="3" t="n">
        <v>0</v>
      </c>
      <c r="E1947" s="3" t="n">
        <v>0</v>
      </c>
      <c r="F1947" s="3" t="n">
        <v>0</v>
      </c>
      <c r="G1947" s="3" t="n">
        <v>0</v>
      </c>
      <c r="H1947" s="3" t="n">
        <v>0</v>
      </c>
      <c r="I1947" s="3" t="n">
        <v>0</v>
      </c>
      <c r="J1947" s="3" t="n">
        <v>0</v>
      </c>
      <c r="K1947" s="3" t="n">
        <v>0</v>
      </c>
      <c r="L1947" s="3">
        <f>IF(K1947&lt;-5,"CRÍTICO",IF(K1947&lt;0,"ATENÇÃO",IF(K1947&lt;=5,"BOM","EXCELENTE")))</f>
        <v/>
      </c>
      <c r="M1947" s="3" t="n">
        <v>0</v>
      </c>
      <c r="N1947" s="3" t="n">
        <v>100</v>
      </c>
      <c r="O1947" s="12" t="n">
        <v>35.48387096774194</v>
      </c>
    </row>
    <row r="1948">
      <c r="A1948" s="10" t="n">
        <v>46062</v>
      </c>
      <c r="B1948" t="inlineStr">
        <is>
          <t>Matheus Farias De Souza</t>
        </is>
      </c>
      <c r="C1948" s="1" t="inlineStr">
        <is>
          <t>Técnico III</t>
        </is>
      </c>
      <c r="D1948" s="3" t="n">
        <v>26</v>
      </c>
      <c r="E1948" s="3" t="n">
        <v>24</v>
      </c>
      <c r="F1948" s="3" t="n">
        <v>15.49</v>
      </c>
      <c r="G1948" s="3" t="n">
        <v>0</v>
      </c>
      <c r="H1948" s="3" t="n">
        <v>0</v>
      </c>
      <c r="I1948" s="3">
        <f>E1948+G1948+H1948</f>
        <v/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/>
      </c>
      <c r="K1948" s="3">
        <f>I1948-J1948</f>
        <v/>
      </c>
      <c r="L1948" s="3">
        <f>IF(K1948&lt;-5,"CRÍTICO",IF(K1948&lt;0,"ATENÇÃO",IF(K1948&lt;=5,"BOM","EXCELENTE")))</f>
        <v/>
      </c>
      <c r="M1948" s="3" t="n">
        <v>26</v>
      </c>
      <c r="N1948" s="3" t="n">
        <v>99.27</v>
      </c>
      <c r="O1948" s="12" t="n">
        <v>31.16370808678501</v>
      </c>
    </row>
    <row r="1949">
      <c r="A1949" s="10" t="n">
        <v>46062</v>
      </c>
      <c r="B1949" t="inlineStr">
        <is>
          <t>Maysa Victoria Dias Moura</t>
        </is>
      </c>
      <c r="C1949" s="1" t="inlineStr">
        <is>
          <t>Técnico III</t>
        </is>
      </c>
      <c r="D1949" s="3" t="n">
        <v>28</v>
      </c>
      <c r="E1949" s="3" t="n">
        <v>25</v>
      </c>
      <c r="F1949" s="3" t="n">
        <v>22.11</v>
      </c>
      <c r="G1949" s="3" t="n">
        <v>0</v>
      </c>
      <c r="H1949" s="3" t="n">
        <v>0</v>
      </c>
      <c r="I1949" s="3">
        <f>E1949+G1949+H1949</f>
        <v/>
      </c>
      <c r="J1949" s="3">
        <f>ROUND(MIN(IF(C1949="Técnico III",35,IF(C1949="Técnico II",28,IF(C1949="Técnico I",23,IF(C1949="JR",20,IF(C1949="Estágio",10,0))))),IF(C1949="Técnico III",SUMIFS($D:$D,$A:$A,$A1949,$B:$B,"&lt;&gt;Patrícia Karla de Sousa Araújo",$B:$B,"&lt;&gt;Lorena Dias de Araujo",$B:$B,"&lt;&gt;Lucas Luiz Romero")*(35/1083),IF(C1949="Técnico II",SUMIFS($D:$D,$A:$A,$A1949,$B:$B,"&lt;&gt;Patrícia Karla de Sousa Araújo",$B:$B,"&lt;&gt;Lorena Dias de Araujo",$B:$B,"&lt;&gt;Lucas Luiz Romero")*(28/1083),IF(C1949="Técnico I",SUMIFS($D:$D,$A:$A,$A1949,$B:$B,"&lt;&gt;Patrícia Karla de Sousa Araújo",$B:$B,"&lt;&gt;Lorena Dias de Araujo",$B:$B,"&lt;&gt;Lucas Luiz Romero")*(23/1083),IF(C1949="JR",SUMIFS($D:$D,$A:$A,$A1949,$B:$B,"&lt;&gt;Patrícia Karla de Sousa Araújo",$B:$B,"&lt;&gt;Lorena Dias de Araujo",$B:$B,"&lt;&gt;Lucas Luiz Romero")*(20/1083),IF(C1949="Estágio",SUMIFS($D:$D,$A:$A,$A1949,$B:$B,"&lt;&gt;Patrícia Karla de Sousa Araújo",$B:$B,"&lt;&gt;Lorena Dias de Araujo",$B:$B,"&lt;&gt;Lucas Luiz Romero")*(10/1083),0)))))),0)</f>
        <v/>
      </c>
      <c r="K1949" s="3">
        <f>I1949-J1949</f>
        <v/>
      </c>
      <c r="L1949" s="3">
        <f>IF(K1949&lt;-5,"CRÍTICO",IF(K1949&lt;0,"ATENÇÃO",IF(K1949&lt;=5,"BOM","EXCELENTE")))</f>
        <v/>
      </c>
      <c r="M1949" s="3" t="n">
        <v>20</v>
      </c>
      <c r="N1949" s="3" t="n">
        <v>94.16</v>
      </c>
      <c r="O1949" s="12" t="n">
        <v>27.03862660944206</v>
      </c>
    </row>
    <row r="1950">
      <c r="A1950" s="10" t="n">
        <v>46062</v>
      </c>
      <c r="B1950" t="inlineStr">
        <is>
          <t>Michelle G Santos</t>
        </is>
      </c>
      <c r="C1950" s="1" t="inlineStr">
        <is>
          <t>Estágio</t>
        </is>
      </c>
      <c r="D1950" s="3" t="n">
        <v>9</v>
      </c>
      <c r="E1950" s="3" t="n">
        <v>9</v>
      </c>
      <c r="F1950" s="3" t="n">
        <v>66.56</v>
      </c>
      <c r="G1950" s="3" t="n">
        <v>0</v>
      </c>
      <c r="H1950" s="3" t="n">
        <v>0</v>
      </c>
      <c r="I1950" s="3">
        <f>E1950+G1950+H1950</f>
        <v/>
      </c>
      <c r="J1950" s="3">
        <f>ROUND(MIN(IF(C1950="Técnico III",35,IF(C1950="Técnico II",28,IF(C1950="Técnico I",23,IF(C1950="JR",20,IF(C1950="Estágio",10,0))))),IF(C1950="Técnico III",SUMIFS($D:$D,$A:$A,$A1950,$B:$B,"&lt;&gt;Patrícia Karla de Sousa Araújo",$B:$B,"&lt;&gt;Lorena Dias de Araujo",$B:$B,"&lt;&gt;Lucas Luiz Romero")*(35/1083),IF(C1950="Técnico II",SUMIFS($D:$D,$A:$A,$A1950,$B:$B,"&lt;&gt;Patrícia Karla de Sousa Araújo",$B:$B,"&lt;&gt;Lorena Dias de Araujo",$B:$B,"&lt;&gt;Lucas Luiz Romero")*(28/1083),IF(C1950="Técnico I",SUMIFS($D:$D,$A:$A,$A1950,$B:$B,"&lt;&gt;Patrícia Karla de Sousa Araújo",$B:$B,"&lt;&gt;Lorena Dias de Araujo",$B:$B,"&lt;&gt;Lucas Luiz Romero")*(23/1083),IF(C1950="JR",SUMIFS($D:$D,$A:$A,$A1950,$B:$B,"&lt;&gt;Patrícia Karla de Sousa Araújo",$B:$B,"&lt;&gt;Lorena Dias de Araujo",$B:$B,"&lt;&gt;Lucas Luiz Romero")*(20/1083),IF(C1950="Estágio",SUMIFS($D:$D,$A:$A,$A1950,$B:$B,"&lt;&gt;Patrícia Karla de Sousa Araújo",$B:$B,"&lt;&gt;Lorena Dias de Araujo",$B:$B,"&lt;&gt;Lucas Luiz Romero")*(10/1083),0)))))),0)</f>
        <v/>
      </c>
      <c r="K1950" s="3">
        <f>I1950-J1950</f>
        <v/>
      </c>
      <c r="L1950" s="3">
        <f>IF(K1950&lt;-5,"CRÍTICO",IF(K1950&lt;0,"ATENÇÃO",IF(K1950&lt;=5,"BOM","EXCELENTE")))</f>
        <v/>
      </c>
      <c r="M1950" s="3" t="n">
        <v>6</v>
      </c>
      <c r="N1950" s="3" t="n">
        <v>93.75</v>
      </c>
      <c r="O1950" s="12" t="n">
        <v>19.31818181818182</v>
      </c>
    </row>
    <row r="1951">
      <c r="A1951" s="10" t="n">
        <v>46062</v>
      </c>
      <c r="B1951" t="inlineStr">
        <is>
          <t>Milena Sales</t>
        </is>
      </c>
      <c r="C1951" s="1" t="inlineStr">
        <is>
          <t>JR</t>
        </is>
      </c>
      <c r="D1951" s="3" t="n">
        <v>0</v>
      </c>
      <c r="E1951" s="3" t="n">
        <v>0</v>
      </c>
      <c r="F1951" s="3" t="n">
        <v>0</v>
      </c>
      <c r="G1951" s="3" t="n">
        <v>0</v>
      </c>
      <c r="H1951" s="3" t="n">
        <v>0</v>
      </c>
      <c r="I1951" s="3" t="n">
        <v>0</v>
      </c>
      <c r="J1951" s="3" t="n">
        <v>0</v>
      </c>
      <c r="K1951" s="3" t="n">
        <v>0</v>
      </c>
      <c r="L1951" s="3">
        <f>IF(K1951&lt;-5,"CRÍTICO",IF(K1951&lt;0,"ATENÇÃO",IF(K1951&lt;=5,"BOM","EXCELENTE")))</f>
        <v/>
      </c>
      <c r="M1951" s="3" t="n">
        <v>0</v>
      </c>
      <c r="N1951" s="3" t="n">
        <v>0</v>
      </c>
      <c r="O1951" s="12" t="n">
        <v>0</v>
      </c>
    </row>
    <row r="1952">
      <c r="A1952" s="10" t="n">
        <v>46062</v>
      </c>
      <c r="B1952" t="inlineStr">
        <is>
          <t>Patrícia Karla de Sousa Araújo</t>
        </is>
      </c>
      <c r="C1952" s="1" t="inlineStr">
        <is>
          <t>Técnico II</t>
        </is>
      </c>
      <c r="D1952" s="3" t="n">
        <v>0</v>
      </c>
      <c r="E1952" s="3" t="n">
        <v>0</v>
      </c>
      <c r="F1952" s="3" t="n">
        <v>0</v>
      </c>
      <c r="G1952" s="3" t="n">
        <v>0</v>
      </c>
      <c r="H1952" s="3" t="n">
        <v>0</v>
      </c>
      <c r="I1952" s="3" t="n">
        <v>0</v>
      </c>
      <c r="J1952" s="3" t="n">
        <v>0</v>
      </c>
      <c r="K1952" s="3" t="n">
        <v>0</v>
      </c>
      <c r="L1952" s="3">
        <f>IF(K1952&lt;-5,"CRÍTICO",IF(K1952&lt;0,"ATENÇÃO",IF(K1952&lt;=5,"BOM","EXCELENTE")))</f>
        <v/>
      </c>
      <c r="M1952" s="3" t="n">
        <v>0</v>
      </c>
      <c r="N1952" s="3" t="n">
        <v>97.92</v>
      </c>
      <c r="O1952" s="12" t="n">
        <v>32.87671232876712</v>
      </c>
    </row>
    <row r="1953">
      <c r="A1953" s="10" t="n">
        <v>46062</v>
      </c>
      <c r="B1953" t="inlineStr">
        <is>
          <t>Paulo Ricardo Santos</t>
        </is>
      </c>
      <c r="C1953" s="1" t="inlineStr">
        <is>
          <t>JR</t>
        </is>
      </c>
      <c r="D1953" s="3" t="n">
        <v>0</v>
      </c>
      <c r="E1953" s="3" t="n">
        <v>0</v>
      </c>
      <c r="F1953" s="3" t="n">
        <v>0</v>
      </c>
      <c r="G1953" s="3" t="n">
        <v>0</v>
      </c>
      <c r="H1953" s="3" t="n">
        <v>0</v>
      </c>
      <c r="I1953" s="3" t="n">
        <v>0</v>
      </c>
      <c r="J1953" s="3" t="n">
        <v>0</v>
      </c>
      <c r="K1953" s="3" t="n">
        <v>0</v>
      </c>
      <c r="L1953" s="3">
        <f>IF(K1953&lt;-5,"CRÍTICO",IF(K1953&lt;0,"ATENÇÃO",IF(K1953&lt;=5,"BOM","EXCELENTE")))</f>
        <v/>
      </c>
      <c r="M1953" s="3" t="n">
        <v>0</v>
      </c>
      <c r="N1953" s="3" t="n">
        <v>0</v>
      </c>
      <c r="O1953" s="12" t="n">
        <v>0</v>
      </c>
    </row>
    <row r="1954">
      <c r="A1954" s="10" t="n">
        <v>46062</v>
      </c>
      <c r="B1954" t="inlineStr">
        <is>
          <t>Pedro Luiz Mota Sousa</t>
        </is>
      </c>
      <c r="C1954" s="1" t="inlineStr">
        <is>
          <t>JR</t>
        </is>
      </c>
      <c r="D1954" s="3" t="n">
        <v>0</v>
      </c>
      <c r="E1954" s="3" t="n">
        <v>0</v>
      </c>
      <c r="F1954" s="3" t="n">
        <v>0</v>
      </c>
      <c r="G1954" s="3" t="n">
        <v>0</v>
      </c>
      <c r="H1954" s="3" t="n">
        <v>0</v>
      </c>
      <c r="I1954" s="3" t="n">
        <v>0</v>
      </c>
      <c r="J1954" s="3" t="n">
        <v>0</v>
      </c>
      <c r="K1954" s="3" t="n">
        <v>0</v>
      </c>
      <c r="L1954" s="3">
        <f>IF(K1954&lt;-5,"CRÍTICO",IF(K1954&lt;0,"ATENÇÃO",IF(K1954&lt;=5,"BOM","EXCELENTE")))</f>
        <v/>
      </c>
      <c r="M1954" s="3" t="n">
        <v>0</v>
      </c>
      <c r="N1954" s="3" t="n">
        <v>0</v>
      </c>
      <c r="O1954" s="12" t="n">
        <v>0</v>
      </c>
    </row>
    <row r="1955">
      <c r="A1955" s="10" t="n">
        <v>46062</v>
      </c>
      <c r="B1955" t="inlineStr">
        <is>
          <t>Quirino Diogo Leite Torres</t>
        </is>
      </c>
      <c r="C1955" s="1" t="inlineStr">
        <is>
          <t>Estágio</t>
        </is>
      </c>
      <c r="D1955" s="3" t="n">
        <v>0</v>
      </c>
      <c r="E1955" s="3" t="n">
        <v>0</v>
      </c>
      <c r="F1955" s="3" t="n">
        <v>0</v>
      </c>
      <c r="G1955" s="3" t="n">
        <v>0</v>
      </c>
      <c r="H1955" s="3" t="n">
        <v>0</v>
      </c>
      <c r="I1955" s="3" t="n">
        <v>0</v>
      </c>
      <c r="J1955" s="3" t="n">
        <v>0</v>
      </c>
      <c r="K1955" s="3" t="n">
        <v>0</v>
      </c>
      <c r="L1955" s="3">
        <f>IF(K1955&lt;-5,"CRÍTICO",IF(K1955&lt;0,"ATENÇÃO",IF(K1955&lt;=5,"BOM","EXCELENTE")))</f>
        <v/>
      </c>
      <c r="M1955" s="3" t="n">
        <v>0</v>
      </c>
      <c r="N1955" s="3" t="n">
        <v>0</v>
      </c>
      <c r="O1955" s="12" t="n">
        <v>0</v>
      </c>
    </row>
    <row r="1956">
      <c r="A1956" s="10" t="n">
        <v>46062</v>
      </c>
      <c r="B1956" t="inlineStr">
        <is>
          <t>Raane Batista Matos</t>
        </is>
      </c>
      <c r="C1956" s="1" t="inlineStr">
        <is>
          <t>Técnico I</t>
        </is>
      </c>
      <c r="D1956" s="3" t="n">
        <v>25</v>
      </c>
      <c r="E1956" s="3" t="n">
        <v>23</v>
      </c>
      <c r="F1956" s="3" t="n">
        <v>25.23</v>
      </c>
      <c r="G1956" s="3" t="n">
        <v>0</v>
      </c>
      <c r="H1956" s="3" t="n">
        <v>0</v>
      </c>
      <c r="I1956" s="3">
        <f>E1956+G1956+H1956</f>
        <v/>
      </c>
      <c r="J1956" s="3">
        <f>ROUND(MIN(IF(C1956="Técnico III",35,IF(C1956="Técnico II",28,IF(C1956="Técnico I",23,IF(C1956="JR",20,IF(C1956="Estágio",10,0))))),IF(C1956="Técnico III",SUMIFS($D:$D,$A:$A,$A1956,$B:$B,"&lt;&gt;Patrícia Karla de Sousa Araújo",$B:$B,"&lt;&gt;Lorena Dias de Araujo",$B:$B,"&lt;&gt;Lucas Luiz Romero")*(35/1083),IF(C1956="Técnico II",SUMIFS($D:$D,$A:$A,$A1956,$B:$B,"&lt;&gt;Patrícia Karla de Sousa Araújo",$B:$B,"&lt;&gt;Lorena Dias de Araujo",$B:$B,"&lt;&gt;Lucas Luiz Romero")*(28/1083),IF(C1956="Técnico I",SUMIFS($D:$D,$A:$A,$A1956,$B:$B,"&lt;&gt;Patrícia Karla de Sousa Araújo",$B:$B,"&lt;&gt;Lorena Dias de Araujo",$B:$B,"&lt;&gt;Lucas Luiz Romero")*(23/1083),IF(C1956="JR",SUMIFS($D:$D,$A:$A,$A1956,$B:$B,"&lt;&gt;Patrícia Karla de Sousa Araújo",$B:$B,"&lt;&gt;Lorena Dias de Araujo",$B:$B,"&lt;&gt;Lucas Luiz Romero")*(20/1083),IF(C1956="Estágio",SUMIFS($D:$D,$A:$A,$A1956,$B:$B,"&lt;&gt;Patrícia Karla de Sousa Araújo",$B:$B,"&lt;&gt;Lorena Dias de Araujo",$B:$B,"&lt;&gt;Lucas Luiz Romero")*(10/1083),0)))))),0)</f>
        <v/>
      </c>
      <c r="K1956" s="3">
        <f>I1956-J1956</f>
        <v/>
      </c>
      <c r="L1956" s="3">
        <f>IF(K1956&lt;-5,"CRÍTICO",IF(K1956&lt;0,"ATENÇÃO",IF(K1956&lt;=5,"BOM","EXCELENTE")))</f>
        <v/>
      </c>
      <c r="M1956" s="3" t="n">
        <v>19</v>
      </c>
      <c r="N1956" s="3" t="n">
        <v>98.51000000000001</v>
      </c>
      <c r="O1956" s="12" t="n">
        <v>29.71014492753623</v>
      </c>
    </row>
    <row r="1957">
      <c r="A1957" s="10" t="n">
        <v>46062</v>
      </c>
      <c r="B1957" t="inlineStr">
        <is>
          <t>Rafael Gomes de Morais</t>
        </is>
      </c>
      <c r="C1957" s="1" t="inlineStr">
        <is>
          <t>Técnico III</t>
        </is>
      </c>
      <c r="D1957" s="3" t="n">
        <v>50</v>
      </c>
      <c r="E1957" s="3" t="n">
        <v>44</v>
      </c>
      <c r="F1957" s="3" t="n">
        <v>13.24</v>
      </c>
      <c r="G1957" s="3" t="n">
        <v>0</v>
      </c>
      <c r="H1957" s="3" t="n">
        <v>0</v>
      </c>
      <c r="I1957" s="3">
        <f>E1957+G1957+H1957</f>
        <v/>
      </c>
      <c r="J1957" s="3">
        <f>ROUND(MIN(IF(C1957="Técnico III",35,IF(C1957="Técnico II",28,IF(C1957="Técnico I",23,IF(C1957="JR",20,IF(C1957="Estágio",10,0))))),IF(C1957="Técnico III",SUMIFS($D:$D,$A:$A,$A1957,$B:$B,"&lt;&gt;Patrícia Karla de Sousa Araújo",$B:$B,"&lt;&gt;Lorena Dias de Araujo",$B:$B,"&lt;&gt;Lucas Luiz Romero")*(35/1083),IF(C1957="Técnico II",SUMIFS($D:$D,$A:$A,$A1957,$B:$B,"&lt;&gt;Patrícia Karla de Sousa Araújo",$B:$B,"&lt;&gt;Lorena Dias de Araujo",$B:$B,"&lt;&gt;Lucas Luiz Romero")*(28/1083),IF(C1957="Técnico I",SUMIFS($D:$D,$A:$A,$A1957,$B:$B,"&lt;&gt;Patrícia Karla de Sousa Araújo",$B:$B,"&lt;&gt;Lorena Dias de Araujo",$B:$B,"&lt;&gt;Lucas Luiz Romero")*(23/1083),IF(C1957="JR",SUMIFS($D:$D,$A:$A,$A1957,$B:$B,"&lt;&gt;Patrícia Karla de Sousa Araújo",$B:$B,"&lt;&gt;Lorena Dias de Araujo",$B:$B,"&lt;&gt;Lucas Luiz Romero")*(20/1083),IF(C1957="Estágio",SUMIFS($D:$D,$A:$A,$A1957,$B:$B,"&lt;&gt;Patrícia Karla de Sousa Araújo",$B:$B,"&lt;&gt;Lorena Dias de Araujo",$B:$B,"&lt;&gt;Lucas Luiz Romero")*(10/1083),0)))))),0)</f>
        <v/>
      </c>
      <c r="K1957" s="3">
        <f>I1957-J1957</f>
        <v/>
      </c>
      <c r="L1957" s="3">
        <f>IF(K1957&lt;-5,"CRÍTICO",IF(K1957&lt;0,"ATENÇÃO",IF(K1957&lt;=5,"BOM","EXCELENTE")))</f>
        <v/>
      </c>
      <c r="M1957" s="3" t="n">
        <v>39</v>
      </c>
      <c r="N1957" s="3" t="n">
        <v>98.81</v>
      </c>
      <c r="O1957" s="12" t="n">
        <v>30.71297989031079</v>
      </c>
    </row>
    <row r="1958">
      <c r="A1958" s="10" t="n">
        <v>46062</v>
      </c>
      <c r="B1958" t="inlineStr">
        <is>
          <t>Sara Maria Monteiro Lopes</t>
        </is>
      </c>
      <c r="C1958" s="1" t="inlineStr">
        <is>
          <t>Técnico I</t>
        </is>
      </c>
      <c r="D1958" s="3" t="n">
        <v>10</v>
      </c>
      <c r="E1958" s="3" t="n">
        <v>10</v>
      </c>
      <c r="F1958" s="3" t="n">
        <v>71.47</v>
      </c>
      <c r="G1958" s="3" t="n">
        <v>0</v>
      </c>
      <c r="H1958" s="3" t="n">
        <v>0</v>
      </c>
      <c r="I1958" s="3">
        <f>E1958+G1958+H1958</f>
        <v/>
      </c>
      <c r="J1958" s="3">
        <f>ROUND(MIN(IF(C1958="Técnico III",35,IF(C1958="Técnico II",28,IF(C1958="Técnico I",23,IF(C1958="JR",20,IF(C1958="Estágio",10,0))))),IF(C1958="Técnico III",SUMIFS($D:$D,$A:$A,$A1958,$B:$B,"&lt;&gt;Patrícia Karla de Sousa Araújo",$B:$B,"&lt;&gt;Lorena Dias de Araujo",$B:$B,"&lt;&gt;Lucas Luiz Romero")*(35/1083),IF(C1958="Técnico II",SUMIFS($D:$D,$A:$A,$A1958,$B:$B,"&lt;&gt;Patrícia Karla de Sousa Araújo",$B:$B,"&lt;&gt;Lorena Dias de Araujo",$B:$B,"&lt;&gt;Lucas Luiz Romero")*(28/1083),IF(C1958="Técnico I",SUMIFS($D:$D,$A:$A,$A1958,$B:$B,"&lt;&gt;Patrícia Karla de Sousa Araújo",$B:$B,"&lt;&gt;Lorena Dias de Araujo",$B:$B,"&lt;&gt;Lucas Luiz Romero")*(23/1083),IF(C1958="JR",SUMIFS($D:$D,$A:$A,$A1958,$B:$B,"&lt;&gt;Patrícia Karla de Sousa Araújo",$B:$B,"&lt;&gt;Lorena Dias de Araujo",$B:$B,"&lt;&gt;Lucas Luiz Romero")*(20/1083),IF(C1958="Estágio",SUMIFS($D:$D,$A:$A,$A1958,$B:$B,"&lt;&gt;Patrícia Karla de Sousa Araújo",$B:$B,"&lt;&gt;Lorena Dias de Araujo",$B:$B,"&lt;&gt;Lucas Luiz Romero")*(10/1083),0)))))),0)</f>
        <v/>
      </c>
      <c r="K1958" s="3">
        <f>I1958-J1958</f>
        <v/>
      </c>
      <c r="L1958" s="3">
        <f>IF(K1958&lt;-5,"CRÍTICO",IF(K1958&lt;0,"ATENÇÃO",IF(K1958&lt;=5,"BOM","EXCELENTE")))</f>
        <v/>
      </c>
      <c r="M1958" s="3" t="n">
        <v>8</v>
      </c>
      <c r="N1958" s="3" t="n">
        <v>98.48</v>
      </c>
      <c r="O1958" s="12" t="n">
        <v>29.35323383084577</v>
      </c>
    </row>
    <row r="1959">
      <c r="A1959" s="10" t="n">
        <v>46062</v>
      </c>
      <c r="B1959" t="inlineStr">
        <is>
          <t>Sarah Steffanie de Lima Borges</t>
        </is>
      </c>
      <c r="C1959" s="1" t="inlineStr">
        <is>
          <t>Técnico III</t>
        </is>
      </c>
      <c r="D1959" s="3" t="n">
        <v>29</v>
      </c>
      <c r="E1959" s="3" t="n">
        <v>28</v>
      </c>
      <c r="F1959" s="3" t="n">
        <v>20.18</v>
      </c>
      <c r="G1959" s="3" t="n">
        <v>0</v>
      </c>
      <c r="H1959" s="3" t="n">
        <v>0</v>
      </c>
      <c r="I1959" s="3">
        <f>E1959+G1959+H1959</f>
        <v/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/>
      </c>
      <c r="K1959" s="3">
        <f>I1959-J1959</f>
        <v/>
      </c>
      <c r="L1959" s="3">
        <f>IF(K1959&lt;-5,"CRÍTICO",IF(K1959&lt;0,"ATENÇÃO",IF(K1959&lt;=5,"BOM","EXCELENTE")))</f>
        <v/>
      </c>
      <c r="M1959" s="3" t="n">
        <v>25</v>
      </c>
      <c r="N1959" s="3" t="n">
        <v>98.56</v>
      </c>
      <c r="O1959" s="12" t="n">
        <v>29.37365010799136</v>
      </c>
    </row>
    <row r="1960">
      <c r="A1960" s="10" t="n">
        <v>46063</v>
      </c>
      <c r="B1960" t="inlineStr">
        <is>
          <t>Alisson de Freitas Silva</t>
        </is>
      </c>
      <c r="C1960" s="1" t="inlineStr">
        <is>
          <t>Técnico II</t>
        </is>
      </c>
      <c r="D1960" s="3" t="n">
        <v>29</v>
      </c>
      <c r="E1960" s="3" t="n">
        <v>27</v>
      </c>
      <c r="F1960" s="3" t="n">
        <v>18.36</v>
      </c>
      <c r="G1960" s="3" t="n">
        <v>0</v>
      </c>
      <c r="H1960" s="3" t="n">
        <v>0</v>
      </c>
      <c r="I1960" s="3">
        <f>E1960+G1960+H1960</f>
        <v/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/>
      </c>
      <c r="K1960" s="3">
        <f>I1960-J1960</f>
        <v/>
      </c>
      <c r="L1960" s="3">
        <f>IF(K1960&lt;-5,"CRÍTICO",IF(K1960&lt;0,"ATENÇÃO",IF(K1960&lt;=5,"BOM","EXCELENTE")))</f>
        <v/>
      </c>
      <c r="M1960" s="3" t="n">
        <v>23</v>
      </c>
      <c r="N1960" s="3" t="n">
        <v>98.31999999999999</v>
      </c>
      <c r="O1960" s="12" t="n">
        <v>30.3030303030303</v>
      </c>
    </row>
    <row r="1961">
      <c r="A1961" s="10" t="n">
        <v>46063</v>
      </c>
      <c r="B1961" t="inlineStr">
        <is>
          <t>Amanda Moura Ferreira</t>
        </is>
      </c>
      <c r="C1961" s="1" t="inlineStr">
        <is>
          <t>Técnico III</t>
        </is>
      </c>
      <c r="D1961" s="3" t="n">
        <v>0</v>
      </c>
      <c r="E1961" s="3" t="n">
        <v>0</v>
      </c>
      <c r="F1961" s="3" t="n">
        <v>0</v>
      </c>
      <c r="G1961" s="3" t="n">
        <v>0</v>
      </c>
      <c r="H1961" s="3" t="n">
        <v>0</v>
      </c>
      <c r="I1961" s="3" t="n">
        <v>0</v>
      </c>
      <c r="J1961" s="3" t="n">
        <v>0</v>
      </c>
      <c r="K1961" s="3" t="n">
        <v>0</v>
      </c>
      <c r="L1961" s="3">
        <f>IF(K1961&lt;-5,"CRÍTICO",IF(K1961&lt;0,"ATENÇÃO",IF(K1961&lt;=5,"BOM","EXCELENTE")))</f>
        <v/>
      </c>
      <c r="M1961" s="3" t="n">
        <v>36</v>
      </c>
      <c r="N1961" s="3" t="n">
        <v>98.68000000000001</v>
      </c>
      <c r="O1961" s="12" t="n">
        <v>26.21951219512195</v>
      </c>
    </row>
    <row r="1962">
      <c r="A1962" s="10" t="n">
        <v>46063</v>
      </c>
      <c r="B1962" t="inlineStr">
        <is>
          <t>Ana Karollyne Souza Faria</t>
        </is>
      </c>
      <c r="C1962" s="1" t="inlineStr">
        <is>
          <t>Técnico I</t>
        </is>
      </c>
      <c r="D1962" s="3" t="n">
        <v>24</v>
      </c>
      <c r="E1962" s="3" t="n">
        <v>23</v>
      </c>
      <c r="F1962" s="3" t="n">
        <v>26.59</v>
      </c>
      <c r="G1962" s="3" t="n">
        <v>0</v>
      </c>
      <c r="H1962" s="3" t="n">
        <v>0</v>
      </c>
      <c r="I1962" s="3">
        <f>E1962+G1962+H1962</f>
        <v/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/>
      </c>
      <c r="K1962" s="3">
        <f>I1962-J1962</f>
        <v/>
      </c>
      <c r="L1962" s="3">
        <f>IF(K1962&lt;-5,"CRÍTICO",IF(K1962&lt;0,"ATENÇÃO",IF(K1962&lt;=5,"BOM","EXCELENTE")))</f>
        <v/>
      </c>
      <c r="M1962" s="3" t="n">
        <v>22</v>
      </c>
      <c r="N1962" s="3" t="n">
        <v>100</v>
      </c>
      <c r="O1962" s="12" t="n">
        <v>31.74224343675418</v>
      </c>
    </row>
    <row r="1963">
      <c r="A1963" s="10" t="n">
        <v>46063</v>
      </c>
      <c r="B1963" t="inlineStr">
        <is>
          <t>Ana Paula Da Luz Silva Aleixo</t>
        </is>
      </c>
      <c r="C1963" s="1" t="inlineStr">
        <is>
          <t>Técnico III</t>
        </is>
      </c>
      <c r="D1963" s="3" t="n">
        <v>42</v>
      </c>
      <c r="E1963" s="3" t="n">
        <v>37</v>
      </c>
      <c r="F1963" s="3" t="n">
        <v>17.05</v>
      </c>
      <c r="G1963" s="3" t="n">
        <v>0</v>
      </c>
      <c r="H1963" s="3" t="n">
        <v>0</v>
      </c>
      <c r="I1963" s="3">
        <f>E1963+G1963+H1963</f>
        <v/>
      </c>
      <c r="J1963" s="3">
        <f>ROUND(MIN(IF(C1963="Técnico III",35,IF(C1963="Técnico II",28,IF(C1963="Técnico I",23,IF(C1963="JR",20,IF(C1963="Estágio",10,0))))),IF(C1963="Técnico III",SUMIFS($D:$D,$A:$A,$A1963,$B:$B,"&lt;&gt;Patrícia Karla de Sousa Araújo",$B:$B,"&lt;&gt;Lorena Dias de Araujo",$B:$B,"&lt;&gt;Lucas Luiz Romero")*(35/1083),IF(C1963="Técnico II",SUMIFS($D:$D,$A:$A,$A1963,$B:$B,"&lt;&gt;Patrícia Karla de Sousa Araújo",$B:$B,"&lt;&gt;Lorena Dias de Araujo",$B:$B,"&lt;&gt;Lucas Luiz Romero")*(28/1083),IF(C1963="Técnico I",SUMIFS($D:$D,$A:$A,$A1963,$B:$B,"&lt;&gt;Patrícia Karla de Sousa Araújo",$B:$B,"&lt;&gt;Lorena Dias de Araujo",$B:$B,"&lt;&gt;Lucas Luiz Romero")*(23/1083),IF(C1963="JR",SUMIFS($D:$D,$A:$A,$A1963,$B:$B,"&lt;&gt;Patrícia Karla de Sousa Araújo",$B:$B,"&lt;&gt;Lorena Dias de Araujo",$B:$B,"&lt;&gt;Lucas Luiz Romero")*(20/1083),IF(C1963="Estágio",SUMIFS($D:$D,$A:$A,$A1963,$B:$B,"&lt;&gt;Patrícia Karla de Sousa Araújo",$B:$B,"&lt;&gt;Lorena Dias de Araujo",$B:$B,"&lt;&gt;Lucas Luiz Romero")*(10/1083),0)))))),0)</f>
        <v/>
      </c>
      <c r="K1963" s="3">
        <f>I1963-J1963</f>
        <v/>
      </c>
      <c r="L1963" s="3">
        <f>IF(K1963&lt;-5,"CRÍTICO",IF(K1963&lt;0,"ATENÇÃO",IF(K1963&lt;=5,"BOM","EXCELENTE")))</f>
        <v/>
      </c>
      <c r="M1963" s="3" t="n">
        <v>33</v>
      </c>
      <c r="N1963" s="3" t="n">
        <v>98.25</v>
      </c>
      <c r="O1963" s="12" t="n">
        <v>25.83518930957684</v>
      </c>
    </row>
    <row r="1964">
      <c r="A1964" s="10" t="n">
        <v>46063</v>
      </c>
      <c r="B1964" t="inlineStr">
        <is>
          <t>Anna Luiza Rezende Tavares</t>
        </is>
      </c>
      <c r="C1964" s="1" t="inlineStr">
        <is>
          <t>Estágio</t>
        </is>
      </c>
      <c r="D1964" s="3" t="n">
        <v>11</v>
      </c>
      <c r="E1964" s="3" t="n">
        <v>9</v>
      </c>
      <c r="F1964" s="3" t="n">
        <v>28.47</v>
      </c>
      <c r="G1964" s="3" t="n">
        <v>0</v>
      </c>
      <c r="H1964" s="3" t="n">
        <v>0</v>
      </c>
      <c r="I1964" s="3">
        <f>E1964+G1964+H1964</f>
        <v/>
      </c>
      <c r="J1964" s="3">
        <f>ROUND(MIN(IF(C1964="Técnico III",35,IF(C1964="Técnico II",28,IF(C1964="Técnico I",23,IF(C1964="JR",20,IF(C1964="Estágio",10,0))))),IF(C1964="Técnico III",SUMIFS($D:$D,$A:$A,$A1964,$B:$B,"&lt;&gt;Patrícia Karla de Sousa Araújo",$B:$B,"&lt;&gt;Lorena Dias de Araujo",$B:$B,"&lt;&gt;Lucas Luiz Romero")*(35/1083),IF(C1964="Técnico II",SUMIFS($D:$D,$A:$A,$A1964,$B:$B,"&lt;&gt;Patrícia Karla de Sousa Araújo",$B:$B,"&lt;&gt;Lorena Dias de Araujo",$B:$B,"&lt;&gt;Lucas Luiz Romero")*(28/1083),IF(C1964="Técnico I",SUMIFS($D:$D,$A:$A,$A1964,$B:$B,"&lt;&gt;Patrícia Karla de Sousa Araújo",$B:$B,"&lt;&gt;Lorena Dias de Araujo",$B:$B,"&lt;&gt;Lucas Luiz Romero")*(23/1083),IF(C1964="JR",SUMIFS($D:$D,$A:$A,$A1964,$B:$B,"&lt;&gt;Patrícia Karla de Sousa Araújo",$B:$B,"&lt;&gt;Lorena Dias de Araujo",$B:$B,"&lt;&gt;Lucas Luiz Romero")*(20/1083),IF(C1964="Estágio",SUMIFS($D:$D,$A:$A,$A1964,$B:$B,"&lt;&gt;Patrícia Karla de Sousa Araújo",$B:$B,"&lt;&gt;Lorena Dias de Araujo",$B:$B,"&lt;&gt;Lucas Luiz Romero")*(10/1083),0)))))),0)</f>
        <v/>
      </c>
      <c r="K1964" s="3">
        <f>I1964-J1964</f>
        <v/>
      </c>
      <c r="L1964" s="3">
        <f>IF(K1964&lt;-5,"CRÍTICO",IF(K1964&lt;0,"ATENÇÃO",IF(K1964&lt;=5,"BOM","EXCELENTE")))</f>
        <v/>
      </c>
      <c r="M1964" s="3" t="n">
        <v>7</v>
      </c>
      <c r="N1964" s="3" t="n">
        <v>97.5</v>
      </c>
      <c r="O1964" s="12" t="n">
        <v>30.07518796992481</v>
      </c>
    </row>
    <row r="1965">
      <c r="A1965" s="10" t="n">
        <v>46063</v>
      </c>
      <c r="B1965" t="inlineStr">
        <is>
          <t>Brenda de Menezes Silva</t>
        </is>
      </c>
      <c r="C1965" s="1" t="inlineStr">
        <is>
          <t>Técnico II</t>
        </is>
      </c>
      <c r="D1965" s="3" t="n">
        <v>35</v>
      </c>
      <c r="E1965" s="3" t="n">
        <v>32</v>
      </c>
      <c r="F1965" s="3" t="n">
        <v>18.36</v>
      </c>
      <c r="G1965" s="3" t="n">
        <v>0</v>
      </c>
      <c r="H1965" s="3" t="n">
        <v>0</v>
      </c>
      <c r="I1965" s="3">
        <f>E1965+G1965+H1965</f>
        <v/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/>
      </c>
      <c r="K1965" s="3">
        <f>I1965-J1965</f>
        <v/>
      </c>
      <c r="L1965" s="3">
        <f>IF(K1965&lt;-5,"CRÍTICO",IF(K1965&lt;0,"ATENÇÃO",IF(K1965&lt;=5,"BOM","EXCELENTE")))</f>
        <v/>
      </c>
      <c r="M1965" s="3" t="n">
        <v>32</v>
      </c>
      <c r="N1965" s="3" t="n">
        <v>100</v>
      </c>
      <c r="O1965" s="12" t="n">
        <v>29.71311475409836</v>
      </c>
    </row>
    <row r="1966">
      <c r="A1966" s="10" t="n">
        <v>46063</v>
      </c>
      <c r="B1966" t="inlineStr">
        <is>
          <t>Carlos Mateus Cassimiro Nunes</t>
        </is>
      </c>
      <c r="C1966" s="1" t="inlineStr">
        <is>
          <t>Técnico II</t>
        </is>
      </c>
      <c r="D1966" s="3" t="n">
        <v>27</v>
      </c>
      <c r="E1966" s="3" t="n">
        <v>26</v>
      </c>
      <c r="F1966" s="3" t="n">
        <v>28.42</v>
      </c>
      <c r="G1966" s="3" t="n">
        <v>0</v>
      </c>
      <c r="H1966" s="3" t="n">
        <v>0</v>
      </c>
      <c r="I1966" s="3">
        <f>E1966+G1966+H1966</f>
        <v/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/>
      </c>
      <c r="K1966" s="3">
        <f>I1966-J1966</f>
        <v/>
      </c>
      <c r="L1966" s="3">
        <f>IF(K1966&lt;-5,"CRÍTICO",IF(K1966&lt;0,"ATENÇÃO",IF(K1966&lt;=5,"BOM","EXCELENTE")))</f>
        <v/>
      </c>
      <c r="M1966" s="3" t="n">
        <v>26</v>
      </c>
      <c r="N1966" s="3" t="n">
        <v>99.22</v>
      </c>
      <c r="O1966" s="12" t="n">
        <v>35.25641025641026</v>
      </c>
    </row>
    <row r="1967">
      <c r="A1967" s="10" t="n">
        <v>46063</v>
      </c>
      <c r="B1967" t="inlineStr">
        <is>
          <t>Claudio de Sousa Velasco Filho</t>
        </is>
      </c>
      <c r="C1967" s="1" t="inlineStr">
        <is>
          <t>Estágio</t>
        </is>
      </c>
      <c r="D1967" s="3" t="n">
        <v>0</v>
      </c>
      <c r="E1967" s="3" t="n">
        <v>0</v>
      </c>
      <c r="F1967" s="3" t="n">
        <v>0</v>
      </c>
      <c r="G1967" s="3" t="n">
        <v>0</v>
      </c>
      <c r="H1967" s="3" t="n">
        <v>0</v>
      </c>
      <c r="I1967" s="3" t="n">
        <v>0</v>
      </c>
      <c r="J1967" s="3" t="n">
        <v>0</v>
      </c>
      <c r="K1967" s="3" t="n">
        <v>0</v>
      </c>
      <c r="L1967" s="3">
        <f>IF(K1967&lt;-5,"CRÍTICO",IF(K1967&lt;0,"ATENÇÃO",IF(K1967&lt;=5,"BOM","EXCELENTE")))</f>
        <v/>
      </c>
      <c r="M1967" s="3" t="n">
        <v>0</v>
      </c>
      <c r="N1967" s="3" t="n">
        <v>0</v>
      </c>
      <c r="O1967" s="12" t="n">
        <v>0</v>
      </c>
    </row>
    <row r="1968">
      <c r="A1968" s="10" t="n">
        <v>46063</v>
      </c>
      <c r="B1968" t="inlineStr">
        <is>
          <t>Clessiane Pereira dos Santos</t>
        </is>
      </c>
      <c r="C1968" s="1" t="inlineStr">
        <is>
          <t>Técnico I</t>
        </is>
      </c>
      <c r="D1968" s="3" t="n">
        <v>106</v>
      </c>
      <c r="E1968" s="3" t="n">
        <v>12</v>
      </c>
      <c r="F1968" s="3" t="n">
        <v>3.23</v>
      </c>
      <c r="G1968" s="3" t="n">
        <v>0</v>
      </c>
      <c r="H1968" s="3" t="n">
        <v>0</v>
      </c>
      <c r="I1968" s="3">
        <f>E1968+G1968+H1968</f>
        <v/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/>
      </c>
      <c r="K1968" s="3">
        <f>I1968-J1968</f>
        <v/>
      </c>
      <c r="L1968" s="3">
        <f>IF(K1968&lt;-5,"CRÍTICO",IF(K1968&lt;0,"ATENÇÃO",IF(K1968&lt;=5,"BOM","EXCELENTE")))</f>
        <v/>
      </c>
      <c r="M1968" s="3" t="n">
        <v>14</v>
      </c>
      <c r="N1968" s="3" t="n">
        <v>98.75</v>
      </c>
      <c r="O1968" s="12" t="n">
        <v>24.32432432432433</v>
      </c>
    </row>
    <row r="1969">
      <c r="A1969" s="10" t="n">
        <v>46063</v>
      </c>
      <c r="B1969" t="inlineStr">
        <is>
          <t>Cristiane Ramos da Silva Rocha</t>
        </is>
      </c>
      <c r="C1969" s="1" t="inlineStr">
        <is>
          <t>Técnico III</t>
        </is>
      </c>
      <c r="D1969" s="3" t="n">
        <v>40</v>
      </c>
      <c r="E1969" s="3" t="n">
        <v>37</v>
      </c>
      <c r="F1969" s="3" t="n">
        <v>14.01</v>
      </c>
      <c r="G1969" s="3" t="n">
        <v>0</v>
      </c>
      <c r="H1969" s="3" t="n">
        <v>0</v>
      </c>
      <c r="I1969" s="3">
        <f>E1969+G1969+H1969</f>
        <v/>
      </c>
      <c r="J1969" s="3">
        <f>ROUND(MIN(IF(C1969="Técnico III",35,IF(C1969="Técnico II",28,IF(C1969="Técnico I",23,IF(C1969="JR",20,IF(C1969="Estágio",10,0))))),IF(C1969="Técnico III",SUMIFS($D:$D,$A:$A,$A1969,$B:$B,"&lt;&gt;Patrícia Karla de Sousa Araújo",$B:$B,"&lt;&gt;Lorena Dias de Araujo",$B:$B,"&lt;&gt;Lucas Luiz Romero")*(35/1083),IF(C1969="Técnico II",SUMIFS($D:$D,$A:$A,$A1969,$B:$B,"&lt;&gt;Patrícia Karla de Sousa Araújo",$B:$B,"&lt;&gt;Lorena Dias de Araujo",$B:$B,"&lt;&gt;Lucas Luiz Romero")*(28/1083),IF(C1969="Técnico I",SUMIFS($D:$D,$A:$A,$A1969,$B:$B,"&lt;&gt;Patrícia Karla de Sousa Araújo",$B:$B,"&lt;&gt;Lorena Dias de Araujo",$B:$B,"&lt;&gt;Lucas Luiz Romero")*(23/1083),IF(C1969="JR",SUMIFS($D:$D,$A:$A,$A1969,$B:$B,"&lt;&gt;Patrícia Karla de Sousa Araújo",$B:$B,"&lt;&gt;Lorena Dias de Araujo",$B:$B,"&lt;&gt;Lucas Luiz Romero")*(20/1083),IF(C1969="Estágio",SUMIFS($D:$D,$A:$A,$A1969,$B:$B,"&lt;&gt;Patrícia Karla de Sousa Araújo",$B:$B,"&lt;&gt;Lorena Dias de Araujo",$B:$B,"&lt;&gt;Lucas Luiz Romero")*(10/1083),0)))))),0)</f>
        <v/>
      </c>
      <c r="K1969" s="3">
        <f>I1969-J1969</f>
        <v/>
      </c>
      <c r="L1969" s="3">
        <f>IF(K1969&lt;-5,"CRÍTICO",IF(K1969&lt;0,"ATENÇÃO",IF(K1969&lt;=5,"BOM","EXCELENTE")))</f>
        <v/>
      </c>
      <c r="M1969" s="3" t="n">
        <v>33</v>
      </c>
      <c r="N1969" s="3" t="n">
        <v>93.48</v>
      </c>
      <c r="O1969" s="12" t="n">
        <v>31.52804642166344</v>
      </c>
    </row>
    <row r="1970">
      <c r="A1970" s="10" t="n">
        <v>46063</v>
      </c>
      <c r="B1970" t="inlineStr">
        <is>
          <t>Damyllis Lorraine de Oliveira Gonçalves</t>
        </is>
      </c>
      <c r="C1970" s="1" t="inlineStr">
        <is>
          <t>Técnico II</t>
        </is>
      </c>
      <c r="D1970" s="3" t="n">
        <v>31</v>
      </c>
      <c r="E1970" s="3" t="n">
        <v>27</v>
      </c>
      <c r="F1970" s="3" t="n">
        <v>21.59</v>
      </c>
      <c r="G1970" s="3" t="n">
        <v>0</v>
      </c>
      <c r="H1970" s="3" t="n">
        <v>0</v>
      </c>
      <c r="I1970" s="3" t="n">
        <v>0</v>
      </c>
      <c r="J1970" s="3" t="n">
        <v>0</v>
      </c>
      <c r="K1970" s="3" t="n">
        <v>0</v>
      </c>
      <c r="L1970" s="3">
        <f>IF(K1970&lt;-5,"CRÍTICO",IF(K1970&lt;0,"ATENÇÃO",IF(K1970&lt;=5,"BOM","EXCELENTE")))</f>
        <v/>
      </c>
      <c r="M1970" s="3" t="n">
        <v>24</v>
      </c>
      <c r="N1970" s="3" t="n">
        <v>99.16</v>
      </c>
      <c r="O1970" s="12" t="n">
        <v>26.13908872901678</v>
      </c>
    </row>
    <row r="1971">
      <c r="A1971" s="10" t="n">
        <v>46063</v>
      </c>
      <c r="B1971" t="inlineStr">
        <is>
          <t>Daniel Gomes da Silva</t>
        </is>
      </c>
      <c r="C1971" s="1" t="inlineStr">
        <is>
          <t>Técnico I</t>
        </is>
      </c>
      <c r="D1971" s="3" t="n">
        <v>28</v>
      </c>
      <c r="E1971" s="3" t="n">
        <v>26</v>
      </c>
      <c r="F1971" s="3" t="n">
        <v>23.46</v>
      </c>
      <c r="G1971" s="3" t="n">
        <v>0</v>
      </c>
      <c r="H1971" s="3" t="n">
        <v>0</v>
      </c>
      <c r="I1971" s="3">
        <f>E1971+G1971+H1971</f>
        <v/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/>
      </c>
      <c r="K1971" s="3">
        <f>I1971-J1971</f>
        <v/>
      </c>
      <c r="L1971" s="3">
        <f>IF(K1971&lt;-5,"CRÍTICO",IF(K1971&lt;0,"ATENÇÃO",IF(K1971&lt;=5,"BOM","EXCELENTE")))</f>
        <v/>
      </c>
      <c r="M1971" s="3" t="n">
        <v>28</v>
      </c>
      <c r="N1971" s="3" t="n">
        <v>100</v>
      </c>
      <c r="O1971" s="12" t="n">
        <v>31.08974358974359</v>
      </c>
    </row>
    <row r="1972">
      <c r="A1972" s="10" t="n">
        <v>46063</v>
      </c>
      <c r="B1972" t="inlineStr">
        <is>
          <t>Davylla Rodrigues Freitas Silva</t>
        </is>
      </c>
      <c r="C1972" s="1" t="inlineStr">
        <is>
          <t>Técnico III</t>
        </is>
      </c>
      <c r="D1972" s="3" t="n">
        <v>30</v>
      </c>
      <c r="E1972" s="3" t="n">
        <v>29</v>
      </c>
      <c r="F1972" s="3" t="n">
        <v>25.58</v>
      </c>
      <c r="G1972" s="3" t="n">
        <v>0</v>
      </c>
      <c r="H1972" s="3" t="n">
        <v>0</v>
      </c>
      <c r="I1972" s="3" t="n">
        <v>0</v>
      </c>
      <c r="J1972" s="3" t="n">
        <v>0</v>
      </c>
      <c r="K1972" s="3" t="n">
        <v>0</v>
      </c>
      <c r="L1972" s="3">
        <f>IF(K1972&lt;-5,"CRÍTICO",IF(K1972&lt;0,"ATENÇÃO",IF(K1972&lt;=5,"BOM","EXCELENTE")))</f>
        <v/>
      </c>
      <c r="M1972" s="3" t="n">
        <v>30</v>
      </c>
      <c r="N1972" s="3" t="n">
        <v>98.11</v>
      </c>
      <c r="O1972" s="12" t="n">
        <v>33.03370786516854</v>
      </c>
    </row>
    <row r="1973">
      <c r="A1973" s="10" t="n">
        <v>46063</v>
      </c>
      <c r="B1973" t="inlineStr">
        <is>
          <t>Emilly Caylane Costa</t>
        </is>
      </c>
      <c r="C1973" s="1" t="inlineStr">
        <is>
          <t>Estágio</t>
        </is>
      </c>
      <c r="D1973" s="3" t="n">
        <v>20</v>
      </c>
      <c r="E1973" s="3" t="n">
        <v>18</v>
      </c>
      <c r="F1973" s="3" t="n">
        <v>10.15</v>
      </c>
      <c r="G1973" s="3" t="n">
        <v>0</v>
      </c>
      <c r="H1973" s="3" t="n">
        <v>0</v>
      </c>
      <c r="I1973" s="3">
        <f>E1973+G1973+H1973</f>
        <v/>
      </c>
      <c r="J1973" s="3">
        <f>ROUND(MIN(IF(C1973="Técnico III",35,IF(C1973="Técnico II",28,IF(C1973="Técnico I",23,IF(C1973="JR",20,IF(C1973="Estágio",10,0))))),IF(C1973="Técnico III",SUMIFS($D:$D,$A:$A,$A1973,$B:$B,"&lt;&gt;Patrícia Karla de Sousa Araújo",$B:$B,"&lt;&gt;Lorena Dias de Araujo",$B:$B,"&lt;&gt;Lucas Luiz Romero")*(35/1083),IF(C1973="Técnico II",SUMIFS($D:$D,$A:$A,$A1973,$B:$B,"&lt;&gt;Patrícia Karla de Sousa Araújo",$B:$B,"&lt;&gt;Lorena Dias de Araujo",$B:$B,"&lt;&gt;Lucas Luiz Romero")*(28/1083),IF(C1973="Técnico I",SUMIFS($D:$D,$A:$A,$A1973,$B:$B,"&lt;&gt;Patrícia Karla de Sousa Araújo",$B:$B,"&lt;&gt;Lorena Dias de Araujo",$B:$B,"&lt;&gt;Lucas Luiz Romero")*(23/1083),IF(C1973="JR",SUMIFS($D:$D,$A:$A,$A1973,$B:$B,"&lt;&gt;Patrícia Karla de Sousa Araújo",$B:$B,"&lt;&gt;Lorena Dias de Araujo",$B:$B,"&lt;&gt;Lucas Luiz Romero")*(20/1083),IF(C1973="Estágio",SUMIFS($D:$D,$A:$A,$A1973,$B:$B,"&lt;&gt;Patrícia Karla de Sousa Araújo",$B:$B,"&lt;&gt;Lorena Dias de Araujo",$B:$B,"&lt;&gt;Lucas Luiz Romero")*(10/1083),0)))))),0)</f>
        <v/>
      </c>
      <c r="K1973" s="3">
        <f>I1973-J1973</f>
        <v/>
      </c>
      <c r="L1973" s="3">
        <f>IF(K1973&lt;-5,"CRÍTICO",IF(K1973&lt;0,"ATENÇÃO",IF(K1973&lt;=5,"BOM","EXCELENTE")))</f>
        <v/>
      </c>
      <c r="M1973" s="3" t="n">
        <v>1</v>
      </c>
      <c r="N1973" s="3" t="n">
        <v>78.95</v>
      </c>
      <c r="O1973" s="12" t="n">
        <v>38.98305084745763</v>
      </c>
    </row>
    <row r="1974">
      <c r="A1974" s="10" t="n">
        <v>46063</v>
      </c>
      <c r="B1974" t="inlineStr">
        <is>
          <t>Emilly Kamilly Medeiros Miranda</t>
        </is>
      </c>
      <c r="C1974" s="1" t="inlineStr">
        <is>
          <t>Técnico II</t>
        </is>
      </c>
      <c r="D1974" s="3" t="n">
        <v>14</v>
      </c>
      <c r="E1974" s="3" t="n">
        <v>14</v>
      </c>
      <c r="F1974" s="3" t="n">
        <v>35.38</v>
      </c>
      <c r="G1974" s="3" t="n">
        <v>0</v>
      </c>
      <c r="H1974" s="3" t="n">
        <v>0</v>
      </c>
      <c r="I1974" s="3">
        <f>E1974+G1974+H1974</f>
        <v/>
      </c>
      <c r="J1974" s="3">
        <f>ROUND(MIN(IF(C1974="Técnico III",35,IF(C1974="Técnico II",28,IF(C1974="Técnico I",23,IF(C1974="JR",20,IF(C1974="Estágio",10,0))))),IF(C1974="Técnico III",SUMIFS($D:$D,$A:$A,$A1974,$B:$B,"&lt;&gt;Patrícia Karla de Sousa Araújo",$B:$B,"&lt;&gt;Lorena Dias de Araujo",$B:$B,"&lt;&gt;Lucas Luiz Romero")*(35/1083),IF(C1974="Técnico II",SUMIFS($D:$D,$A:$A,$A1974,$B:$B,"&lt;&gt;Patrícia Karla de Sousa Araújo",$B:$B,"&lt;&gt;Lorena Dias de Araujo",$B:$B,"&lt;&gt;Lucas Luiz Romero")*(28/1083),IF(C1974="Técnico I",SUMIFS($D:$D,$A:$A,$A1974,$B:$B,"&lt;&gt;Patrícia Karla de Sousa Araújo",$B:$B,"&lt;&gt;Lorena Dias de Araujo",$B:$B,"&lt;&gt;Lucas Luiz Romero")*(23/1083),IF(C1974="JR",SUMIFS($D:$D,$A:$A,$A1974,$B:$B,"&lt;&gt;Patrícia Karla de Sousa Araújo",$B:$B,"&lt;&gt;Lorena Dias de Araujo",$B:$B,"&lt;&gt;Lucas Luiz Romero")*(20/1083),IF(C1974="Estágio",SUMIFS($D:$D,$A:$A,$A1974,$B:$B,"&lt;&gt;Patrícia Karla de Sousa Araújo",$B:$B,"&lt;&gt;Lorena Dias de Araujo",$B:$B,"&lt;&gt;Lucas Luiz Romero")*(10/1083),0)))))),0)</f>
        <v/>
      </c>
      <c r="K1974" s="3">
        <f>I1974-J1974</f>
        <v/>
      </c>
      <c r="L1974" s="3">
        <f>IF(K1974&lt;-5,"CRÍTICO",IF(K1974&lt;0,"ATENÇÃO",IF(K1974&lt;=5,"BOM","EXCELENTE")))</f>
        <v/>
      </c>
      <c r="M1974" s="3" t="n">
        <v>12</v>
      </c>
      <c r="N1974" s="3" t="n">
        <v>98.45</v>
      </c>
      <c r="O1974" s="12" t="n">
        <v>29.2817679558011</v>
      </c>
    </row>
    <row r="1975">
      <c r="A1975" s="10" t="n">
        <v>46063</v>
      </c>
      <c r="B1975" t="inlineStr">
        <is>
          <t>Francielson de Oliveira</t>
        </is>
      </c>
      <c r="C1975" s="1" t="inlineStr">
        <is>
          <t>Técnico III</t>
        </is>
      </c>
      <c r="D1975" s="3" t="n">
        <v>30</v>
      </c>
      <c r="E1975" s="3" t="n">
        <v>30</v>
      </c>
      <c r="F1975" s="3" t="n">
        <v>18.44</v>
      </c>
      <c r="G1975" s="3" t="n">
        <v>0</v>
      </c>
      <c r="H1975" s="3" t="n">
        <v>0</v>
      </c>
      <c r="I1975" s="3">
        <f>E1975+G1975+H1975</f>
        <v/>
      </c>
      <c r="J1975" s="3">
        <f>ROUND(MIN(IF(C1975="Técnico III",35,IF(C1975="Técnico II",28,IF(C1975="Técnico I",23,IF(C1975="JR",20,IF(C1975="Estágio",10,0))))),IF(C1975="Técnico III",SUMIFS($D:$D,$A:$A,$A1975,$B:$B,"&lt;&gt;Patrícia Karla de Sousa Araújo",$B:$B,"&lt;&gt;Lorena Dias de Araujo",$B:$B,"&lt;&gt;Lucas Luiz Romero")*(35/1083),IF(C1975="Técnico II",SUMIFS($D:$D,$A:$A,$A1975,$B:$B,"&lt;&gt;Patrícia Karla de Sousa Araújo",$B:$B,"&lt;&gt;Lorena Dias de Araujo",$B:$B,"&lt;&gt;Lucas Luiz Romero")*(28/1083),IF(C1975="Técnico I",SUMIFS($D:$D,$A:$A,$A1975,$B:$B,"&lt;&gt;Patrícia Karla de Sousa Araújo",$B:$B,"&lt;&gt;Lorena Dias de Araujo",$B:$B,"&lt;&gt;Lucas Luiz Romero")*(23/1083),IF(C1975="JR",SUMIFS($D:$D,$A:$A,$A1975,$B:$B,"&lt;&gt;Patrícia Karla de Sousa Araújo",$B:$B,"&lt;&gt;Lorena Dias de Araujo",$B:$B,"&lt;&gt;Lucas Luiz Romero")*(20/1083),IF(C1975="Estágio",SUMIFS($D:$D,$A:$A,$A1975,$B:$B,"&lt;&gt;Patrícia Karla de Sousa Araújo",$B:$B,"&lt;&gt;Lorena Dias de Araujo",$B:$B,"&lt;&gt;Lucas Luiz Romero")*(10/1083),0)))))),0)</f>
        <v/>
      </c>
      <c r="K1975" s="3">
        <f>I1975-J1975</f>
        <v/>
      </c>
      <c r="L1975" s="3">
        <f>IF(K1975&lt;-5,"CRÍTICO",IF(K1975&lt;0,"ATENÇÃO",IF(K1975&lt;=5,"BOM","EXCELENTE")))</f>
        <v/>
      </c>
      <c r="M1975" s="3" t="n">
        <v>28</v>
      </c>
      <c r="N1975" s="3" t="n">
        <v>97.84</v>
      </c>
      <c r="O1975" s="12" t="n">
        <v>26.28205128205128</v>
      </c>
    </row>
    <row r="1976">
      <c r="A1976" s="10" t="n">
        <v>46063</v>
      </c>
      <c r="B1976" t="inlineStr">
        <is>
          <t>Francilene Ferreira de Jesus</t>
        </is>
      </c>
      <c r="C1976" s="1" t="inlineStr">
        <is>
          <t>Técnico II</t>
        </is>
      </c>
      <c r="D1976" s="3" t="n">
        <v>34</v>
      </c>
      <c r="E1976" s="3" t="n">
        <v>30</v>
      </c>
      <c r="F1976" s="3" t="n">
        <v>16.53</v>
      </c>
      <c r="G1976" s="3" t="n">
        <v>0</v>
      </c>
      <c r="H1976" s="3" t="n">
        <v>0</v>
      </c>
      <c r="I1976" s="3">
        <f>E1976+G1976+H1976</f>
        <v/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/>
      </c>
      <c r="K1976" s="3">
        <f>I1976-J1976</f>
        <v/>
      </c>
      <c r="L1976" s="3">
        <f>IF(K1976&lt;-5,"CRÍTICO",IF(K1976&lt;0,"ATENÇÃO",IF(K1976&lt;=5,"BOM","EXCELENTE")))</f>
        <v/>
      </c>
      <c r="M1976" s="3" t="n">
        <v>33</v>
      </c>
      <c r="N1976" s="3" t="n">
        <v>98.5</v>
      </c>
      <c r="O1976" s="12" t="n">
        <v>23.97769516728625</v>
      </c>
    </row>
    <row r="1977">
      <c r="A1977" s="10" t="n">
        <v>46097</v>
      </c>
      <c r="B1977" t="inlineStr">
        <is>
          <t>Gabriel Gomes de Andrade</t>
        </is>
      </c>
      <c r="C1977" s="1" t="inlineStr">
        <is>
          <t>Técnico I</t>
        </is>
      </c>
      <c r="D1977" s="3" t="n">
        <v>23</v>
      </c>
      <c r="E1977" s="3" t="n">
        <v>22</v>
      </c>
      <c r="F1977" s="3" t="n">
        <v>23.26</v>
      </c>
      <c r="G1977" s="3" t="n">
        <v>0</v>
      </c>
      <c r="H1977" s="3" t="n">
        <v>0</v>
      </c>
      <c r="I1977" s="3">
        <f>E1977+G1977+H1977</f>
        <v/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/>
      </c>
      <c r="K1977" s="3">
        <f>I1977-J1977</f>
        <v/>
      </c>
      <c r="L1977" s="3">
        <f>IF(K1977&lt;-5,"CRÍTICO",IF(K1977&lt;0,"ATENÇÃO",IF(K1977&lt;=5,"BOM","EXCELENTE")))</f>
        <v/>
      </c>
      <c r="M1977" s="3" t="n">
        <v>21</v>
      </c>
      <c r="N1977" s="3" t="n">
        <v>99.05</v>
      </c>
      <c r="O1977" s="12" t="n">
        <v>26.62192393736018</v>
      </c>
    </row>
    <row r="1978">
      <c r="A1978" s="10" t="n">
        <v>46063</v>
      </c>
      <c r="B1978" t="inlineStr">
        <is>
          <t>Isabella Borges de Oliveira</t>
        </is>
      </c>
      <c r="C1978" s="1" t="inlineStr">
        <is>
          <t>Técnico II</t>
        </is>
      </c>
      <c r="D1978" s="3" t="n">
        <v>29</v>
      </c>
      <c r="E1978" s="3" t="n">
        <v>29</v>
      </c>
      <c r="F1978" s="3" t="n">
        <v>25.09</v>
      </c>
      <c r="G1978" s="3" t="n">
        <v>0</v>
      </c>
      <c r="H1978" s="3" t="n">
        <v>0</v>
      </c>
      <c r="I1978" s="3">
        <f>E1978+G1978+H1978</f>
        <v/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/>
      </c>
      <c r="K1978" s="3">
        <f>I1978-J1978</f>
        <v/>
      </c>
      <c r="L1978" s="3">
        <f>IF(K1978&lt;-5,"CRÍTICO",IF(K1978&lt;0,"ATENÇÃO",IF(K1978&lt;=5,"BOM","EXCELENTE")))</f>
        <v/>
      </c>
      <c r="M1978" s="3" t="n">
        <v>25</v>
      </c>
      <c r="N1978" s="3" t="n">
        <v>98.53</v>
      </c>
      <c r="O1978" s="12" t="n">
        <v>31.57894736842105</v>
      </c>
    </row>
    <row r="1979">
      <c r="A1979" s="10" t="n">
        <v>46063</v>
      </c>
      <c r="B1979" t="inlineStr">
        <is>
          <t>Janaina Lima dos Reis Urany</t>
        </is>
      </c>
      <c r="C1979" s="1" t="inlineStr">
        <is>
          <t>Técnico III</t>
        </is>
      </c>
      <c r="D1979" s="3" t="n">
        <v>48</v>
      </c>
      <c r="E1979" s="3" t="n">
        <v>46</v>
      </c>
      <c r="F1979" s="3" t="n">
        <v>15.35</v>
      </c>
      <c r="G1979" s="3" t="n">
        <v>0</v>
      </c>
      <c r="H1979" s="3" t="n">
        <v>0</v>
      </c>
      <c r="I1979" s="3">
        <f>E1979+G1979+H1979</f>
        <v/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/>
      </c>
      <c r="K1979" s="3">
        <f>I1979-J1979</f>
        <v/>
      </c>
      <c r="L1979" s="3">
        <f>IF(K1979&lt;-5,"CRÍTICO",IF(K1979&lt;0,"ATENÇÃO",IF(K1979&lt;=5,"BOM","EXCELENTE")))</f>
        <v/>
      </c>
      <c r="M1979" s="3" t="n">
        <v>42</v>
      </c>
      <c r="N1979" s="3" t="n">
        <v>100</v>
      </c>
      <c r="O1979" s="12" t="n">
        <v>25.72214580467676</v>
      </c>
    </row>
    <row r="1980">
      <c r="A1980" s="10" t="n">
        <v>46063</v>
      </c>
      <c r="B1980" t="inlineStr">
        <is>
          <t>Jaqueline Evangelista da Silva Martins</t>
        </is>
      </c>
      <c r="C1980" s="1" t="inlineStr">
        <is>
          <t>Técnico III</t>
        </is>
      </c>
      <c r="D1980" s="3" t="n">
        <v>39</v>
      </c>
      <c r="E1980" s="3" t="n">
        <v>34</v>
      </c>
      <c r="F1980" s="3" t="n">
        <v>8.470000000000001</v>
      </c>
      <c r="G1980" s="3" t="n">
        <v>0</v>
      </c>
      <c r="H1980" s="3" t="n">
        <v>0</v>
      </c>
      <c r="I1980" s="3">
        <f>E1980+G1980+H1980</f>
        <v/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/>
      </c>
      <c r="K1980" s="3">
        <f>I1980-J1980</f>
        <v/>
      </c>
      <c r="L1980" s="3">
        <f>IF(K1980&lt;-5,"CRÍTICO",IF(K1980&lt;0,"ATENÇÃO",IF(K1980&lt;=5,"BOM","EXCELENTE")))</f>
        <v/>
      </c>
      <c r="M1980" s="3" t="n">
        <v>32</v>
      </c>
      <c r="N1980" s="3" t="n">
        <v>94.64</v>
      </c>
      <c r="O1980" s="12" t="n">
        <v>27.52941176470588</v>
      </c>
    </row>
    <row r="1981">
      <c r="A1981" s="10" t="n">
        <v>46063</v>
      </c>
      <c r="B1981" t="inlineStr">
        <is>
          <t>Jessica Faria da Silveira</t>
        </is>
      </c>
      <c r="C1981" s="1" t="inlineStr">
        <is>
          <t>Técnico II</t>
        </is>
      </c>
      <c r="D1981" s="3" t="n">
        <v>26</v>
      </c>
      <c r="E1981" s="3" t="n">
        <v>21</v>
      </c>
      <c r="F1981" s="3" t="n">
        <v>21.47</v>
      </c>
      <c r="G1981" s="3" t="n">
        <v>0</v>
      </c>
      <c r="H1981" s="3" t="n">
        <v>0</v>
      </c>
      <c r="I1981" s="3">
        <f>E1981+G1981+H1981</f>
        <v/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/>
      </c>
      <c r="K1981" s="3">
        <f>I1981-J1981</f>
        <v/>
      </c>
      <c r="L1981" s="3">
        <f>IF(K1981&lt;-5,"CRÍTICO",IF(K1981&lt;0,"ATENÇÃO",IF(K1981&lt;=5,"BOM","EXCELENTE")))</f>
        <v/>
      </c>
      <c r="M1981" s="3" t="n">
        <v>16</v>
      </c>
      <c r="N1981" s="3" t="n">
        <v>99.06999999999999</v>
      </c>
      <c r="O1981" s="12" t="n">
        <v>26.3768115942029</v>
      </c>
    </row>
    <row r="1982">
      <c r="A1982" s="10" t="n">
        <v>46063</v>
      </c>
      <c r="B1982" t="inlineStr">
        <is>
          <t>Jéssica Fé Moura</t>
        </is>
      </c>
      <c r="C1982" s="1" t="inlineStr">
        <is>
          <t>Técnico III</t>
        </is>
      </c>
      <c r="D1982" s="3" t="n">
        <v>0</v>
      </c>
      <c r="E1982" s="3" t="n">
        <v>0</v>
      </c>
      <c r="F1982" s="3" t="n">
        <v>0</v>
      </c>
      <c r="G1982" s="3" t="n">
        <v>0</v>
      </c>
      <c r="H1982" s="3" t="n">
        <v>0</v>
      </c>
      <c r="I1982" s="3" t="n">
        <v>0</v>
      </c>
      <c r="J1982" s="3" t="n">
        <v>0</v>
      </c>
      <c r="K1982" s="3" t="n">
        <v>0</v>
      </c>
      <c r="L1982" s="3">
        <f>IF(K1982&lt;-5,"CRÍTICO",IF(K1982&lt;0,"ATENÇÃO",IF(K1982&lt;=5,"BOM","EXCELENTE")))</f>
        <v/>
      </c>
      <c r="M1982" s="3" t="n">
        <v>0</v>
      </c>
      <c r="N1982" s="3" t="n">
        <v>100</v>
      </c>
      <c r="O1982" s="12" t="n">
        <v>0</v>
      </c>
    </row>
    <row r="1983">
      <c r="A1983" s="10" t="n">
        <v>46063</v>
      </c>
      <c r="B1983" t="inlineStr">
        <is>
          <t>Karina Gonçalves Martins</t>
        </is>
      </c>
      <c r="C1983" s="1" t="inlineStr">
        <is>
          <t>JR</t>
        </is>
      </c>
      <c r="D1983" s="3" t="n">
        <v>14</v>
      </c>
      <c r="E1983" s="3" t="n">
        <v>13</v>
      </c>
      <c r="F1983" s="3" t="n">
        <v>19.07</v>
      </c>
      <c r="G1983" s="3" t="n">
        <v>0</v>
      </c>
      <c r="H1983" s="3" t="n">
        <v>0</v>
      </c>
      <c r="I1983" s="3">
        <f>E1983+G1983+H1983</f>
        <v/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/>
      </c>
      <c r="K1983" s="3">
        <f>I1983-J1983</f>
        <v/>
      </c>
      <c r="L1983" s="3">
        <f>IF(K1983&lt;-5,"CRÍTICO",IF(K1983&lt;0,"ATENÇÃO",IF(K1983&lt;=5,"BOM","EXCELENTE")))</f>
        <v/>
      </c>
      <c r="M1983" s="3" t="n">
        <v>14</v>
      </c>
      <c r="N1983" s="3" t="n">
        <v>98.48</v>
      </c>
      <c r="O1983" s="12" t="n">
        <v>27.85388127853881</v>
      </c>
    </row>
    <row r="1984">
      <c r="A1984" s="10" t="n">
        <v>46063</v>
      </c>
      <c r="B1984" t="inlineStr">
        <is>
          <t>Kerollen Cristielly de Jesus Siqueira</t>
        </is>
      </c>
      <c r="C1984" s="1" t="inlineStr">
        <is>
          <t>Técnico III</t>
        </is>
      </c>
      <c r="D1984" s="3" t="n">
        <v>4</v>
      </c>
      <c r="E1984" s="3" t="n">
        <v>4</v>
      </c>
      <c r="F1984" s="3" t="n">
        <v>63.33</v>
      </c>
      <c r="G1984" s="3" t="n">
        <v>0</v>
      </c>
      <c r="H1984" s="3" t="n">
        <v>0</v>
      </c>
      <c r="I1984" s="3">
        <f>E1984+G1984+H1984</f>
        <v/>
      </c>
      <c r="J1984" s="3">
        <f>ROUND(MIN(IF(C1984="Técnico III",35,IF(C1984="Técnico II",28,IF(C1984="Técnico I",23,IF(C1984="JR",20,IF(C1984="Estágio",10,0))))),IF(C1984="Técnico III",SUMIFS($D:$D,$A:$A,$A1984,$B:$B,"&lt;&gt;Patrícia Karla de Sousa Araújo",$B:$B,"&lt;&gt;Lorena Dias de Araujo",$B:$B,"&lt;&gt;Lucas Luiz Romero")*(35/1083),IF(C1984="Técnico II",SUMIFS($D:$D,$A:$A,$A1984,$B:$B,"&lt;&gt;Patrícia Karla de Sousa Araújo",$B:$B,"&lt;&gt;Lorena Dias de Araujo",$B:$B,"&lt;&gt;Lucas Luiz Romero")*(28/1083),IF(C1984="Técnico I",SUMIFS($D:$D,$A:$A,$A1984,$B:$B,"&lt;&gt;Patrícia Karla de Sousa Araújo",$B:$B,"&lt;&gt;Lorena Dias de Araujo",$B:$B,"&lt;&gt;Lucas Luiz Romero")*(23/1083),IF(C1984="JR",SUMIFS($D:$D,$A:$A,$A1984,$B:$B,"&lt;&gt;Patrícia Karla de Sousa Araújo",$B:$B,"&lt;&gt;Lorena Dias de Araujo",$B:$B,"&lt;&gt;Lucas Luiz Romero")*(20/1083),IF(C1984="Estágio",SUMIFS($D:$D,$A:$A,$A1984,$B:$B,"&lt;&gt;Patrícia Karla de Sousa Araújo",$B:$B,"&lt;&gt;Lorena Dias de Araujo",$B:$B,"&lt;&gt;Lucas Luiz Romero")*(10/1083),0)))))),0)</f>
        <v/>
      </c>
      <c r="K1984" s="3">
        <f>I1984-J1984</f>
        <v/>
      </c>
      <c r="L1984" s="3">
        <f>IF(K1984&lt;-5,"CRÍTICO",IF(K1984&lt;0,"ATENÇÃO",IF(K1984&lt;=5,"BOM","EXCELENTE")))</f>
        <v/>
      </c>
      <c r="M1984" s="3" t="n">
        <v>2</v>
      </c>
      <c r="N1984" s="3" t="n">
        <v>95.15000000000001</v>
      </c>
      <c r="O1984" s="12" t="n">
        <v>34.13173652694611</v>
      </c>
    </row>
    <row r="1985">
      <c r="A1985" s="10" t="n">
        <v>46063</v>
      </c>
      <c r="B1985" t="inlineStr">
        <is>
          <t>Leandro de Souza Silva</t>
        </is>
      </c>
      <c r="C1985" s="1" t="inlineStr">
        <is>
          <t>JR</t>
        </is>
      </c>
      <c r="D1985" s="3" t="n">
        <v>0</v>
      </c>
      <c r="E1985" s="3" t="n">
        <v>0</v>
      </c>
      <c r="F1985" s="3" t="n">
        <v>0</v>
      </c>
      <c r="G1985" s="3" t="n">
        <v>0</v>
      </c>
      <c r="H1985" s="3" t="n">
        <v>0</v>
      </c>
      <c r="I1985" s="3" t="n">
        <v>0</v>
      </c>
      <c r="J1985" s="3" t="n">
        <v>0</v>
      </c>
      <c r="K1985" s="3" t="n">
        <v>0</v>
      </c>
      <c r="L1985" s="3">
        <f>IF(K1985&lt;-5,"CRÍTICO",IF(K1985&lt;0,"ATENÇÃO",IF(K1985&lt;=5,"BOM","EXCELENTE")))</f>
        <v/>
      </c>
      <c r="M1985" s="3" t="n">
        <v>0</v>
      </c>
      <c r="N1985" s="3" t="n">
        <v>0</v>
      </c>
      <c r="O1985" s="12" t="n">
        <v>0</v>
      </c>
    </row>
    <row r="1986">
      <c r="A1986" s="10" t="n">
        <v>46063</v>
      </c>
      <c r="B1986" t="inlineStr">
        <is>
          <t>Leandro Oliveira de Sousa</t>
        </is>
      </c>
      <c r="C1986" s="1" t="inlineStr">
        <is>
          <t>Técnico III</t>
        </is>
      </c>
      <c r="D1986" s="3" t="n">
        <v>27</v>
      </c>
      <c r="E1986" s="3" t="n">
        <v>25</v>
      </c>
      <c r="F1986" s="3" t="n">
        <v>22.36</v>
      </c>
      <c r="G1986" s="3" t="n">
        <v>0</v>
      </c>
      <c r="H1986" s="3" t="n">
        <v>0</v>
      </c>
      <c r="I1986" s="3">
        <f>E1986+G1986+H1986</f>
        <v/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/>
      </c>
      <c r="K1986" s="3">
        <f>I1986-J1986</f>
        <v/>
      </c>
      <c r="L1986" s="3">
        <f>IF(K1986&lt;-5,"CRÍTICO",IF(K1986&lt;0,"ATENÇÃO",IF(K1986&lt;=5,"BOM","EXCELENTE")))</f>
        <v/>
      </c>
      <c r="M1986" s="3" t="n">
        <v>23</v>
      </c>
      <c r="N1986" s="3" t="n">
        <v>99.26000000000001</v>
      </c>
      <c r="O1986" s="12" t="n">
        <v>30.84832904884319</v>
      </c>
    </row>
    <row r="1987">
      <c r="A1987" s="10" t="n">
        <v>46063</v>
      </c>
      <c r="B1987" t="inlineStr">
        <is>
          <t>Lizandra Gomes Duarte</t>
        </is>
      </c>
      <c r="C1987" s="1" t="inlineStr">
        <is>
          <t>Técnico II</t>
        </is>
      </c>
      <c r="D1987" s="3" t="n">
        <v>35</v>
      </c>
      <c r="E1987" s="3" t="n">
        <v>30</v>
      </c>
      <c r="F1987" s="3" t="n">
        <v>21.5</v>
      </c>
      <c r="G1987" s="3" t="n">
        <v>0</v>
      </c>
      <c r="H1987" s="3" t="n">
        <v>0</v>
      </c>
      <c r="I1987" s="3">
        <f>E1987+G1987+H1987</f>
        <v/>
      </c>
      <c r="J1987" s="3">
        <f>ROUND(MIN(IF(C1987="Técnico III",35,IF(C1987="Técnico II",28,IF(C1987="Técnico I",23,IF(C1987="JR",20,IF(C1987="Estágio",10,0))))),IF(C1987="Técnico III",SUMIFS($D:$D,$A:$A,$A1987,$B:$B,"&lt;&gt;Patrícia Karla de Sousa Araújo",$B:$B,"&lt;&gt;Lorena Dias de Araujo",$B:$B,"&lt;&gt;Lucas Luiz Romero")*(35/1083),IF(C1987="Técnico II",SUMIFS($D:$D,$A:$A,$A1987,$B:$B,"&lt;&gt;Patrícia Karla de Sousa Araújo",$B:$B,"&lt;&gt;Lorena Dias de Araujo",$B:$B,"&lt;&gt;Lucas Luiz Romero")*(28/1083),IF(C1987="Técnico I",SUMIFS($D:$D,$A:$A,$A1987,$B:$B,"&lt;&gt;Patrícia Karla de Sousa Araújo",$B:$B,"&lt;&gt;Lorena Dias de Araujo",$B:$B,"&lt;&gt;Lucas Luiz Romero")*(23/1083),IF(C1987="JR",SUMIFS($D:$D,$A:$A,$A1987,$B:$B,"&lt;&gt;Patrícia Karla de Sousa Araújo",$B:$B,"&lt;&gt;Lorena Dias de Araujo",$B:$B,"&lt;&gt;Lucas Luiz Romero")*(20/1083),IF(C1987="Estágio",SUMIFS($D:$D,$A:$A,$A1987,$B:$B,"&lt;&gt;Patrícia Karla de Sousa Araújo",$B:$B,"&lt;&gt;Lorena Dias de Araujo",$B:$B,"&lt;&gt;Lucas Luiz Romero")*(10/1083),0)))))),0)</f>
        <v/>
      </c>
      <c r="K1987" s="3">
        <f>I1987-J1987</f>
        <v/>
      </c>
      <c r="L1987" s="3">
        <f>IF(K1987&lt;-5,"CRÍTICO",IF(K1987&lt;0,"ATENÇÃO",IF(K1987&lt;=5,"BOM","EXCELENTE")))</f>
        <v/>
      </c>
      <c r="M1987" s="3" t="n">
        <v>21</v>
      </c>
      <c r="N1987" s="3" t="n">
        <v>97.48</v>
      </c>
      <c r="O1987" s="12" t="n">
        <v>27.76470588235294</v>
      </c>
    </row>
    <row r="1988">
      <c r="A1988" s="10" t="n">
        <v>46063</v>
      </c>
      <c r="B1988" t="inlineStr">
        <is>
          <t>Lorena Dias de Araujo</t>
        </is>
      </c>
      <c r="C1988" s="1" t="inlineStr">
        <is>
          <t>Técnico II</t>
        </is>
      </c>
      <c r="D1988" s="3" t="n">
        <v>38</v>
      </c>
      <c r="E1988" s="3" t="n">
        <v>37</v>
      </c>
      <c r="F1988" s="3" t="n">
        <v>16.55</v>
      </c>
      <c r="G1988" s="3" t="n">
        <v>0</v>
      </c>
      <c r="H1988" s="3" t="n">
        <v>0</v>
      </c>
      <c r="I1988" s="3" t="n">
        <v>0</v>
      </c>
      <c r="J1988" s="3" t="n">
        <v>0</v>
      </c>
      <c r="K1988" s="3" t="n">
        <v>0</v>
      </c>
      <c r="L1988" s="3">
        <f>IF(K1988&lt;-5,"CRÍTICO",IF(K1988&lt;0,"ATENÇÃO",IF(K1988&lt;=5,"BOM","EXCELENTE")))</f>
        <v/>
      </c>
      <c r="M1988" s="3" t="n">
        <v>34</v>
      </c>
      <c r="N1988" s="3" t="n">
        <v>99.34</v>
      </c>
      <c r="O1988" s="12" t="n">
        <v>30.04291845493562</v>
      </c>
    </row>
    <row r="1989">
      <c r="A1989" s="10" t="n">
        <v>46063</v>
      </c>
      <c r="B1989" t="inlineStr">
        <is>
          <t>Lucas Luiz Romero</t>
        </is>
      </c>
      <c r="C1989" s="1" t="inlineStr">
        <is>
          <t>Técnico III</t>
        </is>
      </c>
      <c r="D1989" s="3" t="n">
        <v>0</v>
      </c>
      <c r="E1989" s="3" t="n">
        <v>0</v>
      </c>
      <c r="F1989" s="3" t="n">
        <v>0</v>
      </c>
      <c r="G1989" s="3" t="n">
        <v>0</v>
      </c>
      <c r="H1989" s="3" t="n">
        <v>0</v>
      </c>
      <c r="I1989" s="3" t="n">
        <v>0</v>
      </c>
      <c r="J1989" s="3" t="n">
        <v>0</v>
      </c>
      <c r="K1989" s="3" t="n">
        <v>0</v>
      </c>
      <c r="L1989" s="3">
        <f>IF(K1989&lt;-5,"CRÍTICO",IF(K1989&lt;0,"ATENÇÃO",IF(K1989&lt;=5,"BOM","EXCELENTE")))</f>
        <v/>
      </c>
      <c r="M1989" s="3" t="n">
        <v>0</v>
      </c>
      <c r="N1989" s="3" t="n">
        <v>96.3</v>
      </c>
      <c r="O1989" s="12" t="n">
        <v>24.29378531073446</v>
      </c>
    </row>
    <row r="1990">
      <c r="A1990" s="10" t="n">
        <v>46063</v>
      </c>
      <c r="B1990" t="inlineStr">
        <is>
          <t>Luiz Fernando de Carvalho Junior</t>
        </is>
      </c>
      <c r="C1990" s="1" t="inlineStr">
        <is>
          <t>Técnico I</t>
        </is>
      </c>
      <c r="D1990" s="3" t="n">
        <v>25</v>
      </c>
      <c r="E1990" s="3" t="n">
        <v>22</v>
      </c>
      <c r="F1990" s="3" t="n">
        <v>24.18</v>
      </c>
      <c r="G1990" s="3" t="n">
        <v>0</v>
      </c>
      <c r="H1990" s="3" t="n">
        <v>0</v>
      </c>
      <c r="I1990" s="3">
        <f>E1990+G1990+H1990</f>
        <v/>
      </c>
      <c r="J1990" s="3">
        <f>ROUND(MIN(IF(C1990="Técnico III",35,IF(C1990="Técnico II",28,IF(C1990="Técnico I",23,IF(C1990="JR",20,IF(C1990="Estágio",10,0))))),IF(C1990="Técnico III",SUMIFS($D:$D,$A:$A,$A1990,$B:$B,"&lt;&gt;Patrícia Karla de Sousa Araújo",$B:$B,"&lt;&gt;Lorena Dias de Araujo",$B:$B,"&lt;&gt;Lucas Luiz Romero")*(35/1083),IF(C1990="Técnico II",SUMIFS($D:$D,$A:$A,$A1990,$B:$B,"&lt;&gt;Patrícia Karla de Sousa Araújo",$B:$B,"&lt;&gt;Lorena Dias de Araujo",$B:$B,"&lt;&gt;Lucas Luiz Romero")*(28/1083),IF(C1990="Técnico I",SUMIFS($D:$D,$A:$A,$A1990,$B:$B,"&lt;&gt;Patrícia Karla de Sousa Araújo",$B:$B,"&lt;&gt;Lorena Dias de Araujo",$B:$B,"&lt;&gt;Lucas Luiz Romero")*(23/1083),IF(C1990="JR",SUMIFS($D:$D,$A:$A,$A1990,$B:$B,"&lt;&gt;Patrícia Karla de Sousa Araújo",$B:$B,"&lt;&gt;Lorena Dias de Araujo",$B:$B,"&lt;&gt;Lucas Luiz Romero")*(20/1083),IF(C1990="Estágio",SUMIFS($D:$D,$A:$A,$A1990,$B:$B,"&lt;&gt;Patrícia Karla de Sousa Araújo",$B:$B,"&lt;&gt;Lorena Dias de Araujo",$B:$B,"&lt;&gt;Lucas Luiz Romero")*(10/1083),0)))))),0)</f>
        <v/>
      </c>
      <c r="K1990" s="3">
        <f>I1990-J1990</f>
        <v/>
      </c>
      <c r="L1990" s="3">
        <f>IF(K1990&lt;-5,"CRÍTICO",IF(K1990&lt;0,"ATENÇÃO",IF(K1990&lt;=5,"BOM","EXCELENTE")))</f>
        <v/>
      </c>
      <c r="M1990" s="3" t="n">
        <v>22</v>
      </c>
      <c r="N1990" s="3" t="n">
        <v>100</v>
      </c>
      <c r="O1990" s="12" t="n">
        <v>26.54320987654321</v>
      </c>
    </row>
    <row r="1991">
      <c r="A1991" s="10" t="n">
        <v>46063</v>
      </c>
      <c r="B1991" t="inlineStr">
        <is>
          <t>Maria Eduarda Sousa Costa</t>
        </is>
      </c>
      <c r="C1991" s="1" t="inlineStr">
        <is>
          <t>Estágio</t>
        </is>
      </c>
      <c r="D1991" s="3" t="n">
        <v>0</v>
      </c>
      <c r="E1991" s="3" t="n">
        <v>0</v>
      </c>
      <c r="F1991" s="3" t="n">
        <v>0</v>
      </c>
      <c r="G1991" s="3" t="n">
        <v>0</v>
      </c>
      <c r="H1991" s="3" t="n">
        <v>0</v>
      </c>
      <c r="I1991" s="3" t="n">
        <v>0</v>
      </c>
      <c r="J1991" s="3" t="n">
        <v>0</v>
      </c>
      <c r="K1991" s="3" t="n">
        <v>0</v>
      </c>
      <c r="L1991" s="3">
        <f>IF(K1991&lt;-5,"CRÍTICO",IF(K1991&lt;0,"ATENÇÃO",IF(K1991&lt;=5,"BOM","EXCELENTE")))</f>
        <v/>
      </c>
      <c r="M1991" s="3" t="n">
        <v>0</v>
      </c>
      <c r="N1991" s="3" t="n">
        <v>100</v>
      </c>
      <c r="O1991" s="12" t="n">
        <v>35.48387096774194</v>
      </c>
    </row>
    <row r="1992">
      <c r="A1992" s="10" t="n">
        <v>46063</v>
      </c>
      <c r="B1992" t="inlineStr">
        <is>
          <t>Matheus Farias De Souza</t>
        </is>
      </c>
      <c r="C1992" s="1" t="inlineStr">
        <is>
          <t>Técnico III</t>
        </is>
      </c>
      <c r="D1992" s="3" t="n">
        <v>26</v>
      </c>
      <c r="E1992" s="3" t="n">
        <v>23</v>
      </c>
      <c r="F1992" s="3" t="n">
        <v>18.47</v>
      </c>
      <c r="G1992" s="3" t="n">
        <v>0</v>
      </c>
      <c r="H1992" s="3" t="n">
        <v>0</v>
      </c>
      <c r="I1992" s="3">
        <f>E1992+G1992+H1992</f>
        <v/>
      </c>
      <c r="J1992" s="3">
        <f>ROUND(MIN(IF(C1992="Técnico III",35,IF(C1992="Técnico II",28,IF(C1992="Técnico I",23,IF(C1992="JR",20,IF(C1992="Estágio",10,0))))),IF(C1992="Técnico III",SUMIFS($D:$D,$A:$A,$A1992,$B:$B,"&lt;&gt;Patrícia Karla de Sousa Araújo",$B:$B,"&lt;&gt;Lorena Dias de Araujo",$B:$B,"&lt;&gt;Lucas Luiz Romero")*(35/1083),IF(C1992="Técnico II",SUMIFS($D:$D,$A:$A,$A1992,$B:$B,"&lt;&gt;Patrícia Karla de Sousa Araújo",$B:$B,"&lt;&gt;Lorena Dias de Araujo",$B:$B,"&lt;&gt;Lucas Luiz Romero")*(28/1083),IF(C1992="Técnico I",SUMIFS($D:$D,$A:$A,$A1992,$B:$B,"&lt;&gt;Patrícia Karla de Sousa Araújo",$B:$B,"&lt;&gt;Lorena Dias de Araujo",$B:$B,"&lt;&gt;Lucas Luiz Romero")*(23/1083),IF(C1992="JR",SUMIFS($D:$D,$A:$A,$A1992,$B:$B,"&lt;&gt;Patrícia Karla de Sousa Araújo",$B:$B,"&lt;&gt;Lorena Dias de Araujo",$B:$B,"&lt;&gt;Lucas Luiz Romero")*(20/1083),IF(C1992="Estágio",SUMIFS($D:$D,$A:$A,$A1992,$B:$B,"&lt;&gt;Patrícia Karla de Sousa Araújo",$B:$B,"&lt;&gt;Lorena Dias de Araujo",$B:$B,"&lt;&gt;Lucas Luiz Romero")*(10/1083),0)))))),0)</f>
        <v/>
      </c>
      <c r="K1992" s="3">
        <f>I1992-J1992</f>
        <v/>
      </c>
      <c r="L1992" s="3">
        <f>IF(K1992&lt;-5,"CRÍTICO",IF(K1992&lt;0,"ATENÇÃO",IF(K1992&lt;=5,"BOM","EXCELENTE")))</f>
        <v/>
      </c>
      <c r="M1992" s="3" t="n">
        <v>34</v>
      </c>
      <c r="N1992" s="3" t="n">
        <v>99.27</v>
      </c>
      <c r="O1992" s="12" t="n">
        <v>31.16370808678501</v>
      </c>
    </row>
    <row r="1993">
      <c r="A1993" s="10" t="n">
        <v>46063</v>
      </c>
      <c r="B1993" t="inlineStr">
        <is>
          <t>Maysa Victoria Dias Moura</t>
        </is>
      </c>
      <c r="C1993" s="1" t="inlineStr">
        <is>
          <t>Técnico III</t>
        </is>
      </c>
      <c r="D1993" s="3" t="n">
        <v>42</v>
      </c>
      <c r="E1993" s="3" t="n">
        <v>40</v>
      </c>
      <c r="F1993" s="3" t="n">
        <v>15</v>
      </c>
      <c r="G1993" s="3" t="n">
        <v>0</v>
      </c>
      <c r="H1993" s="3" t="n">
        <v>0</v>
      </c>
      <c r="I1993" s="3">
        <f>E1993+G1993+H1993</f>
        <v/>
      </c>
      <c r="J1993" s="3">
        <f>ROUND(MIN(IF(C1993="Técnico III",35,IF(C1993="Técnico II",28,IF(C1993="Técnico I",23,IF(C1993="JR",20,IF(C1993="Estágio",10,0))))),IF(C1993="Técnico III",SUMIFS($D:$D,$A:$A,$A1993,$B:$B,"&lt;&gt;Patrícia Karla de Sousa Araújo",$B:$B,"&lt;&gt;Lorena Dias de Araujo",$B:$B,"&lt;&gt;Lucas Luiz Romero")*(35/1083),IF(C1993="Técnico II",SUMIFS($D:$D,$A:$A,$A1993,$B:$B,"&lt;&gt;Patrícia Karla de Sousa Araújo",$B:$B,"&lt;&gt;Lorena Dias de Araujo",$B:$B,"&lt;&gt;Lucas Luiz Romero")*(28/1083),IF(C1993="Técnico I",SUMIFS($D:$D,$A:$A,$A1993,$B:$B,"&lt;&gt;Patrícia Karla de Sousa Araújo",$B:$B,"&lt;&gt;Lorena Dias de Araujo",$B:$B,"&lt;&gt;Lucas Luiz Romero")*(23/1083),IF(C1993="JR",SUMIFS($D:$D,$A:$A,$A1993,$B:$B,"&lt;&gt;Patrícia Karla de Sousa Araújo",$B:$B,"&lt;&gt;Lorena Dias de Araujo",$B:$B,"&lt;&gt;Lucas Luiz Romero")*(20/1083),IF(C1993="Estágio",SUMIFS($D:$D,$A:$A,$A1993,$B:$B,"&lt;&gt;Patrícia Karla de Sousa Araújo",$B:$B,"&lt;&gt;Lorena Dias de Araujo",$B:$B,"&lt;&gt;Lucas Luiz Romero")*(10/1083),0)))))),0)</f>
        <v/>
      </c>
      <c r="K1993" s="3">
        <f>I1993-J1993</f>
        <v/>
      </c>
      <c r="L1993" s="3">
        <f>IF(K1993&lt;-5,"CRÍTICO",IF(K1993&lt;0,"ATENÇÃO",IF(K1993&lt;=5,"BOM","EXCELENTE")))</f>
        <v/>
      </c>
      <c r="M1993" s="3" t="n">
        <v>33</v>
      </c>
      <c r="N1993" s="3" t="n">
        <v>94.16</v>
      </c>
      <c r="O1993" s="12" t="n">
        <v>27.03862660944206</v>
      </c>
    </row>
    <row r="1994">
      <c r="A1994" s="10" t="n">
        <v>46063</v>
      </c>
      <c r="B1994" t="inlineStr">
        <is>
          <t>Michelle G Santos</t>
        </is>
      </c>
      <c r="C1994" s="1" t="inlineStr">
        <is>
          <t>Estágio</t>
        </is>
      </c>
      <c r="D1994" s="3" t="n">
        <v>15</v>
      </c>
      <c r="E1994" s="3" t="n">
        <v>15</v>
      </c>
      <c r="F1994" s="3" t="n">
        <v>47.29</v>
      </c>
      <c r="G1994" s="3" t="n">
        <v>0</v>
      </c>
      <c r="H1994" s="3" t="n">
        <v>0</v>
      </c>
      <c r="I1994" s="3">
        <f>E1994+G1994+H1994</f>
        <v/>
      </c>
      <c r="J1994" s="3">
        <f>ROUND(MIN(IF(C1994="Técnico III",35,IF(C1994="Técnico II",28,IF(C1994="Técnico I",23,IF(C1994="JR",20,IF(C1994="Estágio",10,0))))),IF(C1994="Técnico III",SUMIFS($D:$D,$A:$A,$A1994,$B:$B,"&lt;&gt;Patrícia Karla de Sousa Araújo",$B:$B,"&lt;&gt;Lorena Dias de Araujo",$B:$B,"&lt;&gt;Lucas Luiz Romero")*(35/1083),IF(C1994="Técnico II",SUMIFS($D:$D,$A:$A,$A1994,$B:$B,"&lt;&gt;Patrícia Karla de Sousa Araújo",$B:$B,"&lt;&gt;Lorena Dias de Araujo",$B:$B,"&lt;&gt;Lucas Luiz Romero")*(28/1083),IF(C1994="Técnico I",SUMIFS($D:$D,$A:$A,$A1994,$B:$B,"&lt;&gt;Patrícia Karla de Sousa Araújo",$B:$B,"&lt;&gt;Lorena Dias de Araujo",$B:$B,"&lt;&gt;Lucas Luiz Romero")*(23/1083),IF(C1994="JR",SUMIFS($D:$D,$A:$A,$A1994,$B:$B,"&lt;&gt;Patrícia Karla de Sousa Araújo",$B:$B,"&lt;&gt;Lorena Dias de Araujo",$B:$B,"&lt;&gt;Lucas Luiz Romero")*(20/1083),IF(C1994="Estágio",SUMIFS($D:$D,$A:$A,$A1994,$B:$B,"&lt;&gt;Patrícia Karla de Sousa Araújo",$B:$B,"&lt;&gt;Lorena Dias de Araujo",$B:$B,"&lt;&gt;Lucas Luiz Romero")*(10/1083),0)))))),0)</f>
        <v/>
      </c>
      <c r="K1994" s="3">
        <f>I1994-J1994</f>
        <v/>
      </c>
      <c r="L1994" s="3">
        <f>IF(K1994&lt;-5,"CRÍTICO",IF(K1994&lt;0,"ATENÇÃO",IF(K1994&lt;=5,"BOM","EXCELENTE")))</f>
        <v/>
      </c>
      <c r="M1994" s="3" t="n">
        <v>5</v>
      </c>
      <c r="N1994" s="3" t="n">
        <v>93.75</v>
      </c>
      <c r="O1994" s="12" t="n">
        <v>19.31818181818182</v>
      </c>
    </row>
    <row r="1995">
      <c r="A1995" s="10" t="n">
        <v>46063</v>
      </c>
      <c r="B1995" t="inlineStr">
        <is>
          <t>Milena Sales</t>
        </is>
      </c>
      <c r="C1995" s="1" t="inlineStr">
        <is>
          <t>JR</t>
        </is>
      </c>
      <c r="D1995" s="3" t="n">
        <v>0</v>
      </c>
      <c r="E1995" s="3" t="n">
        <v>0</v>
      </c>
      <c r="F1995" s="3" t="n">
        <v>0</v>
      </c>
      <c r="G1995" s="3" t="n">
        <v>0</v>
      </c>
      <c r="H1995" s="3" t="n">
        <v>0</v>
      </c>
      <c r="I1995" s="3" t="n">
        <v>0</v>
      </c>
      <c r="J1995" s="3" t="n">
        <v>0</v>
      </c>
      <c r="K1995" s="3" t="n">
        <v>0</v>
      </c>
      <c r="L1995" s="3">
        <f>IF(K1995&lt;-5,"CRÍTICO",IF(K1995&lt;0,"ATENÇÃO",IF(K1995&lt;=5,"BOM","EXCELENTE")))</f>
        <v/>
      </c>
      <c r="M1995" s="3" t="n">
        <v>0</v>
      </c>
      <c r="N1995" s="3" t="n">
        <v>0</v>
      </c>
      <c r="O1995" s="12" t="n">
        <v>0</v>
      </c>
    </row>
    <row r="1996">
      <c r="A1996" s="10" t="n">
        <v>46063</v>
      </c>
      <c r="B1996" t="inlineStr">
        <is>
          <t>Patrícia Karla de Sousa Araújo</t>
        </is>
      </c>
      <c r="C1996" s="1" t="inlineStr">
        <is>
          <t>Técnico II</t>
        </is>
      </c>
      <c r="D1996" s="3" t="n">
        <v>0</v>
      </c>
      <c r="E1996" s="3" t="n">
        <v>0</v>
      </c>
      <c r="F1996" s="3" t="n">
        <v>0</v>
      </c>
      <c r="G1996" s="3" t="n">
        <v>0</v>
      </c>
      <c r="H1996" s="3" t="n">
        <v>0</v>
      </c>
      <c r="I1996" s="3" t="n">
        <v>0</v>
      </c>
      <c r="J1996" s="3" t="n">
        <v>0</v>
      </c>
      <c r="K1996" s="3" t="n">
        <v>0</v>
      </c>
      <c r="L1996" s="3">
        <f>IF(K1996&lt;-5,"CRÍTICO",IF(K1996&lt;0,"ATENÇÃO",IF(K1996&lt;=5,"BOM","EXCELENTE")))</f>
        <v/>
      </c>
      <c r="M1996" s="3" t="n">
        <v>0</v>
      </c>
      <c r="N1996" s="3" t="n">
        <v>97.92</v>
      </c>
      <c r="O1996" s="12" t="n">
        <v>32.87671232876712</v>
      </c>
    </row>
    <row r="1997">
      <c r="A1997" s="10" t="n">
        <v>46063</v>
      </c>
      <c r="B1997" t="inlineStr">
        <is>
          <t>Paulo Ricardo Santos</t>
        </is>
      </c>
      <c r="C1997" s="1" t="inlineStr">
        <is>
          <t>JR</t>
        </is>
      </c>
      <c r="D1997" s="3" t="n">
        <v>0</v>
      </c>
      <c r="E1997" s="3" t="n">
        <v>0</v>
      </c>
      <c r="F1997" s="3" t="n">
        <v>0</v>
      </c>
      <c r="G1997" s="3" t="n">
        <v>0</v>
      </c>
      <c r="H1997" s="3" t="n">
        <v>0</v>
      </c>
      <c r="I1997" s="3" t="n">
        <v>0</v>
      </c>
      <c r="J1997" s="3" t="n">
        <v>0</v>
      </c>
      <c r="K1997" s="3" t="n">
        <v>0</v>
      </c>
      <c r="L1997" s="3">
        <f>IF(K1997&lt;-5,"CRÍTICO",IF(K1997&lt;0,"ATENÇÃO",IF(K1997&lt;=5,"BOM","EXCELENTE")))</f>
        <v/>
      </c>
      <c r="M1997" s="3" t="n">
        <v>0</v>
      </c>
      <c r="N1997" s="3" t="n">
        <v>0</v>
      </c>
      <c r="O1997" s="12" t="n">
        <v>0</v>
      </c>
    </row>
    <row r="1998">
      <c r="A1998" s="10" t="n">
        <v>46063</v>
      </c>
      <c r="B1998" t="inlineStr">
        <is>
          <t>Pedro Luiz Mota Sousa</t>
        </is>
      </c>
      <c r="C1998" s="1" t="inlineStr">
        <is>
          <t>JR</t>
        </is>
      </c>
      <c r="D1998" s="3" t="n">
        <v>0</v>
      </c>
      <c r="E1998" s="3" t="n">
        <v>0</v>
      </c>
      <c r="F1998" s="3" t="n">
        <v>0</v>
      </c>
      <c r="G1998" s="3" t="n">
        <v>0</v>
      </c>
      <c r="H1998" s="3" t="n">
        <v>0</v>
      </c>
      <c r="I1998" s="3" t="n">
        <v>0</v>
      </c>
      <c r="J1998" s="3" t="n">
        <v>0</v>
      </c>
      <c r="K1998" s="3" t="n">
        <v>0</v>
      </c>
      <c r="L1998" s="3">
        <f>IF(K1998&lt;-5,"CRÍTICO",IF(K1998&lt;0,"ATENÇÃO",IF(K1998&lt;=5,"BOM","EXCELENTE")))</f>
        <v/>
      </c>
      <c r="M1998" s="3" t="n">
        <v>0</v>
      </c>
      <c r="N1998" s="3" t="n">
        <v>0</v>
      </c>
      <c r="O1998" s="12" t="n">
        <v>0</v>
      </c>
    </row>
    <row r="1999">
      <c r="A1999" s="10" t="n">
        <v>46063</v>
      </c>
      <c r="B1999" t="inlineStr">
        <is>
          <t>Quirino Diogo Leite Torres</t>
        </is>
      </c>
      <c r="C1999" s="1" t="inlineStr">
        <is>
          <t>Estágio</t>
        </is>
      </c>
      <c r="D1999" s="3" t="n">
        <v>0</v>
      </c>
      <c r="E1999" s="3" t="n">
        <v>0</v>
      </c>
      <c r="F1999" s="3" t="n">
        <v>0</v>
      </c>
      <c r="G1999" s="3" t="n">
        <v>0</v>
      </c>
      <c r="H1999" s="3" t="n">
        <v>0</v>
      </c>
      <c r="I1999" s="3" t="n">
        <v>0</v>
      </c>
      <c r="J1999" s="3" t="n">
        <v>0</v>
      </c>
      <c r="K1999" s="3" t="n">
        <v>0</v>
      </c>
      <c r="L1999" s="3">
        <f>IF(K1999&lt;-5,"CRÍTICO",IF(K1999&lt;0,"ATENÇÃO",IF(K1999&lt;=5,"BOM","EXCELENTE")))</f>
        <v/>
      </c>
      <c r="M1999" s="3" t="n">
        <v>0</v>
      </c>
      <c r="N1999" s="3" t="n">
        <v>0</v>
      </c>
      <c r="O1999" s="12" t="n">
        <v>0</v>
      </c>
    </row>
    <row r="2000">
      <c r="A2000" s="10" t="n">
        <v>46063</v>
      </c>
      <c r="B2000" t="inlineStr">
        <is>
          <t>Raane Batista Matos</t>
        </is>
      </c>
      <c r="C2000" s="1" t="inlineStr">
        <is>
          <t>Técnico I</t>
        </is>
      </c>
      <c r="D2000" s="3" t="n">
        <v>14</v>
      </c>
      <c r="E2000" s="3" t="n">
        <v>13</v>
      </c>
      <c r="F2000" s="3" t="n">
        <v>51.52</v>
      </c>
      <c r="G2000" s="3" t="n">
        <v>0</v>
      </c>
      <c r="H2000" s="3" t="n">
        <v>0</v>
      </c>
      <c r="I2000" s="3">
        <f>E2000+G2000+H2000</f>
        <v/>
      </c>
      <c r="J2000" s="3">
        <f>ROUND(MIN(IF(C2000="Técnico III",35,IF(C2000="Técnico II",28,IF(C2000="Técnico I",23,IF(C2000="JR",20,IF(C2000="Estágio",10,0))))),IF(C2000="Técnico III",SUMIFS($D:$D,$A:$A,$A2000,$B:$B,"&lt;&gt;Patrícia Karla de Sousa Araújo",$B:$B,"&lt;&gt;Lorena Dias de Araujo",$B:$B,"&lt;&gt;Lucas Luiz Romero")*(35/1083),IF(C2000="Técnico II",SUMIFS($D:$D,$A:$A,$A2000,$B:$B,"&lt;&gt;Patrícia Karla de Sousa Araújo",$B:$B,"&lt;&gt;Lorena Dias de Araujo",$B:$B,"&lt;&gt;Lucas Luiz Romero")*(28/1083),IF(C2000="Técnico I",SUMIFS($D:$D,$A:$A,$A2000,$B:$B,"&lt;&gt;Patrícia Karla de Sousa Araújo",$B:$B,"&lt;&gt;Lorena Dias de Araujo",$B:$B,"&lt;&gt;Lucas Luiz Romero")*(23/1083),IF(C2000="JR",SUMIFS($D:$D,$A:$A,$A2000,$B:$B,"&lt;&gt;Patrícia Karla de Sousa Araújo",$B:$B,"&lt;&gt;Lorena Dias de Araujo",$B:$B,"&lt;&gt;Lucas Luiz Romero")*(20/1083),IF(C2000="Estágio",SUMIFS($D:$D,$A:$A,$A2000,$B:$B,"&lt;&gt;Patrícia Karla de Sousa Araújo",$B:$B,"&lt;&gt;Lorena Dias de Araujo",$B:$B,"&lt;&gt;Lucas Luiz Romero")*(10/1083),0)))))),0)</f>
        <v/>
      </c>
      <c r="K2000" s="3">
        <f>I2000-J2000</f>
        <v/>
      </c>
      <c r="L2000" s="3">
        <f>IF(K2000&lt;-5,"CRÍTICO",IF(K2000&lt;0,"ATENÇÃO",IF(K2000&lt;=5,"BOM","EXCELENTE")))</f>
        <v/>
      </c>
      <c r="M2000" s="3" t="n">
        <v>11</v>
      </c>
      <c r="N2000" s="3" t="n">
        <v>98.51000000000001</v>
      </c>
      <c r="O2000" s="12" t="n">
        <v>29.71014492753623</v>
      </c>
    </row>
    <row r="2001">
      <c r="A2001" s="10" t="n">
        <v>46063</v>
      </c>
      <c r="B2001" t="inlineStr">
        <is>
          <t>Rafael Gomes de Morais</t>
        </is>
      </c>
      <c r="C2001" s="1" t="inlineStr">
        <is>
          <t>Técnico III</t>
        </is>
      </c>
      <c r="D2001" s="3" t="n">
        <v>42</v>
      </c>
      <c r="E2001" s="3" t="n">
        <v>38</v>
      </c>
      <c r="F2001" s="3" t="n">
        <v>14.07</v>
      </c>
      <c r="G2001" s="3" t="n">
        <v>0</v>
      </c>
      <c r="H2001" s="3" t="n">
        <v>0</v>
      </c>
      <c r="I2001" s="3">
        <f>E2001+G2001+H2001</f>
        <v/>
      </c>
      <c r="J2001" s="3">
        <f>ROUND(MIN(IF(C2001="Técnico III",35,IF(C2001="Técnico II",28,IF(C2001="Técnico I",23,IF(C2001="JR",20,IF(C2001="Estágio",10,0))))),IF(C2001="Técnico III",SUMIFS($D:$D,$A:$A,$A2001,$B:$B,"&lt;&gt;Patrícia Karla de Sousa Araújo",$B:$B,"&lt;&gt;Lorena Dias de Araujo",$B:$B,"&lt;&gt;Lucas Luiz Romero")*(35/1083),IF(C2001="Técnico II",SUMIFS($D:$D,$A:$A,$A2001,$B:$B,"&lt;&gt;Patrícia Karla de Sousa Araújo",$B:$B,"&lt;&gt;Lorena Dias de Araujo",$B:$B,"&lt;&gt;Lucas Luiz Romero")*(28/1083),IF(C2001="Técnico I",SUMIFS($D:$D,$A:$A,$A2001,$B:$B,"&lt;&gt;Patrícia Karla de Sousa Araújo",$B:$B,"&lt;&gt;Lorena Dias de Araujo",$B:$B,"&lt;&gt;Lucas Luiz Romero")*(23/1083),IF(C2001="JR",SUMIFS($D:$D,$A:$A,$A2001,$B:$B,"&lt;&gt;Patrícia Karla de Sousa Araújo",$B:$B,"&lt;&gt;Lorena Dias de Araujo",$B:$B,"&lt;&gt;Lucas Luiz Romero")*(20/1083),IF(C2001="Estágio",SUMIFS($D:$D,$A:$A,$A2001,$B:$B,"&lt;&gt;Patrícia Karla de Sousa Araújo",$B:$B,"&lt;&gt;Lorena Dias de Araujo",$B:$B,"&lt;&gt;Lucas Luiz Romero")*(10/1083),0)))))),0)</f>
        <v/>
      </c>
      <c r="K2001" s="3">
        <f>I2001-J2001</f>
        <v/>
      </c>
      <c r="L2001" s="3">
        <f>IF(K2001&lt;-5,"CRÍTICO",IF(K2001&lt;0,"ATENÇÃO",IF(K2001&lt;=5,"BOM","EXCELENTE")))</f>
        <v/>
      </c>
      <c r="M2001" s="3" t="n">
        <v>31</v>
      </c>
      <c r="N2001" s="3" t="n">
        <v>98.81</v>
      </c>
      <c r="O2001" s="12" t="n">
        <v>30.71297989031079</v>
      </c>
    </row>
    <row r="2002">
      <c r="A2002" s="10" t="n">
        <v>46063</v>
      </c>
      <c r="B2002" t="inlineStr">
        <is>
          <t>Sara Maria Monteiro Lopes</t>
        </is>
      </c>
      <c r="C2002" s="1" t="inlineStr">
        <is>
          <t>Técnico I</t>
        </is>
      </c>
      <c r="D2002" s="3" t="n">
        <v>13</v>
      </c>
      <c r="E2002" s="3" t="n">
        <v>13</v>
      </c>
      <c r="F2002" s="3" t="n">
        <v>47.03</v>
      </c>
      <c r="G2002" s="3" t="n">
        <v>0</v>
      </c>
      <c r="H2002" s="3" t="n">
        <v>0</v>
      </c>
      <c r="I2002" s="3">
        <f>E2002+G2002+H2002</f>
        <v/>
      </c>
      <c r="J2002" s="3">
        <f>ROUND(MIN(IF(C2002="Técnico III",35,IF(C2002="Técnico II",28,IF(C2002="Técnico I",23,IF(C2002="JR",20,IF(C2002="Estágio",10,0))))),IF(C2002="Técnico III",SUMIFS($D:$D,$A:$A,$A2002,$B:$B,"&lt;&gt;Patrícia Karla de Sousa Araújo",$B:$B,"&lt;&gt;Lorena Dias de Araujo",$B:$B,"&lt;&gt;Lucas Luiz Romero")*(35/1083),IF(C2002="Técnico II",SUMIFS($D:$D,$A:$A,$A2002,$B:$B,"&lt;&gt;Patrícia Karla de Sousa Araújo",$B:$B,"&lt;&gt;Lorena Dias de Araujo",$B:$B,"&lt;&gt;Lucas Luiz Romero")*(28/1083),IF(C2002="Técnico I",SUMIFS($D:$D,$A:$A,$A2002,$B:$B,"&lt;&gt;Patrícia Karla de Sousa Araújo",$B:$B,"&lt;&gt;Lorena Dias de Araujo",$B:$B,"&lt;&gt;Lucas Luiz Romero")*(23/1083),IF(C2002="JR",SUMIFS($D:$D,$A:$A,$A2002,$B:$B,"&lt;&gt;Patrícia Karla de Sousa Araújo",$B:$B,"&lt;&gt;Lorena Dias de Araujo",$B:$B,"&lt;&gt;Lucas Luiz Romero")*(20/1083),IF(C2002="Estágio",SUMIFS($D:$D,$A:$A,$A2002,$B:$B,"&lt;&gt;Patrícia Karla de Sousa Araújo",$B:$B,"&lt;&gt;Lorena Dias de Araujo",$B:$B,"&lt;&gt;Lucas Luiz Romero")*(10/1083),0)))))),0)</f>
        <v/>
      </c>
      <c r="K2002" s="3">
        <f>I2002-J2002</f>
        <v/>
      </c>
      <c r="L2002" s="3">
        <f>IF(K2002&lt;-5,"CRÍTICO",IF(K2002&lt;0,"ATENÇÃO",IF(K2002&lt;=5,"BOM","EXCELENTE")))</f>
        <v/>
      </c>
      <c r="M2002" s="3" t="n">
        <v>12</v>
      </c>
      <c r="N2002" s="3" t="n">
        <v>98.48</v>
      </c>
      <c r="O2002" s="12" t="n">
        <v>29.35323383084577</v>
      </c>
    </row>
    <row r="2003">
      <c r="A2003" s="10" t="n">
        <v>46063</v>
      </c>
      <c r="B2003" t="inlineStr">
        <is>
          <t>Sarah Steffanie de Lima Borges</t>
        </is>
      </c>
      <c r="C2003" s="1" t="inlineStr">
        <is>
          <t>Técnico III</t>
        </is>
      </c>
      <c r="D2003" s="3" t="n">
        <v>27</v>
      </c>
      <c r="E2003" s="3" t="n">
        <v>27</v>
      </c>
      <c r="F2003" s="3" t="n">
        <v>15.3</v>
      </c>
      <c r="G2003" s="3" t="n">
        <v>0</v>
      </c>
      <c r="H2003" s="3" t="n">
        <v>0</v>
      </c>
      <c r="I2003" s="3">
        <f>E2003+G2003+H2003</f>
        <v/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/>
      </c>
      <c r="K2003" s="3">
        <f>I2003-J2003</f>
        <v/>
      </c>
      <c r="L2003" s="3">
        <f>IF(K2003&lt;-5,"CRÍTICO",IF(K2003&lt;0,"ATENÇÃO",IF(K2003&lt;=5,"BOM","EXCELENTE")))</f>
        <v/>
      </c>
      <c r="M2003" s="3" t="n">
        <v>25</v>
      </c>
      <c r="N2003" s="3" t="n">
        <v>98.56</v>
      </c>
      <c r="O2003" s="12" t="n">
        <v>29.37365010799136</v>
      </c>
    </row>
    <row r="2004">
      <c r="A2004" s="10" t="n">
        <v>46064</v>
      </c>
      <c r="B2004" t="inlineStr">
        <is>
          <t>Alisson de Freitas Silva</t>
        </is>
      </c>
      <c r="C2004" s="1" t="inlineStr">
        <is>
          <t>Técnico II</t>
        </is>
      </c>
      <c r="D2004" s="3" t="n">
        <v>33</v>
      </c>
      <c r="E2004" s="3" t="n">
        <v>33</v>
      </c>
      <c r="F2004" s="3" t="n">
        <v>16.48</v>
      </c>
      <c r="G2004" s="3" t="n">
        <v>0</v>
      </c>
      <c r="H2004" s="3" t="n">
        <v>0</v>
      </c>
      <c r="I2004" s="3">
        <f>E2004+G2004+H2004</f>
        <v/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/>
      </c>
      <c r="K2004" s="3">
        <f>I2004-J2004</f>
        <v/>
      </c>
      <c r="L2004" s="3">
        <f>IF(K2004&lt;-5,"CRÍTICO",IF(K2004&lt;0,"ATENÇÃO",IF(K2004&lt;=5,"BOM","EXCELENTE")))</f>
        <v/>
      </c>
      <c r="M2004" s="3" t="n">
        <v>31</v>
      </c>
      <c r="N2004" s="3" t="n">
        <v>98.31999999999999</v>
      </c>
      <c r="O2004" s="12" t="n">
        <v>30.3030303030303</v>
      </c>
    </row>
    <row r="2005">
      <c r="A2005" s="10" t="n">
        <v>46064</v>
      </c>
      <c r="B2005" t="inlineStr">
        <is>
          <t>Amanda Moura Ferreira</t>
        </is>
      </c>
      <c r="C2005" s="1" t="inlineStr">
        <is>
          <t>Técnico III</t>
        </is>
      </c>
      <c r="D2005" s="3" t="n">
        <v>0</v>
      </c>
      <c r="E2005" s="3" t="n">
        <v>0</v>
      </c>
      <c r="F2005" s="3" t="n">
        <v>0</v>
      </c>
      <c r="G2005" s="3" t="n">
        <v>0</v>
      </c>
      <c r="H2005" s="3" t="n">
        <v>0</v>
      </c>
      <c r="I2005" s="3" t="n">
        <v>0</v>
      </c>
      <c r="J2005" s="3" t="n">
        <v>0</v>
      </c>
      <c r="K2005" s="3" t="n">
        <v>0</v>
      </c>
      <c r="L2005" s="3">
        <f>IF(K2005&lt;-5,"CRÍTICO",IF(K2005&lt;0,"ATENÇÃO",IF(K2005&lt;=5,"BOM","EXCELENTE")))</f>
        <v/>
      </c>
      <c r="M2005" s="3" t="n">
        <v>25</v>
      </c>
      <c r="N2005" s="3" t="n">
        <v>98.68000000000001</v>
      </c>
      <c r="O2005" s="12" t="n">
        <v>26.21951219512195</v>
      </c>
    </row>
    <row r="2006">
      <c r="A2006" s="10" t="n">
        <v>46064</v>
      </c>
      <c r="B2006" t="inlineStr">
        <is>
          <t>Ana Karollyne Souza Faria</t>
        </is>
      </c>
      <c r="C2006" s="1" t="inlineStr">
        <is>
          <t>Técnico I</t>
        </is>
      </c>
      <c r="D2006" s="3" t="n">
        <v>28</v>
      </c>
      <c r="E2006" s="3" t="n">
        <v>26</v>
      </c>
      <c r="F2006" s="3" t="n">
        <v>24.11</v>
      </c>
      <c r="G2006" s="3" t="n">
        <v>0</v>
      </c>
      <c r="H2006" s="3" t="n">
        <v>0</v>
      </c>
      <c r="I2006" s="3">
        <f>E2006+G2006+H2006</f>
        <v/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/>
      </c>
      <c r="K2006" s="3">
        <f>I2006-J2006</f>
        <v/>
      </c>
      <c r="L2006" s="3">
        <f>IF(K2006&lt;-5,"CRÍTICO",IF(K2006&lt;0,"ATENÇÃO",IF(K2006&lt;=5,"BOM","EXCELENTE")))</f>
        <v/>
      </c>
      <c r="M2006" s="3" t="n">
        <v>23</v>
      </c>
      <c r="N2006" s="3" t="n">
        <v>100</v>
      </c>
      <c r="O2006" s="12" t="n">
        <v>31.74224343675418</v>
      </c>
    </row>
    <row r="2007">
      <c r="A2007" s="10" t="n">
        <v>46064</v>
      </c>
      <c r="B2007" t="inlineStr">
        <is>
          <t>Ana Paula Da Luz Silva Aleixo</t>
        </is>
      </c>
      <c r="C2007" s="1" t="inlineStr">
        <is>
          <t>Técnico III</t>
        </is>
      </c>
      <c r="D2007" s="3" t="n">
        <v>24</v>
      </c>
      <c r="E2007" s="3" t="n">
        <v>24</v>
      </c>
      <c r="F2007" s="3" t="n">
        <v>20.32</v>
      </c>
      <c r="G2007" s="3" t="n">
        <v>0</v>
      </c>
      <c r="H2007" s="3" t="n">
        <v>0</v>
      </c>
      <c r="I2007" s="3">
        <f>E2007+G2007+H2007</f>
        <v/>
      </c>
      <c r="J2007" s="3">
        <f>ROUND(MIN(IF(C2007="Técnico III",35,IF(C2007="Técnico II",28,IF(C2007="Técnico I",23,IF(C2007="JR",20,IF(C2007="Estágio",10,0))))),IF(C2007="Técnico III",SUMIFS($D:$D,$A:$A,$A2007,$B:$B,"&lt;&gt;Patrícia Karla de Sousa Araújo",$B:$B,"&lt;&gt;Lorena Dias de Araujo",$B:$B,"&lt;&gt;Lucas Luiz Romero")*(35/1083),IF(C2007="Técnico II",SUMIFS($D:$D,$A:$A,$A2007,$B:$B,"&lt;&gt;Patrícia Karla de Sousa Araújo",$B:$B,"&lt;&gt;Lorena Dias de Araujo",$B:$B,"&lt;&gt;Lucas Luiz Romero")*(28/1083),IF(C2007="Técnico I",SUMIFS($D:$D,$A:$A,$A2007,$B:$B,"&lt;&gt;Patrícia Karla de Sousa Araújo",$B:$B,"&lt;&gt;Lorena Dias de Araujo",$B:$B,"&lt;&gt;Lucas Luiz Romero")*(23/1083),IF(C2007="JR",SUMIFS($D:$D,$A:$A,$A2007,$B:$B,"&lt;&gt;Patrícia Karla de Sousa Araújo",$B:$B,"&lt;&gt;Lorena Dias de Araujo",$B:$B,"&lt;&gt;Lucas Luiz Romero")*(20/1083),IF(C2007="Estágio",SUMIFS($D:$D,$A:$A,$A2007,$B:$B,"&lt;&gt;Patrícia Karla de Sousa Araújo",$B:$B,"&lt;&gt;Lorena Dias de Araujo",$B:$B,"&lt;&gt;Lucas Luiz Romero")*(10/1083),0)))))),0)</f>
        <v/>
      </c>
      <c r="K2007" s="3">
        <f>I2007-J2007</f>
        <v/>
      </c>
      <c r="L2007" s="3">
        <f>IF(K2007&lt;-5,"CRÍTICO",IF(K2007&lt;0,"ATENÇÃO",IF(K2007&lt;=5,"BOM","EXCELENTE")))</f>
        <v/>
      </c>
      <c r="M2007" s="3" t="n">
        <v>23</v>
      </c>
      <c r="N2007" s="3" t="n">
        <v>98.25</v>
      </c>
      <c r="O2007" s="12" t="n">
        <v>25.83518930957684</v>
      </c>
    </row>
    <row r="2008">
      <c r="A2008" s="10" t="n">
        <v>46064</v>
      </c>
      <c r="B2008" t="inlineStr">
        <is>
          <t>Anna Luiza Rezende Tavares</t>
        </is>
      </c>
      <c r="C2008" s="1" t="inlineStr">
        <is>
          <t>Estágio</t>
        </is>
      </c>
      <c r="D2008" s="3" t="n">
        <v>9</v>
      </c>
      <c r="E2008" s="3" t="n">
        <v>8</v>
      </c>
      <c r="F2008" s="3" t="n">
        <v>25.31</v>
      </c>
      <c r="G2008" s="3" t="n">
        <v>0</v>
      </c>
      <c r="H2008" s="3" t="n">
        <v>0</v>
      </c>
      <c r="I2008" s="3">
        <f>E2008+G2008+H2008</f>
        <v/>
      </c>
      <c r="J2008" s="3">
        <f>ROUND(MIN(IF(C2008="Técnico III",35,IF(C2008="Técnico II",28,IF(C2008="Técnico I",23,IF(C2008="JR",20,IF(C2008="Estágio",10,0))))),IF(C2008="Técnico III",SUMIFS($D:$D,$A:$A,$A2008,$B:$B,"&lt;&gt;Patrícia Karla de Sousa Araújo",$B:$B,"&lt;&gt;Lorena Dias de Araujo",$B:$B,"&lt;&gt;Lucas Luiz Romero")*(35/1083),IF(C2008="Técnico II",SUMIFS($D:$D,$A:$A,$A2008,$B:$B,"&lt;&gt;Patrícia Karla de Sousa Araújo",$B:$B,"&lt;&gt;Lorena Dias de Araujo",$B:$B,"&lt;&gt;Lucas Luiz Romero")*(28/1083),IF(C2008="Técnico I",SUMIFS($D:$D,$A:$A,$A2008,$B:$B,"&lt;&gt;Patrícia Karla de Sousa Araújo",$B:$B,"&lt;&gt;Lorena Dias de Araujo",$B:$B,"&lt;&gt;Lucas Luiz Romero")*(23/1083),IF(C2008="JR",SUMIFS($D:$D,$A:$A,$A2008,$B:$B,"&lt;&gt;Patrícia Karla de Sousa Araújo",$B:$B,"&lt;&gt;Lorena Dias de Araujo",$B:$B,"&lt;&gt;Lucas Luiz Romero")*(20/1083),IF(C2008="Estágio",SUMIFS($D:$D,$A:$A,$A2008,$B:$B,"&lt;&gt;Patrícia Karla de Sousa Araújo",$B:$B,"&lt;&gt;Lorena Dias de Araujo",$B:$B,"&lt;&gt;Lucas Luiz Romero")*(10/1083),0)))))),0)</f>
        <v/>
      </c>
      <c r="K2008" s="3">
        <f>I2008-J2008</f>
        <v/>
      </c>
      <c r="L2008" s="3">
        <f>IF(K2008&lt;-5,"CRÍTICO",IF(K2008&lt;0,"ATENÇÃO",IF(K2008&lt;=5,"BOM","EXCELENTE")))</f>
        <v/>
      </c>
      <c r="M2008" s="3" t="n">
        <v>7</v>
      </c>
      <c r="N2008" s="3" t="n">
        <v>97.5</v>
      </c>
      <c r="O2008" s="12" t="n">
        <v>30.07518796992481</v>
      </c>
    </row>
    <row r="2009">
      <c r="A2009" s="10" t="n">
        <v>46064</v>
      </c>
      <c r="B2009" t="inlineStr">
        <is>
          <t>Brenda de Menezes Silva</t>
        </is>
      </c>
      <c r="C2009" s="1" t="inlineStr">
        <is>
          <t>Técnico II</t>
        </is>
      </c>
      <c r="D2009" s="3" t="n">
        <v>23</v>
      </c>
      <c r="E2009" s="3" t="n">
        <v>22</v>
      </c>
      <c r="F2009" s="3" t="n">
        <v>28.45</v>
      </c>
      <c r="G2009" s="3" t="n">
        <v>0</v>
      </c>
      <c r="H2009" s="3" t="n">
        <v>0</v>
      </c>
      <c r="I2009" s="3">
        <f>E2009+G2009+H2009</f>
        <v/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/>
      </c>
      <c r="K2009" s="3">
        <f>I2009-J2009</f>
        <v/>
      </c>
      <c r="L2009" s="3">
        <f>IF(K2009&lt;-5,"CRÍTICO",IF(K2009&lt;0,"ATENÇÃO",IF(K2009&lt;=5,"BOM","EXCELENTE")))</f>
        <v/>
      </c>
      <c r="M2009" s="3" t="n">
        <v>18</v>
      </c>
      <c r="N2009" s="3" t="n">
        <v>100</v>
      </c>
      <c r="O2009" s="12" t="n">
        <v>29.71311475409836</v>
      </c>
    </row>
    <row r="2010">
      <c r="A2010" s="10" t="n">
        <v>46064</v>
      </c>
      <c r="B2010" t="inlineStr">
        <is>
          <t>Carlos Mateus Cassimiro Nunes</t>
        </is>
      </c>
      <c r="C2010" s="1" t="inlineStr">
        <is>
          <t>Técnico II</t>
        </is>
      </c>
      <c r="D2010" s="3" t="n">
        <v>20</v>
      </c>
      <c r="E2010" s="3" t="n">
        <v>19</v>
      </c>
      <c r="F2010" s="3" t="n">
        <v>24.11</v>
      </c>
      <c r="G2010" s="3" t="n">
        <v>0</v>
      </c>
      <c r="H2010" s="3" t="n">
        <v>0</v>
      </c>
      <c r="I2010" s="3">
        <f>E2010+G2010+H2010</f>
        <v/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/>
      </c>
      <c r="K2010" s="3">
        <f>I2010-J2010</f>
        <v/>
      </c>
      <c r="L2010" s="3">
        <f>IF(K2010&lt;-5,"CRÍTICO",IF(K2010&lt;0,"ATENÇÃO",IF(K2010&lt;=5,"BOM","EXCELENTE")))</f>
        <v/>
      </c>
      <c r="M2010" s="3" t="n">
        <v>22</v>
      </c>
      <c r="N2010" s="3" t="n">
        <v>99.22</v>
      </c>
      <c r="O2010" s="12" t="n">
        <v>35.25641025641026</v>
      </c>
    </row>
    <row r="2011">
      <c r="A2011" s="10" t="n">
        <v>46064</v>
      </c>
      <c r="B2011" t="inlineStr">
        <is>
          <t>Claudio de Sousa Velasco Filho</t>
        </is>
      </c>
      <c r="C2011" s="1" t="inlineStr">
        <is>
          <t>Estágio</t>
        </is>
      </c>
      <c r="D2011" s="3" t="n">
        <v>0</v>
      </c>
      <c r="E2011" s="3" t="n">
        <v>0</v>
      </c>
      <c r="F2011" s="3" t="n">
        <v>0</v>
      </c>
      <c r="G2011" s="3" t="n">
        <v>0</v>
      </c>
      <c r="H2011" s="3" t="n">
        <v>0</v>
      </c>
      <c r="I2011" s="3" t="n">
        <v>0</v>
      </c>
      <c r="J2011" s="3" t="n">
        <v>0</v>
      </c>
      <c r="K2011" s="3" t="n">
        <v>0</v>
      </c>
      <c r="L2011" s="3">
        <f>IF(K2011&lt;-5,"CRÍTICO",IF(K2011&lt;0,"ATENÇÃO",IF(K2011&lt;=5,"BOM","EXCELENTE")))</f>
        <v/>
      </c>
      <c r="M2011" s="3" t="n">
        <v>0</v>
      </c>
      <c r="N2011" s="3" t="n">
        <v>0</v>
      </c>
      <c r="O2011" s="12" t="n">
        <v>0</v>
      </c>
    </row>
    <row r="2012">
      <c r="A2012" s="10" t="n">
        <v>46064</v>
      </c>
      <c r="B2012" t="inlineStr">
        <is>
          <t>Clessiane Pereira dos Santos</t>
        </is>
      </c>
      <c r="C2012" s="1" t="inlineStr">
        <is>
          <t>Técnico I</t>
        </is>
      </c>
      <c r="D2012" s="3" t="n">
        <v>38</v>
      </c>
      <c r="E2012" s="3" t="n">
        <v>4</v>
      </c>
      <c r="F2012" s="3" t="n">
        <v>7.03</v>
      </c>
      <c r="G2012" s="3" t="n">
        <v>0</v>
      </c>
      <c r="H2012" s="3" t="n">
        <v>0</v>
      </c>
      <c r="I2012" s="3">
        <f>E2012+G2012+H2012</f>
        <v/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/>
      </c>
      <c r="K2012" s="3">
        <f>I2012-J2012</f>
        <v/>
      </c>
      <c r="L2012" s="3">
        <f>IF(K2012&lt;-5,"CRÍTICO",IF(K2012&lt;0,"ATENÇÃO",IF(K2012&lt;=5,"BOM","EXCELENTE")))</f>
        <v/>
      </c>
      <c r="M2012" s="3" t="n">
        <v>15</v>
      </c>
      <c r="N2012" s="3" t="n">
        <v>98.75</v>
      </c>
      <c r="O2012" s="12" t="n">
        <v>24.32432432432433</v>
      </c>
    </row>
    <row r="2013">
      <c r="A2013" s="10" t="n">
        <v>46064</v>
      </c>
      <c r="B2013" t="inlineStr">
        <is>
          <t>Cristiane Ramos da Silva Rocha</t>
        </is>
      </c>
      <c r="C2013" s="1" t="inlineStr">
        <is>
          <t>Técnico III</t>
        </is>
      </c>
      <c r="D2013" s="3" t="n">
        <v>36</v>
      </c>
      <c r="E2013" s="3" t="n">
        <v>35</v>
      </c>
      <c r="F2013" s="3" t="n">
        <v>17.02</v>
      </c>
      <c r="G2013" s="3" t="n">
        <v>0</v>
      </c>
      <c r="H2013" s="3" t="n">
        <v>0</v>
      </c>
      <c r="I2013" s="3">
        <f>E2013+G2013+H2013</f>
        <v/>
      </c>
      <c r="J2013" s="3">
        <f>ROUND(MIN(IF(C2013="Técnico III",35,IF(C2013="Técnico II",28,IF(C2013="Técnico I",23,IF(C2013="JR",20,IF(C2013="Estágio",10,0))))),IF(C2013="Técnico III",SUMIFS($D:$D,$A:$A,$A2013,$B:$B,"&lt;&gt;Patrícia Karla de Sousa Araújo",$B:$B,"&lt;&gt;Lorena Dias de Araujo",$B:$B,"&lt;&gt;Lucas Luiz Romero")*(35/1083),IF(C2013="Técnico II",SUMIFS($D:$D,$A:$A,$A2013,$B:$B,"&lt;&gt;Patrícia Karla de Sousa Araújo",$B:$B,"&lt;&gt;Lorena Dias de Araujo",$B:$B,"&lt;&gt;Lucas Luiz Romero")*(28/1083),IF(C2013="Técnico I",SUMIFS($D:$D,$A:$A,$A2013,$B:$B,"&lt;&gt;Patrícia Karla de Sousa Araújo",$B:$B,"&lt;&gt;Lorena Dias de Araujo",$B:$B,"&lt;&gt;Lucas Luiz Romero")*(23/1083),IF(C2013="JR",SUMIFS($D:$D,$A:$A,$A2013,$B:$B,"&lt;&gt;Patrícia Karla de Sousa Araújo",$B:$B,"&lt;&gt;Lorena Dias de Araujo",$B:$B,"&lt;&gt;Lucas Luiz Romero")*(20/1083),IF(C2013="Estágio",SUMIFS($D:$D,$A:$A,$A2013,$B:$B,"&lt;&gt;Patrícia Karla de Sousa Araújo",$B:$B,"&lt;&gt;Lorena Dias de Araujo",$B:$B,"&lt;&gt;Lucas Luiz Romero")*(10/1083),0)))))),0)</f>
        <v/>
      </c>
      <c r="K2013" s="3">
        <f>I2013-J2013</f>
        <v/>
      </c>
      <c r="L2013" s="3">
        <f>IF(K2013&lt;-5,"CRÍTICO",IF(K2013&lt;0,"ATENÇÃO",IF(K2013&lt;=5,"BOM","EXCELENTE")))</f>
        <v/>
      </c>
      <c r="M2013" s="3" t="n">
        <v>32</v>
      </c>
      <c r="N2013" s="3" t="n">
        <v>93.48</v>
      </c>
      <c r="O2013" s="12" t="n">
        <v>31.52804642166344</v>
      </c>
    </row>
    <row r="2014">
      <c r="A2014" s="10" t="n">
        <v>46064</v>
      </c>
      <c r="B2014" t="inlineStr">
        <is>
          <t>Damyllis Lorraine de Oliveira Gonçalves</t>
        </is>
      </c>
      <c r="C2014" s="1" t="inlineStr">
        <is>
          <t>Técnico II</t>
        </is>
      </c>
      <c r="D2014" s="3" t="n">
        <v>21</v>
      </c>
      <c r="E2014" s="3" t="n">
        <v>19</v>
      </c>
      <c r="F2014" s="3" t="n">
        <v>25.11</v>
      </c>
      <c r="G2014" s="3" t="n">
        <v>0</v>
      </c>
      <c r="H2014" s="3" t="n">
        <v>0</v>
      </c>
      <c r="I2014" s="3" t="n">
        <v>0</v>
      </c>
      <c r="J2014" s="3" t="n">
        <v>0</v>
      </c>
      <c r="K2014" s="3" t="n">
        <v>0</v>
      </c>
      <c r="L2014" s="3">
        <f>IF(K2014&lt;-5,"CRÍTICO",IF(K2014&lt;0,"ATENÇÃO",IF(K2014&lt;=5,"BOM","EXCELENTE")))</f>
        <v/>
      </c>
      <c r="M2014" s="3" t="n">
        <v>18</v>
      </c>
      <c r="N2014" s="3" t="n">
        <v>99.16</v>
      </c>
      <c r="O2014" s="12" t="n">
        <v>26.13908872901678</v>
      </c>
    </row>
    <row r="2015">
      <c r="A2015" s="10" t="n">
        <v>46064</v>
      </c>
      <c r="B2015" t="inlineStr">
        <is>
          <t>Daniel Gomes da Silva</t>
        </is>
      </c>
      <c r="C2015" s="1" t="inlineStr">
        <is>
          <t>Técnico I</t>
        </is>
      </c>
      <c r="D2015" s="3" t="n">
        <v>17</v>
      </c>
      <c r="E2015" s="3" t="n">
        <v>16</v>
      </c>
      <c r="F2015" s="3" t="n">
        <v>34.12</v>
      </c>
      <c r="G2015" s="3" t="n">
        <v>0</v>
      </c>
      <c r="H2015" s="3" t="n">
        <v>0</v>
      </c>
      <c r="I2015" s="3">
        <f>E2015+G2015+H2015</f>
        <v/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/>
      </c>
      <c r="K2015" s="3">
        <f>I2015-J2015</f>
        <v/>
      </c>
      <c r="L2015" s="3">
        <f>IF(K2015&lt;-5,"CRÍTICO",IF(K2015&lt;0,"ATENÇÃO",IF(K2015&lt;=5,"BOM","EXCELENTE")))</f>
        <v/>
      </c>
      <c r="M2015" s="3" t="n">
        <v>14</v>
      </c>
      <c r="N2015" s="3" t="n">
        <v>100</v>
      </c>
      <c r="O2015" s="12" t="n">
        <v>31.08974358974359</v>
      </c>
    </row>
    <row r="2016">
      <c r="A2016" s="10" t="n">
        <v>46064</v>
      </c>
      <c r="B2016" t="inlineStr">
        <is>
          <t>Davylla Rodrigues Freitas Silva</t>
        </is>
      </c>
      <c r="C2016" s="1" t="inlineStr">
        <is>
          <t>Técnico III</t>
        </is>
      </c>
      <c r="D2016" s="3" t="n">
        <v>30</v>
      </c>
      <c r="E2016" s="3" t="n">
        <v>29</v>
      </c>
      <c r="F2016" s="3" t="n">
        <v>23.51</v>
      </c>
      <c r="G2016" s="3" t="n">
        <v>0</v>
      </c>
      <c r="H2016" s="3" t="n">
        <v>0</v>
      </c>
      <c r="I2016" s="3" t="n">
        <v>0</v>
      </c>
      <c r="J2016" s="3" t="n">
        <v>0</v>
      </c>
      <c r="K2016" s="3" t="n">
        <v>0</v>
      </c>
      <c r="L2016" s="3">
        <f>IF(K2016&lt;-5,"CRÍTICO",IF(K2016&lt;0,"ATENÇÃO",IF(K2016&lt;=5,"BOM","EXCELENTE")))</f>
        <v/>
      </c>
      <c r="M2016" s="3" t="n">
        <v>30</v>
      </c>
      <c r="N2016" s="3" t="n">
        <v>98.11</v>
      </c>
      <c r="O2016" s="12" t="n">
        <v>33.03370786516854</v>
      </c>
    </row>
    <row r="2017">
      <c r="A2017" s="10" t="n">
        <v>46064</v>
      </c>
      <c r="B2017" t="inlineStr">
        <is>
          <t>Emilly Caylane Costa</t>
        </is>
      </c>
      <c r="C2017" s="1" t="inlineStr">
        <is>
          <t>Estágio</t>
        </is>
      </c>
      <c r="D2017" s="3" t="n">
        <v>57</v>
      </c>
      <c r="E2017" s="3" t="n">
        <v>42</v>
      </c>
      <c r="F2017" s="3" t="n">
        <v>5.59</v>
      </c>
      <c r="G2017" s="3" t="n">
        <v>0</v>
      </c>
      <c r="H2017" s="3" t="n">
        <v>0</v>
      </c>
      <c r="I2017" s="3">
        <f>E2017+G2017+H2017</f>
        <v/>
      </c>
      <c r="J2017" s="3">
        <f>ROUND(MIN(IF(C2017="Técnico III",35,IF(C2017="Técnico II",28,IF(C2017="Técnico I",23,IF(C2017="JR",20,IF(C2017="Estágio",10,0))))),IF(C2017="Técnico III",SUMIFS($D:$D,$A:$A,$A2017,$B:$B,"&lt;&gt;Patrícia Karla de Sousa Araújo",$B:$B,"&lt;&gt;Lorena Dias de Araujo",$B:$B,"&lt;&gt;Lucas Luiz Romero")*(35/1083),IF(C2017="Técnico II",SUMIFS($D:$D,$A:$A,$A2017,$B:$B,"&lt;&gt;Patrícia Karla de Sousa Araújo",$B:$B,"&lt;&gt;Lorena Dias de Araujo",$B:$B,"&lt;&gt;Lucas Luiz Romero")*(28/1083),IF(C2017="Técnico I",SUMIFS($D:$D,$A:$A,$A2017,$B:$B,"&lt;&gt;Patrícia Karla de Sousa Araújo",$B:$B,"&lt;&gt;Lorena Dias de Araujo",$B:$B,"&lt;&gt;Lucas Luiz Romero")*(23/1083),IF(C2017="JR",SUMIFS($D:$D,$A:$A,$A2017,$B:$B,"&lt;&gt;Patrícia Karla de Sousa Araújo",$B:$B,"&lt;&gt;Lorena Dias de Araujo",$B:$B,"&lt;&gt;Lucas Luiz Romero")*(20/1083),IF(C2017="Estágio",SUMIFS($D:$D,$A:$A,$A2017,$B:$B,"&lt;&gt;Patrícia Karla de Sousa Araújo",$B:$B,"&lt;&gt;Lorena Dias de Araujo",$B:$B,"&lt;&gt;Lucas Luiz Romero")*(10/1083),0)))))),0)</f>
        <v/>
      </c>
      <c r="K2017" s="3">
        <f>I2017-J2017</f>
        <v/>
      </c>
      <c r="L2017" s="3">
        <f>IF(K2017&lt;-5,"CRÍTICO",IF(K2017&lt;0,"ATENÇÃO",IF(K2017&lt;=5,"BOM","EXCELENTE")))</f>
        <v/>
      </c>
      <c r="M2017" s="3" t="n">
        <v>2</v>
      </c>
      <c r="N2017" s="3" t="n">
        <v>78.95</v>
      </c>
      <c r="O2017" s="12" t="n">
        <v>38.98305084745763</v>
      </c>
    </row>
    <row r="2018">
      <c r="A2018" s="10" t="n">
        <v>46064</v>
      </c>
      <c r="B2018" t="inlineStr">
        <is>
          <t>Emilly Kamilly Medeiros Miranda</t>
        </is>
      </c>
      <c r="C2018" s="1" t="inlineStr">
        <is>
          <t>Técnico II</t>
        </is>
      </c>
      <c r="D2018" s="3" t="n">
        <v>24</v>
      </c>
      <c r="E2018" s="3" t="n">
        <v>23</v>
      </c>
      <c r="F2018" s="3" t="n">
        <v>24.16</v>
      </c>
      <c r="G2018" s="3" t="n">
        <v>0</v>
      </c>
      <c r="H2018" s="3" t="n">
        <v>0</v>
      </c>
      <c r="I2018" s="3">
        <f>E2018+G2018+H2018</f>
        <v/>
      </c>
      <c r="J2018" s="3">
        <f>ROUND(MIN(IF(C2018="Técnico III",35,IF(C2018="Técnico II",28,IF(C2018="Técnico I",23,IF(C2018="JR",20,IF(C2018="Estágio",10,0))))),IF(C2018="Técnico III",SUMIFS($D:$D,$A:$A,$A2018,$B:$B,"&lt;&gt;Patrícia Karla de Sousa Araújo",$B:$B,"&lt;&gt;Lorena Dias de Araujo",$B:$B,"&lt;&gt;Lucas Luiz Romero")*(35/1083),IF(C2018="Técnico II",SUMIFS($D:$D,$A:$A,$A2018,$B:$B,"&lt;&gt;Patrícia Karla de Sousa Araújo",$B:$B,"&lt;&gt;Lorena Dias de Araujo",$B:$B,"&lt;&gt;Lucas Luiz Romero")*(28/1083),IF(C2018="Técnico I",SUMIFS($D:$D,$A:$A,$A2018,$B:$B,"&lt;&gt;Patrícia Karla de Sousa Araújo",$B:$B,"&lt;&gt;Lorena Dias de Araujo",$B:$B,"&lt;&gt;Lucas Luiz Romero")*(23/1083),IF(C2018="JR",SUMIFS($D:$D,$A:$A,$A2018,$B:$B,"&lt;&gt;Patrícia Karla de Sousa Araújo",$B:$B,"&lt;&gt;Lorena Dias de Araujo",$B:$B,"&lt;&gt;Lucas Luiz Romero")*(20/1083),IF(C2018="Estágio",SUMIFS($D:$D,$A:$A,$A2018,$B:$B,"&lt;&gt;Patrícia Karla de Sousa Araújo",$B:$B,"&lt;&gt;Lorena Dias de Araujo",$B:$B,"&lt;&gt;Lucas Luiz Romero")*(10/1083),0)))))),0)</f>
        <v/>
      </c>
      <c r="K2018" s="3">
        <f>I2018-J2018</f>
        <v/>
      </c>
      <c r="L2018" s="3">
        <f>IF(K2018&lt;-5,"CRÍTICO",IF(K2018&lt;0,"ATENÇÃO",IF(K2018&lt;=5,"BOM","EXCELENTE")))</f>
        <v/>
      </c>
      <c r="M2018" s="3" t="n">
        <v>21</v>
      </c>
      <c r="N2018" s="3" t="n">
        <v>98.45</v>
      </c>
      <c r="O2018" s="12" t="n">
        <v>29.2817679558011</v>
      </c>
    </row>
    <row r="2019">
      <c r="A2019" s="10" t="n">
        <v>46064</v>
      </c>
      <c r="B2019" t="inlineStr">
        <is>
          <t>Francielson de Oliveira</t>
        </is>
      </c>
      <c r="C2019" s="1" t="inlineStr">
        <is>
          <t>Técnico III</t>
        </is>
      </c>
      <c r="D2019" s="3" t="n">
        <v>29</v>
      </c>
      <c r="E2019" s="3" t="n">
        <v>28</v>
      </c>
      <c r="F2019" s="3" t="n">
        <v>20.03</v>
      </c>
      <c r="G2019" s="3" t="n">
        <v>0</v>
      </c>
      <c r="H2019" s="3" t="n">
        <v>0</v>
      </c>
      <c r="I2019" s="3">
        <f>E2019+G2019+H2019</f>
        <v/>
      </c>
      <c r="J2019" s="3">
        <f>ROUND(MIN(IF(C2019="Técnico III",35,IF(C2019="Técnico II",28,IF(C2019="Técnico I",23,IF(C2019="JR",20,IF(C2019="Estágio",10,0))))),IF(C2019="Técnico III",SUMIFS($D:$D,$A:$A,$A2019,$B:$B,"&lt;&gt;Patrícia Karla de Sousa Araújo",$B:$B,"&lt;&gt;Lorena Dias de Araujo",$B:$B,"&lt;&gt;Lucas Luiz Romero")*(35/1083),IF(C2019="Técnico II",SUMIFS($D:$D,$A:$A,$A2019,$B:$B,"&lt;&gt;Patrícia Karla de Sousa Araújo",$B:$B,"&lt;&gt;Lorena Dias de Araujo",$B:$B,"&lt;&gt;Lucas Luiz Romero")*(28/1083),IF(C2019="Técnico I",SUMIFS($D:$D,$A:$A,$A2019,$B:$B,"&lt;&gt;Patrícia Karla de Sousa Araújo",$B:$B,"&lt;&gt;Lorena Dias de Araujo",$B:$B,"&lt;&gt;Lucas Luiz Romero")*(23/1083),IF(C2019="JR",SUMIFS($D:$D,$A:$A,$A2019,$B:$B,"&lt;&gt;Patrícia Karla de Sousa Araújo",$B:$B,"&lt;&gt;Lorena Dias de Araujo",$B:$B,"&lt;&gt;Lucas Luiz Romero")*(20/1083),IF(C2019="Estágio",SUMIFS($D:$D,$A:$A,$A2019,$B:$B,"&lt;&gt;Patrícia Karla de Sousa Araújo",$B:$B,"&lt;&gt;Lorena Dias de Araujo",$B:$B,"&lt;&gt;Lucas Luiz Romero")*(10/1083),0)))))),0)</f>
        <v/>
      </c>
      <c r="K2019" s="3">
        <f>I2019-J2019</f>
        <v/>
      </c>
      <c r="L2019" s="3">
        <f>IF(K2019&lt;-5,"CRÍTICO",IF(K2019&lt;0,"ATENÇÃO",IF(K2019&lt;=5,"BOM","EXCELENTE")))</f>
        <v/>
      </c>
      <c r="M2019" s="3" t="n">
        <v>28</v>
      </c>
      <c r="N2019" s="3" t="n">
        <v>97.84</v>
      </c>
      <c r="O2019" s="12" t="n">
        <v>26.28205128205128</v>
      </c>
    </row>
    <row r="2020">
      <c r="A2020" s="10" t="n">
        <v>46064</v>
      </c>
      <c r="B2020" t="inlineStr">
        <is>
          <t>Francilene Ferreira de Jesus</t>
        </is>
      </c>
      <c r="C2020" s="1" t="inlineStr">
        <is>
          <t>Técnico II</t>
        </is>
      </c>
      <c r="D2020" s="3" t="n">
        <v>26</v>
      </c>
      <c r="E2020" s="3" t="n">
        <v>21</v>
      </c>
      <c r="F2020" s="3" t="n">
        <v>25.1</v>
      </c>
      <c r="G2020" s="3" t="n">
        <v>0</v>
      </c>
      <c r="H2020" s="3" t="n">
        <v>0</v>
      </c>
      <c r="I2020" s="3">
        <f>E2020+G2020+H2020</f>
        <v/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/>
      </c>
      <c r="K2020" s="3">
        <f>I2020-J2020</f>
        <v/>
      </c>
      <c r="L2020" s="3">
        <f>IF(K2020&lt;-5,"CRÍTICO",IF(K2020&lt;0,"ATENÇÃO",IF(K2020&lt;=5,"BOM","EXCELENTE")))</f>
        <v/>
      </c>
      <c r="M2020" s="3" t="n">
        <v>24</v>
      </c>
      <c r="N2020" s="3" t="n">
        <v>98.5</v>
      </c>
      <c r="O2020" s="12" t="n">
        <v>23.97769516728625</v>
      </c>
    </row>
    <row r="2021">
      <c r="A2021" s="10" t="n">
        <v>46098</v>
      </c>
      <c r="B2021" t="inlineStr">
        <is>
          <t>Gabriel Gomes de Andrade</t>
        </is>
      </c>
      <c r="C2021" s="1" t="inlineStr">
        <is>
          <t>Técnico I</t>
        </is>
      </c>
      <c r="D2021" s="3" t="n">
        <v>14</v>
      </c>
      <c r="E2021" s="3" t="n">
        <v>13</v>
      </c>
      <c r="F2021" s="3" t="n">
        <v>26.55</v>
      </c>
      <c r="G2021" s="3" t="n">
        <v>0</v>
      </c>
      <c r="H2021" s="3" t="n">
        <v>0</v>
      </c>
      <c r="I2021" s="3">
        <f>E2021+G2021+H2021</f>
        <v/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/>
      </c>
      <c r="K2021" s="3">
        <f>I2021-J2021</f>
        <v/>
      </c>
      <c r="L2021" s="3">
        <f>IF(K2021&lt;-5,"CRÍTICO",IF(K2021&lt;0,"ATENÇÃO",IF(K2021&lt;=5,"BOM","EXCELENTE")))</f>
        <v/>
      </c>
      <c r="M2021" s="3" t="n">
        <v>13</v>
      </c>
      <c r="N2021" s="3" t="n">
        <v>99.05</v>
      </c>
      <c r="O2021" s="12" t="n">
        <v>26.62192393736018</v>
      </c>
    </row>
    <row r="2022">
      <c r="A2022" s="10" t="n">
        <v>46064</v>
      </c>
      <c r="B2022" t="inlineStr">
        <is>
          <t>Isabella Borges de Oliveira</t>
        </is>
      </c>
      <c r="C2022" s="1" t="inlineStr">
        <is>
          <t>Técnico II</t>
        </is>
      </c>
      <c r="D2022" s="3" t="n">
        <v>28</v>
      </c>
      <c r="E2022" s="3" t="n">
        <v>26</v>
      </c>
      <c r="F2022" s="3" t="n">
        <v>25.04</v>
      </c>
      <c r="G2022" s="3" t="n">
        <v>0</v>
      </c>
      <c r="H2022" s="3" t="n">
        <v>0</v>
      </c>
      <c r="I2022" s="3">
        <f>E2022+G2022+H2022</f>
        <v/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/>
      </c>
      <c r="K2022" s="3">
        <f>I2022-J2022</f>
        <v/>
      </c>
      <c r="L2022" s="3">
        <f>IF(K2022&lt;-5,"CRÍTICO",IF(K2022&lt;0,"ATENÇÃO",IF(K2022&lt;=5,"BOM","EXCELENTE")))</f>
        <v/>
      </c>
      <c r="M2022" s="3" t="n">
        <v>26</v>
      </c>
      <c r="N2022" s="3" t="n">
        <v>98.53</v>
      </c>
      <c r="O2022" s="12" t="n">
        <v>31.57894736842105</v>
      </c>
    </row>
    <row r="2023">
      <c r="A2023" s="10" t="n">
        <v>46064</v>
      </c>
      <c r="B2023" t="inlineStr">
        <is>
          <t>Janaina Lima dos Reis Urany</t>
        </is>
      </c>
      <c r="C2023" s="1" t="inlineStr">
        <is>
          <t>Técnico III</t>
        </is>
      </c>
      <c r="D2023" s="3" t="n">
        <v>55</v>
      </c>
      <c r="E2023" s="3" t="n">
        <v>49</v>
      </c>
      <c r="F2023" s="3" t="n">
        <v>13.21</v>
      </c>
      <c r="G2023" s="3" t="n">
        <v>0</v>
      </c>
      <c r="H2023" s="3" t="n">
        <v>0</v>
      </c>
      <c r="I2023" s="3">
        <f>E2023+G2023+H2023</f>
        <v/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/>
      </c>
      <c r="K2023" s="3">
        <f>I2023-J2023</f>
        <v/>
      </c>
      <c r="L2023" s="3">
        <f>IF(K2023&lt;-5,"CRÍTICO",IF(K2023&lt;0,"ATENÇÃO",IF(K2023&lt;=5,"BOM","EXCELENTE")))</f>
        <v/>
      </c>
      <c r="M2023" s="3" t="n">
        <v>51</v>
      </c>
      <c r="N2023" s="3" t="n">
        <v>100</v>
      </c>
      <c r="O2023" s="12" t="n">
        <v>25.72214580467676</v>
      </c>
    </row>
    <row r="2024">
      <c r="A2024" s="10" t="n">
        <v>46064</v>
      </c>
      <c r="B2024" t="inlineStr">
        <is>
          <t>Jaqueline Evangelista da Silva Martins</t>
        </is>
      </c>
      <c r="C2024" s="1" t="inlineStr">
        <is>
          <t>Técnico III</t>
        </is>
      </c>
      <c r="D2024" s="3" t="n">
        <v>41</v>
      </c>
      <c r="E2024" s="3" t="n">
        <v>38</v>
      </c>
      <c r="F2024" s="3" t="n">
        <v>12.05</v>
      </c>
      <c r="G2024" s="3" t="n">
        <v>0</v>
      </c>
      <c r="H2024" s="3" t="n">
        <v>0</v>
      </c>
      <c r="I2024" s="3">
        <f>E2024+G2024+H2024</f>
        <v/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/>
      </c>
      <c r="K2024" s="3">
        <f>I2024-J2024</f>
        <v/>
      </c>
      <c r="L2024" s="3">
        <f>IF(K2024&lt;-5,"CRÍTICO",IF(K2024&lt;0,"ATENÇÃO",IF(K2024&lt;=5,"BOM","EXCELENTE")))</f>
        <v/>
      </c>
      <c r="M2024" s="3" t="n">
        <v>34</v>
      </c>
      <c r="N2024" s="3" t="n">
        <v>94.64</v>
      </c>
      <c r="O2024" s="12" t="n">
        <v>27.52941176470588</v>
      </c>
    </row>
    <row r="2025">
      <c r="A2025" s="10" t="n">
        <v>46064</v>
      </c>
      <c r="B2025" t="inlineStr">
        <is>
          <t>Jessica Faria da Silveira</t>
        </is>
      </c>
      <c r="C2025" s="1" t="inlineStr">
        <is>
          <t>Técnico II</t>
        </is>
      </c>
      <c r="D2025" s="3" t="n">
        <v>30</v>
      </c>
      <c r="E2025" s="3" t="n">
        <v>26</v>
      </c>
      <c r="F2025" s="3" t="n">
        <v>21.43</v>
      </c>
      <c r="G2025" s="3" t="n">
        <v>0</v>
      </c>
      <c r="H2025" s="3" t="n">
        <v>0</v>
      </c>
      <c r="I2025" s="3">
        <f>E2025+G2025+H2025</f>
        <v/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/>
      </c>
      <c r="K2025" s="3">
        <f>I2025-J2025</f>
        <v/>
      </c>
      <c r="L2025" s="3">
        <f>IF(K2025&lt;-5,"CRÍTICO",IF(K2025&lt;0,"ATENÇÃO",IF(K2025&lt;=5,"BOM","EXCELENTE")))</f>
        <v/>
      </c>
      <c r="M2025" s="3" t="n">
        <v>23</v>
      </c>
      <c r="N2025" s="3" t="n">
        <v>99.06999999999999</v>
      </c>
      <c r="O2025" s="12" t="n">
        <v>26.3768115942029</v>
      </c>
    </row>
    <row r="2026">
      <c r="A2026" s="10" t="n">
        <v>46064</v>
      </c>
      <c r="B2026" t="inlineStr">
        <is>
          <t>Jéssica Fé Moura</t>
        </is>
      </c>
      <c r="C2026" s="1" t="inlineStr">
        <is>
          <t>Técnico III</t>
        </is>
      </c>
      <c r="D2026" s="3" t="n">
        <v>0</v>
      </c>
      <c r="E2026" s="3" t="n">
        <v>0</v>
      </c>
      <c r="F2026" s="3" t="n">
        <v>0</v>
      </c>
      <c r="G2026" s="3" t="n">
        <v>0</v>
      </c>
      <c r="H2026" s="3" t="n">
        <v>0</v>
      </c>
      <c r="I2026" s="3" t="n">
        <v>0</v>
      </c>
      <c r="J2026" s="3" t="n">
        <v>0</v>
      </c>
      <c r="K2026" s="3" t="n">
        <v>0</v>
      </c>
      <c r="L2026" s="3">
        <f>IF(K2026&lt;-5,"CRÍTICO",IF(K2026&lt;0,"ATENÇÃO",IF(K2026&lt;=5,"BOM","EXCELENTE")))</f>
        <v/>
      </c>
      <c r="M2026" s="3" t="n">
        <v>0</v>
      </c>
      <c r="N2026" s="3" t="n">
        <v>100</v>
      </c>
      <c r="O2026" s="12" t="n">
        <v>0</v>
      </c>
    </row>
    <row r="2027">
      <c r="A2027" s="10" t="n">
        <v>46064</v>
      </c>
      <c r="B2027" t="inlineStr">
        <is>
          <t>Karina Gonçalves Martins</t>
        </is>
      </c>
      <c r="C2027" s="1" t="inlineStr">
        <is>
          <t>JR</t>
        </is>
      </c>
      <c r="D2027" s="3" t="n">
        <v>12</v>
      </c>
      <c r="E2027" s="3" t="n">
        <v>12</v>
      </c>
      <c r="F2027" s="3" t="n">
        <v>26.47</v>
      </c>
      <c r="G2027" s="3" t="n">
        <v>0</v>
      </c>
      <c r="H2027" s="3" t="n">
        <v>0</v>
      </c>
      <c r="I2027" s="3">
        <f>E2027+G2027+H2027</f>
        <v/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/>
      </c>
      <c r="K2027" s="3">
        <f>I2027-J2027</f>
        <v/>
      </c>
      <c r="L2027" s="3">
        <f>IF(K2027&lt;-5,"CRÍTICO",IF(K2027&lt;0,"ATENÇÃO",IF(K2027&lt;=5,"BOM","EXCELENTE")))</f>
        <v/>
      </c>
      <c r="M2027" s="3" t="n">
        <v>10</v>
      </c>
      <c r="N2027" s="3" t="n">
        <v>98.48</v>
      </c>
      <c r="O2027" s="12" t="n">
        <v>27.85388127853881</v>
      </c>
    </row>
    <row r="2028">
      <c r="A2028" s="10" t="n">
        <v>46064</v>
      </c>
      <c r="B2028" t="inlineStr">
        <is>
          <t>Kerollen Cristielly de Jesus Siqueira</t>
        </is>
      </c>
      <c r="C2028" s="1" t="inlineStr">
        <is>
          <t>Técnico III</t>
        </is>
      </c>
      <c r="D2028" s="3" t="n">
        <v>3</v>
      </c>
      <c r="E2028" s="3" t="n">
        <v>2</v>
      </c>
      <c r="F2028" s="3" t="n">
        <v>3.36</v>
      </c>
      <c r="G2028" s="3" t="n">
        <v>0</v>
      </c>
      <c r="H2028" s="3" t="n">
        <v>0</v>
      </c>
      <c r="I2028" s="3">
        <f>E2028+G2028+H2028</f>
        <v/>
      </c>
      <c r="J2028" s="3">
        <f>ROUND(MIN(IF(C2028="Técnico III",35,IF(C2028="Técnico II",28,IF(C2028="Técnico I",23,IF(C2028="JR",20,IF(C2028="Estágio",10,0))))),IF(C2028="Técnico III",SUMIFS($D:$D,$A:$A,$A2028,$B:$B,"&lt;&gt;Patrícia Karla de Sousa Araújo",$B:$B,"&lt;&gt;Lorena Dias de Araujo",$B:$B,"&lt;&gt;Lucas Luiz Romero")*(35/1083),IF(C2028="Técnico II",SUMIFS($D:$D,$A:$A,$A2028,$B:$B,"&lt;&gt;Patrícia Karla de Sousa Araújo",$B:$B,"&lt;&gt;Lorena Dias de Araujo",$B:$B,"&lt;&gt;Lucas Luiz Romero")*(28/1083),IF(C2028="Técnico I",SUMIFS($D:$D,$A:$A,$A2028,$B:$B,"&lt;&gt;Patrícia Karla de Sousa Araújo",$B:$B,"&lt;&gt;Lorena Dias de Araujo",$B:$B,"&lt;&gt;Lucas Luiz Romero")*(23/1083),IF(C2028="JR",SUMIFS($D:$D,$A:$A,$A2028,$B:$B,"&lt;&gt;Patrícia Karla de Sousa Araújo",$B:$B,"&lt;&gt;Lorena Dias de Araujo",$B:$B,"&lt;&gt;Lucas Luiz Romero")*(20/1083),IF(C2028="Estágio",SUMIFS($D:$D,$A:$A,$A2028,$B:$B,"&lt;&gt;Patrícia Karla de Sousa Araújo",$B:$B,"&lt;&gt;Lorena Dias de Araujo",$B:$B,"&lt;&gt;Lucas Luiz Romero")*(10/1083),0)))))),0)</f>
        <v/>
      </c>
      <c r="K2028" s="3">
        <f>I2028-J2028</f>
        <v/>
      </c>
      <c r="L2028" s="3">
        <f>IF(K2028&lt;-5,"CRÍTICO",IF(K2028&lt;0,"ATENÇÃO",IF(K2028&lt;=5,"BOM","EXCELENTE")))</f>
        <v/>
      </c>
      <c r="M2028" s="3" t="n">
        <v>4</v>
      </c>
      <c r="N2028" s="3" t="n">
        <v>95.15000000000001</v>
      </c>
      <c r="O2028" s="12" t="n">
        <v>34.13173652694611</v>
      </c>
    </row>
    <row r="2029">
      <c r="A2029" s="10" t="n">
        <v>46064</v>
      </c>
      <c r="B2029" t="inlineStr">
        <is>
          <t>Leandro de Souza Silva</t>
        </is>
      </c>
      <c r="C2029" s="1" t="inlineStr">
        <is>
          <t>JR</t>
        </is>
      </c>
      <c r="D2029" s="3" t="n">
        <v>0</v>
      </c>
      <c r="E2029" s="3" t="n">
        <v>0</v>
      </c>
      <c r="F2029" s="3" t="n">
        <v>0</v>
      </c>
      <c r="G2029" s="3" t="n">
        <v>0</v>
      </c>
      <c r="H2029" s="3" t="n">
        <v>0</v>
      </c>
      <c r="I2029" s="3" t="n">
        <v>0</v>
      </c>
      <c r="J2029" s="3" t="n">
        <v>0</v>
      </c>
      <c r="K2029" s="3" t="n">
        <v>0</v>
      </c>
      <c r="L2029" s="3">
        <f>IF(K2029&lt;-5,"CRÍTICO",IF(K2029&lt;0,"ATENÇÃO",IF(K2029&lt;=5,"BOM","EXCELENTE")))</f>
        <v/>
      </c>
      <c r="M2029" s="3" t="n">
        <v>0</v>
      </c>
      <c r="N2029" s="3" t="n">
        <v>0</v>
      </c>
      <c r="O2029" s="12" t="n">
        <v>0</v>
      </c>
    </row>
    <row r="2030">
      <c r="A2030" s="10" t="n">
        <v>46064</v>
      </c>
      <c r="B2030" t="inlineStr">
        <is>
          <t>Leandro Oliveira de Sousa</t>
        </is>
      </c>
      <c r="C2030" s="1" t="inlineStr">
        <is>
          <t>Técnico III</t>
        </is>
      </c>
      <c r="D2030" s="3" t="n">
        <v>27</v>
      </c>
      <c r="E2030" s="3" t="n">
        <v>26</v>
      </c>
      <c r="F2030" s="3" t="n">
        <v>26.56</v>
      </c>
      <c r="G2030" s="3" t="n">
        <v>0</v>
      </c>
      <c r="H2030" s="3" t="n">
        <v>0</v>
      </c>
      <c r="I2030" s="3">
        <f>E2030+G2030+H2030</f>
        <v/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/>
      </c>
      <c r="K2030" s="3">
        <f>I2030-J2030</f>
        <v/>
      </c>
      <c r="L2030" s="3">
        <f>IF(K2030&lt;-5,"CRÍTICO",IF(K2030&lt;0,"ATENÇÃO",IF(K2030&lt;=5,"BOM","EXCELENTE")))</f>
        <v/>
      </c>
      <c r="M2030" s="3" t="n">
        <v>28</v>
      </c>
      <c r="N2030" s="3" t="n">
        <v>99.26000000000001</v>
      </c>
      <c r="O2030" s="12" t="n">
        <v>30.84832904884319</v>
      </c>
    </row>
    <row r="2031">
      <c r="A2031" s="10" t="n">
        <v>46064</v>
      </c>
      <c r="B2031" t="inlineStr">
        <is>
          <t>Lizandra Gomes Duarte</t>
        </is>
      </c>
      <c r="C2031" s="1" t="inlineStr">
        <is>
          <t>Técnico II</t>
        </is>
      </c>
      <c r="D2031" s="3" t="n">
        <v>19</v>
      </c>
      <c r="E2031" s="3" t="n">
        <v>18</v>
      </c>
      <c r="F2031" s="3" t="n">
        <v>32.33</v>
      </c>
      <c r="G2031" s="3" t="n">
        <v>0</v>
      </c>
      <c r="H2031" s="3" t="n">
        <v>0</v>
      </c>
      <c r="I2031" s="3">
        <f>E2031+G2031+H2031</f>
        <v/>
      </c>
      <c r="J2031" s="3">
        <f>ROUND(MIN(IF(C2031="Técnico III",35,IF(C2031="Técnico II",28,IF(C2031="Técnico I",23,IF(C2031="JR",20,IF(C2031="Estágio",10,0))))),IF(C2031="Técnico III",SUMIFS($D:$D,$A:$A,$A2031,$B:$B,"&lt;&gt;Patrícia Karla de Sousa Araújo",$B:$B,"&lt;&gt;Lorena Dias de Araujo",$B:$B,"&lt;&gt;Lucas Luiz Romero")*(35/1083),IF(C2031="Técnico II",SUMIFS($D:$D,$A:$A,$A2031,$B:$B,"&lt;&gt;Patrícia Karla de Sousa Araújo",$B:$B,"&lt;&gt;Lorena Dias de Araujo",$B:$B,"&lt;&gt;Lucas Luiz Romero")*(28/1083),IF(C2031="Técnico I",SUMIFS($D:$D,$A:$A,$A2031,$B:$B,"&lt;&gt;Patrícia Karla de Sousa Araújo",$B:$B,"&lt;&gt;Lorena Dias de Araujo",$B:$B,"&lt;&gt;Lucas Luiz Romero")*(23/1083),IF(C2031="JR",SUMIFS($D:$D,$A:$A,$A2031,$B:$B,"&lt;&gt;Patrícia Karla de Sousa Araújo",$B:$B,"&lt;&gt;Lorena Dias de Araujo",$B:$B,"&lt;&gt;Lucas Luiz Romero")*(20/1083),IF(C2031="Estágio",SUMIFS($D:$D,$A:$A,$A2031,$B:$B,"&lt;&gt;Patrícia Karla de Sousa Araújo",$B:$B,"&lt;&gt;Lorena Dias de Araujo",$B:$B,"&lt;&gt;Lucas Luiz Romero")*(10/1083),0)))))),0)</f>
        <v/>
      </c>
      <c r="K2031" s="3">
        <f>I2031-J2031</f>
        <v/>
      </c>
      <c r="L2031" s="3">
        <f>IF(K2031&lt;-5,"CRÍTICO",IF(K2031&lt;0,"ATENÇÃO",IF(K2031&lt;=5,"BOM","EXCELENTE")))</f>
        <v/>
      </c>
      <c r="M2031" s="3" t="n">
        <v>18</v>
      </c>
      <c r="N2031" s="3" t="n">
        <v>97.48</v>
      </c>
      <c r="O2031" s="12" t="n">
        <v>27.76470588235294</v>
      </c>
    </row>
    <row r="2032">
      <c r="A2032" s="10" t="n">
        <v>46064</v>
      </c>
      <c r="B2032" t="inlineStr">
        <is>
          <t>Lorena Dias de Araujo</t>
        </is>
      </c>
      <c r="C2032" s="1" t="inlineStr">
        <is>
          <t>Técnico II</t>
        </is>
      </c>
      <c r="D2032" s="3" t="n">
        <v>33</v>
      </c>
      <c r="E2032" s="3" t="n">
        <v>30</v>
      </c>
      <c r="F2032" s="3" t="n">
        <v>19.01</v>
      </c>
      <c r="G2032" s="3" t="n">
        <v>0</v>
      </c>
      <c r="H2032" s="3" t="n">
        <v>0</v>
      </c>
      <c r="I2032" s="3" t="n">
        <v>0</v>
      </c>
      <c r="J2032" s="3" t="n">
        <v>0</v>
      </c>
      <c r="K2032" s="3" t="n">
        <v>0</v>
      </c>
      <c r="L2032" s="3">
        <f>IF(K2032&lt;-5,"CRÍTICO",IF(K2032&lt;0,"ATENÇÃO",IF(K2032&lt;=5,"BOM","EXCELENTE")))</f>
        <v/>
      </c>
      <c r="M2032" s="3" t="n">
        <v>23</v>
      </c>
      <c r="N2032" s="3" t="n">
        <v>99.34</v>
      </c>
      <c r="O2032" s="12" t="n">
        <v>30.04291845493562</v>
      </c>
    </row>
    <row r="2033">
      <c r="A2033" s="10" t="n">
        <v>46064</v>
      </c>
      <c r="B2033" t="inlineStr">
        <is>
          <t>Lucas Luiz Romero</t>
        </is>
      </c>
      <c r="C2033" s="1" t="inlineStr">
        <is>
          <t>Técnico III</t>
        </is>
      </c>
      <c r="D2033" s="3" t="n">
        <v>0</v>
      </c>
      <c r="E2033" s="3" t="n">
        <v>0</v>
      </c>
      <c r="F2033" s="3" t="n">
        <v>0</v>
      </c>
      <c r="G2033" s="3" t="n">
        <v>0</v>
      </c>
      <c r="H2033" s="3" t="n">
        <v>0</v>
      </c>
      <c r="I2033" s="3" t="n">
        <v>0</v>
      </c>
      <c r="J2033" s="3" t="n">
        <v>0</v>
      </c>
      <c r="K2033" s="3" t="n">
        <v>0</v>
      </c>
      <c r="L2033" s="3">
        <f>IF(K2033&lt;-5,"CRÍTICO",IF(K2033&lt;0,"ATENÇÃO",IF(K2033&lt;=5,"BOM","EXCELENTE")))</f>
        <v/>
      </c>
      <c r="M2033" s="3" t="n">
        <v>0</v>
      </c>
      <c r="N2033" s="3" t="n">
        <v>96.3</v>
      </c>
      <c r="O2033" s="12" t="n">
        <v>24.29378531073446</v>
      </c>
    </row>
    <row r="2034">
      <c r="A2034" s="10" t="n">
        <v>46064</v>
      </c>
      <c r="B2034" t="inlineStr">
        <is>
          <t>Luiz Fernando de Carvalho Junior</t>
        </is>
      </c>
      <c r="C2034" s="1" t="inlineStr">
        <is>
          <t>Técnico I</t>
        </is>
      </c>
      <c r="D2034" s="3" t="n">
        <v>19</v>
      </c>
      <c r="E2034" s="3" t="n">
        <v>19</v>
      </c>
      <c r="F2034" s="3" t="n">
        <v>29.07</v>
      </c>
      <c r="G2034" s="3" t="n">
        <v>0</v>
      </c>
      <c r="H2034" s="3" t="n">
        <v>0</v>
      </c>
      <c r="I2034" s="3">
        <f>E2034+G2034+H2034</f>
        <v/>
      </c>
      <c r="J2034" s="3">
        <f>ROUND(MIN(IF(C2034="Técnico III",35,IF(C2034="Técnico II",28,IF(C2034="Técnico I",23,IF(C2034="JR",20,IF(C2034="Estágio",10,0))))),IF(C2034="Técnico III",SUMIFS($D:$D,$A:$A,$A2034,$B:$B,"&lt;&gt;Patrícia Karla de Sousa Araújo",$B:$B,"&lt;&gt;Lorena Dias de Araujo",$B:$B,"&lt;&gt;Lucas Luiz Romero")*(35/1083),IF(C2034="Técnico II",SUMIFS($D:$D,$A:$A,$A2034,$B:$B,"&lt;&gt;Patrícia Karla de Sousa Araújo",$B:$B,"&lt;&gt;Lorena Dias de Araujo",$B:$B,"&lt;&gt;Lucas Luiz Romero")*(28/1083),IF(C2034="Técnico I",SUMIFS($D:$D,$A:$A,$A2034,$B:$B,"&lt;&gt;Patrícia Karla de Sousa Araújo",$B:$B,"&lt;&gt;Lorena Dias de Araujo",$B:$B,"&lt;&gt;Lucas Luiz Romero")*(23/1083),IF(C2034="JR",SUMIFS($D:$D,$A:$A,$A2034,$B:$B,"&lt;&gt;Patrícia Karla de Sousa Araújo",$B:$B,"&lt;&gt;Lorena Dias de Araujo",$B:$B,"&lt;&gt;Lucas Luiz Romero")*(20/1083),IF(C2034="Estágio",SUMIFS($D:$D,$A:$A,$A2034,$B:$B,"&lt;&gt;Patrícia Karla de Sousa Araújo",$B:$B,"&lt;&gt;Lorena Dias de Araujo",$B:$B,"&lt;&gt;Lucas Luiz Romero")*(10/1083),0)))))),0)</f>
        <v/>
      </c>
      <c r="K2034" s="3">
        <f>I2034-J2034</f>
        <v/>
      </c>
      <c r="L2034" s="3">
        <f>IF(K2034&lt;-5,"CRÍTICO",IF(K2034&lt;0,"ATENÇÃO",IF(K2034&lt;=5,"BOM","EXCELENTE")))</f>
        <v/>
      </c>
      <c r="M2034" s="3" t="n">
        <v>18</v>
      </c>
      <c r="N2034" s="3" t="n">
        <v>100</v>
      </c>
      <c r="O2034" s="12" t="n">
        <v>26.54320987654321</v>
      </c>
    </row>
    <row r="2035">
      <c r="A2035" s="10" t="n">
        <v>46064</v>
      </c>
      <c r="B2035" t="inlineStr">
        <is>
          <t>Maria Eduarda Sousa Costa</t>
        </is>
      </c>
      <c r="C2035" s="1" t="inlineStr">
        <is>
          <t>Estágio</t>
        </is>
      </c>
      <c r="D2035" s="3" t="n">
        <v>74</v>
      </c>
      <c r="E2035" s="3" t="n">
        <v>26</v>
      </c>
      <c r="F2035" s="3" t="n">
        <v>5.27</v>
      </c>
      <c r="G2035" s="3" t="n">
        <v>0</v>
      </c>
      <c r="H2035" s="3" t="n">
        <v>0</v>
      </c>
      <c r="I2035" s="3">
        <f>E2035+G2035+H2035</f>
        <v/>
      </c>
      <c r="J2035" s="3">
        <f>ROUND(MIN(IF(C2035="Técnico III",35,IF(C2035="Técnico II",28,IF(C2035="Técnico I",23,IF(C2035="JR",20,IF(C2035="Estágio",10,0))))),IF(C2035="Técnico III",SUMIFS($D:$D,$A:$A,$A2035,$B:$B,"&lt;&gt;Patrícia Karla de Sousa Araújo",$B:$B,"&lt;&gt;Lorena Dias de Araujo",$B:$B,"&lt;&gt;Lucas Luiz Romero")*(35/1083),IF(C2035="Técnico II",SUMIFS($D:$D,$A:$A,$A2035,$B:$B,"&lt;&gt;Patrícia Karla de Sousa Araújo",$B:$B,"&lt;&gt;Lorena Dias de Araujo",$B:$B,"&lt;&gt;Lucas Luiz Romero")*(28/1083),IF(C2035="Técnico I",SUMIFS($D:$D,$A:$A,$A2035,$B:$B,"&lt;&gt;Patrícia Karla de Sousa Araújo",$B:$B,"&lt;&gt;Lorena Dias de Araujo",$B:$B,"&lt;&gt;Lucas Luiz Romero")*(23/1083),IF(C2035="JR",SUMIFS($D:$D,$A:$A,$A2035,$B:$B,"&lt;&gt;Patrícia Karla de Sousa Araújo",$B:$B,"&lt;&gt;Lorena Dias de Araujo",$B:$B,"&lt;&gt;Lucas Luiz Romero")*(20/1083),IF(C2035="Estágio",SUMIFS($D:$D,$A:$A,$A2035,$B:$B,"&lt;&gt;Patrícia Karla de Sousa Araújo",$B:$B,"&lt;&gt;Lorena Dias de Araujo",$B:$B,"&lt;&gt;Lucas Luiz Romero")*(10/1083),0)))))),0)</f>
        <v/>
      </c>
      <c r="K2035" s="3">
        <f>I2035-J2035</f>
        <v/>
      </c>
      <c r="L2035" s="3">
        <f>IF(K2035&lt;-5,"CRÍTICO",IF(K2035&lt;0,"ATENÇÃO",IF(K2035&lt;=5,"BOM","EXCELENTE")))</f>
        <v/>
      </c>
      <c r="M2035" s="3" t="n">
        <v>0</v>
      </c>
      <c r="N2035" s="3" t="n">
        <v>100</v>
      </c>
      <c r="O2035" s="12" t="n">
        <v>35.48387096774194</v>
      </c>
    </row>
    <row r="2036">
      <c r="A2036" s="10" t="n">
        <v>46064</v>
      </c>
      <c r="B2036" t="inlineStr">
        <is>
          <t>Matheus Farias De Souza</t>
        </is>
      </c>
      <c r="C2036" s="1" t="inlineStr">
        <is>
          <t>Técnico III</t>
        </is>
      </c>
      <c r="D2036" s="3" t="n">
        <v>16</v>
      </c>
      <c r="E2036" s="3" t="n">
        <v>15</v>
      </c>
      <c r="F2036" s="3" t="n">
        <v>31.4</v>
      </c>
      <c r="G2036" s="3" t="n">
        <v>0</v>
      </c>
      <c r="H2036" s="3" t="n">
        <v>0</v>
      </c>
      <c r="I2036" s="3">
        <f>E2036+G2036+H2036</f>
        <v/>
      </c>
      <c r="J2036" s="3">
        <f>ROUND(MIN(IF(C2036="Técnico III",35,IF(C2036="Técnico II",28,IF(C2036="Técnico I",23,IF(C2036="JR",20,IF(C2036="Estágio",10,0))))),IF(C2036="Técnico III",SUMIFS($D:$D,$A:$A,$A2036,$B:$B,"&lt;&gt;Patrícia Karla de Sousa Araújo",$B:$B,"&lt;&gt;Lorena Dias de Araujo",$B:$B,"&lt;&gt;Lucas Luiz Romero")*(35/1083),IF(C2036="Técnico II",SUMIFS($D:$D,$A:$A,$A2036,$B:$B,"&lt;&gt;Patrícia Karla de Sousa Araújo",$B:$B,"&lt;&gt;Lorena Dias de Araujo",$B:$B,"&lt;&gt;Lucas Luiz Romero")*(28/1083),IF(C2036="Técnico I",SUMIFS($D:$D,$A:$A,$A2036,$B:$B,"&lt;&gt;Patrícia Karla de Sousa Araújo",$B:$B,"&lt;&gt;Lorena Dias de Araujo",$B:$B,"&lt;&gt;Lucas Luiz Romero")*(23/1083),IF(C2036="JR",SUMIFS($D:$D,$A:$A,$A2036,$B:$B,"&lt;&gt;Patrícia Karla de Sousa Araújo",$B:$B,"&lt;&gt;Lorena Dias de Araujo",$B:$B,"&lt;&gt;Lucas Luiz Romero")*(20/1083),IF(C2036="Estágio",SUMIFS($D:$D,$A:$A,$A2036,$B:$B,"&lt;&gt;Patrícia Karla de Sousa Araújo",$B:$B,"&lt;&gt;Lorena Dias de Araujo",$B:$B,"&lt;&gt;Lucas Luiz Romero")*(10/1083),0)))))),0)</f>
        <v/>
      </c>
      <c r="K2036" s="3">
        <f>I2036-J2036</f>
        <v/>
      </c>
      <c r="L2036" s="3">
        <f>IF(K2036&lt;-5,"CRÍTICO",IF(K2036&lt;0,"ATENÇÃO",IF(K2036&lt;=5,"BOM","EXCELENTE")))</f>
        <v/>
      </c>
      <c r="M2036" s="3" t="n">
        <v>33</v>
      </c>
      <c r="N2036" s="3" t="n">
        <v>99.27</v>
      </c>
      <c r="O2036" s="12" t="n">
        <v>31.16370808678501</v>
      </c>
    </row>
    <row r="2037">
      <c r="A2037" s="10" t="n">
        <v>46064</v>
      </c>
      <c r="B2037" t="inlineStr">
        <is>
          <t>Maysa Victoria Dias Moura</t>
        </is>
      </c>
      <c r="C2037" s="1" t="inlineStr">
        <is>
          <t>Técnico III</t>
        </is>
      </c>
      <c r="D2037" s="3" t="n">
        <v>17</v>
      </c>
      <c r="E2037" s="3" t="n">
        <v>17</v>
      </c>
      <c r="F2037" s="3" t="n">
        <v>30.2</v>
      </c>
      <c r="G2037" s="3" t="n">
        <v>0</v>
      </c>
      <c r="H2037" s="3" t="n">
        <v>0</v>
      </c>
      <c r="I2037" s="3">
        <f>E2037+G2037+H2037</f>
        <v/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/>
      </c>
      <c r="K2037" s="3">
        <f>I2037-J2037</f>
        <v/>
      </c>
      <c r="L2037" s="3">
        <f>IF(K2037&lt;-5,"CRÍTICO",IF(K2037&lt;0,"ATENÇÃO",IF(K2037&lt;=5,"BOM","EXCELENTE")))</f>
        <v/>
      </c>
      <c r="M2037" s="3" t="n">
        <v>15</v>
      </c>
      <c r="N2037" s="3" t="n">
        <v>94.16</v>
      </c>
      <c r="O2037" s="12" t="n">
        <v>27.03862660944206</v>
      </c>
    </row>
    <row r="2038">
      <c r="A2038" s="10" t="n">
        <v>46064</v>
      </c>
      <c r="B2038" t="inlineStr">
        <is>
          <t>Michelle G Santos</t>
        </is>
      </c>
      <c r="C2038" s="1" t="inlineStr">
        <is>
          <t>Estágio</t>
        </is>
      </c>
      <c r="D2038" s="3" t="n">
        <v>10</v>
      </c>
      <c r="E2038" s="3" t="n">
        <v>10</v>
      </c>
      <c r="F2038" s="3" t="n">
        <v>67.16</v>
      </c>
      <c r="G2038" s="3" t="n">
        <v>0</v>
      </c>
      <c r="H2038" s="3" t="n">
        <v>0</v>
      </c>
      <c r="I2038" s="3">
        <f>E2038+G2038+H2038</f>
        <v/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/>
      </c>
      <c r="K2038" s="3">
        <f>I2038-J2038</f>
        <v/>
      </c>
      <c r="L2038" s="3">
        <f>IF(K2038&lt;-5,"CRÍTICO",IF(K2038&lt;0,"ATENÇÃO",IF(K2038&lt;=5,"BOM","EXCELENTE")))</f>
        <v/>
      </c>
      <c r="M2038" s="3" t="n">
        <v>4</v>
      </c>
      <c r="N2038" s="3" t="n">
        <v>93.75</v>
      </c>
      <c r="O2038" s="12" t="n">
        <v>19.31818181818182</v>
      </c>
    </row>
    <row r="2039">
      <c r="A2039" s="10" t="n">
        <v>46064</v>
      </c>
      <c r="B2039" t="inlineStr">
        <is>
          <t>Milena Sales</t>
        </is>
      </c>
      <c r="C2039" s="1" t="inlineStr">
        <is>
          <t>JR</t>
        </is>
      </c>
      <c r="D2039" s="3" t="n">
        <v>0</v>
      </c>
      <c r="E2039" s="3" t="n">
        <v>0</v>
      </c>
      <c r="F2039" s="3" t="n">
        <v>0</v>
      </c>
      <c r="G2039" s="3" t="n">
        <v>0</v>
      </c>
      <c r="H2039" s="3" t="n">
        <v>0</v>
      </c>
      <c r="I2039" s="3" t="n">
        <v>0</v>
      </c>
      <c r="J2039" s="3" t="n">
        <v>0</v>
      </c>
      <c r="K2039" s="3" t="n">
        <v>0</v>
      </c>
      <c r="L2039" s="3">
        <f>IF(K2039&lt;-5,"CRÍTICO",IF(K2039&lt;0,"ATENÇÃO",IF(K2039&lt;=5,"BOM","EXCELENTE")))</f>
        <v/>
      </c>
      <c r="M2039" s="3" t="n">
        <v>0</v>
      </c>
      <c r="N2039" s="3" t="n">
        <v>0</v>
      </c>
      <c r="O2039" s="12" t="n">
        <v>0</v>
      </c>
    </row>
    <row r="2040">
      <c r="A2040" s="10" t="n">
        <v>46064</v>
      </c>
      <c r="B2040" t="inlineStr">
        <is>
          <t>Patrícia Karla de Sousa Araújo</t>
        </is>
      </c>
      <c r="C2040" s="1" t="inlineStr">
        <is>
          <t>Técnico II</t>
        </is>
      </c>
      <c r="D2040" s="3" t="n">
        <v>0</v>
      </c>
      <c r="E2040" s="3" t="n">
        <v>0</v>
      </c>
      <c r="F2040" s="3" t="n">
        <v>0</v>
      </c>
      <c r="G2040" s="3" t="n">
        <v>0</v>
      </c>
      <c r="H2040" s="3" t="n">
        <v>0</v>
      </c>
      <c r="I2040" s="3" t="n">
        <v>0</v>
      </c>
      <c r="J2040" s="3" t="n">
        <v>0</v>
      </c>
      <c r="K2040" s="3" t="n">
        <v>0</v>
      </c>
      <c r="L2040" s="3">
        <f>IF(K2040&lt;-5,"CRÍTICO",IF(K2040&lt;0,"ATENÇÃO",IF(K2040&lt;=5,"BOM","EXCELENTE")))</f>
        <v/>
      </c>
      <c r="M2040" s="3" t="n">
        <v>0</v>
      </c>
      <c r="N2040" s="3" t="n">
        <v>97.92</v>
      </c>
      <c r="O2040" s="12" t="n">
        <v>32.87671232876712</v>
      </c>
    </row>
    <row r="2041">
      <c r="A2041" s="10" t="n">
        <v>46064</v>
      </c>
      <c r="B2041" t="inlineStr">
        <is>
          <t>Paulo Ricardo Santos</t>
        </is>
      </c>
      <c r="C2041" s="1" t="inlineStr">
        <is>
          <t>JR</t>
        </is>
      </c>
      <c r="D2041" s="3" t="n">
        <v>0</v>
      </c>
      <c r="E2041" s="3" t="n">
        <v>0</v>
      </c>
      <c r="F2041" s="3" t="n">
        <v>0</v>
      </c>
      <c r="G2041" s="3" t="n">
        <v>0</v>
      </c>
      <c r="H2041" s="3" t="n">
        <v>0</v>
      </c>
      <c r="I2041" s="3" t="n">
        <v>0</v>
      </c>
      <c r="J2041" s="3" t="n">
        <v>0</v>
      </c>
      <c r="K2041" s="3" t="n">
        <v>0</v>
      </c>
      <c r="L2041" s="3">
        <f>IF(K2041&lt;-5,"CRÍTICO",IF(K2041&lt;0,"ATENÇÃO",IF(K2041&lt;=5,"BOM","EXCELENTE")))</f>
        <v/>
      </c>
      <c r="M2041" s="3" t="n">
        <v>0</v>
      </c>
      <c r="N2041" s="3" t="n">
        <v>0</v>
      </c>
      <c r="O2041" s="12" t="n">
        <v>0</v>
      </c>
    </row>
    <row r="2042">
      <c r="A2042" s="10" t="n">
        <v>46064</v>
      </c>
      <c r="B2042" t="inlineStr">
        <is>
          <t>Pedro Luiz Mota Sousa</t>
        </is>
      </c>
      <c r="C2042" s="1" t="inlineStr">
        <is>
          <t>JR</t>
        </is>
      </c>
      <c r="D2042" s="3" t="n">
        <v>0</v>
      </c>
      <c r="E2042" s="3" t="n">
        <v>0</v>
      </c>
      <c r="F2042" s="3" t="n">
        <v>0</v>
      </c>
      <c r="G2042" s="3" t="n">
        <v>0</v>
      </c>
      <c r="H2042" s="3" t="n">
        <v>0</v>
      </c>
      <c r="I2042" s="3" t="n">
        <v>0</v>
      </c>
      <c r="J2042" s="3" t="n">
        <v>0</v>
      </c>
      <c r="K2042" s="3" t="n">
        <v>0</v>
      </c>
      <c r="L2042" s="3">
        <f>IF(K2042&lt;-5,"CRÍTICO",IF(K2042&lt;0,"ATENÇÃO",IF(K2042&lt;=5,"BOM","EXCELENTE")))</f>
        <v/>
      </c>
      <c r="M2042" s="3" t="n">
        <v>0</v>
      </c>
      <c r="N2042" s="3" t="n">
        <v>0</v>
      </c>
      <c r="O2042" s="12" t="n">
        <v>0</v>
      </c>
    </row>
    <row r="2043">
      <c r="A2043" s="10" t="n">
        <v>46064</v>
      </c>
      <c r="B2043" t="inlineStr">
        <is>
          <t>Quirino Diogo Leite Torres</t>
        </is>
      </c>
      <c r="C2043" s="1" t="inlineStr">
        <is>
          <t>Estágio</t>
        </is>
      </c>
      <c r="D2043" s="3" t="n">
        <v>0</v>
      </c>
      <c r="E2043" s="3" t="n">
        <v>0</v>
      </c>
      <c r="F2043" s="3" t="n">
        <v>0</v>
      </c>
      <c r="G2043" s="3" t="n">
        <v>0</v>
      </c>
      <c r="H2043" s="3" t="n">
        <v>0</v>
      </c>
      <c r="I2043" s="3" t="n">
        <v>0</v>
      </c>
      <c r="J2043" s="3" t="n">
        <v>0</v>
      </c>
      <c r="K2043" s="3" t="n">
        <v>0</v>
      </c>
      <c r="L2043" s="3">
        <f>IF(K2043&lt;-5,"CRÍTICO",IF(K2043&lt;0,"ATENÇÃO",IF(K2043&lt;=5,"BOM","EXCELENTE")))</f>
        <v/>
      </c>
      <c r="M2043" s="3" t="n">
        <v>0</v>
      </c>
      <c r="N2043" s="3" t="n">
        <v>0</v>
      </c>
      <c r="O2043" s="12" t="n">
        <v>0</v>
      </c>
    </row>
    <row r="2044">
      <c r="A2044" s="10" t="n">
        <v>46064</v>
      </c>
      <c r="B2044" t="inlineStr">
        <is>
          <t>Raane Batista Matos</t>
        </is>
      </c>
      <c r="C2044" s="1" t="inlineStr">
        <is>
          <t>Técnico I</t>
        </is>
      </c>
      <c r="D2044" s="3" t="n">
        <v>25</v>
      </c>
      <c r="E2044" s="3" t="n">
        <v>24</v>
      </c>
      <c r="F2044" s="3" t="n">
        <v>23.53</v>
      </c>
      <c r="G2044" s="3" t="n">
        <v>0</v>
      </c>
      <c r="H2044" s="3" t="n">
        <v>0</v>
      </c>
      <c r="I2044" s="3">
        <f>E2044+G2044+H2044</f>
        <v/>
      </c>
      <c r="J2044" s="3">
        <f>ROUND(MIN(IF(C2044="Técnico III",35,IF(C2044="Técnico II",28,IF(C2044="Técnico I",23,IF(C2044="JR",20,IF(C2044="Estágio",10,0))))),IF(C2044="Técnico III",SUMIFS($D:$D,$A:$A,$A2044,$B:$B,"&lt;&gt;Patrícia Karla de Sousa Araújo",$B:$B,"&lt;&gt;Lorena Dias de Araujo",$B:$B,"&lt;&gt;Lucas Luiz Romero")*(35/1083),IF(C2044="Técnico II",SUMIFS($D:$D,$A:$A,$A2044,$B:$B,"&lt;&gt;Patrícia Karla de Sousa Araújo",$B:$B,"&lt;&gt;Lorena Dias de Araujo",$B:$B,"&lt;&gt;Lucas Luiz Romero")*(28/1083),IF(C2044="Técnico I",SUMIFS($D:$D,$A:$A,$A2044,$B:$B,"&lt;&gt;Patrícia Karla de Sousa Araújo",$B:$B,"&lt;&gt;Lorena Dias de Araujo",$B:$B,"&lt;&gt;Lucas Luiz Romero")*(23/1083),IF(C2044="JR",SUMIFS($D:$D,$A:$A,$A2044,$B:$B,"&lt;&gt;Patrícia Karla de Sousa Araújo",$B:$B,"&lt;&gt;Lorena Dias de Araujo",$B:$B,"&lt;&gt;Lucas Luiz Romero")*(20/1083),IF(C2044="Estágio",SUMIFS($D:$D,$A:$A,$A2044,$B:$B,"&lt;&gt;Patrícia Karla de Sousa Araújo",$B:$B,"&lt;&gt;Lorena Dias de Araujo",$B:$B,"&lt;&gt;Lucas Luiz Romero")*(10/1083),0)))))),0)</f>
        <v/>
      </c>
      <c r="K2044" s="3">
        <f>I2044-J2044</f>
        <v/>
      </c>
      <c r="L2044" s="3">
        <f>IF(K2044&lt;-5,"CRÍTICO",IF(K2044&lt;0,"ATENÇÃO",IF(K2044&lt;=5,"BOM","EXCELENTE")))</f>
        <v/>
      </c>
      <c r="M2044" s="3" t="n">
        <v>17</v>
      </c>
      <c r="N2044" s="3" t="n">
        <v>98.51000000000001</v>
      </c>
      <c r="O2044" s="12" t="n">
        <v>29.71014492753623</v>
      </c>
    </row>
    <row r="2045">
      <c r="A2045" s="10" t="n">
        <v>46064</v>
      </c>
      <c r="B2045" t="inlineStr">
        <is>
          <t>Rafael Gomes de Morais</t>
        </is>
      </c>
      <c r="C2045" s="1" t="inlineStr">
        <is>
          <t>Técnico III</t>
        </is>
      </c>
      <c r="D2045" s="3" t="n">
        <v>38</v>
      </c>
      <c r="E2045" s="3" t="n">
        <v>35</v>
      </c>
      <c r="F2045" s="3" t="n">
        <v>15.06</v>
      </c>
      <c r="G2045" s="3" t="n">
        <v>0</v>
      </c>
      <c r="H2045" s="3" t="n">
        <v>0</v>
      </c>
      <c r="I2045" s="3">
        <f>E2045+G2045+H2045</f>
        <v/>
      </c>
      <c r="J2045" s="3">
        <f>ROUND(MIN(IF(C2045="Técnico III",35,IF(C2045="Técnico II",28,IF(C2045="Técnico I",23,IF(C2045="JR",20,IF(C2045="Estágio",10,0))))),IF(C2045="Técnico III",SUMIFS($D:$D,$A:$A,$A2045,$B:$B,"&lt;&gt;Patrícia Karla de Sousa Araújo",$B:$B,"&lt;&gt;Lorena Dias de Araujo",$B:$B,"&lt;&gt;Lucas Luiz Romero")*(35/1083),IF(C2045="Técnico II",SUMIFS($D:$D,$A:$A,$A2045,$B:$B,"&lt;&gt;Patrícia Karla de Sousa Araújo",$B:$B,"&lt;&gt;Lorena Dias de Araujo",$B:$B,"&lt;&gt;Lucas Luiz Romero")*(28/1083),IF(C2045="Técnico I",SUMIFS($D:$D,$A:$A,$A2045,$B:$B,"&lt;&gt;Patrícia Karla de Sousa Araújo",$B:$B,"&lt;&gt;Lorena Dias de Araujo",$B:$B,"&lt;&gt;Lucas Luiz Romero")*(23/1083),IF(C2045="JR",SUMIFS($D:$D,$A:$A,$A2045,$B:$B,"&lt;&gt;Patrícia Karla de Sousa Araújo",$B:$B,"&lt;&gt;Lorena Dias de Araujo",$B:$B,"&lt;&gt;Lucas Luiz Romero")*(20/1083),IF(C2045="Estágio",SUMIFS($D:$D,$A:$A,$A2045,$B:$B,"&lt;&gt;Patrícia Karla de Sousa Araújo",$B:$B,"&lt;&gt;Lorena Dias de Araujo",$B:$B,"&lt;&gt;Lucas Luiz Romero")*(10/1083),0)))))),0)</f>
        <v/>
      </c>
      <c r="K2045" s="3">
        <f>I2045-J2045</f>
        <v/>
      </c>
      <c r="L2045" s="3">
        <f>IF(K2045&lt;-5,"CRÍTICO",IF(K2045&lt;0,"ATENÇÃO",IF(K2045&lt;=5,"BOM","EXCELENTE")))</f>
        <v/>
      </c>
      <c r="M2045" s="3" t="n">
        <v>38</v>
      </c>
      <c r="N2045" s="3" t="n">
        <v>98.81</v>
      </c>
      <c r="O2045" s="12" t="n">
        <v>30.71297989031079</v>
      </c>
    </row>
    <row r="2046">
      <c r="A2046" s="10" t="n">
        <v>46064</v>
      </c>
      <c r="B2046" t="inlineStr">
        <is>
          <t>Sara Maria Monteiro Lopes</t>
        </is>
      </c>
      <c r="C2046" s="1" t="inlineStr">
        <is>
          <t>Técnico I</t>
        </is>
      </c>
      <c r="D2046" s="3" t="n">
        <v>12</v>
      </c>
      <c r="E2046" s="3" t="n">
        <v>11</v>
      </c>
      <c r="F2046" s="3" t="n">
        <v>37.18</v>
      </c>
      <c r="G2046" s="3" t="n">
        <v>0</v>
      </c>
      <c r="H2046" s="3" t="n">
        <v>0</v>
      </c>
      <c r="I2046" s="3">
        <f>E2046+G2046+H2046</f>
        <v/>
      </c>
      <c r="J2046" s="3">
        <f>ROUND(MIN(IF(C2046="Técnico III",35,IF(C2046="Técnico II",28,IF(C2046="Técnico I",23,IF(C2046="JR",20,IF(C2046="Estágio",10,0))))),IF(C2046="Técnico III",SUMIFS($D:$D,$A:$A,$A2046,$B:$B,"&lt;&gt;Patrícia Karla de Sousa Araújo",$B:$B,"&lt;&gt;Lorena Dias de Araujo",$B:$B,"&lt;&gt;Lucas Luiz Romero")*(35/1083),IF(C2046="Técnico II",SUMIFS($D:$D,$A:$A,$A2046,$B:$B,"&lt;&gt;Patrícia Karla de Sousa Araújo",$B:$B,"&lt;&gt;Lorena Dias de Araujo",$B:$B,"&lt;&gt;Lucas Luiz Romero")*(28/1083),IF(C2046="Técnico I",SUMIFS($D:$D,$A:$A,$A2046,$B:$B,"&lt;&gt;Patrícia Karla de Sousa Araújo",$B:$B,"&lt;&gt;Lorena Dias de Araujo",$B:$B,"&lt;&gt;Lucas Luiz Romero")*(23/1083),IF(C2046="JR",SUMIFS($D:$D,$A:$A,$A2046,$B:$B,"&lt;&gt;Patrícia Karla de Sousa Araújo",$B:$B,"&lt;&gt;Lorena Dias de Araujo",$B:$B,"&lt;&gt;Lucas Luiz Romero")*(20/1083),IF(C2046="Estágio",SUMIFS($D:$D,$A:$A,$A2046,$B:$B,"&lt;&gt;Patrícia Karla de Sousa Araújo",$B:$B,"&lt;&gt;Lorena Dias de Araujo",$B:$B,"&lt;&gt;Lucas Luiz Romero")*(10/1083),0)))))),0)</f>
        <v/>
      </c>
      <c r="K2046" s="3">
        <f>I2046-J2046</f>
        <v/>
      </c>
      <c r="L2046" s="3">
        <f>IF(K2046&lt;-5,"CRÍTICO",IF(K2046&lt;0,"ATENÇÃO",IF(K2046&lt;=5,"BOM","EXCELENTE")))</f>
        <v/>
      </c>
      <c r="M2046" s="3" t="n">
        <v>12</v>
      </c>
      <c r="N2046" s="3" t="n">
        <v>98.48</v>
      </c>
      <c r="O2046" s="12" t="n">
        <v>29.35323383084577</v>
      </c>
    </row>
    <row r="2047">
      <c r="A2047" s="10" t="n">
        <v>46064</v>
      </c>
      <c r="B2047" t="inlineStr">
        <is>
          <t>Sarah Steffanie de Lima Borges</t>
        </is>
      </c>
      <c r="C2047" s="1" t="inlineStr">
        <is>
          <t>Técnico III</t>
        </is>
      </c>
      <c r="D2047" s="3" t="n">
        <v>35</v>
      </c>
      <c r="E2047" s="3" t="n">
        <v>32</v>
      </c>
      <c r="F2047" s="3" t="n">
        <v>18.27</v>
      </c>
      <c r="G2047" s="3" t="n">
        <v>0</v>
      </c>
      <c r="H2047" s="3" t="n">
        <v>0</v>
      </c>
      <c r="I2047" s="3">
        <f>E2047+G2047+H2047</f>
        <v/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/>
      </c>
      <c r="K2047" s="3">
        <f>I2047-J2047</f>
        <v/>
      </c>
      <c r="L2047" s="3">
        <f>IF(K2047&lt;-5,"CRÍTICO",IF(K2047&lt;0,"ATENÇÃO",IF(K2047&lt;=5,"BOM","EXCELENTE")))</f>
        <v/>
      </c>
      <c r="M2047" s="3" t="n">
        <v>27</v>
      </c>
      <c r="N2047" s="3" t="n">
        <v>98.56</v>
      </c>
      <c r="O2047" s="12" t="n">
        <v>29.37365010799136</v>
      </c>
    </row>
    <row r="2048">
      <c r="A2048" s="10" t="n">
        <v>46065</v>
      </c>
      <c r="B2048" t="inlineStr">
        <is>
          <t>Alisson de Freitas Silva</t>
        </is>
      </c>
      <c r="C2048" s="1" t="inlineStr">
        <is>
          <t>Técnico II</t>
        </is>
      </c>
      <c r="D2048" s="3" t="n">
        <v>1</v>
      </c>
      <c r="E2048" s="3" t="n">
        <v>0</v>
      </c>
      <c r="F2048" s="3" t="n">
        <v>2.07</v>
      </c>
      <c r="G2048" s="3" t="n">
        <v>0</v>
      </c>
      <c r="H2048" s="3" t="n">
        <v>0</v>
      </c>
      <c r="I2048" s="3">
        <f>E2048+G2048+H2048</f>
        <v/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/>
      </c>
      <c r="K2048" s="3">
        <f>I2048-J2048</f>
        <v/>
      </c>
      <c r="L2048" s="3">
        <f>IF(K2048&lt;-5,"CRÍTICO",IF(K2048&lt;0,"ATENÇÃO",IF(K2048&lt;=5,"BOM","EXCELENTE")))</f>
        <v/>
      </c>
      <c r="M2048" s="3" t="n">
        <v>0</v>
      </c>
      <c r="N2048" s="3" t="n">
        <v>98.31999999999999</v>
      </c>
      <c r="O2048" s="12" t="n">
        <v>30.3030303030303</v>
      </c>
    </row>
    <row r="2049">
      <c r="A2049" s="10" t="n">
        <v>46065</v>
      </c>
      <c r="B2049" t="inlineStr">
        <is>
          <t>Amanda Moura Ferreira</t>
        </is>
      </c>
      <c r="C2049" s="1" t="inlineStr">
        <is>
          <t>Técnico III</t>
        </is>
      </c>
      <c r="D2049" s="3" t="n">
        <v>0</v>
      </c>
      <c r="E2049" s="3" t="n">
        <v>0</v>
      </c>
      <c r="F2049" s="3" t="n">
        <v>0</v>
      </c>
      <c r="G2049" s="3" t="n">
        <v>0</v>
      </c>
      <c r="H2049" s="3" t="n">
        <v>0</v>
      </c>
      <c r="I2049" s="3" t="n">
        <v>0</v>
      </c>
      <c r="J2049" s="3" t="n">
        <v>0</v>
      </c>
      <c r="K2049" s="3" t="n">
        <v>0</v>
      </c>
      <c r="L2049" s="3">
        <f>IF(K2049&lt;-5,"CRÍTICO",IF(K2049&lt;0,"ATENÇÃO",IF(K2049&lt;=5,"BOM","EXCELENTE")))</f>
        <v/>
      </c>
      <c r="M2049" s="3" t="n">
        <v>33</v>
      </c>
      <c r="N2049" s="3" t="n">
        <v>98.68000000000001</v>
      </c>
      <c r="O2049" s="12" t="n">
        <v>26.21951219512195</v>
      </c>
    </row>
    <row r="2050">
      <c r="A2050" s="10" t="n">
        <v>46065</v>
      </c>
      <c r="B2050" t="inlineStr">
        <is>
          <t>Ana Karollyne Souza Faria</t>
        </is>
      </c>
      <c r="C2050" s="1" t="inlineStr">
        <is>
          <t>Técnico I</t>
        </is>
      </c>
      <c r="D2050" s="3" t="n">
        <v>25</v>
      </c>
      <c r="E2050" s="3" t="n">
        <v>24</v>
      </c>
      <c r="F2050" s="3" t="n">
        <v>25.21</v>
      </c>
      <c r="G2050" s="3" t="n">
        <v>0</v>
      </c>
      <c r="H2050" s="3" t="n">
        <v>0</v>
      </c>
      <c r="I2050" s="3">
        <f>E2050+G2050+H2050</f>
        <v/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/>
      </c>
      <c r="K2050" s="3">
        <f>I2050-J2050</f>
        <v/>
      </c>
      <c r="L2050" s="3">
        <f>IF(K2050&lt;-5,"CRÍTICO",IF(K2050&lt;0,"ATENÇÃO",IF(K2050&lt;=5,"BOM","EXCELENTE")))</f>
        <v/>
      </c>
      <c r="M2050" s="3" t="n">
        <v>20</v>
      </c>
      <c r="N2050" s="3" t="n">
        <v>100</v>
      </c>
      <c r="O2050" s="12" t="n">
        <v>31.74224343675418</v>
      </c>
    </row>
    <row r="2051">
      <c r="A2051" s="10" t="n">
        <v>46065</v>
      </c>
      <c r="B2051" t="inlineStr">
        <is>
          <t>Ana Paula Da Luz Silva Aleixo</t>
        </is>
      </c>
      <c r="C2051" s="1" t="inlineStr">
        <is>
          <t>Técnico III</t>
        </is>
      </c>
      <c r="D2051" s="3" t="n">
        <v>28</v>
      </c>
      <c r="E2051" s="3" t="n">
        <v>26</v>
      </c>
      <c r="F2051" s="3" t="n">
        <v>23.36</v>
      </c>
      <c r="G2051" s="3" t="n">
        <v>0</v>
      </c>
      <c r="H2051" s="3" t="n">
        <v>0</v>
      </c>
      <c r="I2051" s="3">
        <f>E2051+G2051+H2051</f>
        <v/>
      </c>
      <c r="J2051" s="3">
        <f>ROUND(MIN(IF(C2051="Técnico III",35,IF(C2051="Técnico II",28,IF(C2051="Técnico I",23,IF(C2051="JR",20,IF(C2051="Estágio",10,0))))),IF(C2051="Técnico III",SUMIFS($D:$D,$A:$A,$A2051,$B:$B,"&lt;&gt;Patrícia Karla de Sousa Araújo",$B:$B,"&lt;&gt;Lorena Dias de Araujo",$B:$B,"&lt;&gt;Lucas Luiz Romero")*(35/1083),IF(C2051="Técnico II",SUMIFS($D:$D,$A:$A,$A2051,$B:$B,"&lt;&gt;Patrícia Karla de Sousa Araújo",$B:$B,"&lt;&gt;Lorena Dias de Araujo",$B:$B,"&lt;&gt;Lucas Luiz Romero")*(28/1083),IF(C2051="Técnico I",SUMIFS($D:$D,$A:$A,$A2051,$B:$B,"&lt;&gt;Patrícia Karla de Sousa Araújo",$B:$B,"&lt;&gt;Lorena Dias de Araujo",$B:$B,"&lt;&gt;Lucas Luiz Romero")*(23/1083),IF(C2051="JR",SUMIFS($D:$D,$A:$A,$A2051,$B:$B,"&lt;&gt;Patrícia Karla de Sousa Araújo",$B:$B,"&lt;&gt;Lorena Dias de Araujo",$B:$B,"&lt;&gt;Lucas Luiz Romero")*(20/1083),IF(C2051="Estágio",SUMIFS($D:$D,$A:$A,$A2051,$B:$B,"&lt;&gt;Patrícia Karla de Sousa Araújo",$B:$B,"&lt;&gt;Lorena Dias de Araujo",$B:$B,"&lt;&gt;Lucas Luiz Romero")*(10/1083),0)))))),0)</f>
        <v/>
      </c>
      <c r="K2051" s="3">
        <f>I2051-J2051</f>
        <v/>
      </c>
      <c r="L2051" s="3">
        <f>IF(K2051&lt;-5,"CRÍTICO",IF(K2051&lt;0,"ATENÇÃO",IF(K2051&lt;=5,"BOM","EXCELENTE")))</f>
        <v/>
      </c>
      <c r="M2051" s="3" t="n">
        <v>25</v>
      </c>
      <c r="N2051" s="3" t="n">
        <v>98.25</v>
      </c>
      <c r="O2051" s="12" t="n">
        <v>25.83518930957684</v>
      </c>
    </row>
    <row r="2052">
      <c r="A2052" s="10" t="n">
        <v>46065</v>
      </c>
      <c r="B2052" t="inlineStr">
        <is>
          <t>Anna Luiza Rezende Tavares</t>
        </is>
      </c>
      <c r="C2052" s="1" t="inlineStr">
        <is>
          <t>Estágio</t>
        </is>
      </c>
      <c r="D2052" s="3" t="n">
        <v>10</v>
      </c>
      <c r="E2052" s="3" t="n">
        <v>9</v>
      </c>
      <c r="F2052" s="3" t="n">
        <v>30.53</v>
      </c>
      <c r="G2052" s="3" t="n">
        <v>0</v>
      </c>
      <c r="H2052" s="3" t="n">
        <v>0</v>
      </c>
      <c r="I2052" s="3">
        <f>E2052+G2052+H2052</f>
        <v/>
      </c>
      <c r="J2052" s="3">
        <f>ROUND(MIN(IF(C2052="Técnico III",35,IF(C2052="Técnico II",28,IF(C2052="Técnico I",23,IF(C2052="JR",20,IF(C2052="Estágio",10,0))))),IF(C2052="Técnico III",SUMIFS($D:$D,$A:$A,$A2052,$B:$B,"&lt;&gt;Patrícia Karla de Sousa Araújo",$B:$B,"&lt;&gt;Lorena Dias de Araujo",$B:$B,"&lt;&gt;Lucas Luiz Romero")*(35/1083),IF(C2052="Técnico II",SUMIFS($D:$D,$A:$A,$A2052,$B:$B,"&lt;&gt;Patrícia Karla de Sousa Araújo",$B:$B,"&lt;&gt;Lorena Dias de Araujo",$B:$B,"&lt;&gt;Lucas Luiz Romero")*(28/1083),IF(C2052="Técnico I",SUMIFS($D:$D,$A:$A,$A2052,$B:$B,"&lt;&gt;Patrícia Karla de Sousa Araújo",$B:$B,"&lt;&gt;Lorena Dias de Araujo",$B:$B,"&lt;&gt;Lucas Luiz Romero")*(23/1083),IF(C2052="JR",SUMIFS($D:$D,$A:$A,$A2052,$B:$B,"&lt;&gt;Patrícia Karla de Sousa Araújo",$B:$B,"&lt;&gt;Lorena Dias de Araujo",$B:$B,"&lt;&gt;Lucas Luiz Romero")*(20/1083),IF(C2052="Estágio",SUMIFS($D:$D,$A:$A,$A2052,$B:$B,"&lt;&gt;Patrícia Karla de Sousa Araújo",$B:$B,"&lt;&gt;Lorena Dias de Araujo",$B:$B,"&lt;&gt;Lucas Luiz Romero")*(10/1083),0)))))),0)</f>
        <v/>
      </c>
      <c r="K2052" s="3">
        <f>I2052-J2052</f>
        <v/>
      </c>
      <c r="L2052" s="3">
        <f>IF(K2052&lt;-5,"CRÍTICO",IF(K2052&lt;0,"ATENÇÃO",IF(K2052&lt;=5,"BOM","EXCELENTE")))</f>
        <v/>
      </c>
      <c r="M2052" s="3" t="n">
        <v>9</v>
      </c>
      <c r="N2052" s="3" t="n">
        <v>97.5</v>
      </c>
      <c r="O2052" s="12" t="n">
        <v>30.07518796992481</v>
      </c>
    </row>
    <row r="2053">
      <c r="A2053" s="10" t="n">
        <v>46065</v>
      </c>
      <c r="B2053" t="inlineStr">
        <is>
          <t>Brenda de Menezes Silva</t>
        </is>
      </c>
      <c r="C2053" s="1" t="inlineStr">
        <is>
          <t>Técnico II</t>
        </is>
      </c>
      <c r="D2053" s="3" t="n">
        <v>17</v>
      </c>
      <c r="E2053" s="3" t="n">
        <v>17</v>
      </c>
      <c r="F2053" s="3" t="n">
        <v>22.38</v>
      </c>
      <c r="G2053" s="3" t="n">
        <v>0</v>
      </c>
      <c r="H2053" s="3" t="n">
        <v>0</v>
      </c>
      <c r="I2053" s="3">
        <f>E2053+G2053+H2053</f>
        <v/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/>
      </c>
      <c r="K2053" s="3">
        <f>I2053-J2053</f>
        <v/>
      </c>
      <c r="L2053" s="3">
        <f>IF(K2053&lt;-5,"CRÍTICO",IF(K2053&lt;0,"ATENÇÃO",IF(K2053&lt;=5,"BOM","EXCELENTE")))</f>
        <v/>
      </c>
      <c r="M2053" s="3" t="n">
        <v>17</v>
      </c>
      <c r="N2053" s="3" t="n">
        <v>100</v>
      </c>
      <c r="O2053" s="12" t="n">
        <v>29.71311475409836</v>
      </c>
    </row>
    <row r="2054">
      <c r="A2054" s="10" t="n">
        <v>46065</v>
      </c>
      <c r="B2054" t="inlineStr">
        <is>
          <t>Carlos Mateus Cassimiro Nunes</t>
        </is>
      </c>
      <c r="C2054" s="1" t="inlineStr">
        <is>
          <t>Técnico II</t>
        </is>
      </c>
      <c r="D2054" s="3" t="n">
        <v>14</v>
      </c>
      <c r="E2054" s="3" t="n">
        <v>13</v>
      </c>
      <c r="F2054" s="3" t="n">
        <v>41.45</v>
      </c>
      <c r="G2054" s="3" t="n">
        <v>0</v>
      </c>
      <c r="H2054" s="3" t="n">
        <v>0</v>
      </c>
      <c r="I2054" s="3">
        <f>E2054+G2054+H2054</f>
        <v/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/>
      </c>
      <c r="K2054" s="3">
        <f>I2054-J2054</f>
        <v/>
      </c>
      <c r="L2054" s="3">
        <f>IF(K2054&lt;-5,"CRÍTICO",IF(K2054&lt;0,"ATENÇÃO",IF(K2054&lt;=5,"BOM","EXCELENTE")))</f>
        <v/>
      </c>
      <c r="M2054" s="3" t="n">
        <v>14</v>
      </c>
      <c r="N2054" s="3" t="n">
        <v>99.22</v>
      </c>
      <c r="O2054" s="12" t="n">
        <v>35.25641025641026</v>
      </c>
    </row>
    <row r="2055">
      <c r="A2055" s="10" t="n">
        <v>46065</v>
      </c>
      <c r="B2055" t="inlineStr">
        <is>
          <t>Claudio de Sousa Velasco Filho</t>
        </is>
      </c>
      <c r="C2055" s="1" t="inlineStr">
        <is>
          <t>Estágio</t>
        </is>
      </c>
      <c r="D2055" s="3" t="n">
        <v>0</v>
      </c>
      <c r="E2055" s="3" t="n">
        <v>0</v>
      </c>
      <c r="F2055" s="3" t="n">
        <v>0</v>
      </c>
      <c r="G2055" s="3" t="n">
        <v>0</v>
      </c>
      <c r="H2055" s="3" t="n">
        <v>0</v>
      </c>
      <c r="I2055" s="3" t="n">
        <v>0</v>
      </c>
      <c r="J2055" s="3" t="n">
        <v>0</v>
      </c>
      <c r="K2055" s="3" t="n">
        <v>0</v>
      </c>
      <c r="L2055" s="3">
        <f>IF(K2055&lt;-5,"CRÍTICO",IF(K2055&lt;0,"ATENÇÃO",IF(K2055&lt;=5,"BOM","EXCELENTE")))</f>
        <v/>
      </c>
      <c r="M2055" s="3" t="n">
        <v>0</v>
      </c>
      <c r="N2055" s="3" t="n">
        <v>0</v>
      </c>
      <c r="O2055" s="12" t="n">
        <v>0</v>
      </c>
    </row>
    <row r="2056">
      <c r="A2056" s="10" t="n">
        <v>46065</v>
      </c>
      <c r="B2056" t="inlineStr">
        <is>
          <t>Clessiane Pereira dos Santos</t>
        </is>
      </c>
      <c r="C2056" s="1" t="inlineStr">
        <is>
          <t>Técnico I</t>
        </is>
      </c>
      <c r="D2056" s="3" t="n">
        <v>40</v>
      </c>
      <c r="E2056" s="3" t="n">
        <v>6</v>
      </c>
      <c r="F2056" s="3" t="n">
        <v>3.57</v>
      </c>
      <c r="G2056" s="3" t="n">
        <v>0</v>
      </c>
      <c r="H2056" s="3" t="n">
        <v>0</v>
      </c>
      <c r="I2056" s="3">
        <f>E2056+G2056+H2056</f>
        <v/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/>
      </c>
      <c r="K2056" s="3">
        <f>I2056-J2056</f>
        <v/>
      </c>
      <c r="L2056" s="3">
        <f>IF(K2056&lt;-5,"CRÍTICO",IF(K2056&lt;0,"ATENÇÃO",IF(K2056&lt;=5,"BOM","EXCELENTE")))</f>
        <v/>
      </c>
      <c r="M2056" s="3" t="n">
        <v>9</v>
      </c>
      <c r="N2056" s="3" t="n">
        <v>98.75</v>
      </c>
      <c r="O2056" s="12" t="n">
        <v>24.32432432432433</v>
      </c>
    </row>
    <row r="2057">
      <c r="A2057" s="10" t="n">
        <v>46065</v>
      </c>
      <c r="B2057" t="inlineStr">
        <is>
          <t>Cristiane Ramos da Silva Rocha</t>
        </is>
      </c>
      <c r="C2057" s="1" t="inlineStr">
        <is>
          <t>Técnico III</t>
        </is>
      </c>
      <c r="D2057" s="3" t="n">
        <v>39</v>
      </c>
      <c r="E2057" s="3" t="n">
        <v>36</v>
      </c>
      <c r="F2057" s="3" t="n">
        <v>19.05</v>
      </c>
      <c r="G2057" s="3" t="n">
        <v>0</v>
      </c>
      <c r="H2057" s="3" t="n">
        <v>0</v>
      </c>
      <c r="I2057" s="3">
        <f>E2057+G2057+H2057</f>
        <v/>
      </c>
      <c r="J2057" s="3">
        <f>ROUND(MIN(IF(C2057="Técnico III",35,IF(C2057="Técnico II",28,IF(C2057="Técnico I",23,IF(C2057="JR",20,IF(C2057="Estágio",10,0))))),IF(C2057="Técnico III",SUMIFS($D:$D,$A:$A,$A2057,$B:$B,"&lt;&gt;Patrícia Karla de Sousa Araújo",$B:$B,"&lt;&gt;Lorena Dias de Araujo",$B:$B,"&lt;&gt;Lucas Luiz Romero")*(35/1083),IF(C2057="Técnico II",SUMIFS($D:$D,$A:$A,$A2057,$B:$B,"&lt;&gt;Patrícia Karla de Sousa Araújo",$B:$B,"&lt;&gt;Lorena Dias de Araujo",$B:$B,"&lt;&gt;Lucas Luiz Romero")*(28/1083),IF(C2057="Técnico I",SUMIFS($D:$D,$A:$A,$A2057,$B:$B,"&lt;&gt;Patrícia Karla de Sousa Araújo",$B:$B,"&lt;&gt;Lorena Dias de Araujo",$B:$B,"&lt;&gt;Lucas Luiz Romero")*(23/1083),IF(C2057="JR",SUMIFS($D:$D,$A:$A,$A2057,$B:$B,"&lt;&gt;Patrícia Karla de Sousa Araújo",$B:$B,"&lt;&gt;Lorena Dias de Araujo",$B:$B,"&lt;&gt;Lucas Luiz Romero")*(20/1083),IF(C2057="Estágio",SUMIFS($D:$D,$A:$A,$A2057,$B:$B,"&lt;&gt;Patrícia Karla de Sousa Araújo",$B:$B,"&lt;&gt;Lorena Dias de Araujo",$B:$B,"&lt;&gt;Lucas Luiz Romero")*(10/1083),0)))))),0)</f>
        <v/>
      </c>
      <c r="K2057" s="3">
        <f>I2057-J2057</f>
        <v/>
      </c>
      <c r="L2057" s="3">
        <f>IF(K2057&lt;-5,"CRÍTICO",IF(K2057&lt;0,"ATENÇÃO",IF(K2057&lt;=5,"BOM","EXCELENTE")))</f>
        <v/>
      </c>
      <c r="M2057" s="3" t="n">
        <v>35</v>
      </c>
      <c r="N2057" s="3" t="n">
        <v>93.48</v>
      </c>
      <c r="O2057" s="12" t="n">
        <v>31.52804642166344</v>
      </c>
    </row>
    <row r="2058">
      <c r="A2058" s="10" t="n">
        <v>46065</v>
      </c>
      <c r="B2058" t="inlineStr">
        <is>
          <t>Damyllis Lorraine de Oliveira Gonçalves</t>
        </is>
      </c>
      <c r="C2058" s="1" t="inlineStr">
        <is>
          <t>Técnico II</t>
        </is>
      </c>
      <c r="D2058" s="3" t="n">
        <v>38</v>
      </c>
      <c r="E2058" s="3" t="n">
        <v>36</v>
      </c>
      <c r="F2058" s="3" t="n">
        <v>15.56</v>
      </c>
      <c r="G2058" s="3" t="n">
        <v>0</v>
      </c>
      <c r="H2058" s="3" t="n">
        <v>0</v>
      </c>
      <c r="I2058" s="3" t="n">
        <v>0</v>
      </c>
      <c r="J2058" s="3" t="n">
        <v>0</v>
      </c>
      <c r="K2058" s="3" t="n">
        <v>0</v>
      </c>
      <c r="L2058" s="3">
        <f>IF(K2058&lt;-5,"CRÍTICO",IF(K2058&lt;0,"ATENÇÃO",IF(K2058&lt;=5,"BOM","EXCELENTE")))</f>
        <v/>
      </c>
      <c r="M2058" s="3" t="n">
        <v>36</v>
      </c>
      <c r="N2058" s="3" t="n">
        <v>99.16</v>
      </c>
      <c r="O2058" s="12" t="n">
        <v>26.13908872901678</v>
      </c>
    </row>
    <row r="2059">
      <c r="A2059" s="10" t="n">
        <v>46065</v>
      </c>
      <c r="B2059" t="inlineStr">
        <is>
          <t>Daniel Gomes da Silva</t>
        </is>
      </c>
      <c r="C2059" s="1" t="inlineStr">
        <is>
          <t>Técnico I</t>
        </is>
      </c>
      <c r="D2059" s="3" t="n">
        <v>15</v>
      </c>
      <c r="E2059" s="3" t="n">
        <v>15</v>
      </c>
      <c r="F2059" s="3" t="n">
        <v>30.17</v>
      </c>
      <c r="G2059" s="3" t="n">
        <v>0</v>
      </c>
      <c r="H2059" s="3" t="n">
        <v>0</v>
      </c>
      <c r="I2059" s="3">
        <f>E2059+G2059+H2059</f>
        <v/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/>
      </c>
      <c r="K2059" s="3">
        <f>I2059-J2059</f>
        <v/>
      </c>
      <c r="L2059" s="3">
        <f>IF(K2059&lt;-5,"CRÍTICO",IF(K2059&lt;0,"ATENÇÃO",IF(K2059&lt;=5,"BOM","EXCELENTE")))</f>
        <v/>
      </c>
      <c r="M2059" s="3" t="n">
        <v>13</v>
      </c>
      <c r="N2059" s="3" t="n">
        <v>100</v>
      </c>
      <c r="O2059" s="12" t="n">
        <v>31.08974358974359</v>
      </c>
    </row>
    <row r="2060">
      <c r="A2060" s="10" t="n">
        <v>46065</v>
      </c>
      <c r="B2060" t="inlineStr">
        <is>
          <t>Davylla Rodrigues Freitas Silva</t>
        </is>
      </c>
      <c r="C2060" s="1" t="inlineStr">
        <is>
          <t>Técnico III</t>
        </is>
      </c>
      <c r="D2060" s="3" t="n">
        <v>26</v>
      </c>
      <c r="E2060" s="3" t="n">
        <v>26</v>
      </c>
      <c r="F2060" s="3" t="n">
        <v>27.22</v>
      </c>
      <c r="G2060" s="3" t="n">
        <v>0</v>
      </c>
      <c r="H2060" s="3" t="n">
        <v>0</v>
      </c>
      <c r="I2060" s="3" t="n">
        <v>0</v>
      </c>
      <c r="J2060" s="3" t="n">
        <v>0</v>
      </c>
      <c r="K2060" s="3" t="n">
        <v>0</v>
      </c>
      <c r="L2060" s="3">
        <f>IF(K2060&lt;-5,"CRÍTICO",IF(K2060&lt;0,"ATENÇÃO",IF(K2060&lt;=5,"BOM","EXCELENTE")))</f>
        <v/>
      </c>
      <c r="M2060" s="3" t="n">
        <v>25</v>
      </c>
      <c r="N2060" s="3" t="n">
        <v>98.11</v>
      </c>
      <c r="O2060" s="12" t="n">
        <v>33.03370786516854</v>
      </c>
    </row>
    <row r="2061">
      <c r="A2061" s="10" t="n">
        <v>46065</v>
      </c>
      <c r="B2061" t="inlineStr">
        <is>
          <t>Emilly Caylane Costa</t>
        </is>
      </c>
      <c r="C2061" s="1" t="inlineStr">
        <is>
          <t>Estágio</t>
        </is>
      </c>
      <c r="D2061" s="3" t="n">
        <v>20</v>
      </c>
      <c r="E2061" s="3" t="n">
        <v>13</v>
      </c>
      <c r="F2061" s="3" t="n">
        <v>15.49</v>
      </c>
      <c r="G2061" s="3" t="n">
        <v>0</v>
      </c>
      <c r="H2061" s="3" t="n">
        <v>0</v>
      </c>
      <c r="I2061" s="3">
        <f>E2061+G2061+H2061</f>
        <v/>
      </c>
      <c r="J2061" s="3">
        <f>ROUND(MIN(IF(C2061="Técnico III",35,IF(C2061="Técnico II",28,IF(C2061="Técnico I",23,IF(C2061="JR",20,IF(C2061="Estágio",10,0))))),IF(C2061="Técnico III",SUMIFS($D:$D,$A:$A,$A2061,$B:$B,"&lt;&gt;Patrícia Karla de Sousa Araújo",$B:$B,"&lt;&gt;Lorena Dias de Araujo",$B:$B,"&lt;&gt;Lucas Luiz Romero")*(35/1083),IF(C2061="Técnico II",SUMIFS($D:$D,$A:$A,$A2061,$B:$B,"&lt;&gt;Patrícia Karla de Sousa Araújo",$B:$B,"&lt;&gt;Lorena Dias de Araujo",$B:$B,"&lt;&gt;Lucas Luiz Romero")*(28/1083),IF(C2061="Técnico I",SUMIFS($D:$D,$A:$A,$A2061,$B:$B,"&lt;&gt;Patrícia Karla de Sousa Araújo",$B:$B,"&lt;&gt;Lorena Dias de Araujo",$B:$B,"&lt;&gt;Lucas Luiz Romero")*(23/1083),IF(C2061="JR",SUMIFS($D:$D,$A:$A,$A2061,$B:$B,"&lt;&gt;Patrícia Karla de Sousa Araújo",$B:$B,"&lt;&gt;Lorena Dias de Araujo",$B:$B,"&lt;&gt;Lucas Luiz Romero")*(20/1083),IF(C2061="Estágio",SUMIFS($D:$D,$A:$A,$A2061,$B:$B,"&lt;&gt;Patrícia Karla de Sousa Araújo",$B:$B,"&lt;&gt;Lorena Dias de Araujo",$B:$B,"&lt;&gt;Lucas Luiz Romero")*(10/1083),0)))))),0)</f>
        <v/>
      </c>
      <c r="K2061" s="3">
        <f>I2061-J2061</f>
        <v/>
      </c>
      <c r="L2061" s="3">
        <f>IF(K2061&lt;-5,"CRÍTICO",IF(K2061&lt;0,"ATENÇÃO",IF(K2061&lt;=5,"BOM","EXCELENTE")))</f>
        <v/>
      </c>
      <c r="M2061" s="3" t="n">
        <v>2</v>
      </c>
      <c r="N2061" s="3" t="n">
        <v>78.95</v>
      </c>
      <c r="O2061" s="12" t="n">
        <v>38.98305084745763</v>
      </c>
    </row>
    <row r="2062">
      <c r="A2062" s="10" t="n">
        <v>46065</v>
      </c>
      <c r="B2062" t="inlineStr">
        <is>
          <t>Emilly Kamilly Medeiros Miranda</t>
        </is>
      </c>
      <c r="C2062" s="1" t="inlineStr">
        <is>
          <t>Técnico II</t>
        </is>
      </c>
      <c r="D2062" s="3" t="n">
        <v>22</v>
      </c>
      <c r="E2062" s="3" t="n">
        <v>20</v>
      </c>
      <c r="F2062" s="3" t="n">
        <v>27.35</v>
      </c>
      <c r="G2062" s="3" t="n">
        <v>0</v>
      </c>
      <c r="H2062" s="3" t="n">
        <v>0</v>
      </c>
      <c r="I2062" s="3">
        <f>E2062+G2062+H2062</f>
        <v/>
      </c>
      <c r="J2062" s="3">
        <f>ROUND(MIN(IF(C2062="Técnico III",35,IF(C2062="Técnico II",28,IF(C2062="Técnico I",23,IF(C2062="JR",20,IF(C2062="Estágio",10,0))))),IF(C2062="Técnico III",SUMIFS($D:$D,$A:$A,$A2062,$B:$B,"&lt;&gt;Patrícia Karla de Sousa Araújo",$B:$B,"&lt;&gt;Lorena Dias de Araujo",$B:$B,"&lt;&gt;Lucas Luiz Romero")*(35/1083),IF(C2062="Técnico II",SUMIFS($D:$D,$A:$A,$A2062,$B:$B,"&lt;&gt;Patrícia Karla de Sousa Araújo",$B:$B,"&lt;&gt;Lorena Dias de Araujo",$B:$B,"&lt;&gt;Lucas Luiz Romero")*(28/1083),IF(C2062="Técnico I",SUMIFS($D:$D,$A:$A,$A2062,$B:$B,"&lt;&gt;Patrícia Karla de Sousa Araújo",$B:$B,"&lt;&gt;Lorena Dias de Araujo",$B:$B,"&lt;&gt;Lucas Luiz Romero")*(23/1083),IF(C2062="JR",SUMIFS($D:$D,$A:$A,$A2062,$B:$B,"&lt;&gt;Patrícia Karla de Sousa Araújo",$B:$B,"&lt;&gt;Lorena Dias de Araujo",$B:$B,"&lt;&gt;Lucas Luiz Romero")*(20/1083),IF(C2062="Estágio",SUMIFS($D:$D,$A:$A,$A2062,$B:$B,"&lt;&gt;Patrícia Karla de Sousa Araújo",$B:$B,"&lt;&gt;Lorena Dias de Araujo",$B:$B,"&lt;&gt;Lucas Luiz Romero")*(10/1083),0)))))),0)</f>
        <v/>
      </c>
      <c r="K2062" s="3">
        <f>I2062-J2062</f>
        <v/>
      </c>
      <c r="L2062" s="3">
        <f>IF(K2062&lt;-5,"CRÍTICO",IF(K2062&lt;0,"ATENÇÃO",IF(K2062&lt;=5,"BOM","EXCELENTE")))</f>
        <v/>
      </c>
      <c r="M2062" s="3" t="n">
        <v>17</v>
      </c>
      <c r="N2062" s="3" t="n">
        <v>98.45</v>
      </c>
      <c r="O2062" s="12" t="n">
        <v>29.2817679558011</v>
      </c>
    </row>
    <row r="2063">
      <c r="A2063" s="10" t="n">
        <v>46065</v>
      </c>
      <c r="B2063" t="inlineStr">
        <is>
          <t>Francielson de Oliveira</t>
        </is>
      </c>
      <c r="C2063" s="1" t="inlineStr">
        <is>
          <t>Técnico III</t>
        </is>
      </c>
      <c r="D2063" s="3" t="n">
        <v>29</v>
      </c>
      <c r="E2063" s="3" t="n">
        <v>29</v>
      </c>
      <c r="F2063" s="3" t="n">
        <v>20.22</v>
      </c>
      <c r="G2063" s="3" t="n">
        <v>0</v>
      </c>
      <c r="H2063" s="3" t="n">
        <v>0</v>
      </c>
      <c r="I2063" s="3">
        <f>E2063+G2063+H2063</f>
        <v/>
      </c>
      <c r="J2063" s="3">
        <f>ROUND(MIN(IF(C2063="Técnico III",35,IF(C2063="Técnico II",28,IF(C2063="Técnico I",23,IF(C2063="JR",20,IF(C2063="Estágio",10,0))))),IF(C2063="Técnico III",SUMIFS($D:$D,$A:$A,$A2063,$B:$B,"&lt;&gt;Patrícia Karla de Sousa Araújo",$B:$B,"&lt;&gt;Lorena Dias de Araujo",$B:$B,"&lt;&gt;Lucas Luiz Romero")*(35/1083),IF(C2063="Técnico II",SUMIFS($D:$D,$A:$A,$A2063,$B:$B,"&lt;&gt;Patrícia Karla de Sousa Araújo",$B:$B,"&lt;&gt;Lorena Dias de Araujo",$B:$B,"&lt;&gt;Lucas Luiz Romero")*(28/1083),IF(C2063="Técnico I",SUMIFS($D:$D,$A:$A,$A2063,$B:$B,"&lt;&gt;Patrícia Karla de Sousa Araújo",$B:$B,"&lt;&gt;Lorena Dias de Araujo",$B:$B,"&lt;&gt;Lucas Luiz Romero")*(23/1083),IF(C2063="JR",SUMIFS($D:$D,$A:$A,$A2063,$B:$B,"&lt;&gt;Patrícia Karla de Sousa Araújo",$B:$B,"&lt;&gt;Lorena Dias de Araujo",$B:$B,"&lt;&gt;Lucas Luiz Romero")*(20/1083),IF(C2063="Estágio",SUMIFS($D:$D,$A:$A,$A2063,$B:$B,"&lt;&gt;Patrícia Karla de Sousa Araújo",$B:$B,"&lt;&gt;Lorena Dias de Araujo",$B:$B,"&lt;&gt;Lucas Luiz Romero")*(10/1083),0)))))),0)</f>
        <v/>
      </c>
      <c r="K2063" s="3">
        <f>I2063-J2063</f>
        <v/>
      </c>
      <c r="L2063" s="3">
        <f>IF(K2063&lt;-5,"CRÍTICO",IF(K2063&lt;0,"ATENÇÃO",IF(K2063&lt;=5,"BOM","EXCELENTE")))</f>
        <v/>
      </c>
      <c r="M2063" s="3" t="n">
        <v>29</v>
      </c>
      <c r="N2063" s="3" t="n">
        <v>97.84</v>
      </c>
      <c r="O2063" s="12" t="n">
        <v>26.28205128205128</v>
      </c>
    </row>
    <row r="2064">
      <c r="A2064" s="10" t="n">
        <v>46065</v>
      </c>
      <c r="B2064" t="inlineStr">
        <is>
          <t>Francilene Ferreira de Jesus</t>
        </is>
      </c>
      <c r="C2064" s="1" t="inlineStr">
        <is>
          <t>Técnico II</t>
        </is>
      </c>
      <c r="D2064" s="3" t="n">
        <v>29</v>
      </c>
      <c r="E2064" s="3" t="n">
        <v>29</v>
      </c>
      <c r="F2064" s="3" t="n">
        <v>22.35</v>
      </c>
      <c r="G2064" s="3" t="n">
        <v>0</v>
      </c>
      <c r="H2064" s="3" t="n">
        <v>0</v>
      </c>
      <c r="I2064" s="3">
        <f>E2064+G2064+H2064</f>
        <v/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/>
      </c>
      <c r="K2064" s="3">
        <f>I2064-J2064</f>
        <v/>
      </c>
      <c r="L2064" s="3">
        <f>IF(K2064&lt;-5,"CRÍTICO",IF(K2064&lt;0,"ATENÇÃO",IF(K2064&lt;=5,"BOM","EXCELENTE")))</f>
        <v/>
      </c>
      <c r="M2064" s="3" t="n">
        <v>29</v>
      </c>
      <c r="N2064" s="3" t="n">
        <v>98.5</v>
      </c>
      <c r="O2064" s="12" t="n">
        <v>23.97769516728625</v>
      </c>
    </row>
    <row r="2065">
      <c r="A2065" s="10" t="n">
        <v>46099</v>
      </c>
      <c r="B2065" t="inlineStr">
        <is>
          <t>Gabriel Gomes de Andrade</t>
        </is>
      </c>
      <c r="C2065" s="1" t="inlineStr">
        <is>
          <t>Técnico I</t>
        </is>
      </c>
      <c r="D2065" s="3" t="n">
        <v>25</v>
      </c>
      <c r="E2065" s="3" t="n">
        <v>25</v>
      </c>
      <c r="F2065" s="3" t="n">
        <v>19.19</v>
      </c>
      <c r="G2065" s="3" t="n">
        <v>0</v>
      </c>
      <c r="H2065" s="3" t="n">
        <v>0</v>
      </c>
      <c r="I2065" s="3">
        <f>E2065+G2065+H2065</f>
        <v/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/>
      </c>
      <c r="K2065" s="3">
        <f>I2065-J2065</f>
        <v/>
      </c>
      <c r="L2065" s="3">
        <f>IF(K2065&lt;-5,"CRÍTICO",IF(K2065&lt;0,"ATENÇÃO",IF(K2065&lt;=5,"BOM","EXCELENTE")))</f>
        <v/>
      </c>
      <c r="M2065" s="3" t="n">
        <v>24</v>
      </c>
      <c r="N2065" s="3" t="n">
        <v>99.05</v>
      </c>
      <c r="O2065" s="12" t="n">
        <v>26.62192393736018</v>
      </c>
    </row>
    <row r="2066">
      <c r="A2066" s="10" t="n">
        <v>46065</v>
      </c>
      <c r="B2066" t="inlineStr">
        <is>
          <t>Isabella Borges de Oliveira</t>
        </is>
      </c>
      <c r="C2066" s="1" t="inlineStr">
        <is>
          <t>Técnico II</t>
        </is>
      </c>
      <c r="D2066" s="3" t="n">
        <v>35</v>
      </c>
      <c r="E2066" s="3" t="n">
        <v>33</v>
      </c>
      <c r="F2066" s="3" t="n">
        <v>20.43</v>
      </c>
      <c r="G2066" s="3" t="n">
        <v>0</v>
      </c>
      <c r="H2066" s="3" t="n">
        <v>0</v>
      </c>
      <c r="I2066" s="3">
        <f>E2066+G2066+H2066</f>
        <v/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/>
      </c>
      <c r="K2066" s="3">
        <f>I2066-J2066</f>
        <v/>
      </c>
      <c r="L2066" s="3">
        <f>IF(K2066&lt;-5,"CRÍTICO",IF(K2066&lt;0,"ATENÇÃO",IF(K2066&lt;=5,"BOM","EXCELENTE")))</f>
        <v/>
      </c>
      <c r="M2066" s="3" t="n">
        <v>29</v>
      </c>
      <c r="N2066" s="3" t="n">
        <v>98.53</v>
      </c>
      <c r="O2066" s="12" t="n">
        <v>31.57894736842105</v>
      </c>
    </row>
    <row r="2067">
      <c r="A2067" s="10" t="n">
        <v>46065</v>
      </c>
      <c r="B2067" t="inlineStr">
        <is>
          <t>Janaina Lima dos Reis Urany</t>
        </is>
      </c>
      <c r="C2067" s="1" t="inlineStr">
        <is>
          <t>Técnico III</t>
        </is>
      </c>
      <c r="D2067" s="3" t="n">
        <v>44</v>
      </c>
      <c r="E2067" s="3" t="n">
        <v>37</v>
      </c>
      <c r="F2067" s="3" t="n">
        <v>15.28</v>
      </c>
      <c r="G2067" s="3" t="n">
        <v>0</v>
      </c>
      <c r="H2067" s="3" t="n">
        <v>0</v>
      </c>
      <c r="I2067" s="3">
        <f>E2067+G2067+H2067</f>
        <v/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/>
      </c>
      <c r="K2067" s="3">
        <f>I2067-J2067</f>
        <v/>
      </c>
      <c r="L2067" s="3">
        <f>IF(K2067&lt;-5,"CRÍTICO",IF(K2067&lt;0,"ATENÇÃO",IF(K2067&lt;=5,"BOM","EXCELENTE")))</f>
        <v/>
      </c>
      <c r="M2067" s="3" t="n">
        <v>37</v>
      </c>
      <c r="N2067" s="3" t="n">
        <v>100</v>
      </c>
      <c r="O2067" s="12" t="n">
        <v>25.72214580467676</v>
      </c>
    </row>
    <row r="2068">
      <c r="A2068" s="10" t="n">
        <v>46065</v>
      </c>
      <c r="B2068" t="inlineStr">
        <is>
          <t>Jaqueline Evangelista da Silva Martins</t>
        </is>
      </c>
      <c r="C2068" s="1" t="inlineStr">
        <is>
          <t>Técnico III</t>
        </is>
      </c>
      <c r="D2068" s="3" t="n">
        <v>21</v>
      </c>
      <c r="E2068" s="3" t="n">
        <v>20</v>
      </c>
      <c r="F2068" s="3" t="n">
        <v>13.29</v>
      </c>
      <c r="G2068" s="3" t="n">
        <v>0</v>
      </c>
      <c r="H2068" s="3" t="n">
        <v>0</v>
      </c>
      <c r="I2068" s="3">
        <f>E2068+G2068+H2068</f>
        <v/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/>
      </c>
      <c r="K2068" s="3">
        <f>I2068-J2068</f>
        <v/>
      </c>
      <c r="L2068" s="3">
        <f>IF(K2068&lt;-5,"CRÍTICO",IF(K2068&lt;0,"ATENÇÃO",IF(K2068&lt;=5,"BOM","EXCELENTE")))</f>
        <v/>
      </c>
      <c r="M2068" s="3" t="n">
        <v>17</v>
      </c>
      <c r="N2068" s="3" t="n">
        <v>94.64</v>
      </c>
      <c r="O2068" s="12" t="n">
        <v>27.52941176470588</v>
      </c>
    </row>
    <row r="2069">
      <c r="A2069" s="10" t="n">
        <v>46065</v>
      </c>
      <c r="B2069" t="inlineStr">
        <is>
          <t>Jessica Faria da Silveira</t>
        </is>
      </c>
      <c r="C2069" s="1" t="inlineStr">
        <is>
          <t>Técnico II</t>
        </is>
      </c>
      <c r="D2069" s="3" t="n">
        <v>19</v>
      </c>
      <c r="E2069" s="3" t="n">
        <v>17</v>
      </c>
      <c r="F2069" s="3" t="n">
        <v>30.31</v>
      </c>
      <c r="G2069" s="3" t="n">
        <v>0</v>
      </c>
      <c r="H2069" s="3" t="n">
        <v>0</v>
      </c>
      <c r="I2069" s="3">
        <f>E2069+G2069+H2069</f>
        <v/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/>
      </c>
      <c r="K2069" s="3">
        <f>I2069-J2069</f>
        <v/>
      </c>
      <c r="L2069" s="3">
        <f>IF(K2069&lt;-5,"CRÍTICO",IF(K2069&lt;0,"ATENÇÃO",IF(K2069&lt;=5,"BOM","EXCELENTE")))</f>
        <v/>
      </c>
      <c r="M2069" s="3" t="n">
        <v>16</v>
      </c>
      <c r="N2069" s="3" t="n">
        <v>99.06999999999999</v>
      </c>
      <c r="O2069" s="12" t="n">
        <v>26.3768115942029</v>
      </c>
    </row>
    <row r="2070">
      <c r="A2070" s="10" t="n">
        <v>46065</v>
      </c>
      <c r="B2070" t="inlineStr">
        <is>
          <t>Jéssica Fé Moura</t>
        </is>
      </c>
      <c r="C2070" s="1" t="inlineStr">
        <is>
          <t>Técnico III</t>
        </is>
      </c>
      <c r="D2070" s="3" t="n">
        <v>0</v>
      </c>
      <c r="E2070" s="3" t="n">
        <v>0</v>
      </c>
      <c r="F2070" s="3" t="n">
        <v>0</v>
      </c>
      <c r="G2070" s="3" t="n">
        <v>0</v>
      </c>
      <c r="H2070" s="3" t="n">
        <v>0</v>
      </c>
      <c r="I2070" s="3" t="n">
        <v>0</v>
      </c>
      <c r="J2070" s="3" t="n">
        <v>0</v>
      </c>
      <c r="K2070" s="3" t="n">
        <v>0</v>
      </c>
      <c r="L2070" s="3">
        <f>IF(K2070&lt;-5,"CRÍTICO",IF(K2070&lt;0,"ATENÇÃO",IF(K2070&lt;=5,"BOM","EXCELENTE")))</f>
        <v/>
      </c>
      <c r="M2070" s="3" t="n">
        <v>0</v>
      </c>
      <c r="N2070" s="3" t="n">
        <v>100</v>
      </c>
      <c r="O2070" s="12" t="n">
        <v>0</v>
      </c>
    </row>
    <row r="2071">
      <c r="A2071" s="10" t="n">
        <v>46065</v>
      </c>
      <c r="B2071" t="inlineStr">
        <is>
          <t>Karina Gonçalves Martins</t>
        </is>
      </c>
      <c r="C2071" s="1" t="inlineStr">
        <is>
          <t>JR</t>
        </is>
      </c>
      <c r="D2071" s="3" t="n">
        <v>8</v>
      </c>
      <c r="E2071" s="3" t="n">
        <v>7</v>
      </c>
      <c r="F2071" s="3" t="n">
        <v>32.06</v>
      </c>
      <c r="G2071" s="3" t="n">
        <v>0</v>
      </c>
      <c r="H2071" s="3" t="n">
        <v>0</v>
      </c>
      <c r="I2071" s="3">
        <f>E2071+G2071+H2071</f>
        <v/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/>
      </c>
      <c r="K2071" s="3">
        <f>I2071-J2071</f>
        <v/>
      </c>
      <c r="L2071" s="3">
        <f>IF(K2071&lt;-5,"CRÍTICO",IF(K2071&lt;0,"ATENÇÃO",IF(K2071&lt;=5,"BOM","EXCELENTE")))</f>
        <v/>
      </c>
      <c r="M2071" s="3" t="n">
        <v>7</v>
      </c>
      <c r="N2071" s="3" t="n">
        <v>98.48</v>
      </c>
      <c r="O2071" s="12" t="n">
        <v>27.85388127853881</v>
      </c>
    </row>
    <row r="2072">
      <c r="A2072" s="10" t="n">
        <v>46065</v>
      </c>
      <c r="B2072" t="inlineStr">
        <is>
          <t>Kerollen Cristielly de Jesus Siqueira</t>
        </is>
      </c>
      <c r="C2072" s="1" t="inlineStr">
        <is>
          <t>Técnico III</t>
        </is>
      </c>
      <c r="D2072" s="3" t="n">
        <v>11</v>
      </c>
      <c r="E2072" s="3" t="n">
        <v>9</v>
      </c>
      <c r="F2072" s="3" t="n">
        <v>15.24</v>
      </c>
      <c r="G2072" s="3" t="n">
        <v>0</v>
      </c>
      <c r="H2072" s="3" t="n">
        <v>0</v>
      </c>
      <c r="I2072" s="3">
        <f>E2072+G2072+H2072</f>
        <v/>
      </c>
      <c r="J2072" s="3">
        <f>ROUND(MIN(IF(C2072="Técnico III",35,IF(C2072="Técnico II",28,IF(C2072="Técnico I",23,IF(C2072="JR",20,IF(C2072="Estágio",10,0))))),IF(C2072="Técnico III",SUMIFS($D:$D,$A:$A,$A2072,$B:$B,"&lt;&gt;Patrícia Karla de Sousa Araújo",$B:$B,"&lt;&gt;Lorena Dias de Araujo",$B:$B,"&lt;&gt;Lucas Luiz Romero")*(35/1083),IF(C2072="Técnico II",SUMIFS($D:$D,$A:$A,$A2072,$B:$B,"&lt;&gt;Patrícia Karla de Sousa Araújo",$B:$B,"&lt;&gt;Lorena Dias de Araujo",$B:$B,"&lt;&gt;Lucas Luiz Romero")*(28/1083),IF(C2072="Técnico I",SUMIFS($D:$D,$A:$A,$A2072,$B:$B,"&lt;&gt;Patrícia Karla de Sousa Araújo",$B:$B,"&lt;&gt;Lorena Dias de Araujo",$B:$B,"&lt;&gt;Lucas Luiz Romero")*(23/1083),IF(C2072="JR",SUMIFS($D:$D,$A:$A,$A2072,$B:$B,"&lt;&gt;Patrícia Karla de Sousa Araújo",$B:$B,"&lt;&gt;Lorena Dias de Araujo",$B:$B,"&lt;&gt;Lucas Luiz Romero")*(20/1083),IF(C2072="Estágio",SUMIFS($D:$D,$A:$A,$A2072,$B:$B,"&lt;&gt;Patrícia Karla de Sousa Araújo",$B:$B,"&lt;&gt;Lorena Dias de Araujo",$B:$B,"&lt;&gt;Lucas Luiz Romero")*(10/1083),0)))))),0)</f>
        <v/>
      </c>
      <c r="K2072" s="3">
        <f>I2072-J2072</f>
        <v/>
      </c>
      <c r="L2072" s="3">
        <f>IF(K2072&lt;-5,"CRÍTICO",IF(K2072&lt;0,"ATENÇÃO",IF(K2072&lt;=5,"BOM","EXCELENTE")))</f>
        <v/>
      </c>
      <c r="M2072" s="3" t="n">
        <v>21</v>
      </c>
      <c r="N2072" s="3" t="n">
        <v>95.15000000000001</v>
      </c>
      <c r="O2072" s="12" t="n">
        <v>34.13173652694611</v>
      </c>
    </row>
    <row r="2073">
      <c r="A2073" s="10" t="n">
        <v>46065</v>
      </c>
      <c r="B2073" t="inlineStr">
        <is>
          <t>Leandro de Souza Silva</t>
        </is>
      </c>
      <c r="C2073" s="1" t="inlineStr">
        <is>
          <t>JR</t>
        </is>
      </c>
      <c r="D2073" s="3" t="n">
        <v>0</v>
      </c>
      <c r="E2073" s="3" t="n">
        <v>0</v>
      </c>
      <c r="F2073" s="3" t="n">
        <v>0</v>
      </c>
      <c r="G2073" s="3" t="n">
        <v>0</v>
      </c>
      <c r="H2073" s="3" t="n">
        <v>0</v>
      </c>
      <c r="I2073" s="3" t="n">
        <v>0</v>
      </c>
      <c r="J2073" s="3" t="n">
        <v>0</v>
      </c>
      <c r="K2073" s="3" t="n">
        <v>0</v>
      </c>
      <c r="L2073" s="3">
        <f>IF(K2073&lt;-5,"CRÍTICO",IF(K2073&lt;0,"ATENÇÃO",IF(K2073&lt;=5,"BOM","EXCELENTE")))</f>
        <v/>
      </c>
      <c r="M2073" s="3" t="n">
        <v>0</v>
      </c>
      <c r="N2073" s="3" t="n">
        <v>0</v>
      </c>
      <c r="O2073" s="12" t="n">
        <v>0</v>
      </c>
    </row>
    <row r="2074">
      <c r="A2074" s="10" t="n">
        <v>46065</v>
      </c>
      <c r="B2074" t="inlineStr">
        <is>
          <t>Leandro Oliveira de Sousa</t>
        </is>
      </c>
      <c r="C2074" s="1" t="inlineStr">
        <is>
          <t>Técnico III</t>
        </is>
      </c>
      <c r="D2074" s="3" t="n">
        <v>29</v>
      </c>
      <c r="E2074" s="3" t="n">
        <v>29</v>
      </c>
      <c r="F2074" s="3" t="n">
        <v>19.17</v>
      </c>
      <c r="G2074" s="3" t="n">
        <v>0</v>
      </c>
      <c r="H2074" s="3" t="n">
        <v>0</v>
      </c>
      <c r="I2074" s="3">
        <f>E2074+G2074+H2074</f>
        <v/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/>
      </c>
      <c r="K2074" s="3">
        <f>I2074-J2074</f>
        <v/>
      </c>
      <c r="L2074" s="3">
        <f>IF(K2074&lt;-5,"CRÍTICO",IF(K2074&lt;0,"ATENÇÃO",IF(K2074&lt;=5,"BOM","EXCELENTE")))</f>
        <v/>
      </c>
      <c r="M2074" s="3" t="n">
        <v>26</v>
      </c>
      <c r="N2074" s="3" t="n">
        <v>99.26000000000001</v>
      </c>
      <c r="O2074" s="12" t="n">
        <v>30.84832904884319</v>
      </c>
    </row>
    <row r="2075">
      <c r="A2075" s="10" t="n">
        <v>46065</v>
      </c>
      <c r="B2075" t="inlineStr">
        <is>
          <t>Lizandra Gomes Duarte</t>
        </is>
      </c>
      <c r="C2075" s="1" t="inlineStr">
        <is>
          <t>Técnico II</t>
        </is>
      </c>
      <c r="D2075" s="3" t="n">
        <v>41</v>
      </c>
      <c r="E2075" s="3" t="n">
        <v>36</v>
      </c>
      <c r="F2075" s="3" t="n">
        <v>18.57</v>
      </c>
      <c r="G2075" s="3" t="n">
        <v>0</v>
      </c>
      <c r="H2075" s="3" t="n">
        <v>0</v>
      </c>
      <c r="I2075" s="3">
        <f>E2075+G2075+H2075</f>
        <v/>
      </c>
      <c r="J2075" s="3">
        <f>ROUND(MIN(IF(C2075="Técnico III",35,IF(C2075="Técnico II",28,IF(C2075="Técnico I",23,IF(C2075="JR",20,IF(C2075="Estágio",10,0))))),IF(C2075="Técnico III",SUMIFS($D:$D,$A:$A,$A2075,$B:$B,"&lt;&gt;Patrícia Karla de Sousa Araújo",$B:$B,"&lt;&gt;Lorena Dias de Araujo",$B:$B,"&lt;&gt;Lucas Luiz Romero")*(35/1083),IF(C2075="Técnico II",SUMIFS($D:$D,$A:$A,$A2075,$B:$B,"&lt;&gt;Patrícia Karla de Sousa Araújo",$B:$B,"&lt;&gt;Lorena Dias de Araujo",$B:$B,"&lt;&gt;Lucas Luiz Romero")*(28/1083),IF(C2075="Técnico I",SUMIFS($D:$D,$A:$A,$A2075,$B:$B,"&lt;&gt;Patrícia Karla de Sousa Araújo",$B:$B,"&lt;&gt;Lorena Dias de Araujo",$B:$B,"&lt;&gt;Lucas Luiz Romero")*(23/1083),IF(C2075="JR",SUMIFS($D:$D,$A:$A,$A2075,$B:$B,"&lt;&gt;Patrícia Karla de Sousa Araújo",$B:$B,"&lt;&gt;Lorena Dias de Araujo",$B:$B,"&lt;&gt;Lucas Luiz Romero")*(20/1083),IF(C2075="Estágio",SUMIFS($D:$D,$A:$A,$A2075,$B:$B,"&lt;&gt;Patrícia Karla de Sousa Araújo",$B:$B,"&lt;&gt;Lorena Dias de Araujo",$B:$B,"&lt;&gt;Lucas Luiz Romero")*(10/1083),0)))))),0)</f>
        <v/>
      </c>
      <c r="K2075" s="3">
        <f>I2075-J2075</f>
        <v/>
      </c>
      <c r="L2075" s="3">
        <f>IF(K2075&lt;-5,"CRÍTICO",IF(K2075&lt;0,"ATENÇÃO",IF(K2075&lt;=5,"BOM","EXCELENTE")))</f>
        <v/>
      </c>
      <c r="M2075" s="3" t="n">
        <v>23</v>
      </c>
      <c r="N2075" s="3" t="n">
        <v>97.48</v>
      </c>
      <c r="O2075" s="12" t="n">
        <v>27.76470588235294</v>
      </c>
    </row>
    <row r="2076">
      <c r="A2076" s="10" t="n">
        <v>46065</v>
      </c>
      <c r="B2076" t="inlineStr">
        <is>
          <t>Lorena Dias de Araujo</t>
        </is>
      </c>
      <c r="C2076" s="1" t="inlineStr">
        <is>
          <t>Técnico II</t>
        </is>
      </c>
      <c r="D2076" s="3" t="n">
        <v>25</v>
      </c>
      <c r="E2076" s="3" t="n">
        <v>23</v>
      </c>
      <c r="F2076" s="3" t="n">
        <v>20.41</v>
      </c>
      <c r="G2076" s="3" t="n">
        <v>0</v>
      </c>
      <c r="H2076" s="3" t="n">
        <v>0</v>
      </c>
      <c r="I2076" s="3" t="n">
        <v>0</v>
      </c>
      <c r="J2076" s="3" t="n">
        <v>0</v>
      </c>
      <c r="K2076" s="3" t="n">
        <v>0</v>
      </c>
      <c r="L2076" s="3">
        <f>IF(K2076&lt;-5,"CRÍTICO",IF(K2076&lt;0,"ATENÇÃO",IF(K2076&lt;=5,"BOM","EXCELENTE")))</f>
        <v/>
      </c>
      <c r="M2076" s="3" t="n">
        <v>19</v>
      </c>
      <c r="N2076" s="3" t="n">
        <v>99.34</v>
      </c>
      <c r="O2076" s="12" t="n">
        <v>30.04291845493562</v>
      </c>
    </row>
    <row r="2077">
      <c r="A2077" s="10" t="n">
        <v>46065</v>
      </c>
      <c r="B2077" t="inlineStr">
        <is>
          <t>Lucas Luiz Romero</t>
        </is>
      </c>
      <c r="C2077" s="1" t="inlineStr">
        <is>
          <t>Técnico III</t>
        </is>
      </c>
      <c r="D2077" s="3" t="n">
        <v>0</v>
      </c>
      <c r="E2077" s="3" t="n">
        <v>0</v>
      </c>
      <c r="F2077" s="3" t="n">
        <v>0</v>
      </c>
      <c r="G2077" s="3" t="n">
        <v>0</v>
      </c>
      <c r="H2077" s="3" t="n">
        <v>0</v>
      </c>
      <c r="I2077" s="3" t="n">
        <v>0</v>
      </c>
      <c r="J2077" s="3" t="n">
        <v>0</v>
      </c>
      <c r="K2077" s="3" t="n">
        <v>0</v>
      </c>
      <c r="L2077" s="3">
        <f>IF(K2077&lt;-5,"CRÍTICO",IF(K2077&lt;0,"ATENÇÃO",IF(K2077&lt;=5,"BOM","EXCELENTE")))</f>
        <v/>
      </c>
      <c r="M2077" s="3" t="n">
        <v>0</v>
      </c>
      <c r="N2077" s="3" t="n">
        <v>96.3</v>
      </c>
      <c r="O2077" s="12" t="n">
        <v>24.29378531073446</v>
      </c>
    </row>
    <row r="2078">
      <c r="A2078" s="10" t="n">
        <v>46065</v>
      </c>
      <c r="B2078" t="inlineStr">
        <is>
          <t>Luiz Fernando de Carvalho Junior</t>
        </is>
      </c>
      <c r="C2078" s="1" t="inlineStr">
        <is>
          <t>Técnico I</t>
        </is>
      </c>
      <c r="D2078" s="3" t="n">
        <v>29</v>
      </c>
      <c r="E2078" s="3" t="n">
        <v>28</v>
      </c>
      <c r="F2078" s="3" t="n">
        <v>23.4</v>
      </c>
      <c r="G2078" s="3" t="n">
        <v>0</v>
      </c>
      <c r="H2078" s="3" t="n">
        <v>0</v>
      </c>
      <c r="I2078" s="3">
        <f>E2078+G2078+H2078</f>
        <v/>
      </c>
      <c r="J2078" s="3">
        <f>ROUND(MIN(IF(C2078="Técnico III",35,IF(C2078="Técnico II",28,IF(C2078="Técnico I",23,IF(C2078="JR",20,IF(C2078="Estágio",10,0))))),IF(C2078="Técnico III",SUMIFS($D:$D,$A:$A,$A2078,$B:$B,"&lt;&gt;Patrícia Karla de Sousa Araújo",$B:$B,"&lt;&gt;Lorena Dias de Araujo",$B:$B,"&lt;&gt;Lucas Luiz Romero")*(35/1083),IF(C2078="Técnico II",SUMIFS($D:$D,$A:$A,$A2078,$B:$B,"&lt;&gt;Patrícia Karla de Sousa Araújo",$B:$B,"&lt;&gt;Lorena Dias de Araujo",$B:$B,"&lt;&gt;Lucas Luiz Romero")*(28/1083),IF(C2078="Técnico I",SUMIFS($D:$D,$A:$A,$A2078,$B:$B,"&lt;&gt;Patrícia Karla de Sousa Araújo",$B:$B,"&lt;&gt;Lorena Dias de Araujo",$B:$B,"&lt;&gt;Lucas Luiz Romero")*(23/1083),IF(C2078="JR",SUMIFS($D:$D,$A:$A,$A2078,$B:$B,"&lt;&gt;Patrícia Karla de Sousa Araújo",$B:$B,"&lt;&gt;Lorena Dias de Araujo",$B:$B,"&lt;&gt;Lucas Luiz Romero")*(20/1083),IF(C2078="Estágio",SUMIFS($D:$D,$A:$A,$A2078,$B:$B,"&lt;&gt;Patrícia Karla de Sousa Araújo",$B:$B,"&lt;&gt;Lorena Dias de Araujo",$B:$B,"&lt;&gt;Lucas Luiz Romero")*(10/1083),0)))))),0)</f>
        <v/>
      </c>
      <c r="K2078" s="3">
        <f>I2078-J2078</f>
        <v/>
      </c>
      <c r="L2078" s="3">
        <f>IF(K2078&lt;-5,"CRÍTICO",IF(K2078&lt;0,"ATENÇÃO",IF(K2078&lt;=5,"BOM","EXCELENTE")))</f>
        <v/>
      </c>
      <c r="M2078" s="3" t="n">
        <v>23</v>
      </c>
      <c r="N2078" s="3" t="n">
        <v>100</v>
      </c>
      <c r="O2078" s="12" t="n">
        <v>26.54320987654321</v>
      </c>
    </row>
    <row r="2079">
      <c r="A2079" s="10" t="n">
        <v>46065</v>
      </c>
      <c r="B2079" t="inlineStr">
        <is>
          <t>Maria Eduarda Sousa Costa</t>
        </is>
      </c>
      <c r="C2079" s="1" t="inlineStr">
        <is>
          <t>Estágio</t>
        </is>
      </c>
      <c r="D2079" s="3" t="n">
        <v>37</v>
      </c>
      <c r="E2079" s="3" t="n">
        <v>16</v>
      </c>
      <c r="F2079" s="3" t="n">
        <v>8.289999999999999</v>
      </c>
      <c r="G2079" s="3" t="n">
        <v>0</v>
      </c>
      <c r="H2079" s="3" t="n">
        <v>0</v>
      </c>
      <c r="I2079" s="3">
        <f>E2079+G2079+H2079</f>
        <v/>
      </c>
      <c r="J2079" s="3">
        <f>ROUND(MIN(IF(C2079="Técnico III",35,IF(C2079="Técnico II",28,IF(C2079="Técnico I",23,IF(C2079="JR",20,IF(C2079="Estágio",10,0))))),IF(C2079="Técnico III",SUMIFS($D:$D,$A:$A,$A2079,$B:$B,"&lt;&gt;Patrícia Karla de Sousa Araújo",$B:$B,"&lt;&gt;Lorena Dias de Araujo",$B:$B,"&lt;&gt;Lucas Luiz Romero")*(35/1083),IF(C2079="Técnico II",SUMIFS($D:$D,$A:$A,$A2079,$B:$B,"&lt;&gt;Patrícia Karla de Sousa Araújo",$B:$B,"&lt;&gt;Lorena Dias de Araujo",$B:$B,"&lt;&gt;Lucas Luiz Romero")*(28/1083),IF(C2079="Técnico I",SUMIFS($D:$D,$A:$A,$A2079,$B:$B,"&lt;&gt;Patrícia Karla de Sousa Araújo",$B:$B,"&lt;&gt;Lorena Dias de Araujo",$B:$B,"&lt;&gt;Lucas Luiz Romero")*(23/1083),IF(C2079="JR",SUMIFS($D:$D,$A:$A,$A2079,$B:$B,"&lt;&gt;Patrícia Karla de Sousa Araújo",$B:$B,"&lt;&gt;Lorena Dias de Araujo",$B:$B,"&lt;&gt;Lucas Luiz Romero")*(20/1083),IF(C2079="Estágio",SUMIFS($D:$D,$A:$A,$A2079,$B:$B,"&lt;&gt;Patrícia Karla de Sousa Araújo",$B:$B,"&lt;&gt;Lorena Dias de Araujo",$B:$B,"&lt;&gt;Lucas Luiz Romero")*(10/1083),0)))))),0)</f>
        <v/>
      </c>
      <c r="K2079" s="3">
        <f>I2079-J2079</f>
        <v/>
      </c>
      <c r="L2079" s="3">
        <f>IF(K2079&lt;-5,"CRÍTICO",IF(K2079&lt;0,"ATENÇÃO",IF(K2079&lt;=5,"BOM","EXCELENTE")))</f>
        <v/>
      </c>
      <c r="M2079" s="3" t="n">
        <v>1</v>
      </c>
      <c r="N2079" s="3" t="n">
        <v>100</v>
      </c>
      <c r="O2079" s="12" t="n">
        <v>35.48387096774194</v>
      </c>
    </row>
    <row r="2080">
      <c r="A2080" s="10" t="n">
        <v>46065</v>
      </c>
      <c r="B2080" t="inlineStr">
        <is>
          <t>Matheus Farias De Souza</t>
        </is>
      </c>
      <c r="C2080" s="1" t="inlineStr">
        <is>
          <t>Técnico III</t>
        </is>
      </c>
      <c r="D2080" s="3" t="n">
        <v>37</v>
      </c>
      <c r="E2080" s="3" t="n">
        <v>34</v>
      </c>
      <c r="F2080" s="3" t="n">
        <v>15.47</v>
      </c>
      <c r="G2080" s="3" t="n">
        <v>0</v>
      </c>
      <c r="H2080" s="3" t="n">
        <v>0</v>
      </c>
      <c r="I2080" s="3">
        <f>E2080+G2080+H2080</f>
        <v/>
      </c>
      <c r="J2080" s="3">
        <f>ROUND(MIN(IF(C2080="Técnico III",35,IF(C2080="Técnico II",28,IF(C2080="Técnico I",23,IF(C2080="JR",20,IF(C2080="Estágio",10,0))))),IF(C2080="Técnico III",SUMIFS($D:$D,$A:$A,$A2080,$B:$B,"&lt;&gt;Patrícia Karla de Sousa Araújo",$B:$B,"&lt;&gt;Lorena Dias de Araujo",$B:$B,"&lt;&gt;Lucas Luiz Romero")*(35/1083),IF(C2080="Técnico II",SUMIFS($D:$D,$A:$A,$A2080,$B:$B,"&lt;&gt;Patrícia Karla de Sousa Araújo",$B:$B,"&lt;&gt;Lorena Dias de Araujo",$B:$B,"&lt;&gt;Lucas Luiz Romero")*(28/1083),IF(C2080="Técnico I",SUMIFS($D:$D,$A:$A,$A2080,$B:$B,"&lt;&gt;Patrícia Karla de Sousa Araújo",$B:$B,"&lt;&gt;Lorena Dias de Araujo",$B:$B,"&lt;&gt;Lucas Luiz Romero")*(23/1083),IF(C2080="JR",SUMIFS($D:$D,$A:$A,$A2080,$B:$B,"&lt;&gt;Patrícia Karla de Sousa Araújo",$B:$B,"&lt;&gt;Lorena Dias de Araujo",$B:$B,"&lt;&gt;Lucas Luiz Romero")*(20/1083),IF(C2080="Estágio",SUMIFS($D:$D,$A:$A,$A2080,$B:$B,"&lt;&gt;Patrícia Karla de Sousa Araújo",$B:$B,"&lt;&gt;Lorena Dias de Araujo",$B:$B,"&lt;&gt;Lucas Luiz Romero")*(10/1083),0)))))),0)</f>
        <v/>
      </c>
      <c r="K2080" s="3">
        <f>I2080-J2080</f>
        <v/>
      </c>
      <c r="L2080" s="3">
        <f>IF(K2080&lt;-5,"CRÍTICO",IF(K2080&lt;0,"ATENÇÃO",IF(K2080&lt;=5,"BOM","EXCELENTE")))</f>
        <v/>
      </c>
      <c r="M2080" s="3" t="n">
        <v>31</v>
      </c>
      <c r="N2080" s="3" t="n">
        <v>99.27</v>
      </c>
      <c r="O2080" s="12" t="n">
        <v>31.16370808678501</v>
      </c>
    </row>
    <row r="2081">
      <c r="A2081" s="10" t="n">
        <v>46065</v>
      </c>
      <c r="B2081" t="inlineStr">
        <is>
          <t>Maysa Victoria Dias Moura</t>
        </is>
      </c>
      <c r="C2081" s="1" t="inlineStr">
        <is>
          <t>Técnico III</t>
        </is>
      </c>
      <c r="D2081" s="3" t="n">
        <v>18</v>
      </c>
      <c r="E2081" s="3" t="n">
        <v>17</v>
      </c>
      <c r="F2081" s="3" t="n">
        <v>20.59</v>
      </c>
      <c r="G2081" s="3" t="n">
        <v>0</v>
      </c>
      <c r="H2081" s="3" t="n">
        <v>0</v>
      </c>
      <c r="I2081" s="3">
        <f>E2081+G2081+H2081</f>
        <v/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/>
      </c>
      <c r="K2081" s="3">
        <f>I2081-J2081</f>
        <v/>
      </c>
      <c r="L2081" s="3">
        <f>IF(K2081&lt;-5,"CRÍTICO",IF(K2081&lt;0,"ATENÇÃO",IF(K2081&lt;=5,"BOM","EXCELENTE")))</f>
        <v/>
      </c>
      <c r="M2081" s="3" t="n">
        <v>16</v>
      </c>
      <c r="N2081" s="3" t="n">
        <v>94.16</v>
      </c>
      <c r="O2081" s="12" t="n">
        <v>27.03862660944206</v>
      </c>
    </row>
    <row r="2082">
      <c r="A2082" s="10" t="n">
        <v>46065</v>
      </c>
      <c r="B2082" t="inlineStr">
        <is>
          <t>Michelle G Santos</t>
        </is>
      </c>
      <c r="C2082" s="1" t="inlineStr">
        <is>
          <t>Estágio</t>
        </is>
      </c>
      <c r="D2082" s="3" t="n">
        <v>14</v>
      </c>
      <c r="E2082" s="3" t="n">
        <v>13</v>
      </c>
      <c r="F2082" s="3" t="n">
        <v>57.03</v>
      </c>
      <c r="G2082" s="3" t="n">
        <v>0</v>
      </c>
      <c r="H2082" s="3" t="n">
        <v>0</v>
      </c>
      <c r="I2082" s="3">
        <f>E2082+G2082+H2082</f>
        <v/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/>
      </c>
      <c r="K2082" s="3">
        <f>I2082-J2082</f>
        <v/>
      </c>
      <c r="L2082" s="3">
        <f>IF(K2082&lt;-5,"CRÍTICO",IF(K2082&lt;0,"ATENÇÃO",IF(K2082&lt;=5,"BOM","EXCELENTE")))</f>
        <v/>
      </c>
      <c r="M2082" s="3" t="n">
        <v>4</v>
      </c>
      <c r="N2082" s="3" t="n">
        <v>93.75</v>
      </c>
      <c r="O2082" s="12" t="n">
        <v>19.31818181818182</v>
      </c>
    </row>
    <row r="2083">
      <c r="A2083" s="10" t="n">
        <v>46065</v>
      </c>
      <c r="B2083" t="inlineStr">
        <is>
          <t>Milena Sales</t>
        </is>
      </c>
      <c r="C2083" s="1" t="inlineStr">
        <is>
          <t>JR</t>
        </is>
      </c>
      <c r="D2083" s="3" t="n">
        <v>0</v>
      </c>
      <c r="E2083" s="3" t="n">
        <v>0</v>
      </c>
      <c r="F2083" s="3" t="n">
        <v>0</v>
      </c>
      <c r="G2083" s="3" t="n">
        <v>0</v>
      </c>
      <c r="H2083" s="3" t="n">
        <v>0</v>
      </c>
      <c r="I2083" s="3" t="n">
        <v>0</v>
      </c>
      <c r="J2083" s="3" t="n">
        <v>0</v>
      </c>
      <c r="K2083" s="3" t="n">
        <v>0</v>
      </c>
      <c r="L2083" s="3">
        <f>IF(K2083&lt;-5,"CRÍTICO",IF(K2083&lt;0,"ATENÇÃO",IF(K2083&lt;=5,"BOM","EXCELENTE")))</f>
        <v/>
      </c>
      <c r="M2083" s="3" t="n">
        <v>0</v>
      </c>
      <c r="N2083" s="3" t="n">
        <v>0</v>
      </c>
      <c r="O2083" s="12" t="n">
        <v>0</v>
      </c>
    </row>
    <row r="2084">
      <c r="A2084" s="10" t="n">
        <v>46065</v>
      </c>
      <c r="B2084" t="inlineStr">
        <is>
          <t>Patrícia Karla de Sousa Araújo</t>
        </is>
      </c>
      <c r="C2084" s="1" t="inlineStr">
        <is>
          <t>Técnico II</t>
        </is>
      </c>
      <c r="D2084" s="3" t="n">
        <v>0</v>
      </c>
      <c r="E2084" s="3" t="n">
        <v>0</v>
      </c>
      <c r="F2084" s="3" t="n">
        <v>0</v>
      </c>
      <c r="G2084" s="3" t="n">
        <v>0</v>
      </c>
      <c r="H2084" s="3" t="n">
        <v>0</v>
      </c>
      <c r="I2084" s="3" t="n">
        <v>0</v>
      </c>
      <c r="J2084" s="3" t="n">
        <v>0</v>
      </c>
      <c r="K2084" s="3" t="n">
        <v>0</v>
      </c>
      <c r="L2084" s="3">
        <f>IF(K2084&lt;-5,"CRÍTICO",IF(K2084&lt;0,"ATENÇÃO",IF(K2084&lt;=5,"BOM","EXCELENTE")))</f>
        <v/>
      </c>
      <c r="M2084" s="3" t="n">
        <v>0</v>
      </c>
      <c r="N2084" s="3" t="n">
        <v>97.92</v>
      </c>
      <c r="O2084" s="12" t="n">
        <v>32.87671232876712</v>
      </c>
    </row>
    <row r="2085">
      <c r="A2085" s="10" t="n">
        <v>46065</v>
      </c>
      <c r="B2085" t="inlineStr">
        <is>
          <t>Paulo Ricardo Santos</t>
        </is>
      </c>
      <c r="C2085" s="1" t="inlineStr">
        <is>
          <t>JR</t>
        </is>
      </c>
      <c r="D2085" s="3" t="n">
        <v>0</v>
      </c>
      <c r="E2085" s="3" t="n">
        <v>0</v>
      </c>
      <c r="F2085" s="3" t="n">
        <v>0</v>
      </c>
      <c r="G2085" s="3" t="n">
        <v>0</v>
      </c>
      <c r="H2085" s="3" t="n">
        <v>0</v>
      </c>
      <c r="I2085" s="3" t="n">
        <v>0</v>
      </c>
      <c r="J2085" s="3" t="n">
        <v>0</v>
      </c>
      <c r="K2085" s="3" t="n">
        <v>0</v>
      </c>
      <c r="L2085" s="3">
        <f>IF(K2085&lt;-5,"CRÍTICO",IF(K2085&lt;0,"ATENÇÃO",IF(K2085&lt;=5,"BOM","EXCELENTE")))</f>
        <v/>
      </c>
      <c r="M2085" s="3" t="n">
        <v>0</v>
      </c>
      <c r="N2085" s="3" t="n">
        <v>0</v>
      </c>
      <c r="O2085" s="12" t="n">
        <v>0</v>
      </c>
    </row>
    <row r="2086">
      <c r="A2086" s="10" t="n">
        <v>46065</v>
      </c>
      <c r="B2086" t="inlineStr">
        <is>
          <t>Pedro Luiz Mota Sousa</t>
        </is>
      </c>
      <c r="C2086" s="1" t="inlineStr">
        <is>
          <t>JR</t>
        </is>
      </c>
      <c r="D2086" s="3" t="n">
        <v>0</v>
      </c>
      <c r="E2086" s="3" t="n">
        <v>0</v>
      </c>
      <c r="F2086" s="3" t="n">
        <v>0</v>
      </c>
      <c r="G2086" s="3" t="n">
        <v>0</v>
      </c>
      <c r="H2086" s="3" t="n">
        <v>0</v>
      </c>
      <c r="I2086" s="3" t="n">
        <v>0</v>
      </c>
      <c r="J2086" s="3" t="n">
        <v>0</v>
      </c>
      <c r="K2086" s="3" t="n">
        <v>0</v>
      </c>
      <c r="L2086" s="3">
        <f>IF(K2086&lt;-5,"CRÍTICO",IF(K2086&lt;0,"ATENÇÃO",IF(K2086&lt;=5,"BOM","EXCELENTE")))</f>
        <v/>
      </c>
      <c r="M2086" s="3" t="n">
        <v>0</v>
      </c>
      <c r="N2086" s="3" t="n">
        <v>0</v>
      </c>
      <c r="O2086" s="12" t="n">
        <v>0</v>
      </c>
    </row>
    <row r="2087">
      <c r="A2087" s="10" t="n">
        <v>46065</v>
      </c>
      <c r="B2087" t="inlineStr">
        <is>
          <t>Quirino Diogo Leite Torres</t>
        </is>
      </c>
      <c r="C2087" s="1" t="inlineStr">
        <is>
          <t>Estágio</t>
        </is>
      </c>
      <c r="D2087" s="3" t="n">
        <v>0</v>
      </c>
      <c r="E2087" s="3" t="n">
        <v>0</v>
      </c>
      <c r="F2087" s="3" t="n">
        <v>0</v>
      </c>
      <c r="G2087" s="3" t="n">
        <v>0</v>
      </c>
      <c r="H2087" s="3" t="n">
        <v>0</v>
      </c>
      <c r="I2087" s="3" t="n">
        <v>0</v>
      </c>
      <c r="J2087" s="3" t="n">
        <v>0</v>
      </c>
      <c r="K2087" s="3" t="n">
        <v>0</v>
      </c>
      <c r="L2087" s="3">
        <f>IF(K2087&lt;-5,"CRÍTICO",IF(K2087&lt;0,"ATENÇÃO",IF(K2087&lt;=5,"BOM","EXCELENTE")))</f>
        <v/>
      </c>
      <c r="M2087" s="3" t="n">
        <v>0</v>
      </c>
      <c r="N2087" s="3" t="n">
        <v>0</v>
      </c>
      <c r="O2087" s="12" t="n">
        <v>0</v>
      </c>
    </row>
    <row r="2088">
      <c r="A2088" s="10" t="n">
        <v>46065</v>
      </c>
      <c r="B2088" t="inlineStr">
        <is>
          <t>Raane Batista Matos</t>
        </is>
      </c>
      <c r="C2088" s="1" t="inlineStr">
        <is>
          <t>Técnico I</t>
        </is>
      </c>
      <c r="D2088" s="3" t="n">
        <v>27</v>
      </c>
      <c r="E2088" s="3" t="n">
        <v>24</v>
      </c>
      <c r="F2088" s="3" t="n">
        <v>19.01</v>
      </c>
      <c r="G2088" s="3" t="n">
        <v>0</v>
      </c>
      <c r="H2088" s="3" t="n">
        <v>0</v>
      </c>
      <c r="I2088" s="3">
        <f>E2088+G2088+H2088</f>
        <v/>
      </c>
      <c r="J2088" s="3">
        <f>ROUND(MIN(IF(C2088="Técnico III",35,IF(C2088="Técnico II",28,IF(C2088="Técnico I",23,IF(C2088="JR",20,IF(C2088="Estágio",10,0))))),IF(C2088="Técnico III",SUMIFS($D:$D,$A:$A,$A2088,$B:$B,"&lt;&gt;Patrícia Karla de Sousa Araújo",$B:$B,"&lt;&gt;Lorena Dias de Araujo",$B:$B,"&lt;&gt;Lucas Luiz Romero")*(35/1083),IF(C2088="Técnico II",SUMIFS($D:$D,$A:$A,$A2088,$B:$B,"&lt;&gt;Patrícia Karla de Sousa Araújo",$B:$B,"&lt;&gt;Lorena Dias de Araujo",$B:$B,"&lt;&gt;Lucas Luiz Romero")*(28/1083),IF(C2088="Técnico I",SUMIFS($D:$D,$A:$A,$A2088,$B:$B,"&lt;&gt;Patrícia Karla de Sousa Araújo",$B:$B,"&lt;&gt;Lorena Dias de Araujo",$B:$B,"&lt;&gt;Lucas Luiz Romero")*(23/1083),IF(C2088="JR",SUMIFS($D:$D,$A:$A,$A2088,$B:$B,"&lt;&gt;Patrícia Karla de Sousa Araújo",$B:$B,"&lt;&gt;Lorena Dias de Araujo",$B:$B,"&lt;&gt;Lucas Luiz Romero")*(20/1083),IF(C2088="Estágio",SUMIFS($D:$D,$A:$A,$A2088,$B:$B,"&lt;&gt;Patrícia Karla de Sousa Araújo",$B:$B,"&lt;&gt;Lorena Dias de Araujo",$B:$B,"&lt;&gt;Lucas Luiz Romero")*(10/1083),0)))))),0)</f>
        <v/>
      </c>
      <c r="K2088" s="3">
        <f>I2088-J2088</f>
        <v/>
      </c>
      <c r="L2088" s="3">
        <f>IF(K2088&lt;-5,"CRÍTICO",IF(K2088&lt;0,"ATENÇÃO",IF(K2088&lt;=5,"BOM","EXCELENTE")))</f>
        <v/>
      </c>
      <c r="M2088" s="3" t="n">
        <v>20</v>
      </c>
      <c r="N2088" s="3" t="n">
        <v>98.51000000000001</v>
      </c>
      <c r="O2088" s="12" t="n">
        <v>29.71014492753623</v>
      </c>
    </row>
    <row r="2089">
      <c r="A2089" s="10" t="n">
        <v>46065</v>
      </c>
      <c r="B2089" t="inlineStr">
        <is>
          <t>Rafael Gomes de Morais</t>
        </is>
      </c>
      <c r="C2089" s="1" t="inlineStr">
        <is>
          <t>Técnico III</t>
        </is>
      </c>
      <c r="D2089" s="3" t="n">
        <v>54</v>
      </c>
      <c r="E2089" s="3" t="n">
        <v>46</v>
      </c>
      <c r="F2089" s="3" t="n">
        <v>13.36</v>
      </c>
      <c r="G2089" s="3" t="n">
        <v>0</v>
      </c>
      <c r="H2089" s="3" t="n">
        <v>0</v>
      </c>
      <c r="I2089" s="3">
        <f>E2089+G2089+H2089</f>
        <v/>
      </c>
      <c r="J2089" s="3">
        <f>ROUND(MIN(IF(C2089="Técnico III",35,IF(C2089="Técnico II",28,IF(C2089="Técnico I",23,IF(C2089="JR",20,IF(C2089="Estágio",10,0))))),IF(C2089="Técnico III",SUMIFS($D:$D,$A:$A,$A2089,$B:$B,"&lt;&gt;Patrícia Karla de Sousa Araújo",$B:$B,"&lt;&gt;Lorena Dias de Araujo",$B:$B,"&lt;&gt;Lucas Luiz Romero")*(35/1083),IF(C2089="Técnico II",SUMIFS($D:$D,$A:$A,$A2089,$B:$B,"&lt;&gt;Patrícia Karla de Sousa Araújo",$B:$B,"&lt;&gt;Lorena Dias de Araujo",$B:$B,"&lt;&gt;Lucas Luiz Romero")*(28/1083),IF(C2089="Técnico I",SUMIFS($D:$D,$A:$A,$A2089,$B:$B,"&lt;&gt;Patrícia Karla de Sousa Araújo",$B:$B,"&lt;&gt;Lorena Dias de Araujo",$B:$B,"&lt;&gt;Lucas Luiz Romero")*(23/1083),IF(C2089="JR",SUMIFS($D:$D,$A:$A,$A2089,$B:$B,"&lt;&gt;Patrícia Karla de Sousa Araújo",$B:$B,"&lt;&gt;Lorena Dias de Araujo",$B:$B,"&lt;&gt;Lucas Luiz Romero")*(20/1083),IF(C2089="Estágio",SUMIFS($D:$D,$A:$A,$A2089,$B:$B,"&lt;&gt;Patrícia Karla de Sousa Araújo",$B:$B,"&lt;&gt;Lorena Dias de Araujo",$B:$B,"&lt;&gt;Lucas Luiz Romero")*(10/1083),0)))))),0)</f>
        <v/>
      </c>
      <c r="K2089" s="3">
        <f>I2089-J2089</f>
        <v/>
      </c>
      <c r="L2089" s="3">
        <f>IF(K2089&lt;-5,"CRÍTICO",IF(K2089&lt;0,"ATENÇÃO",IF(K2089&lt;=5,"BOM","EXCELENTE")))</f>
        <v/>
      </c>
      <c r="M2089" s="3" t="n">
        <v>43</v>
      </c>
      <c r="N2089" s="3" t="n">
        <v>98.81</v>
      </c>
      <c r="O2089" s="12" t="n">
        <v>30.71297989031079</v>
      </c>
    </row>
    <row r="2090">
      <c r="A2090" s="10" t="n">
        <v>46065</v>
      </c>
      <c r="B2090" t="inlineStr">
        <is>
          <t>Sara Maria Monteiro Lopes</t>
        </is>
      </c>
      <c r="C2090" s="1" t="inlineStr">
        <is>
          <t>Técnico I</t>
        </is>
      </c>
      <c r="D2090" s="3" t="n">
        <v>11</v>
      </c>
      <c r="E2090" s="3" t="n">
        <v>11</v>
      </c>
      <c r="F2090" s="3" t="n">
        <v>62</v>
      </c>
      <c r="G2090" s="3" t="n">
        <v>0</v>
      </c>
      <c r="H2090" s="3" t="n">
        <v>0</v>
      </c>
      <c r="I2090" s="3">
        <f>E2090+G2090+H2090</f>
        <v/>
      </c>
      <c r="J2090" s="3">
        <f>ROUND(MIN(IF(C2090="Técnico III",35,IF(C2090="Técnico II",28,IF(C2090="Técnico I",23,IF(C2090="JR",20,IF(C2090="Estágio",10,0))))),IF(C2090="Técnico III",SUMIFS($D:$D,$A:$A,$A2090,$B:$B,"&lt;&gt;Patrícia Karla de Sousa Araújo",$B:$B,"&lt;&gt;Lorena Dias de Araujo",$B:$B,"&lt;&gt;Lucas Luiz Romero")*(35/1083),IF(C2090="Técnico II",SUMIFS($D:$D,$A:$A,$A2090,$B:$B,"&lt;&gt;Patrícia Karla de Sousa Araújo",$B:$B,"&lt;&gt;Lorena Dias de Araujo",$B:$B,"&lt;&gt;Lucas Luiz Romero")*(28/1083),IF(C2090="Técnico I",SUMIFS($D:$D,$A:$A,$A2090,$B:$B,"&lt;&gt;Patrícia Karla de Sousa Araújo",$B:$B,"&lt;&gt;Lorena Dias de Araujo",$B:$B,"&lt;&gt;Lucas Luiz Romero")*(23/1083),IF(C2090="JR",SUMIFS($D:$D,$A:$A,$A2090,$B:$B,"&lt;&gt;Patrícia Karla de Sousa Araújo",$B:$B,"&lt;&gt;Lorena Dias de Araujo",$B:$B,"&lt;&gt;Lucas Luiz Romero")*(20/1083),IF(C2090="Estágio",SUMIFS($D:$D,$A:$A,$A2090,$B:$B,"&lt;&gt;Patrícia Karla de Sousa Araújo",$B:$B,"&lt;&gt;Lorena Dias de Araujo",$B:$B,"&lt;&gt;Lucas Luiz Romero")*(10/1083),0)))))),0)</f>
        <v/>
      </c>
      <c r="K2090" s="3">
        <f>I2090-J2090</f>
        <v/>
      </c>
      <c r="L2090" s="3">
        <f>IF(K2090&lt;-5,"CRÍTICO",IF(K2090&lt;0,"ATENÇÃO",IF(K2090&lt;=5,"BOM","EXCELENTE")))</f>
        <v/>
      </c>
      <c r="M2090" s="3" t="n">
        <v>7</v>
      </c>
      <c r="N2090" s="3" t="n">
        <v>98.48</v>
      </c>
      <c r="O2090" s="12" t="n">
        <v>29.35323383084577</v>
      </c>
    </row>
    <row r="2091">
      <c r="A2091" s="10" t="n">
        <v>46065</v>
      </c>
      <c r="B2091" t="inlineStr">
        <is>
          <t>Sarah Steffanie de Lima Borges</t>
        </is>
      </c>
      <c r="C2091" s="1" t="inlineStr">
        <is>
          <t>Técnico III</t>
        </is>
      </c>
      <c r="D2091" s="3" t="n">
        <v>29</v>
      </c>
      <c r="E2091" s="3" t="n">
        <v>29</v>
      </c>
      <c r="F2091" s="3" t="n">
        <v>25.29</v>
      </c>
      <c r="G2091" s="3" t="n">
        <v>0</v>
      </c>
      <c r="H2091" s="3" t="n">
        <v>0</v>
      </c>
      <c r="I2091" s="3">
        <f>E2091+G2091+H2091</f>
        <v/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/>
      </c>
      <c r="K2091" s="3">
        <f>I2091-J2091</f>
        <v/>
      </c>
      <c r="L2091" s="3">
        <f>IF(K2091&lt;-5,"CRÍTICO",IF(K2091&lt;0,"ATENÇÃO",IF(K2091&lt;=5,"BOM","EXCELENTE")))</f>
        <v/>
      </c>
      <c r="M2091" s="3" t="n">
        <v>26</v>
      </c>
      <c r="N2091" s="3" t="n">
        <v>98.56</v>
      </c>
      <c r="O2091" s="12" t="n">
        <v>29.37365010799136</v>
      </c>
    </row>
    <row r="2092">
      <c r="A2092" s="10" t="n">
        <v>46066</v>
      </c>
      <c r="B2092" t="inlineStr">
        <is>
          <t>Alisson de Freitas Silva</t>
        </is>
      </c>
      <c r="C2092" s="1" t="inlineStr">
        <is>
          <t>Técnico II</t>
        </is>
      </c>
      <c r="D2092" s="3" t="n">
        <v>35</v>
      </c>
      <c r="E2092" s="3" t="n">
        <v>31</v>
      </c>
      <c r="F2092" s="3" t="n">
        <v>20.24</v>
      </c>
      <c r="G2092" s="3" t="n">
        <v>0</v>
      </c>
      <c r="H2092" s="3" t="n">
        <v>0</v>
      </c>
      <c r="I2092" s="3">
        <f>E2092+G2092+H2092</f>
        <v/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/>
      </c>
      <c r="K2092" s="3">
        <f>I2092-J2092</f>
        <v/>
      </c>
      <c r="L2092" s="3">
        <f>IF(K2092&lt;-5,"CRÍTICO",IF(K2092&lt;0,"ATENÇÃO",IF(K2092&lt;=5,"BOM","EXCELENTE")))</f>
        <v/>
      </c>
      <c r="M2092" s="3" t="n">
        <v>27</v>
      </c>
      <c r="N2092" s="3" t="n">
        <v>98.31999999999999</v>
      </c>
      <c r="O2092" s="12" t="n">
        <v>30.3030303030303</v>
      </c>
    </row>
    <row r="2093">
      <c r="A2093" s="10" t="n">
        <v>46066</v>
      </c>
      <c r="B2093" t="inlineStr">
        <is>
          <t>Amanda Moura Ferreira</t>
        </is>
      </c>
      <c r="C2093" s="1" t="inlineStr">
        <is>
          <t>Técnico III</t>
        </is>
      </c>
      <c r="D2093" s="3" t="n">
        <v>0</v>
      </c>
      <c r="E2093" s="3" t="n">
        <v>0</v>
      </c>
      <c r="F2093" s="3" t="n">
        <v>0</v>
      </c>
      <c r="G2093" s="3" t="n">
        <v>0</v>
      </c>
      <c r="H2093" s="3" t="n">
        <v>0</v>
      </c>
      <c r="I2093" s="3" t="n">
        <v>0</v>
      </c>
      <c r="J2093" s="3" t="n">
        <v>0</v>
      </c>
      <c r="K2093" s="3" t="n">
        <v>0</v>
      </c>
      <c r="L2093" s="3">
        <f>IF(K2093&lt;-5,"CRÍTICO",IF(K2093&lt;0,"ATENÇÃO",IF(K2093&lt;=5,"BOM","EXCELENTE")))</f>
        <v/>
      </c>
      <c r="M2093" s="3" t="n">
        <v>28</v>
      </c>
      <c r="N2093" s="3" t="n">
        <v>98.68000000000001</v>
      </c>
      <c r="O2093" s="12" t="n">
        <v>26.21951219512195</v>
      </c>
    </row>
    <row r="2094">
      <c r="A2094" s="10" t="n">
        <v>46066</v>
      </c>
      <c r="B2094" t="inlineStr">
        <is>
          <t>Ana Karollyne Souza Faria</t>
        </is>
      </c>
      <c r="C2094" s="1" t="inlineStr">
        <is>
          <t>Técnico I</t>
        </is>
      </c>
      <c r="D2094" s="3" t="n">
        <v>18</v>
      </c>
      <c r="E2094" s="3" t="n">
        <v>16</v>
      </c>
      <c r="F2094" s="3" t="n">
        <v>28.58</v>
      </c>
      <c r="G2094" s="3" t="n">
        <v>0</v>
      </c>
      <c r="H2094" s="3" t="n">
        <v>0</v>
      </c>
      <c r="I2094" s="3">
        <f>E2094+G2094+H2094</f>
        <v/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/>
      </c>
      <c r="K2094" s="3">
        <f>I2094-J2094</f>
        <v/>
      </c>
      <c r="L2094" s="3">
        <f>IF(K2094&lt;-5,"CRÍTICO",IF(K2094&lt;0,"ATENÇÃO",IF(K2094&lt;=5,"BOM","EXCELENTE")))</f>
        <v/>
      </c>
      <c r="M2094" s="3" t="n">
        <v>16</v>
      </c>
      <c r="N2094" s="3" t="n">
        <v>100</v>
      </c>
      <c r="O2094" s="12" t="n">
        <v>31.74224343675418</v>
      </c>
    </row>
    <row r="2095">
      <c r="A2095" s="10" t="n">
        <v>46066</v>
      </c>
      <c r="B2095" t="inlineStr">
        <is>
          <t>Ana Paula Da Luz Silva Aleixo</t>
        </is>
      </c>
      <c r="C2095" s="1" t="inlineStr">
        <is>
          <t>Técnico III</t>
        </is>
      </c>
      <c r="D2095" s="3" t="n">
        <v>20</v>
      </c>
      <c r="E2095" s="3" t="n">
        <v>17</v>
      </c>
      <c r="F2095" s="3" t="n">
        <v>27.07</v>
      </c>
      <c r="G2095" s="3" t="n">
        <v>0</v>
      </c>
      <c r="H2095" s="3" t="n">
        <v>0</v>
      </c>
      <c r="I2095" s="3">
        <f>E2095+G2095+H2095</f>
        <v/>
      </c>
      <c r="J2095" s="3">
        <f>ROUND(MIN(IF(C2095="Técnico III",35,IF(C2095="Técnico II",28,IF(C2095="Técnico I",23,IF(C2095="JR",20,IF(C2095="Estágio",10,0))))),IF(C2095="Técnico III",SUMIFS($D:$D,$A:$A,$A2095,$B:$B,"&lt;&gt;Patrícia Karla de Sousa Araújo",$B:$B,"&lt;&gt;Lorena Dias de Araujo",$B:$B,"&lt;&gt;Lucas Luiz Romero")*(35/1083),IF(C2095="Técnico II",SUMIFS($D:$D,$A:$A,$A2095,$B:$B,"&lt;&gt;Patrícia Karla de Sousa Araújo",$B:$B,"&lt;&gt;Lorena Dias de Araujo",$B:$B,"&lt;&gt;Lucas Luiz Romero")*(28/1083),IF(C2095="Técnico I",SUMIFS($D:$D,$A:$A,$A2095,$B:$B,"&lt;&gt;Patrícia Karla de Sousa Araújo",$B:$B,"&lt;&gt;Lorena Dias de Araujo",$B:$B,"&lt;&gt;Lucas Luiz Romero")*(23/1083),IF(C2095="JR",SUMIFS($D:$D,$A:$A,$A2095,$B:$B,"&lt;&gt;Patrícia Karla de Sousa Araújo",$B:$B,"&lt;&gt;Lorena Dias de Araujo",$B:$B,"&lt;&gt;Lucas Luiz Romero")*(20/1083),IF(C2095="Estágio",SUMIFS($D:$D,$A:$A,$A2095,$B:$B,"&lt;&gt;Patrícia Karla de Sousa Araújo",$B:$B,"&lt;&gt;Lorena Dias de Araujo",$B:$B,"&lt;&gt;Lucas Luiz Romero")*(10/1083),0)))))),0)</f>
        <v/>
      </c>
      <c r="K2095" s="3">
        <f>I2095-J2095</f>
        <v/>
      </c>
      <c r="L2095" s="3">
        <f>IF(K2095&lt;-5,"CRÍTICO",IF(K2095&lt;0,"ATENÇÃO",IF(K2095&lt;=5,"BOM","EXCELENTE")))</f>
        <v/>
      </c>
      <c r="M2095" s="3" t="n">
        <v>17</v>
      </c>
      <c r="N2095" s="3" t="n">
        <v>98.25</v>
      </c>
      <c r="O2095" s="12" t="n">
        <v>25.83518930957684</v>
      </c>
    </row>
    <row r="2096">
      <c r="A2096" s="10" t="n">
        <v>46066</v>
      </c>
      <c r="B2096" t="inlineStr">
        <is>
          <t>Anna Luiza Rezende Tavares</t>
        </is>
      </c>
      <c r="C2096" s="1" t="inlineStr">
        <is>
          <t>Estágio</t>
        </is>
      </c>
      <c r="D2096" s="3" t="n">
        <v>9</v>
      </c>
      <c r="E2096" s="3" t="n">
        <v>8</v>
      </c>
      <c r="F2096" s="3" t="n">
        <v>45.3</v>
      </c>
      <c r="G2096" s="3" t="n">
        <v>0</v>
      </c>
      <c r="H2096" s="3" t="n">
        <v>0</v>
      </c>
      <c r="I2096" s="3">
        <f>E2096+G2096+H2096</f>
        <v/>
      </c>
      <c r="J2096" s="3">
        <f>ROUND(MIN(IF(C2096="Técnico III",35,IF(C2096="Técnico II",28,IF(C2096="Técnico I",23,IF(C2096="JR",20,IF(C2096="Estágio",10,0))))),IF(C2096="Técnico III",SUMIFS($D:$D,$A:$A,$A2096,$B:$B,"&lt;&gt;Patrícia Karla de Sousa Araújo",$B:$B,"&lt;&gt;Lorena Dias de Araujo",$B:$B,"&lt;&gt;Lucas Luiz Romero")*(35/1083),IF(C2096="Técnico II",SUMIFS($D:$D,$A:$A,$A2096,$B:$B,"&lt;&gt;Patrícia Karla de Sousa Araújo",$B:$B,"&lt;&gt;Lorena Dias de Araujo",$B:$B,"&lt;&gt;Lucas Luiz Romero")*(28/1083),IF(C2096="Técnico I",SUMIFS($D:$D,$A:$A,$A2096,$B:$B,"&lt;&gt;Patrícia Karla de Sousa Araújo",$B:$B,"&lt;&gt;Lorena Dias de Araujo",$B:$B,"&lt;&gt;Lucas Luiz Romero")*(23/1083),IF(C2096="JR",SUMIFS($D:$D,$A:$A,$A2096,$B:$B,"&lt;&gt;Patrícia Karla de Sousa Araújo",$B:$B,"&lt;&gt;Lorena Dias de Araujo",$B:$B,"&lt;&gt;Lucas Luiz Romero")*(20/1083),IF(C2096="Estágio",SUMIFS($D:$D,$A:$A,$A2096,$B:$B,"&lt;&gt;Patrícia Karla de Sousa Araújo",$B:$B,"&lt;&gt;Lorena Dias de Araujo",$B:$B,"&lt;&gt;Lucas Luiz Romero")*(10/1083),0)))))),0)</f>
        <v/>
      </c>
      <c r="K2096" s="3">
        <f>I2096-J2096</f>
        <v/>
      </c>
      <c r="L2096" s="3">
        <f>IF(K2096&lt;-5,"CRÍTICO",IF(K2096&lt;0,"ATENÇÃO",IF(K2096&lt;=5,"BOM","EXCELENTE")))</f>
        <v/>
      </c>
      <c r="M2096" s="3" t="n">
        <v>7</v>
      </c>
      <c r="N2096" s="3" t="n">
        <v>97.5</v>
      </c>
      <c r="O2096" s="12" t="n">
        <v>30.07518796992481</v>
      </c>
    </row>
    <row r="2097">
      <c r="A2097" s="10" t="n">
        <v>46066</v>
      </c>
      <c r="B2097" t="inlineStr">
        <is>
          <t>Brenda de Menezes Silva</t>
        </is>
      </c>
      <c r="C2097" s="1" t="inlineStr">
        <is>
          <t>Técnico II</t>
        </is>
      </c>
      <c r="D2097" s="3" t="n">
        <v>32</v>
      </c>
      <c r="E2097" s="3" t="n">
        <v>30</v>
      </c>
      <c r="F2097" s="3" t="n">
        <v>23.36</v>
      </c>
      <c r="G2097" s="3" t="n">
        <v>0</v>
      </c>
      <c r="H2097" s="3" t="n">
        <v>0</v>
      </c>
      <c r="I2097" s="3">
        <f>E2097+G2097+H2097</f>
        <v/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/>
      </c>
      <c r="K2097" s="3">
        <f>I2097-J2097</f>
        <v/>
      </c>
      <c r="L2097" s="3">
        <f>IF(K2097&lt;-5,"CRÍTICO",IF(K2097&lt;0,"ATENÇÃO",IF(K2097&lt;=5,"BOM","EXCELENTE")))</f>
        <v/>
      </c>
      <c r="M2097" s="3" t="n">
        <v>31</v>
      </c>
      <c r="N2097" s="3" t="n">
        <v>100</v>
      </c>
      <c r="O2097" s="12" t="n">
        <v>29.71311475409836</v>
      </c>
    </row>
    <row r="2098">
      <c r="A2098" s="10" t="n">
        <v>46066</v>
      </c>
      <c r="B2098" t="inlineStr">
        <is>
          <t>Carlos Mateus Cassimiro Nunes</t>
        </is>
      </c>
      <c r="C2098" s="1" t="inlineStr">
        <is>
          <t>Técnico II</t>
        </is>
      </c>
      <c r="D2098" s="3" t="n">
        <v>17</v>
      </c>
      <c r="E2098" s="3" t="n">
        <v>16</v>
      </c>
      <c r="F2098" s="3" t="n">
        <v>35.24</v>
      </c>
      <c r="G2098" s="3" t="n">
        <v>0</v>
      </c>
      <c r="H2098" s="3" t="n">
        <v>0</v>
      </c>
      <c r="I2098" s="3">
        <f>E2098+G2098+H2098</f>
        <v/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/>
      </c>
      <c r="K2098" s="3">
        <f>I2098-J2098</f>
        <v/>
      </c>
      <c r="L2098" s="3">
        <f>IF(K2098&lt;-5,"CRÍTICO",IF(K2098&lt;0,"ATENÇÃO",IF(K2098&lt;=5,"BOM","EXCELENTE")))</f>
        <v/>
      </c>
      <c r="M2098" s="3" t="n">
        <v>18</v>
      </c>
      <c r="N2098" s="3" t="n">
        <v>99.22</v>
      </c>
      <c r="O2098" s="12" t="n">
        <v>35.25641025641026</v>
      </c>
    </row>
    <row r="2099">
      <c r="A2099" s="10" t="n">
        <v>46066</v>
      </c>
      <c r="B2099" t="inlineStr">
        <is>
          <t>Claudio de Sousa Velasco Filho</t>
        </is>
      </c>
      <c r="C2099" s="1" t="inlineStr">
        <is>
          <t>Estágio</t>
        </is>
      </c>
      <c r="D2099" s="3" t="n">
        <v>0</v>
      </c>
      <c r="E2099" s="3" t="n">
        <v>0</v>
      </c>
      <c r="F2099" s="3" t="n">
        <v>0</v>
      </c>
      <c r="G2099" s="3" t="n">
        <v>0</v>
      </c>
      <c r="H2099" s="3" t="n">
        <v>0</v>
      </c>
      <c r="I2099" s="3" t="n">
        <v>0</v>
      </c>
      <c r="J2099" s="3" t="n">
        <v>0</v>
      </c>
      <c r="K2099" s="3" t="n">
        <v>0</v>
      </c>
      <c r="L2099" s="3">
        <f>IF(K2099&lt;-5,"CRÍTICO",IF(K2099&lt;0,"ATENÇÃO",IF(K2099&lt;=5,"BOM","EXCELENTE")))</f>
        <v/>
      </c>
      <c r="M2099" s="3" t="n">
        <v>0</v>
      </c>
      <c r="N2099" s="3" t="n">
        <v>0</v>
      </c>
      <c r="O2099" s="12" t="n">
        <v>0</v>
      </c>
    </row>
    <row r="2100">
      <c r="A2100" s="10" t="n">
        <v>46066</v>
      </c>
      <c r="B2100" t="inlineStr">
        <is>
          <t>Clessiane Pereira dos Santos</t>
        </is>
      </c>
      <c r="C2100" s="1" t="inlineStr">
        <is>
          <t>Técnico I</t>
        </is>
      </c>
      <c r="D2100" s="3" t="n">
        <v>26</v>
      </c>
      <c r="E2100" s="3" t="n">
        <v>8</v>
      </c>
      <c r="F2100" s="3" t="n">
        <v>8.58</v>
      </c>
      <c r="G2100" s="3" t="n">
        <v>0</v>
      </c>
      <c r="H2100" s="3" t="n">
        <v>0</v>
      </c>
      <c r="I2100" s="3">
        <f>E2100+G2100+H2100</f>
        <v/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/>
      </c>
      <c r="K2100" s="3">
        <f>I2100-J2100</f>
        <v/>
      </c>
      <c r="L2100" s="3">
        <f>IF(K2100&lt;-5,"CRÍTICO",IF(K2100&lt;0,"ATENÇÃO",IF(K2100&lt;=5,"BOM","EXCELENTE")))</f>
        <v/>
      </c>
      <c r="M2100" s="3" t="n">
        <v>17</v>
      </c>
      <c r="N2100" s="3" t="n">
        <v>98.75</v>
      </c>
      <c r="O2100" s="12" t="n">
        <v>24.32432432432433</v>
      </c>
    </row>
    <row r="2101">
      <c r="A2101" s="10" t="n">
        <v>46066</v>
      </c>
      <c r="B2101" t="inlineStr">
        <is>
          <t>Cristiane Ramos da Silva Rocha</t>
        </is>
      </c>
      <c r="C2101" s="1" t="inlineStr">
        <is>
          <t>Técnico III</t>
        </is>
      </c>
      <c r="D2101" s="3" t="n">
        <v>46</v>
      </c>
      <c r="E2101" s="3" t="n">
        <v>38</v>
      </c>
      <c r="F2101" s="3" t="n">
        <v>14.14</v>
      </c>
      <c r="G2101" s="3" t="n">
        <v>0</v>
      </c>
      <c r="H2101" s="3" t="n">
        <v>0</v>
      </c>
      <c r="I2101" s="3">
        <f>E2101+G2101+H2101</f>
        <v/>
      </c>
      <c r="J2101" s="3">
        <f>ROUND(MIN(IF(C2101="Técnico III",35,IF(C2101="Técnico II",28,IF(C2101="Técnico I",23,IF(C2101="JR",20,IF(C2101="Estágio",10,0))))),IF(C2101="Técnico III",SUMIFS($D:$D,$A:$A,$A2101,$B:$B,"&lt;&gt;Patrícia Karla de Sousa Araújo",$B:$B,"&lt;&gt;Lorena Dias de Araujo",$B:$B,"&lt;&gt;Lucas Luiz Romero")*(35/1083),IF(C2101="Técnico II",SUMIFS($D:$D,$A:$A,$A2101,$B:$B,"&lt;&gt;Patrícia Karla de Sousa Araújo",$B:$B,"&lt;&gt;Lorena Dias de Araujo",$B:$B,"&lt;&gt;Lucas Luiz Romero")*(28/1083),IF(C2101="Técnico I",SUMIFS($D:$D,$A:$A,$A2101,$B:$B,"&lt;&gt;Patrícia Karla de Sousa Araújo",$B:$B,"&lt;&gt;Lorena Dias de Araujo",$B:$B,"&lt;&gt;Lucas Luiz Romero")*(23/1083),IF(C2101="JR",SUMIFS($D:$D,$A:$A,$A2101,$B:$B,"&lt;&gt;Patrícia Karla de Sousa Araújo",$B:$B,"&lt;&gt;Lorena Dias de Araujo",$B:$B,"&lt;&gt;Lucas Luiz Romero")*(20/1083),IF(C2101="Estágio",SUMIFS($D:$D,$A:$A,$A2101,$B:$B,"&lt;&gt;Patrícia Karla de Sousa Araújo",$B:$B,"&lt;&gt;Lorena Dias de Araujo",$B:$B,"&lt;&gt;Lucas Luiz Romero")*(10/1083),0)))))),0)</f>
        <v/>
      </c>
      <c r="K2101" s="3">
        <f>I2101-J2101</f>
        <v/>
      </c>
      <c r="L2101" s="3">
        <f>IF(K2101&lt;-5,"CRÍTICO",IF(K2101&lt;0,"ATENÇÃO",IF(K2101&lt;=5,"BOM","EXCELENTE")))</f>
        <v/>
      </c>
      <c r="M2101" s="3" t="n">
        <v>42</v>
      </c>
      <c r="N2101" s="3" t="n">
        <v>93.48</v>
      </c>
      <c r="O2101" s="12" t="n">
        <v>31.52804642166344</v>
      </c>
    </row>
    <row r="2102">
      <c r="A2102" s="10" t="n">
        <v>46066</v>
      </c>
      <c r="B2102" t="inlineStr">
        <is>
          <t>Damyllis Lorraine de Oliveira Gonçalves</t>
        </is>
      </c>
      <c r="C2102" s="1" t="inlineStr">
        <is>
          <t>Técnico II</t>
        </is>
      </c>
      <c r="D2102" s="3" t="n">
        <v>21</v>
      </c>
      <c r="E2102" s="3" t="n">
        <v>18</v>
      </c>
      <c r="F2102" s="3" t="n">
        <v>35.57</v>
      </c>
      <c r="G2102" s="3" t="n">
        <v>0</v>
      </c>
      <c r="H2102" s="3" t="n">
        <v>0</v>
      </c>
      <c r="I2102" s="3" t="n">
        <v>0</v>
      </c>
      <c r="J2102" s="3" t="n">
        <v>0</v>
      </c>
      <c r="K2102" s="3" t="n">
        <v>0</v>
      </c>
      <c r="L2102" s="3">
        <f>IF(K2102&lt;-5,"CRÍTICO",IF(K2102&lt;0,"ATENÇÃO",IF(K2102&lt;=5,"BOM","EXCELENTE")))</f>
        <v/>
      </c>
      <c r="M2102" s="3" t="n">
        <v>21</v>
      </c>
      <c r="N2102" s="3" t="n">
        <v>99.16</v>
      </c>
      <c r="O2102" s="12" t="n">
        <v>26.13908872901678</v>
      </c>
    </row>
    <row r="2103">
      <c r="A2103" s="10" t="n">
        <v>46066</v>
      </c>
      <c r="B2103" t="inlineStr">
        <is>
          <t>Daniel Gomes da Silva</t>
        </is>
      </c>
      <c r="C2103" s="1" t="inlineStr">
        <is>
          <t>Técnico I</t>
        </is>
      </c>
      <c r="D2103" s="3" t="n">
        <v>12</v>
      </c>
      <c r="E2103" s="3" t="n">
        <v>12</v>
      </c>
      <c r="F2103" s="3" t="n">
        <v>51.55</v>
      </c>
      <c r="G2103" s="3" t="n">
        <v>0</v>
      </c>
      <c r="H2103" s="3" t="n">
        <v>0</v>
      </c>
      <c r="I2103" s="3">
        <f>E2103+G2103+H2103</f>
        <v/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/>
      </c>
      <c r="K2103" s="3">
        <f>I2103-J2103</f>
        <v/>
      </c>
      <c r="L2103" s="3">
        <f>IF(K2103&lt;-5,"CRÍTICO",IF(K2103&lt;0,"ATENÇÃO",IF(K2103&lt;=5,"BOM","EXCELENTE")))</f>
        <v/>
      </c>
      <c r="M2103" s="3" t="n">
        <v>9</v>
      </c>
      <c r="N2103" s="3" t="n">
        <v>100</v>
      </c>
      <c r="O2103" s="12" t="n">
        <v>31.08974358974359</v>
      </c>
    </row>
    <row r="2104">
      <c r="A2104" s="10" t="n">
        <v>46066</v>
      </c>
      <c r="B2104" t="inlineStr">
        <is>
          <t>Davylla Rodrigues Freitas Silva</t>
        </is>
      </c>
      <c r="C2104" s="1" t="inlineStr">
        <is>
          <t>Técnico III</t>
        </is>
      </c>
      <c r="D2104" s="3" t="n">
        <v>29</v>
      </c>
      <c r="E2104" s="3" t="n">
        <v>28</v>
      </c>
      <c r="F2104" s="3" t="n">
        <v>27.38</v>
      </c>
      <c r="G2104" s="3" t="n">
        <v>0</v>
      </c>
      <c r="H2104" s="3" t="n">
        <v>0</v>
      </c>
      <c r="I2104" s="3" t="n">
        <v>0</v>
      </c>
      <c r="J2104" s="3" t="n">
        <v>0</v>
      </c>
      <c r="K2104" s="3" t="n">
        <v>0</v>
      </c>
      <c r="L2104" s="3">
        <f>IF(K2104&lt;-5,"CRÍTICO",IF(K2104&lt;0,"ATENÇÃO",IF(K2104&lt;=5,"BOM","EXCELENTE")))</f>
        <v/>
      </c>
      <c r="M2104" s="3" t="n">
        <v>28</v>
      </c>
      <c r="N2104" s="3" t="n">
        <v>98.11</v>
      </c>
      <c r="O2104" s="12" t="n">
        <v>33.03370786516854</v>
      </c>
    </row>
    <row r="2105">
      <c r="A2105" s="10" t="n">
        <v>46066</v>
      </c>
      <c r="B2105" t="inlineStr">
        <is>
          <t>Emilly Caylane Costa</t>
        </is>
      </c>
      <c r="C2105" s="1" t="inlineStr">
        <is>
          <t>Estágio</t>
        </is>
      </c>
      <c r="D2105" s="3" t="n">
        <v>46</v>
      </c>
      <c r="E2105" s="3" t="n">
        <v>33</v>
      </c>
      <c r="F2105" s="3" t="n">
        <v>7.18</v>
      </c>
      <c r="G2105" s="3" t="n">
        <v>0</v>
      </c>
      <c r="H2105" s="3" t="n">
        <v>0</v>
      </c>
      <c r="I2105" s="3">
        <f>E2105+G2105+H2105</f>
        <v/>
      </c>
      <c r="J2105" s="3">
        <f>ROUND(MIN(IF(C2105="Técnico III",35,IF(C2105="Técnico II",28,IF(C2105="Técnico I",23,IF(C2105="JR",20,IF(C2105="Estágio",10,0))))),IF(C2105="Técnico III",SUMIFS($D:$D,$A:$A,$A2105,$B:$B,"&lt;&gt;Patrícia Karla de Sousa Araújo",$B:$B,"&lt;&gt;Lorena Dias de Araujo",$B:$B,"&lt;&gt;Lucas Luiz Romero")*(35/1083),IF(C2105="Técnico II",SUMIFS($D:$D,$A:$A,$A2105,$B:$B,"&lt;&gt;Patrícia Karla de Sousa Araújo",$B:$B,"&lt;&gt;Lorena Dias de Araujo",$B:$B,"&lt;&gt;Lucas Luiz Romero")*(28/1083),IF(C2105="Técnico I",SUMIFS($D:$D,$A:$A,$A2105,$B:$B,"&lt;&gt;Patrícia Karla de Sousa Araújo",$B:$B,"&lt;&gt;Lorena Dias de Araujo",$B:$B,"&lt;&gt;Lucas Luiz Romero")*(23/1083),IF(C2105="JR",SUMIFS($D:$D,$A:$A,$A2105,$B:$B,"&lt;&gt;Patrícia Karla de Sousa Araújo",$B:$B,"&lt;&gt;Lorena Dias de Araujo",$B:$B,"&lt;&gt;Lucas Luiz Romero")*(20/1083),IF(C2105="Estágio",SUMIFS($D:$D,$A:$A,$A2105,$B:$B,"&lt;&gt;Patrícia Karla de Sousa Araújo",$B:$B,"&lt;&gt;Lorena Dias de Araujo",$B:$B,"&lt;&gt;Lucas Luiz Romero")*(10/1083),0)))))),0)</f>
        <v/>
      </c>
      <c r="K2105" s="3">
        <f>I2105-J2105</f>
        <v/>
      </c>
      <c r="L2105" s="3">
        <f>IF(K2105&lt;-5,"CRÍTICO",IF(K2105&lt;0,"ATENÇÃO",IF(K2105&lt;=5,"BOM","EXCELENTE")))</f>
        <v/>
      </c>
      <c r="M2105" s="3" t="n">
        <v>2</v>
      </c>
      <c r="N2105" s="3" t="n">
        <v>78.95</v>
      </c>
      <c r="O2105" s="12" t="n">
        <v>38.98305084745763</v>
      </c>
    </row>
    <row r="2106">
      <c r="A2106" s="10" t="n">
        <v>46066</v>
      </c>
      <c r="B2106" t="inlineStr">
        <is>
          <t>Emilly Kamilly Medeiros Miranda</t>
        </is>
      </c>
      <c r="C2106" s="1" t="inlineStr">
        <is>
          <t>Técnico II</t>
        </is>
      </c>
      <c r="D2106" s="3" t="n">
        <v>18</v>
      </c>
      <c r="E2106" s="3" t="n">
        <v>16</v>
      </c>
      <c r="F2106" s="3" t="n">
        <v>23.47</v>
      </c>
      <c r="G2106" s="3" t="n">
        <v>0</v>
      </c>
      <c r="H2106" s="3" t="n">
        <v>0</v>
      </c>
      <c r="I2106" s="3">
        <f>E2106+G2106+H2106</f>
        <v/>
      </c>
      <c r="J2106" s="3">
        <f>ROUND(MIN(IF(C2106="Técnico III",35,IF(C2106="Técnico II",28,IF(C2106="Técnico I",23,IF(C2106="JR",20,IF(C2106="Estágio",10,0))))),IF(C2106="Técnico III",SUMIFS($D:$D,$A:$A,$A2106,$B:$B,"&lt;&gt;Patrícia Karla de Sousa Araújo",$B:$B,"&lt;&gt;Lorena Dias de Araujo",$B:$B,"&lt;&gt;Lucas Luiz Romero")*(35/1083),IF(C2106="Técnico II",SUMIFS($D:$D,$A:$A,$A2106,$B:$B,"&lt;&gt;Patrícia Karla de Sousa Araújo",$B:$B,"&lt;&gt;Lorena Dias de Araujo",$B:$B,"&lt;&gt;Lucas Luiz Romero")*(28/1083),IF(C2106="Técnico I",SUMIFS($D:$D,$A:$A,$A2106,$B:$B,"&lt;&gt;Patrícia Karla de Sousa Araújo",$B:$B,"&lt;&gt;Lorena Dias de Araujo",$B:$B,"&lt;&gt;Lucas Luiz Romero")*(23/1083),IF(C2106="JR",SUMIFS($D:$D,$A:$A,$A2106,$B:$B,"&lt;&gt;Patrícia Karla de Sousa Araújo",$B:$B,"&lt;&gt;Lorena Dias de Araujo",$B:$B,"&lt;&gt;Lucas Luiz Romero")*(20/1083),IF(C2106="Estágio",SUMIFS($D:$D,$A:$A,$A2106,$B:$B,"&lt;&gt;Patrícia Karla de Sousa Araújo",$B:$B,"&lt;&gt;Lorena Dias de Araujo",$B:$B,"&lt;&gt;Lucas Luiz Romero")*(10/1083),0)))))),0)</f>
        <v/>
      </c>
      <c r="K2106" s="3">
        <f>I2106-J2106</f>
        <v/>
      </c>
      <c r="L2106" s="3">
        <f>IF(K2106&lt;-5,"CRÍTICO",IF(K2106&lt;0,"ATENÇÃO",IF(K2106&lt;=5,"BOM","EXCELENTE")))</f>
        <v/>
      </c>
      <c r="M2106" s="3" t="n">
        <v>17</v>
      </c>
      <c r="N2106" s="3" t="n">
        <v>98.45</v>
      </c>
      <c r="O2106" s="12" t="n">
        <v>29.2817679558011</v>
      </c>
    </row>
    <row r="2107">
      <c r="A2107" s="10" t="n">
        <v>46066</v>
      </c>
      <c r="B2107" t="inlineStr">
        <is>
          <t>Francielson de Oliveira</t>
        </is>
      </c>
      <c r="C2107" s="1" t="inlineStr">
        <is>
          <t>Técnico III</t>
        </is>
      </c>
      <c r="D2107" s="3" t="n">
        <v>28</v>
      </c>
      <c r="E2107" s="3" t="n">
        <v>25</v>
      </c>
      <c r="F2107" s="3" t="n">
        <v>20.19</v>
      </c>
      <c r="G2107" s="3" t="n">
        <v>0</v>
      </c>
      <c r="H2107" s="3" t="n">
        <v>0</v>
      </c>
      <c r="I2107" s="3">
        <f>E2107+G2107+H2107</f>
        <v/>
      </c>
      <c r="J2107" s="3">
        <f>ROUND(MIN(IF(C2107="Técnico III",35,IF(C2107="Técnico II",28,IF(C2107="Técnico I",23,IF(C2107="JR",20,IF(C2107="Estágio",10,0))))),IF(C2107="Técnico III",SUMIFS($D:$D,$A:$A,$A2107,$B:$B,"&lt;&gt;Patrícia Karla de Sousa Araújo",$B:$B,"&lt;&gt;Lorena Dias de Araujo",$B:$B,"&lt;&gt;Lucas Luiz Romero")*(35/1083),IF(C2107="Técnico II",SUMIFS($D:$D,$A:$A,$A2107,$B:$B,"&lt;&gt;Patrícia Karla de Sousa Araújo",$B:$B,"&lt;&gt;Lorena Dias de Araujo",$B:$B,"&lt;&gt;Lucas Luiz Romero")*(28/1083),IF(C2107="Técnico I",SUMIFS($D:$D,$A:$A,$A2107,$B:$B,"&lt;&gt;Patrícia Karla de Sousa Araújo",$B:$B,"&lt;&gt;Lorena Dias de Araujo",$B:$B,"&lt;&gt;Lucas Luiz Romero")*(23/1083),IF(C2107="JR",SUMIFS($D:$D,$A:$A,$A2107,$B:$B,"&lt;&gt;Patrícia Karla de Sousa Araújo",$B:$B,"&lt;&gt;Lorena Dias de Araujo",$B:$B,"&lt;&gt;Lucas Luiz Romero")*(20/1083),IF(C2107="Estágio",SUMIFS($D:$D,$A:$A,$A2107,$B:$B,"&lt;&gt;Patrícia Karla de Sousa Araújo",$B:$B,"&lt;&gt;Lorena Dias de Araujo",$B:$B,"&lt;&gt;Lucas Luiz Romero")*(10/1083),0)))))),0)</f>
        <v/>
      </c>
      <c r="K2107" s="3">
        <f>I2107-J2107</f>
        <v/>
      </c>
      <c r="L2107" s="3">
        <f>IF(K2107&lt;-5,"CRÍTICO",IF(K2107&lt;0,"ATENÇÃO",IF(K2107&lt;=5,"BOM","EXCELENTE")))</f>
        <v/>
      </c>
      <c r="M2107" s="3" t="n">
        <v>26</v>
      </c>
      <c r="N2107" s="3" t="n">
        <v>97.84</v>
      </c>
      <c r="O2107" s="12" t="n">
        <v>26.28205128205128</v>
      </c>
    </row>
    <row r="2108">
      <c r="A2108" s="10" t="n">
        <v>46066</v>
      </c>
      <c r="B2108" t="inlineStr">
        <is>
          <t>Francilene Ferreira de Jesus</t>
        </is>
      </c>
      <c r="C2108" s="1" t="inlineStr">
        <is>
          <t>Técnico II</t>
        </is>
      </c>
      <c r="D2108" s="3" t="n">
        <v>39</v>
      </c>
      <c r="E2108" s="3" t="n">
        <v>36</v>
      </c>
      <c r="F2108" s="3" t="n">
        <v>19.19</v>
      </c>
      <c r="G2108" s="3" t="n">
        <v>0</v>
      </c>
      <c r="H2108" s="3" t="n">
        <v>0</v>
      </c>
      <c r="I2108" s="3">
        <f>E2108+G2108+H2108</f>
        <v/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/>
      </c>
      <c r="K2108" s="3">
        <f>I2108-J2108</f>
        <v/>
      </c>
      <c r="L2108" s="3">
        <f>IF(K2108&lt;-5,"CRÍTICO",IF(K2108&lt;0,"ATENÇÃO",IF(K2108&lt;=5,"BOM","EXCELENTE")))</f>
        <v/>
      </c>
      <c r="M2108" s="3" t="n">
        <v>34</v>
      </c>
      <c r="N2108" s="3" t="n">
        <v>98.5</v>
      </c>
      <c r="O2108" s="12" t="n">
        <v>23.97769516728625</v>
      </c>
    </row>
    <row r="2109">
      <c r="A2109" s="10" t="n">
        <v>46100</v>
      </c>
      <c r="B2109" t="inlineStr">
        <is>
          <t>Gabriel Gomes de Andrade</t>
        </is>
      </c>
      <c r="C2109" s="1" t="inlineStr">
        <is>
          <t>Técnico I</t>
        </is>
      </c>
      <c r="D2109" s="3" t="n">
        <v>14</v>
      </c>
      <c r="E2109" s="3" t="n">
        <v>12</v>
      </c>
      <c r="F2109" s="3" t="n">
        <v>25.05</v>
      </c>
      <c r="G2109" s="3" t="n">
        <v>0</v>
      </c>
      <c r="H2109" s="3" t="n">
        <v>0</v>
      </c>
      <c r="I2109" s="3">
        <f>E2109+G2109+H2109</f>
        <v/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/>
      </c>
      <c r="K2109" s="3">
        <f>I2109-J2109</f>
        <v/>
      </c>
      <c r="L2109" s="3">
        <f>IF(K2109&lt;-5,"CRÍTICO",IF(K2109&lt;0,"ATENÇÃO",IF(K2109&lt;=5,"BOM","EXCELENTE")))</f>
        <v/>
      </c>
      <c r="M2109" s="3" t="n">
        <v>11</v>
      </c>
      <c r="N2109" s="3" t="n">
        <v>99.05</v>
      </c>
      <c r="O2109" s="12" t="n">
        <v>26.62192393736018</v>
      </c>
    </row>
    <row r="2110">
      <c r="A2110" s="10" t="n">
        <v>46066</v>
      </c>
      <c r="B2110" t="inlineStr">
        <is>
          <t>Isabella Borges de Oliveira</t>
        </is>
      </c>
      <c r="C2110" s="1" t="inlineStr">
        <is>
          <t>Técnico II</t>
        </is>
      </c>
      <c r="D2110" s="3" t="n">
        <v>26</v>
      </c>
      <c r="E2110" s="3" t="n">
        <v>24</v>
      </c>
      <c r="F2110" s="3" t="n">
        <v>30.25</v>
      </c>
      <c r="G2110" s="3" t="n">
        <v>0</v>
      </c>
      <c r="H2110" s="3" t="n">
        <v>0</v>
      </c>
      <c r="I2110" s="3">
        <f>E2110+G2110+H2110</f>
        <v/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/>
      </c>
      <c r="K2110" s="3">
        <f>I2110-J2110</f>
        <v/>
      </c>
      <c r="L2110" s="3">
        <f>IF(K2110&lt;-5,"CRÍTICO",IF(K2110&lt;0,"ATENÇÃO",IF(K2110&lt;=5,"BOM","EXCELENTE")))</f>
        <v/>
      </c>
      <c r="M2110" s="3" t="n">
        <v>22</v>
      </c>
      <c r="N2110" s="3" t="n">
        <v>98.53</v>
      </c>
      <c r="O2110" s="12" t="n">
        <v>31.57894736842105</v>
      </c>
    </row>
    <row r="2111">
      <c r="A2111" s="10" t="n">
        <v>46066</v>
      </c>
      <c r="B2111" t="inlineStr">
        <is>
          <t>Janaina Lima dos Reis Urany</t>
        </is>
      </c>
      <c r="C2111" s="1" t="inlineStr">
        <is>
          <t>Técnico III</t>
        </is>
      </c>
      <c r="D2111" s="3" t="n">
        <v>46</v>
      </c>
      <c r="E2111" s="3" t="n">
        <v>44</v>
      </c>
      <c r="F2111" s="3" t="n">
        <v>17.01</v>
      </c>
      <c r="G2111" s="3" t="n">
        <v>0</v>
      </c>
      <c r="H2111" s="3" t="n">
        <v>0</v>
      </c>
      <c r="I2111" s="3">
        <f>E2111+G2111+H2111</f>
        <v/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/>
      </c>
      <c r="K2111" s="3">
        <f>I2111-J2111</f>
        <v/>
      </c>
      <c r="L2111" s="3">
        <f>IF(K2111&lt;-5,"CRÍTICO",IF(K2111&lt;0,"ATENÇÃO",IF(K2111&lt;=5,"BOM","EXCELENTE")))</f>
        <v/>
      </c>
      <c r="M2111" s="3" t="n">
        <v>40</v>
      </c>
      <c r="N2111" s="3" t="n">
        <v>100</v>
      </c>
      <c r="O2111" s="12" t="n">
        <v>25.72214580467676</v>
      </c>
    </row>
    <row r="2112">
      <c r="A2112" s="10" t="n">
        <v>46066</v>
      </c>
      <c r="B2112" t="inlineStr">
        <is>
          <t>Jaqueline Evangelista da Silva Martins</t>
        </is>
      </c>
      <c r="C2112" s="1" t="inlineStr">
        <is>
          <t>Técnico III</t>
        </is>
      </c>
      <c r="D2112" s="3" t="n">
        <v>41</v>
      </c>
      <c r="E2112" s="3" t="n">
        <v>33</v>
      </c>
      <c r="F2112" s="3" t="n">
        <v>11.43</v>
      </c>
      <c r="G2112" s="3" t="n">
        <v>0</v>
      </c>
      <c r="H2112" s="3" t="n">
        <v>0</v>
      </c>
      <c r="I2112" s="3">
        <f>E2112+G2112+H2112</f>
        <v/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/>
      </c>
      <c r="K2112" s="3">
        <f>I2112-J2112</f>
        <v/>
      </c>
      <c r="L2112" s="3">
        <f>IF(K2112&lt;-5,"CRÍTICO",IF(K2112&lt;0,"ATENÇÃO",IF(K2112&lt;=5,"BOM","EXCELENTE")))</f>
        <v/>
      </c>
      <c r="M2112" s="3" t="n">
        <v>33</v>
      </c>
      <c r="N2112" s="3" t="n">
        <v>94.64</v>
      </c>
      <c r="O2112" s="12" t="n">
        <v>27.52941176470588</v>
      </c>
    </row>
    <row r="2113">
      <c r="A2113" s="10" t="n">
        <v>46066</v>
      </c>
      <c r="B2113" t="inlineStr">
        <is>
          <t>Jessica Faria da Silveira</t>
        </is>
      </c>
      <c r="C2113" s="1" t="inlineStr">
        <is>
          <t>Técnico II</t>
        </is>
      </c>
      <c r="D2113" s="3" t="n">
        <v>35</v>
      </c>
      <c r="E2113" s="3" t="n">
        <v>30</v>
      </c>
      <c r="F2113" s="3" t="n">
        <v>20.41</v>
      </c>
      <c r="G2113" s="3" t="n">
        <v>0</v>
      </c>
      <c r="H2113" s="3" t="n">
        <v>0</v>
      </c>
      <c r="I2113" s="3">
        <f>E2113+G2113+H2113</f>
        <v/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/>
      </c>
      <c r="K2113" s="3">
        <f>I2113-J2113</f>
        <v/>
      </c>
      <c r="L2113" s="3">
        <f>IF(K2113&lt;-5,"CRÍTICO",IF(K2113&lt;0,"ATENÇÃO",IF(K2113&lt;=5,"BOM","EXCELENTE")))</f>
        <v/>
      </c>
      <c r="M2113" s="3" t="n">
        <v>24</v>
      </c>
      <c r="N2113" s="3" t="n">
        <v>99.06999999999999</v>
      </c>
      <c r="O2113" s="12" t="n">
        <v>26.3768115942029</v>
      </c>
    </row>
    <row r="2114">
      <c r="A2114" s="10" t="n">
        <v>46066</v>
      </c>
      <c r="B2114" t="inlineStr">
        <is>
          <t>Jéssica Fé Moura</t>
        </is>
      </c>
      <c r="C2114" s="1" t="inlineStr">
        <is>
          <t>Técnico III</t>
        </is>
      </c>
      <c r="D2114" s="3" t="n">
        <v>0</v>
      </c>
      <c r="E2114" s="3" t="n">
        <v>0</v>
      </c>
      <c r="F2114" s="3" t="n">
        <v>0</v>
      </c>
      <c r="G2114" s="3" t="n">
        <v>0</v>
      </c>
      <c r="H2114" s="3" t="n">
        <v>0</v>
      </c>
      <c r="I2114" s="3" t="n">
        <v>0</v>
      </c>
      <c r="J2114" s="3" t="n">
        <v>0</v>
      </c>
      <c r="K2114" s="3" t="n">
        <v>0</v>
      </c>
      <c r="L2114" s="3">
        <f>IF(K2114&lt;-5,"CRÍTICO",IF(K2114&lt;0,"ATENÇÃO",IF(K2114&lt;=5,"BOM","EXCELENTE")))</f>
        <v/>
      </c>
      <c r="M2114" s="3" t="n">
        <v>0</v>
      </c>
      <c r="N2114" s="3" t="n">
        <v>100</v>
      </c>
      <c r="O2114" s="12" t="n">
        <v>0</v>
      </c>
    </row>
    <row r="2115">
      <c r="A2115" s="10" t="n">
        <v>46066</v>
      </c>
      <c r="B2115" t="inlineStr">
        <is>
          <t>Karina Gonçalves Martins</t>
        </is>
      </c>
      <c r="C2115" s="1" t="inlineStr">
        <is>
          <t>JR</t>
        </is>
      </c>
      <c r="D2115" s="3" t="n">
        <v>8</v>
      </c>
      <c r="E2115" s="3" t="n">
        <v>8</v>
      </c>
      <c r="F2115" s="3" t="n">
        <v>38.53</v>
      </c>
      <c r="G2115" s="3" t="n">
        <v>0</v>
      </c>
      <c r="H2115" s="3" t="n">
        <v>0</v>
      </c>
      <c r="I2115" s="3">
        <f>E2115+G2115+H2115</f>
        <v/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/>
      </c>
      <c r="K2115" s="3">
        <f>I2115-J2115</f>
        <v/>
      </c>
      <c r="L2115" s="3">
        <f>IF(K2115&lt;-5,"CRÍTICO",IF(K2115&lt;0,"ATENÇÃO",IF(K2115&lt;=5,"BOM","EXCELENTE")))</f>
        <v/>
      </c>
      <c r="M2115" s="3" t="n">
        <v>8</v>
      </c>
      <c r="N2115" s="3" t="n">
        <v>98.48</v>
      </c>
      <c r="O2115" s="12" t="n">
        <v>27.85388127853881</v>
      </c>
    </row>
    <row r="2116">
      <c r="A2116" s="10" t="n">
        <v>46066</v>
      </c>
      <c r="B2116" t="inlineStr">
        <is>
          <t>Kerollen Cristielly de Jesus Siqueira</t>
        </is>
      </c>
      <c r="C2116" s="1" t="inlineStr">
        <is>
          <t>Técnico III</t>
        </is>
      </c>
      <c r="D2116" s="3" t="n">
        <v>3</v>
      </c>
      <c r="E2116" s="3" t="n">
        <v>2</v>
      </c>
      <c r="F2116" s="3" t="n">
        <v>18.36</v>
      </c>
      <c r="G2116" s="3" t="n">
        <v>0</v>
      </c>
      <c r="H2116" s="3" t="n">
        <v>0</v>
      </c>
      <c r="I2116" s="3">
        <f>E2116+G2116+H2116</f>
        <v/>
      </c>
      <c r="J2116" s="3">
        <f>ROUND(MIN(IF(C2116="Técnico III",35,IF(C2116="Técnico II",28,IF(C2116="Técnico I",23,IF(C2116="JR",20,IF(C2116="Estágio",10,0))))),IF(C2116="Técnico III",SUMIFS($D:$D,$A:$A,$A2116,$B:$B,"&lt;&gt;Patrícia Karla de Sousa Araújo",$B:$B,"&lt;&gt;Lorena Dias de Araujo",$B:$B,"&lt;&gt;Lucas Luiz Romero")*(35/1083),IF(C2116="Técnico II",SUMIFS($D:$D,$A:$A,$A2116,$B:$B,"&lt;&gt;Patrícia Karla de Sousa Araújo",$B:$B,"&lt;&gt;Lorena Dias de Araujo",$B:$B,"&lt;&gt;Lucas Luiz Romero")*(28/1083),IF(C2116="Técnico I",SUMIFS($D:$D,$A:$A,$A2116,$B:$B,"&lt;&gt;Patrícia Karla de Sousa Araújo",$B:$B,"&lt;&gt;Lorena Dias de Araujo",$B:$B,"&lt;&gt;Lucas Luiz Romero")*(23/1083),IF(C2116="JR",SUMIFS($D:$D,$A:$A,$A2116,$B:$B,"&lt;&gt;Patrícia Karla de Sousa Araújo",$B:$B,"&lt;&gt;Lorena Dias de Araujo",$B:$B,"&lt;&gt;Lucas Luiz Romero")*(20/1083),IF(C2116="Estágio",SUMIFS($D:$D,$A:$A,$A2116,$B:$B,"&lt;&gt;Patrícia Karla de Sousa Araújo",$B:$B,"&lt;&gt;Lorena Dias de Araujo",$B:$B,"&lt;&gt;Lucas Luiz Romero")*(10/1083),0)))))),0)</f>
        <v/>
      </c>
      <c r="K2116" s="3">
        <f>I2116-J2116</f>
        <v/>
      </c>
      <c r="L2116" s="3">
        <f>IF(K2116&lt;-5,"CRÍTICO",IF(K2116&lt;0,"ATENÇÃO",IF(K2116&lt;=5,"BOM","EXCELENTE")))</f>
        <v/>
      </c>
      <c r="M2116" s="3" t="n">
        <v>5</v>
      </c>
      <c r="N2116" s="3" t="n">
        <v>95.15000000000001</v>
      </c>
      <c r="O2116" s="12" t="n">
        <v>34.13173652694611</v>
      </c>
    </row>
    <row r="2117">
      <c r="A2117" s="10" t="n">
        <v>46066</v>
      </c>
      <c r="B2117" t="inlineStr">
        <is>
          <t>Leandro de Souza Silva</t>
        </is>
      </c>
      <c r="C2117" s="1" t="inlineStr">
        <is>
          <t>JR</t>
        </is>
      </c>
      <c r="D2117" s="3" t="n">
        <v>0</v>
      </c>
      <c r="E2117" s="3" t="n">
        <v>0</v>
      </c>
      <c r="F2117" s="3" t="n">
        <v>0</v>
      </c>
      <c r="G2117" s="3" t="n">
        <v>0</v>
      </c>
      <c r="H2117" s="3" t="n">
        <v>0</v>
      </c>
      <c r="I2117" s="3" t="n">
        <v>0</v>
      </c>
      <c r="J2117" s="3" t="n">
        <v>0</v>
      </c>
      <c r="K2117" s="3" t="n">
        <v>0</v>
      </c>
      <c r="L2117" s="3">
        <f>IF(K2117&lt;-5,"CRÍTICO",IF(K2117&lt;0,"ATENÇÃO",IF(K2117&lt;=5,"BOM","EXCELENTE")))</f>
        <v/>
      </c>
      <c r="M2117" s="3" t="n">
        <v>0</v>
      </c>
      <c r="N2117" s="3" t="n">
        <v>0</v>
      </c>
      <c r="O2117" s="12" t="n">
        <v>0</v>
      </c>
    </row>
    <row r="2118">
      <c r="A2118" s="10" t="n">
        <v>46066</v>
      </c>
      <c r="B2118" t="inlineStr">
        <is>
          <t>Leandro Oliveira de Sousa</t>
        </is>
      </c>
      <c r="C2118" s="1" t="inlineStr">
        <is>
          <t>Técnico III</t>
        </is>
      </c>
      <c r="D2118" s="3" t="n">
        <v>23</v>
      </c>
      <c r="E2118" s="3" t="n">
        <v>22</v>
      </c>
      <c r="F2118" s="3" t="n">
        <v>29.18</v>
      </c>
      <c r="G2118" s="3" t="n">
        <v>0</v>
      </c>
      <c r="H2118" s="3" t="n">
        <v>0</v>
      </c>
      <c r="I2118" s="3">
        <f>E2118+G2118+H2118</f>
        <v/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/>
      </c>
      <c r="K2118" s="3">
        <f>I2118-J2118</f>
        <v/>
      </c>
      <c r="L2118" s="3">
        <f>IF(K2118&lt;-5,"CRÍTICO",IF(K2118&lt;0,"ATENÇÃO",IF(K2118&lt;=5,"BOM","EXCELENTE")))</f>
        <v/>
      </c>
      <c r="M2118" s="3" t="n">
        <v>24</v>
      </c>
      <c r="N2118" s="3" t="n">
        <v>99.26000000000001</v>
      </c>
      <c r="O2118" s="12" t="n">
        <v>30.84832904884319</v>
      </c>
    </row>
    <row r="2119">
      <c r="A2119" s="10" t="n">
        <v>46066</v>
      </c>
      <c r="B2119" t="inlineStr">
        <is>
          <t>Lizandra Gomes Duarte</t>
        </is>
      </c>
      <c r="C2119" s="1" t="inlineStr">
        <is>
          <t>Técnico II</t>
        </is>
      </c>
      <c r="D2119" s="3" t="n">
        <v>23</v>
      </c>
      <c r="E2119" s="3" t="n">
        <v>22</v>
      </c>
      <c r="F2119" s="3" t="n">
        <v>30.3</v>
      </c>
      <c r="G2119" s="3" t="n">
        <v>0</v>
      </c>
      <c r="H2119" s="3" t="n">
        <v>0</v>
      </c>
      <c r="I2119" s="3">
        <f>E2119+G2119+H2119</f>
        <v/>
      </c>
      <c r="J2119" s="3">
        <f>ROUND(MIN(IF(C2119="Técnico III",35,IF(C2119="Técnico II",28,IF(C2119="Técnico I",23,IF(C2119="JR",20,IF(C2119="Estágio",10,0))))),IF(C2119="Técnico III",SUMIFS($D:$D,$A:$A,$A2119,$B:$B,"&lt;&gt;Patrícia Karla de Sousa Araújo",$B:$B,"&lt;&gt;Lorena Dias de Araujo",$B:$B,"&lt;&gt;Lucas Luiz Romero")*(35/1083),IF(C2119="Técnico II",SUMIFS($D:$D,$A:$A,$A2119,$B:$B,"&lt;&gt;Patrícia Karla de Sousa Araújo",$B:$B,"&lt;&gt;Lorena Dias de Araujo",$B:$B,"&lt;&gt;Lucas Luiz Romero")*(28/1083),IF(C2119="Técnico I",SUMIFS($D:$D,$A:$A,$A2119,$B:$B,"&lt;&gt;Patrícia Karla de Sousa Araújo",$B:$B,"&lt;&gt;Lorena Dias de Araujo",$B:$B,"&lt;&gt;Lucas Luiz Romero")*(23/1083),IF(C2119="JR",SUMIFS($D:$D,$A:$A,$A2119,$B:$B,"&lt;&gt;Patrícia Karla de Sousa Araújo",$B:$B,"&lt;&gt;Lorena Dias de Araujo",$B:$B,"&lt;&gt;Lucas Luiz Romero")*(20/1083),IF(C2119="Estágio",SUMIFS($D:$D,$A:$A,$A2119,$B:$B,"&lt;&gt;Patrícia Karla de Sousa Araújo",$B:$B,"&lt;&gt;Lorena Dias de Araujo",$B:$B,"&lt;&gt;Lucas Luiz Romero")*(10/1083),0)))))),0)</f>
        <v/>
      </c>
      <c r="K2119" s="3">
        <f>I2119-J2119</f>
        <v/>
      </c>
      <c r="L2119" s="3">
        <f>IF(K2119&lt;-5,"CRÍTICO",IF(K2119&lt;0,"ATENÇÃO",IF(K2119&lt;=5,"BOM","EXCELENTE")))</f>
        <v/>
      </c>
      <c r="M2119" s="3" t="n">
        <v>8</v>
      </c>
      <c r="N2119" s="3" t="n">
        <v>97.48</v>
      </c>
      <c r="O2119" s="12" t="n">
        <v>27.76470588235294</v>
      </c>
    </row>
    <row r="2120">
      <c r="A2120" s="10" t="n">
        <v>46066</v>
      </c>
      <c r="B2120" t="inlineStr">
        <is>
          <t>Lorena Dias de Araujo</t>
        </is>
      </c>
      <c r="C2120" s="1" t="inlineStr">
        <is>
          <t>Técnico II</t>
        </is>
      </c>
      <c r="D2120" s="3" t="n">
        <v>32</v>
      </c>
      <c r="E2120" s="3" t="n">
        <v>28</v>
      </c>
      <c r="F2120" s="3" t="n">
        <v>22.28</v>
      </c>
      <c r="G2120" s="3" t="n">
        <v>0</v>
      </c>
      <c r="H2120" s="3" t="n">
        <v>0</v>
      </c>
      <c r="I2120" s="3" t="n">
        <v>0</v>
      </c>
      <c r="J2120" s="3" t="n">
        <v>0</v>
      </c>
      <c r="K2120" s="3" t="n">
        <v>0</v>
      </c>
      <c r="L2120" s="3">
        <f>IF(K2120&lt;-5,"CRÍTICO",IF(K2120&lt;0,"ATENÇÃO",IF(K2120&lt;=5,"BOM","EXCELENTE")))</f>
        <v/>
      </c>
      <c r="M2120" s="3" t="n">
        <v>25</v>
      </c>
      <c r="N2120" s="3" t="n">
        <v>99.34</v>
      </c>
      <c r="O2120" s="12" t="n">
        <v>30.04291845493562</v>
      </c>
    </row>
    <row r="2121">
      <c r="A2121" s="10" t="n">
        <v>46066</v>
      </c>
      <c r="B2121" t="inlineStr">
        <is>
          <t>Lucas Luiz Romero</t>
        </is>
      </c>
      <c r="C2121" s="1" t="inlineStr">
        <is>
          <t>Técnico III</t>
        </is>
      </c>
      <c r="D2121" s="3" t="n">
        <v>0</v>
      </c>
      <c r="E2121" s="3" t="n">
        <v>0</v>
      </c>
      <c r="F2121" s="3" t="n">
        <v>0</v>
      </c>
      <c r="G2121" s="3" t="n">
        <v>0</v>
      </c>
      <c r="H2121" s="3" t="n">
        <v>0</v>
      </c>
      <c r="I2121" s="3" t="n">
        <v>0</v>
      </c>
      <c r="J2121" s="3" t="n">
        <v>0</v>
      </c>
      <c r="K2121" s="3" t="n">
        <v>0</v>
      </c>
      <c r="L2121" s="3">
        <f>IF(K2121&lt;-5,"CRÍTICO",IF(K2121&lt;0,"ATENÇÃO",IF(K2121&lt;=5,"BOM","EXCELENTE")))</f>
        <v/>
      </c>
      <c r="M2121" s="3" t="n">
        <v>0</v>
      </c>
      <c r="N2121" s="3" t="n">
        <v>96.3</v>
      </c>
      <c r="O2121" s="12" t="n">
        <v>24.29378531073446</v>
      </c>
    </row>
    <row r="2122">
      <c r="A2122" s="10" t="n">
        <v>46066</v>
      </c>
      <c r="B2122" t="inlineStr">
        <is>
          <t>Luiz Fernando de Carvalho Junior</t>
        </is>
      </c>
      <c r="C2122" s="1" t="inlineStr">
        <is>
          <t>Técnico I</t>
        </is>
      </c>
      <c r="D2122" s="3" t="n">
        <v>16</v>
      </c>
      <c r="E2122" s="3" t="n">
        <v>16</v>
      </c>
      <c r="F2122" s="3" t="n">
        <v>26.48</v>
      </c>
      <c r="G2122" s="3" t="n">
        <v>0</v>
      </c>
      <c r="H2122" s="3" t="n">
        <v>0</v>
      </c>
      <c r="I2122" s="3">
        <f>E2122+G2122+H2122</f>
        <v/>
      </c>
      <c r="J2122" s="3">
        <f>ROUND(MIN(IF(C2122="Técnico III",35,IF(C2122="Técnico II",28,IF(C2122="Técnico I",23,IF(C2122="JR",20,IF(C2122="Estágio",10,0))))),IF(C2122="Técnico III",SUMIFS($D:$D,$A:$A,$A2122,$B:$B,"&lt;&gt;Patrícia Karla de Sousa Araújo",$B:$B,"&lt;&gt;Lorena Dias de Araujo",$B:$B,"&lt;&gt;Lucas Luiz Romero")*(35/1083),IF(C2122="Técnico II",SUMIFS($D:$D,$A:$A,$A2122,$B:$B,"&lt;&gt;Patrícia Karla de Sousa Araújo",$B:$B,"&lt;&gt;Lorena Dias de Araujo",$B:$B,"&lt;&gt;Lucas Luiz Romero")*(28/1083),IF(C2122="Técnico I",SUMIFS($D:$D,$A:$A,$A2122,$B:$B,"&lt;&gt;Patrícia Karla de Sousa Araújo",$B:$B,"&lt;&gt;Lorena Dias de Araujo",$B:$B,"&lt;&gt;Lucas Luiz Romero")*(23/1083),IF(C2122="JR",SUMIFS($D:$D,$A:$A,$A2122,$B:$B,"&lt;&gt;Patrícia Karla de Sousa Araújo",$B:$B,"&lt;&gt;Lorena Dias de Araujo",$B:$B,"&lt;&gt;Lucas Luiz Romero")*(20/1083),IF(C2122="Estágio",SUMIFS($D:$D,$A:$A,$A2122,$B:$B,"&lt;&gt;Patrícia Karla de Sousa Araújo",$B:$B,"&lt;&gt;Lorena Dias de Araujo",$B:$B,"&lt;&gt;Lucas Luiz Romero")*(10/1083),0)))))),0)</f>
        <v/>
      </c>
      <c r="K2122" s="3">
        <f>I2122-J2122</f>
        <v/>
      </c>
      <c r="L2122" s="3">
        <f>IF(K2122&lt;-5,"CRÍTICO",IF(K2122&lt;0,"ATENÇÃO",IF(K2122&lt;=5,"BOM","EXCELENTE")))</f>
        <v/>
      </c>
      <c r="M2122" s="3" t="n">
        <v>16</v>
      </c>
      <c r="N2122" s="3" t="n">
        <v>100</v>
      </c>
      <c r="O2122" s="12" t="n">
        <v>26.54320987654321</v>
      </c>
    </row>
    <row r="2123">
      <c r="A2123" s="10" t="n">
        <v>46066</v>
      </c>
      <c r="B2123" t="inlineStr">
        <is>
          <t>Maria Eduarda Sousa Costa</t>
        </is>
      </c>
      <c r="C2123" s="1" t="inlineStr">
        <is>
          <t>Estágio</t>
        </is>
      </c>
      <c r="D2123" s="3" t="n">
        <v>49</v>
      </c>
      <c r="E2123" s="3" t="n">
        <v>25</v>
      </c>
      <c r="F2123" s="3" t="n">
        <v>7.19</v>
      </c>
      <c r="G2123" s="3" t="n">
        <v>0</v>
      </c>
      <c r="H2123" s="3" t="n">
        <v>0</v>
      </c>
      <c r="I2123" s="3">
        <f>E2123+G2123+H2123</f>
        <v/>
      </c>
      <c r="J2123" s="3">
        <f>ROUND(MIN(IF(C2123="Técnico III",35,IF(C2123="Técnico II",28,IF(C2123="Técnico I",23,IF(C2123="JR",20,IF(C2123="Estágio",10,0))))),IF(C2123="Técnico III",SUMIFS($D:$D,$A:$A,$A2123,$B:$B,"&lt;&gt;Patrícia Karla de Sousa Araújo",$B:$B,"&lt;&gt;Lorena Dias de Araujo",$B:$B,"&lt;&gt;Lucas Luiz Romero")*(35/1083),IF(C2123="Técnico II",SUMIFS($D:$D,$A:$A,$A2123,$B:$B,"&lt;&gt;Patrícia Karla de Sousa Araújo",$B:$B,"&lt;&gt;Lorena Dias de Araujo",$B:$B,"&lt;&gt;Lucas Luiz Romero")*(28/1083),IF(C2123="Técnico I",SUMIFS($D:$D,$A:$A,$A2123,$B:$B,"&lt;&gt;Patrícia Karla de Sousa Araújo",$B:$B,"&lt;&gt;Lorena Dias de Araujo",$B:$B,"&lt;&gt;Lucas Luiz Romero")*(23/1083),IF(C2123="JR",SUMIFS($D:$D,$A:$A,$A2123,$B:$B,"&lt;&gt;Patrícia Karla de Sousa Araújo",$B:$B,"&lt;&gt;Lorena Dias de Araujo",$B:$B,"&lt;&gt;Lucas Luiz Romero")*(20/1083),IF(C2123="Estágio",SUMIFS($D:$D,$A:$A,$A2123,$B:$B,"&lt;&gt;Patrícia Karla de Sousa Araújo",$B:$B,"&lt;&gt;Lorena Dias de Araujo",$B:$B,"&lt;&gt;Lucas Luiz Romero")*(10/1083),0)))))),0)</f>
        <v/>
      </c>
      <c r="K2123" s="3">
        <f>I2123-J2123</f>
        <v/>
      </c>
      <c r="L2123" s="3">
        <f>IF(K2123&lt;-5,"CRÍTICO",IF(K2123&lt;0,"ATENÇÃO",IF(K2123&lt;=5,"BOM","EXCELENTE")))</f>
        <v/>
      </c>
      <c r="M2123" s="3" t="n">
        <v>2</v>
      </c>
      <c r="N2123" s="3" t="n">
        <v>100</v>
      </c>
      <c r="O2123" s="12" t="n">
        <v>35.48387096774194</v>
      </c>
    </row>
    <row r="2124">
      <c r="A2124" s="10" t="n">
        <v>46066</v>
      </c>
      <c r="B2124" t="inlineStr">
        <is>
          <t>Matheus Farias De Souza</t>
        </is>
      </c>
      <c r="C2124" s="1" t="inlineStr">
        <is>
          <t>Técnico III</t>
        </is>
      </c>
      <c r="D2124" s="3" t="n">
        <v>27</v>
      </c>
      <c r="E2124" s="3" t="n">
        <v>25</v>
      </c>
      <c r="F2124" s="3" t="n">
        <v>27.36</v>
      </c>
      <c r="G2124" s="3" t="n">
        <v>0</v>
      </c>
      <c r="H2124" s="3" t="n">
        <v>0</v>
      </c>
      <c r="I2124" s="3">
        <f>E2124+G2124+H2124</f>
        <v/>
      </c>
      <c r="J2124" s="3">
        <f>ROUND(MIN(IF(C2124="Técnico III",35,IF(C2124="Técnico II",28,IF(C2124="Técnico I",23,IF(C2124="JR",20,IF(C2124="Estágio",10,0))))),IF(C2124="Técnico III",SUMIFS($D:$D,$A:$A,$A2124,$B:$B,"&lt;&gt;Patrícia Karla de Sousa Araújo",$B:$B,"&lt;&gt;Lorena Dias de Araujo",$B:$B,"&lt;&gt;Lucas Luiz Romero")*(35/1083),IF(C2124="Técnico II",SUMIFS($D:$D,$A:$A,$A2124,$B:$B,"&lt;&gt;Patrícia Karla de Sousa Araújo",$B:$B,"&lt;&gt;Lorena Dias de Araujo",$B:$B,"&lt;&gt;Lucas Luiz Romero")*(28/1083),IF(C2124="Técnico I",SUMIFS($D:$D,$A:$A,$A2124,$B:$B,"&lt;&gt;Patrícia Karla de Sousa Araújo",$B:$B,"&lt;&gt;Lorena Dias de Araujo",$B:$B,"&lt;&gt;Lucas Luiz Romero")*(23/1083),IF(C2124="JR",SUMIFS($D:$D,$A:$A,$A2124,$B:$B,"&lt;&gt;Patrícia Karla de Sousa Araújo",$B:$B,"&lt;&gt;Lorena Dias de Araujo",$B:$B,"&lt;&gt;Lucas Luiz Romero")*(20/1083),IF(C2124="Estágio",SUMIFS($D:$D,$A:$A,$A2124,$B:$B,"&lt;&gt;Patrícia Karla de Sousa Araújo",$B:$B,"&lt;&gt;Lorena Dias de Araujo",$B:$B,"&lt;&gt;Lucas Luiz Romero")*(10/1083),0)))))),0)</f>
        <v/>
      </c>
      <c r="K2124" s="3">
        <f>I2124-J2124</f>
        <v/>
      </c>
      <c r="L2124" s="3">
        <f>IF(K2124&lt;-5,"CRÍTICO",IF(K2124&lt;0,"ATENÇÃO",IF(K2124&lt;=5,"BOM","EXCELENTE")))</f>
        <v/>
      </c>
      <c r="M2124" s="3" t="n">
        <v>23</v>
      </c>
      <c r="N2124" s="3" t="n">
        <v>99.27</v>
      </c>
      <c r="O2124" s="12" t="n">
        <v>31.16370808678501</v>
      </c>
    </row>
    <row r="2125">
      <c r="A2125" s="10" t="n">
        <v>46066</v>
      </c>
      <c r="B2125" t="inlineStr">
        <is>
          <t>Maysa Victoria Dias Moura</t>
        </is>
      </c>
      <c r="C2125" s="1" t="inlineStr">
        <is>
          <t>Técnico III</t>
        </is>
      </c>
      <c r="D2125" s="3" t="n">
        <v>34</v>
      </c>
      <c r="E2125" s="3" t="n">
        <v>33</v>
      </c>
      <c r="F2125" s="3" t="n">
        <v>20.53</v>
      </c>
      <c r="G2125" s="3" t="n">
        <v>0</v>
      </c>
      <c r="H2125" s="3" t="n">
        <v>0</v>
      </c>
      <c r="I2125" s="3">
        <f>E2125+G2125+H2125</f>
        <v/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/>
      </c>
      <c r="K2125" s="3">
        <f>I2125-J2125</f>
        <v/>
      </c>
      <c r="L2125" s="3">
        <f>IF(K2125&lt;-5,"CRÍTICO",IF(K2125&lt;0,"ATENÇÃO",IF(K2125&lt;=5,"BOM","EXCELENTE")))</f>
        <v/>
      </c>
      <c r="M2125" s="3" t="n">
        <v>27</v>
      </c>
      <c r="N2125" s="3" t="n">
        <v>94.16</v>
      </c>
      <c r="O2125" s="12" t="n">
        <v>27.03862660944206</v>
      </c>
    </row>
    <row r="2126">
      <c r="A2126" s="10" t="n">
        <v>46066</v>
      </c>
      <c r="B2126" t="inlineStr">
        <is>
          <t>Michelle G Santos</t>
        </is>
      </c>
      <c r="C2126" s="1" t="inlineStr">
        <is>
          <t>Estágio</t>
        </is>
      </c>
      <c r="D2126" s="3" t="n">
        <v>12</v>
      </c>
      <c r="E2126" s="3" t="n">
        <v>11</v>
      </c>
      <c r="F2126" s="3" t="n">
        <v>50.19</v>
      </c>
      <c r="G2126" s="3" t="n">
        <v>0</v>
      </c>
      <c r="H2126" s="3" t="n">
        <v>0</v>
      </c>
      <c r="I2126" s="3">
        <f>E2126+G2126+H2126</f>
        <v/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/>
      </c>
      <c r="K2126" s="3">
        <f>I2126-J2126</f>
        <v/>
      </c>
      <c r="L2126" s="3">
        <f>IF(K2126&lt;-5,"CRÍTICO",IF(K2126&lt;0,"ATENÇÃO",IF(K2126&lt;=5,"BOM","EXCELENTE")))</f>
        <v/>
      </c>
      <c r="M2126" s="3" t="n">
        <v>5</v>
      </c>
      <c r="N2126" s="3" t="n">
        <v>93.75</v>
      </c>
      <c r="O2126" s="12" t="n">
        <v>19.31818181818182</v>
      </c>
    </row>
    <row r="2127">
      <c r="A2127" s="10" t="n">
        <v>46066</v>
      </c>
      <c r="B2127" t="inlineStr">
        <is>
          <t>Milena Sales</t>
        </is>
      </c>
      <c r="C2127" s="1" t="inlineStr">
        <is>
          <t>JR</t>
        </is>
      </c>
      <c r="D2127" s="3" t="n">
        <v>0</v>
      </c>
      <c r="E2127" s="3" t="n">
        <v>0</v>
      </c>
      <c r="F2127" s="3" t="n">
        <v>0</v>
      </c>
      <c r="G2127" s="3" t="n">
        <v>0</v>
      </c>
      <c r="H2127" s="3" t="n">
        <v>0</v>
      </c>
      <c r="I2127" s="3" t="n">
        <v>0</v>
      </c>
      <c r="J2127" s="3" t="n">
        <v>0</v>
      </c>
      <c r="K2127" s="3" t="n">
        <v>0</v>
      </c>
      <c r="L2127" s="3">
        <f>IF(K2127&lt;-5,"CRÍTICO",IF(K2127&lt;0,"ATENÇÃO",IF(K2127&lt;=5,"BOM","EXCELENTE")))</f>
        <v/>
      </c>
      <c r="M2127" s="3" t="n">
        <v>0</v>
      </c>
      <c r="N2127" s="3" t="n">
        <v>0</v>
      </c>
      <c r="O2127" s="12" t="n">
        <v>0</v>
      </c>
    </row>
    <row r="2128">
      <c r="A2128" s="10" t="n">
        <v>46066</v>
      </c>
      <c r="B2128" t="inlineStr">
        <is>
          <t>Patrícia Karla de Sousa Araújo</t>
        </is>
      </c>
      <c r="C2128" s="1" t="inlineStr">
        <is>
          <t>Técnico II</t>
        </is>
      </c>
      <c r="D2128" s="3" t="n">
        <v>0</v>
      </c>
      <c r="E2128" s="3" t="n">
        <v>0</v>
      </c>
      <c r="F2128" s="3" t="n">
        <v>0</v>
      </c>
      <c r="G2128" s="3" t="n">
        <v>0</v>
      </c>
      <c r="H2128" s="3" t="n">
        <v>0</v>
      </c>
      <c r="I2128" s="3" t="n">
        <v>0</v>
      </c>
      <c r="J2128" s="3" t="n">
        <v>0</v>
      </c>
      <c r="K2128" s="3" t="n">
        <v>0</v>
      </c>
      <c r="L2128" s="3">
        <f>IF(K2128&lt;-5,"CRÍTICO",IF(K2128&lt;0,"ATENÇÃO",IF(K2128&lt;=5,"BOM","EXCELENTE")))</f>
        <v/>
      </c>
      <c r="M2128" s="3" t="n">
        <v>0</v>
      </c>
      <c r="N2128" s="3" t="n">
        <v>97.92</v>
      </c>
      <c r="O2128" s="12" t="n">
        <v>32.87671232876712</v>
      </c>
    </row>
    <row r="2129">
      <c r="A2129" s="10" t="n">
        <v>46066</v>
      </c>
      <c r="B2129" t="inlineStr">
        <is>
          <t>Paulo Ricardo Santos</t>
        </is>
      </c>
      <c r="C2129" s="1" t="inlineStr">
        <is>
          <t>JR</t>
        </is>
      </c>
      <c r="D2129" s="3" t="n">
        <v>0</v>
      </c>
      <c r="E2129" s="3" t="n">
        <v>0</v>
      </c>
      <c r="F2129" s="3" t="n">
        <v>0</v>
      </c>
      <c r="G2129" s="3" t="n">
        <v>0</v>
      </c>
      <c r="H2129" s="3" t="n">
        <v>0</v>
      </c>
      <c r="I2129" s="3" t="n">
        <v>0</v>
      </c>
      <c r="J2129" s="3" t="n">
        <v>0</v>
      </c>
      <c r="K2129" s="3" t="n">
        <v>0</v>
      </c>
      <c r="L2129" s="3">
        <f>IF(K2129&lt;-5,"CRÍTICO",IF(K2129&lt;0,"ATENÇÃO",IF(K2129&lt;=5,"BOM","EXCELENTE")))</f>
        <v/>
      </c>
      <c r="M2129" s="3" t="n">
        <v>0</v>
      </c>
      <c r="N2129" s="3" t="n">
        <v>0</v>
      </c>
      <c r="O2129" s="12" t="n">
        <v>0</v>
      </c>
    </row>
    <row r="2130">
      <c r="A2130" s="10" t="n">
        <v>46066</v>
      </c>
      <c r="B2130" t="inlineStr">
        <is>
          <t>Pedro Luiz Mota Sousa</t>
        </is>
      </c>
      <c r="C2130" s="1" t="inlineStr">
        <is>
          <t>JR</t>
        </is>
      </c>
      <c r="D2130" s="3" t="n">
        <v>0</v>
      </c>
      <c r="E2130" s="3" t="n">
        <v>0</v>
      </c>
      <c r="F2130" s="3" t="n">
        <v>0</v>
      </c>
      <c r="G2130" s="3" t="n">
        <v>0</v>
      </c>
      <c r="H2130" s="3" t="n">
        <v>0</v>
      </c>
      <c r="I2130" s="3" t="n">
        <v>0</v>
      </c>
      <c r="J2130" s="3" t="n">
        <v>0</v>
      </c>
      <c r="K2130" s="3" t="n">
        <v>0</v>
      </c>
      <c r="L2130" s="3">
        <f>IF(K2130&lt;-5,"CRÍTICO",IF(K2130&lt;0,"ATENÇÃO",IF(K2130&lt;=5,"BOM","EXCELENTE")))</f>
        <v/>
      </c>
      <c r="M2130" s="3" t="n">
        <v>0</v>
      </c>
      <c r="N2130" s="3" t="n">
        <v>0</v>
      </c>
      <c r="O2130" s="12" t="n">
        <v>0</v>
      </c>
    </row>
    <row r="2131">
      <c r="A2131" s="10" t="n">
        <v>46066</v>
      </c>
      <c r="B2131" t="inlineStr">
        <is>
          <t>Quirino Diogo Leite Torres</t>
        </is>
      </c>
      <c r="C2131" s="1" t="inlineStr">
        <is>
          <t>Estágio</t>
        </is>
      </c>
      <c r="D2131" s="3" t="n">
        <v>0</v>
      </c>
      <c r="E2131" s="3" t="n">
        <v>0</v>
      </c>
      <c r="F2131" s="3" t="n">
        <v>0</v>
      </c>
      <c r="G2131" s="3" t="n">
        <v>0</v>
      </c>
      <c r="H2131" s="3" t="n">
        <v>0</v>
      </c>
      <c r="I2131" s="3" t="n">
        <v>0</v>
      </c>
      <c r="J2131" s="3" t="n">
        <v>0</v>
      </c>
      <c r="K2131" s="3" t="n">
        <v>0</v>
      </c>
      <c r="L2131" s="3">
        <f>IF(K2131&lt;-5,"CRÍTICO",IF(K2131&lt;0,"ATENÇÃO",IF(K2131&lt;=5,"BOM","EXCELENTE")))</f>
        <v/>
      </c>
      <c r="M2131" s="3" t="n">
        <v>0</v>
      </c>
      <c r="N2131" s="3" t="n">
        <v>0</v>
      </c>
      <c r="O2131" s="12" t="n">
        <v>0</v>
      </c>
    </row>
    <row r="2132">
      <c r="A2132" s="10" t="n">
        <v>46066</v>
      </c>
      <c r="B2132" t="inlineStr">
        <is>
          <t>Raane Batista Matos</t>
        </is>
      </c>
      <c r="C2132" s="1" t="inlineStr">
        <is>
          <t>Técnico I</t>
        </is>
      </c>
      <c r="D2132" s="3" t="n">
        <v>21</v>
      </c>
      <c r="E2132" s="3" t="n">
        <v>16</v>
      </c>
      <c r="F2132" s="3" t="n">
        <v>26.41</v>
      </c>
      <c r="G2132" s="3" t="n">
        <v>0</v>
      </c>
      <c r="H2132" s="3" t="n">
        <v>0</v>
      </c>
      <c r="I2132" s="3">
        <f>E2132+G2132+H2132</f>
        <v/>
      </c>
      <c r="J2132" s="3">
        <f>ROUND(MIN(IF(C2132="Técnico III",35,IF(C2132="Técnico II",28,IF(C2132="Técnico I",23,IF(C2132="JR",20,IF(C2132="Estágio",10,0))))),IF(C2132="Técnico III",SUMIFS($D:$D,$A:$A,$A2132,$B:$B,"&lt;&gt;Patrícia Karla de Sousa Araújo",$B:$B,"&lt;&gt;Lorena Dias de Araujo",$B:$B,"&lt;&gt;Lucas Luiz Romero")*(35/1083),IF(C2132="Técnico II",SUMIFS($D:$D,$A:$A,$A2132,$B:$B,"&lt;&gt;Patrícia Karla de Sousa Araújo",$B:$B,"&lt;&gt;Lorena Dias de Araujo",$B:$B,"&lt;&gt;Lucas Luiz Romero")*(28/1083),IF(C2132="Técnico I",SUMIFS($D:$D,$A:$A,$A2132,$B:$B,"&lt;&gt;Patrícia Karla de Sousa Araújo",$B:$B,"&lt;&gt;Lorena Dias de Araujo",$B:$B,"&lt;&gt;Lucas Luiz Romero")*(23/1083),IF(C2132="JR",SUMIFS($D:$D,$A:$A,$A2132,$B:$B,"&lt;&gt;Patrícia Karla de Sousa Araújo",$B:$B,"&lt;&gt;Lorena Dias de Araujo",$B:$B,"&lt;&gt;Lucas Luiz Romero")*(20/1083),IF(C2132="Estágio",SUMIFS($D:$D,$A:$A,$A2132,$B:$B,"&lt;&gt;Patrícia Karla de Sousa Araújo",$B:$B,"&lt;&gt;Lorena Dias de Araujo",$B:$B,"&lt;&gt;Lucas Luiz Romero")*(10/1083),0)))))),0)</f>
        <v/>
      </c>
      <c r="K2132" s="3">
        <f>I2132-J2132</f>
        <v/>
      </c>
      <c r="L2132" s="3">
        <f>IF(K2132&lt;-5,"CRÍTICO",IF(K2132&lt;0,"ATENÇÃO",IF(K2132&lt;=5,"BOM","EXCELENTE")))</f>
        <v/>
      </c>
      <c r="M2132" s="3" t="n">
        <v>12</v>
      </c>
      <c r="N2132" s="3" t="n">
        <v>98.51000000000001</v>
      </c>
      <c r="O2132" s="12" t="n">
        <v>29.71014492753623</v>
      </c>
    </row>
    <row r="2133">
      <c r="A2133" s="10" t="n">
        <v>46066</v>
      </c>
      <c r="B2133" t="inlineStr">
        <is>
          <t>Rafael Gomes de Morais</t>
        </is>
      </c>
      <c r="C2133" s="1" t="inlineStr">
        <is>
          <t>Técnico III</t>
        </is>
      </c>
      <c r="D2133" s="3" t="n">
        <v>37</v>
      </c>
      <c r="E2133" s="3" t="n">
        <v>32</v>
      </c>
      <c r="F2133" s="3" t="n">
        <v>15.18</v>
      </c>
      <c r="G2133" s="3" t="n">
        <v>0</v>
      </c>
      <c r="H2133" s="3" t="n">
        <v>0</v>
      </c>
      <c r="I2133" s="3">
        <f>E2133+G2133+H2133</f>
        <v/>
      </c>
      <c r="J2133" s="3">
        <f>ROUND(MIN(IF(C2133="Técnico III",35,IF(C2133="Técnico II",28,IF(C2133="Técnico I",23,IF(C2133="JR",20,IF(C2133="Estágio",10,0))))),IF(C2133="Técnico III",SUMIFS($D:$D,$A:$A,$A2133,$B:$B,"&lt;&gt;Patrícia Karla de Sousa Araújo",$B:$B,"&lt;&gt;Lorena Dias de Araujo",$B:$B,"&lt;&gt;Lucas Luiz Romero")*(35/1083),IF(C2133="Técnico II",SUMIFS($D:$D,$A:$A,$A2133,$B:$B,"&lt;&gt;Patrícia Karla de Sousa Araújo",$B:$B,"&lt;&gt;Lorena Dias de Araujo",$B:$B,"&lt;&gt;Lucas Luiz Romero")*(28/1083),IF(C2133="Técnico I",SUMIFS($D:$D,$A:$A,$A2133,$B:$B,"&lt;&gt;Patrícia Karla de Sousa Araújo",$B:$B,"&lt;&gt;Lorena Dias de Araujo",$B:$B,"&lt;&gt;Lucas Luiz Romero")*(23/1083),IF(C2133="JR",SUMIFS($D:$D,$A:$A,$A2133,$B:$B,"&lt;&gt;Patrícia Karla de Sousa Araújo",$B:$B,"&lt;&gt;Lorena Dias de Araujo",$B:$B,"&lt;&gt;Lucas Luiz Romero")*(20/1083),IF(C2133="Estágio",SUMIFS($D:$D,$A:$A,$A2133,$B:$B,"&lt;&gt;Patrícia Karla de Sousa Araújo",$B:$B,"&lt;&gt;Lorena Dias de Araujo",$B:$B,"&lt;&gt;Lucas Luiz Romero")*(10/1083),0)))))),0)</f>
        <v/>
      </c>
      <c r="K2133" s="3">
        <f>I2133-J2133</f>
        <v/>
      </c>
      <c r="L2133" s="3">
        <f>IF(K2133&lt;-5,"CRÍTICO",IF(K2133&lt;0,"ATENÇÃO",IF(K2133&lt;=5,"BOM","EXCELENTE")))</f>
        <v/>
      </c>
      <c r="M2133" s="3" t="n">
        <v>30</v>
      </c>
      <c r="N2133" s="3" t="n">
        <v>98.81</v>
      </c>
      <c r="O2133" s="12" t="n">
        <v>30.71297989031079</v>
      </c>
    </row>
    <row r="2134">
      <c r="A2134" s="10" t="n">
        <v>46066</v>
      </c>
      <c r="B2134" t="inlineStr">
        <is>
          <t>Sara Maria Monteiro Lopes</t>
        </is>
      </c>
      <c r="C2134" s="1" t="inlineStr">
        <is>
          <t>Técnico I</t>
        </is>
      </c>
      <c r="D2134" s="3" t="n">
        <v>10</v>
      </c>
      <c r="E2134" s="3" t="n">
        <v>9</v>
      </c>
      <c r="F2134" s="3" t="n">
        <v>42.17</v>
      </c>
      <c r="G2134" s="3" t="n">
        <v>0</v>
      </c>
      <c r="H2134" s="3" t="n">
        <v>0</v>
      </c>
      <c r="I2134" s="3">
        <f>E2134+G2134+H2134</f>
        <v/>
      </c>
      <c r="J2134" s="3">
        <f>ROUND(MIN(IF(C2134="Técnico III",35,IF(C2134="Técnico II",28,IF(C2134="Técnico I",23,IF(C2134="JR",20,IF(C2134="Estágio",10,0))))),IF(C2134="Técnico III",SUMIFS($D:$D,$A:$A,$A2134,$B:$B,"&lt;&gt;Patrícia Karla de Sousa Araújo",$B:$B,"&lt;&gt;Lorena Dias de Araujo",$B:$B,"&lt;&gt;Lucas Luiz Romero")*(35/1083),IF(C2134="Técnico II",SUMIFS($D:$D,$A:$A,$A2134,$B:$B,"&lt;&gt;Patrícia Karla de Sousa Araújo",$B:$B,"&lt;&gt;Lorena Dias de Araujo",$B:$B,"&lt;&gt;Lucas Luiz Romero")*(28/1083),IF(C2134="Técnico I",SUMIFS($D:$D,$A:$A,$A2134,$B:$B,"&lt;&gt;Patrícia Karla de Sousa Araújo",$B:$B,"&lt;&gt;Lorena Dias de Araujo",$B:$B,"&lt;&gt;Lucas Luiz Romero")*(23/1083),IF(C2134="JR",SUMIFS($D:$D,$A:$A,$A2134,$B:$B,"&lt;&gt;Patrícia Karla de Sousa Araújo",$B:$B,"&lt;&gt;Lorena Dias de Araujo",$B:$B,"&lt;&gt;Lucas Luiz Romero")*(20/1083),IF(C2134="Estágio",SUMIFS($D:$D,$A:$A,$A2134,$B:$B,"&lt;&gt;Patrícia Karla de Sousa Araújo",$B:$B,"&lt;&gt;Lorena Dias de Araujo",$B:$B,"&lt;&gt;Lucas Luiz Romero")*(10/1083),0)))))),0)</f>
        <v/>
      </c>
      <c r="K2134" s="3">
        <f>I2134-J2134</f>
        <v/>
      </c>
      <c r="L2134" s="3">
        <f>IF(K2134&lt;-5,"CRÍTICO",IF(K2134&lt;0,"ATENÇÃO",IF(K2134&lt;=5,"BOM","EXCELENTE")))</f>
        <v/>
      </c>
      <c r="M2134" s="3" t="n">
        <v>11</v>
      </c>
      <c r="N2134" s="3" t="n">
        <v>98.48</v>
      </c>
      <c r="O2134" s="12" t="n">
        <v>29.35323383084577</v>
      </c>
    </row>
    <row r="2135">
      <c r="A2135" s="10" t="n">
        <v>46066</v>
      </c>
      <c r="B2135" t="inlineStr">
        <is>
          <t>Sarah Steffanie de Lima Borges</t>
        </is>
      </c>
      <c r="C2135" s="1" t="inlineStr">
        <is>
          <t>Técnico III</t>
        </is>
      </c>
      <c r="D2135" s="3" t="n">
        <v>31</v>
      </c>
      <c r="E2135" s="3" t="n">
        <v>30</v>
      </c>
      <c r="F2135" s="3" t="n">
        <v>19.11</v>
      </c>
      <c r="G2135" s="3" t="n">
        <v>0</v>
      </c>
      <c r="H2135" s="3" t="n">
        <v>0</v>
      </c>
      <c r="I2135" s="3">
        <f>E2135+G2135+H2135</f>
        <v/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/>
      </c>
      <c r="K2135" s="3">
        <f>I2135-J2135</f>
        <v/>
      </c>
      <c r="L2135" s="3">
        <f>IF(K2135&lt;-5,"CRÍTICO",IF(K2135&lt;0,"ATENÇÃO",IF(K2135&lt;=5,"BOM","EXCELENTE")))</f>
        <v/>
      </c>
      <c r="M2135" s="3" t="n">
        <v>30</v>
      </c>
      <c r="N2135" s="3" t="n">
        <v>98.56</v>
      </c>
      <c r="O2135" s="12" t="n">
        <v>29.37365010799136</v>
      </c>
    </row>
    <row r="2136">
      <c r="A2136" s="10" t="n">
        <v>46069</v>
      </c>
      <c r="B2136" t="inlineStr">
        <is>
          <t>Alisson de Freitas Silva</t>
        </is>
      </c>
      <c r="C2136" s="1" t="inlineStr">
        <is>
          <t>Técnico II</t>
        </is>
      </c>
      <c r="D2136" s="3" t="n">
        <v>8</v>
      </c>
      <c r="E2136" s="3" t="n">
        <v>8</v>
      </c>
      <c r="F2136" s="3" t="n">
        <v>18.47</v>
      </c>
      <c r="G2136" s="3" t="n">
        <v>0</v>
      </c>
      <c r="H2136" s="3" t="n">
        <v>0</v>
      </c>
      <c r="I2136" s="3">
        <f>E2136+G2136+H2136</f>
        <v/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/>
      </c>
      <c r="K2136" s="3">
        <f>I2136-J2136</f>
        <v/>
      </c>
      <c r="L2136" s="3">
        <f>IF(K2136&lt;-5,"CRÍTICO",IF(K2136&lt;0,"ATENÇÃO",IF(K2136&lt;=5,"BOM","EXCELENTE")))</f>
        <v/>
      </c>
      <c r="M2136" s="3" t="n">
        <v>4</v>
      </c>
      <c r="N2136" s="3" t="n">
        <v>98.31999999999999</v>
      </c>
      <c r="O2136" s="12" t="n">
        <v>30.3030303030303</v>
      </c>
    </row>
    <row r="2137">
      <c r="A2137" s="10" t="n">
        <v>46069</v>
      </c>
      <c r="B2137" t="inlineStr">
        <is>
          <t>Amanda Moura Ferreira</t>
        </is>
      </c>
      <c r="C2137" s="1" t="inlineStr">
        <is>
          <t>Técnico III</t>
        </is>
      </c>
      <c r="D2137" s="3" t="n">
        <v>0</v>
      </c>
      <c r="E2137" s="3" t="n">
        <v>0</v>
      </c>
      <c r="F2137" s="3" t="n">
        <v>0</v>
      </c>
      <c r="G2137" s="3" t="n">
        <v>0</v>
      </c>
      <c r="H2137" s="3" t="n">
        <v>0</v>
      </c>
      <c r="I2137" s="3" t="n">
        <v>0</v>
      </c>
      <c r="J2137" s="3" t="n">
        <v>0</v>
      </c>
      <c r="K2137" s="3" t="n">
        <v>0</v>
      </c>
      <c r="L2137" s="3">
        <f>IF(K2137&lt;-5,"CRÍTICO",IF(K2137&lt;0,"ATENÇÃO",IF(K2137&lt;=5,"BOM","EXCELENTE")))</f>
        <v/>
      </c>
      <c r="M2137" s="3" t="n">
        <v>6</v>
      </c>
      <c r="N2137" s="3" t="n">
        <v>98.68000000000001</v>
      </c>
      <c r="O2137" s="12" t="n">
        <v>26.21951219512195</v>
      </c>
    </row>
    <row r="2138">
      <c r="A2138" s="10" t="n">
        <v>46069</v>
      </c>
      <c r="B2138" t="inlineStr">
        <is>
          <t>Ana Karollyne Souza Faria</t>
        </is>
      </c>
      <c r="C2138" s="1" t="inlineStr">
        <is>
          <t>Técnico I</t>
        </is>
      </c>
      <c r="D2138" s="3" t="n">
        <v>8</v>
      </c>
      <c r="E2138" s="3" t="n">
        <v>8</v>
      </c>
      <c r="F2138" s="3" t="n">
        <v>18.35</v>
      </c>
      <c r="G2138" s="3" t="n">
        <v>0</v>
      </c>
      <c r="H2138" s="3" t="n">
        <v>0</v>
      </c>
      <c r="I2138" s="3">
        <f>E2138+G2138+H2138</f>
        <v/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/>
      </c>
      <c r="K2138" s="3">
        <f>I2138-J2138</f>
        <v/>
      </c>
      <c r="L2138" s="3">
        <f>IF(K2138&lt;-5,"CRÍTICO",IF(K2138&lt;0,"ATENÇÃO",IF(K2138&lt;=5,"BOM","EXCELENTE")))</f>
        <v/>
      </c>
      <c r="M2138" s="3" t="n">
        <v>7</v>
      </c>
      <c r="N2138" s="3" t="n">
        <v>100</v>
      </c>
      <c r="O2138" s="12" t="n">
        <v>31.74224343675418</v>
      </c>
    </row>
    <row r="2139">
      <c r="A2139" s="10" t="n">
        <v>46069</v>
      </c>
      <c r="B2139" t="inlineStr">
        <is>
          <t>Ana Paula Da Luz Silva Aleixo</t>
        </is>
      </c>
      <c r="C2139" s="1" t="inlineStr">
        <is>
          <t>Técnico III</t>
        </is>
      </c>
      <c r="D2139" s="3" t="n">
        <v>9</v>
      </c>
      <c r="E2139" s="3" t="n">
        <v>8</v>
      </c>
      <c r="F2139" s="3" t="n">
        <v>30.38</v>
      </c>
      <c r="G2139" s="3" t="n">
        <v>0</v>
      </c>
      <c r="H2139" s="3" t="n">
        <v>0</v>
      </c>
      <c r="I2139" s="3">
        <f>E2139+G2139+H2139</f>
        <v/>
      </c>
      <c r="J2139" s="3">
        <f>ROUND(MIN(IF(C2139="Técnico III",35,IF(C2139="Técnico II",28,IF(C2139="Técnico I",23,IF(C2139="JR",20,IF(C2139="Estágio",10,0))))),IF(C2139="Técnico III",SUMIFS($D:$D,$A:$A,$A2139,$B:$B,"&lt;&gt;Patrícia Karla de Sousa Araújo",$B:$B,"&lt;&gt;Lorena Dias de Araujo",$B:$B,"&lt;&gt;Lucas Luiz Romero")*(35/1083),IF(C2139="Técnico II",SUMIFS($D:$D,$A:$A,$A2139,$B:$B,"&lt;&gt;Patrícia Karla de Sousa Araújo",$B:$B,"&lt;&gt;Lorena Dias de Araujo",$B:$B,"&lt;&gt;Lucas Luiz Romero")*(28/1083),IF(C2139="Técnico I",SUMIFS($D:$D,$A:$A,$A2139,$B:$B,"&lt;&gt;Patrícia Karla de Sousa Araújo",$B:$B,"&lt;&gt;Lorena Dias de Araujo",$B:$B,"&lt;&gt;Lucas Luiz Romero")*(23/1083),IF(C2139="JR",SUMIFS($D:$D,$A:$A,$A2139,$B:$B,"&lt;&gt;Patrícia Karla de Sousa Araújo",$B:$B,"&lt;&gt;Lorena Dias de Araujo",$B:$B,"&lt;&gt;Lucas Luiz Romero")*(20/1083),IF(C2139="Estágio",SUMIFS($D:$D,$A:$A,$A2139,$B:$B,"&lt;&gt;Patrícia Karla de Sousa Araújo",$B:$B,"&lt;&gt;Lorena Dias de Araujo",$B:$B,"&lt;&gt;Lucas Luiz Romero")*(10/1083),0)))))),0)</f>
        <v/>
      </c>
      <c r="K2139" s="3">
        <f>I2139-J2139</f>
        <v/>
      </c>
      <c r="L2139" s="3">
        <f>IF(K2139&lt;-5,"CRÍTICO",IF(K2139&lt;0,"ATENÇÃO",IF(K2139&lt;=5,"BOM","EXCELENTE")))</f>
        <v/>
      </c>
      <c r="M2139" s="3" t="n">
        <v>5</v>
      </c>
      <c r="N2139" s="3" t="n">
        <v>98.25</v>
      </c>
      <c r="O2139" s="12" t="n">
        <v>25.83518930957684</v>
      </c>
    </row>
    <row r="2140">
      <c r="A2140" s="10" t="n">
        <v>46069</v>
      </c>
      <c r="B2140" t="inlineStr">
        <is>
          <t>Anna Luiza Rezende Tavares</t>
        </is>
      </c>
      <c r="C2140" s="1" t="inlineStr">
        <is>
          <t>Estágio</t>
        </is>
      </c>
      <c r="D2140" s="3" t="n">
        <v>4</v>
      </c>
      <c r="E2140" s="3" t="n">
        <v>2</v>
      </c>
      <c r="F2140" s="3" t="n">
        <v>23.3</v>
      </c>
      <c r="G2140" s="3" t="n">
        <v>0</v>
      </c>
      <c r="H2140" s="3" t="n">
        <v>0</v>
      </c>
      <c r="I2140" s="3">
        <f>E2140+G2140+H2140</f>
        <v/>
      </c>
      <c r="J2140" s="3">
        <f>ROUND(MIN(IF(C2140="Técnico III",35,IF(C2140="Técnico II",28,IF(C2140="Técnico I",23,IF(C2140="JR",20,IF(C2140="Estágio",10,0))))),IF(C2140="Técnico III",SUMIFS($D:$D,$A:$A,$A2140,$B:$B,"&lt;&gt;Patrícia Karla de Sousa Araújo",$B:$B,"&lt;&gt;Lorena Dias de Araujo",$B:$B,"&lt;&gt;Lucas Luiz Romero")*(35/1083),IF(C2140="Técnico II",SUMIFS($D:$D,$A:$A,$A2140,$B:$B,"&lt;&gt;Patrícia Karla de Sousa Araújo",$B:$B,"&lt;&gt;Lorena Dias de Araujo",$B:$B,"&lt;&gt;Lucas Luiz Romero")*(28/1083),IF(C2140="Técnico I",SUMIFS($D:$D,$A:$A,$A2140,$B:$B,"&lt;&gt;Patrícia Karla de Sousa Araújo",$B:$B,"&lt;&gt;Lorena Dias de Araujo",$B:$B,"&lt;&gt;Lucas Luiz Romero")*(23/1083),IF(C2140="JR",SUMIFS($D:$D,$A:$A,$A2140,$B:$B,"&lt;&gt;Patrícia Karla de Sousa Araújo",$B:$B,"&lt;&gt;Lorena Dias de Araujo",$B:$B,"&lt;&gt;Lucas Luiz Romero")*(20/1083),IF(C2140="Estágio",SUMIFS($D:$D,$A:$A,$A2140,$B:$B,"&lt;&gt;Patrícia Karla de Sousa Araújo",$B:$B,"&lt;&gt;Lorena Dias de Araujo",$B:$B,"&lt;&gt;Lucas Luiz Romero")*(10/1083),0)))))),0)</f>
        <v/>
      </c>
      <c r="K2140" s="3">
        <f>I2140-J2140</f>
        <v/>
      </c>
      <c r="L2140" s="3">
        <f>IF(K2140&lt;-5,"CRÍTICO",IF(K2140&lt;0,"ATENÇÃO",IF(K2140&lt;=5,"BOM","EXCELENTE")))</f>
        <v/>
      </c>
      <c r="M2140" s="3" t="n">
        <v>3</v>
      </c>
      <c r="N2140" s="3" t="n">
        <v>97.5</v>
      </c>
      <c r="O2140" s="12" t="n">
        <v>30.07518796992481</v>
      </c>
    </row>
    <row r="2141">
      <c r="A2141" s="10" t="n">
        <v>46069</v>
      </c>
      <c r="B2141" t="inlineStr">
        <is>
          <t>Brenda de Menezes Silva</t>
        </is>
      </c>
      <c r="C2141" s="1" t="inlineStr">
        <is>
          <t>Técnico II</t>
        </is>
      </c>
      <c r="D2141" s="3" t="n">
        <v>6</v>
      </c>
      <c r="E2141" s="3" t="n">
        <v>6</v>
      </c>
      <c r="F2141" s="3" t="n">
        <v>23.58</v>
      </c>
      <c r="G2141" s="3" t="n">
        <v>0</v>
      </c>
      <c r="H2141" s="3" t="n">
        <v>0</v>
      </c>
      <c r="I2141" s="3">
        <f>E2141+G2141+H2141</f>
        <v/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/>
      </c>
      <c r="K2141" s="3">
        <f>I2141-J2141</f>
        <v/>
      </c>
      <c r="L2141" s="3">
        <f>IF(K2141&lt;-5,"CRÍTICO",IF(K2141&lt;0,"ATENÇÃO",IF(K2141&lt;=5,"BOM","EXCELENTE")))</f>
        <v/>
      </c>
      <c r="M2141" s="3" t="n">
        <v>5</v>
      </c>
      <c r="N2141" s="3" t="n">
        <v>100</v>
      </c>
      <c r="O2141" s="12" t="n">
        <v>29.71311475409836</v>
      </c>
    </row>
    <row r="2142">
      <c r="A2142" s="10" t="n">
        <v>46069</v>
      </c>
      <c r="B2142" t="inlineStr">
        <is>
          <t>Carlos Mateus Cassimiro Nunes</t>
        </is>
      </c>
      <c r="C2142" s="1" t="inlineStr">
        <is>
          <t>Técnico II</t>
        </is>
      </c>
      <c r="D2142" s="3" t="n">
        <v>7</v>
      </c>
      <c r="E2142" s="3" t="n">
        <v>7</v>
      </c>
      <c r="F2142" s="3" t="n">
        <v>33.44</v>
      </c>
      <c r="G2142" s="3" t="n">
        <v>0</v>
      </c>
      <c r="H2142" s="3" t="n">
        <v>0</v>
      </c>
      <c r="I2142" s="3">
        <f>E2142+G2142+H2142</f>
        <v/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/>
      </c>
      <c r="K2142" s="3">
        <f>I2142-J2142</f>
        <v/>
      </c>
      <c r="L2142" s="3">
        <f>IF(K2142&lt;-5,"CRÍTICO",IF(K2142&lt;0,"ATENÇÃO",IF(K2142&lt;=5,"BOM","EXCELENTE")))</f>
        <v/>
      </c>
      <c r="M2142" s="3" t="n">
        <v>8</v>
      </c>
      <c r="N2142" s="3" t="n">
        <v>99.22</v>
      </c>
      <c r="O2142" s="12" t="n">
        <v>35.25641025641026</v>
      </c>
    </row>
    <row r="2143">
      <c r="A2143" s="10" t="n">
        <v>46069</v>
      </c>
      <c r="B2143" t="inlineStr">
        <is>
          <t>Claudio de Sousa Velasco Filho</t>
        </is>
      </c>
      <c r="C2143" s="1" t="inlineStr">
        <is>
          <t>Estágio</t>
        </is>
      </c>
      <c r="D2143" s="3" t="n">
        <v>0</v>
      </c>
      <c r="E2143" s="3" t="n">
        <v>0</v>
      </c>
      <c r="F2143" s="3" t="n">
        <v>0</v>
      </c>
      <c r="G2143" s="3" t="n">
        <v>0</v>
      </c>
      <c r="H2143" s="3" t="n">
        <v>0</v>
      </c>
      <c r="I2143" s="3" t="n">
        <v>0</v>
      </c>
      <c r="J2143" s="3" t="n">
        <v>0</v>
      </c>
      <c r="K2143" s="3" t="n">
        <v>0</v>
      </c>
      <c r="L2143" s="3">
        <f>IF(K2143&lt;-5,"CRÍTICO",IF(K2143&lt;0,"ATENÇÃO",IF(K2143&lt;=5,"BOM","EXCELENTE")))</f>
        <v/>
      </c>
      <c r="M2143" s="3" t="n">
        <v>0</v>
      </c>
      <c r="N2143" s="3" t="n">
        <v>0</v>
      </c>
      <c r="O2143" s="12" t="n">
        <v>0</v>
      </c>
    </row>
    <row r="2144">
      <c r="A2144" s="10" t="n">
        <v>46069</v>
      </c>
      <c r="B2144" t="inlineStr">
        <is>
          <t>Clessiane Pereira dos Santos</t>
        </is>
      </c>
      <c r="C2144" s="1" t="inlineStr">
        <is>
          <t>Técnico I</t>
        </is>
      </c>
      <c r="D2144" s="3" t="n">
        <v>7</v>
      </c>
      <c r="E2144" s="3" t="n">
        <v>6</v>
      </c>
      <c r="F2144" s="3" t="n">
        <v>20.3</v>
      </c>
      <c r="G2144" s="3" t="n">
        <v>0</v>
      </c>
      <c r="H2144" s="3" t="n">
        <v>0</v>
      </c>
      <c r="I2144" s="3">
        <f>E2144+G2144+H2144</f>
        <v/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/>
      </c>
      <c r="K2144" s="3">
        <f>I2144-J2144</f>
        <v/>
      </c>
      <c r="L2144" s="3">
        <f>IF(K2144&lt;-5,"CRÍTICO",IF(K2144&lt;0,"ATENÇÃO",IF(K2144&lt;=5,"BOM","EXCELENTE")))</f>
        <v/>
      </c>
      <c r="M2144" s="3" t="n">
        <v>4</v>
      </c>
      <c r="N2144" s="3" t="n">
        <v>98.75</v>
      </c>
      <c r="O2144" s="12" t="n">
        <v>24.32432432432433</v>
      </c>
    </row>
    <row r="2145">
      <c r="A2145" s="10" t="n">
        <v>46069</v>
      </c>
      <c r="B2145" t="inlineStr">
        <is>
          <t>Cristiane Ramos da Silva Rocha</t>
        </is>
      </c>
      <c r="C2145" s="1" t="inlineStr">
        <is>
          <t>Técnico III</t>
        </is>
      </c>
      <c r="D2145" s="3" t="n">
        <v>9</v>
      </c>
      <c r="E2145" s="3" t="n">
        <v>7</v>
      </c>
      <c r="F2145" s="3" t="n">
        <v>10.33</v>
      </c>
      <c r="G2145" s="3" t="n">
        <v>0</v>
      </c>
      <c r="H2145" s="3" t="n">
        <v>0</v>
      </c>
      <c r="I2145" s="3">
        <f>E2145+G2145+H2145</f>
        <v/>
      </c>
      <c r="J2145" s="3">
        <f>ROUND(MIN(IF(C2145="Técnico III",35,IF(C2145="Técnico II",28,IF(C2145="Técnico I",23,IF(C2145="JR",20,IF(C2145="Estágio",10,0))))),IF(C2145="Técnico III",SUMIFS($D:$D,$A:$A,$A2145,$B:$B,"&lt;&gt;Patrícia Karla de Sousa Araújo",$B:$B,"&lt;&gt;Lorena Dias de Araujo",$B:$B,"&lt;&gt;Lucas Luiz Romero")*(35/1083),IF(C2145="Técnico II",SUMIFS($D:$D,$A:$A,$A2145,$B:$B,"&lt;&gt;Patrícia Karla de Sousa Araújo",$B:$B,"&lt;&gt;Lorena Dias de Araujo",$B:$B,"&lt;&gt;Lucas Luiz Romero")*(28/1083),IF(C2145="Técnico I",SUMIFS($D:$D,$A:$A,$A2145,$B:$B,"&lt;&gt;Patrícia Karla de Sousa Araújo",$B:$B,"&lt;&gt;Lorena Dias de Araujo",$B:$B,"&lt;&gt;Lucas Luiz Romero")*(23/1083),IF(C2145="JR",SUMIFS($D:$D,$A:$A,$A2145,$B:$B,"&lt;&gt;Patrícia Karla de Sousa Araújo",$B:$B,"&lt;&gt;Lorena Dias de Araujo",$B:$B,"&lt;&gt;Lucas Luiz Romero")*(20/1083),IF(C2145="Estágio",SUMIFS($D:$D,$A:$A,$A2145,$B:$B,"&lt;&gt;Patrícia Karla de Sousa Araújo",$B:$B,"&lt;&gt;Lorena Dias de Araujo",$B:$B,"&lt;&gt;Lucas Luiz Romero")*(10/1083),0)))))),0)</f>
        <v/>
      </c>
      <c r="K2145" s="3">
        <f>I2145-J2145</f>
        <v/>
      </c>
      <c r="L2145" s="3">
        <f>IF(K2145&lt;-5,"CRÍTICO",IF(K2145&lt;0,"ATENÇÃO",IF(K2145&lt;=5,"BOM","EXCELENTE")))</f>
        <v/>
      </c>
      <c r="M2145" s="3" t="n">
        <v>9</v>
      </c>
      <c r="N2145" s="3" t="n">
        <v>93.48</v>
      </c>
      <c r="O2145" s="12" t="n">
        <v>31.52804642166344</v>
      </c>
    </row>
    <row r="2146">
      <c r="A2146" s="10" t="n">
        <v>46069</v>
      </c>
      <c r="B2146" t="inlineStr">
        <is>
          <t>Damyllis Lorraine de Oliveira Gonçalves</t>
        </is>
      </c>
      <c r="C2146" s="1" t="inlineStr">
        <is>
          <t>Técnico II</t>
        </is>
      </c>
      <c r="D2146" s="3" t="n">
        <v>5</v>
      </c>
      <c r="E2146" s="3" t="n">
        <v>1</v>
      </c>
      <c r="F2146" s="3" t="n">
        <v>1.55</v>
      </c>
      <c r="G2146" s="3" t="n">
        <v>0</v>
      </c>
      <c r="H2146" s="3" t="n">
        <v>0</v>
      </c>
      <c r="I2146" s="3" t="n">
        <v>0</v>
      </c>
      <c r="J2146" s="3" t="n">
        <v>0</v>
      </c>
      <c r="K2146" s="3" t="n">
        <v>0</v>
      </c>
      <c r="L2146" s="3">
        <f>IF(K2146&lt;-5,"CRÍTICO",IF(K2146&lt;0,"ATENÇÃO",IF(K2146&lt;=5,"BOM","EXCELENTE")))</f>
        <v/>
      </c>
      <c r="M2146" s="3" t="n">
        <v>0</v>
      </c>
      <c r="N2146" s="3" t="n">
        <v>99.16</v>
      </c>
      <c r="O2146" s="12" t="n">
        <v>26.13908872901678</v>
      </c>
    </row>
    <row r="2147">
      <c r="A2147" s="10" t="n">
        <v>46069</v>
      </c>
      <c r="B2147" t="inlineStr">
        <is>
          <t>Daniel Gomes da Silva</t>
        </is>
      </c>
      <c r="C2147" s="1" t="inlineStr">
        <is>
          <t>Técnico I</t>
        </is>
      </c>
      <c r="D2147" s="3" t="n">
        <v>8</v>
      </c>
      <c r="E2147" s="3" t="n">
        <v>8</v>
      </c>
      <c r="F2147" s="3" t="n">
        <v>15.25</v>
      </c>
      <c r="G2147" s="3" t="n">
        <v>0</v>
      </c>
      <c r="H2147" s="3" t="n">
        <v>0</v>
      </c>
      <c r="I2147" s="3">
        <f>E2147+G2147+H2147</f>
        <v/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/>
      </c>
      <c r="K2147" s="3">
        <f>I2147-J2147</f>
        <v/>
      </c>
      <c r="L2147" s="3">
        <f>IF(K2147&lt;-5,"CRÍTICO",IF(K2147&lt;0,"ATENÇÃO",IF(K2147&lt;=5,"BOM","EXCELENTE")))</f>
        <v/>
      </c>
      <c r="M2147" s="3" t="n">
        <v>6</v>
      </c>
      <c r="N2147" s="3" t="n">
        <v>100</v>
      </c>
      <c r="O2147" s="12" t="n">
        <v>31.08974358974359</v>
      </c>
    </row>
    <row r="2148">
      <c r="A2148" s="10" t="n">
        <v>46069</v>
      </c>
      <c r="B2148" t="inlineStr">
        <is>
          <t>Davylla Rodrigues Freitas Silva</t>
        </is>
      </c>
      <c r="C2148" s="1" t="inlineStr">
        <is>
          <t>Técnico III</t>
        </is>
      </c>
      <c r="D2148" s="3" t="n">
        <v>7</v>
      </c>
      <c r="E2148" s="3" t="n">
        <v>7</v>
      </c>
      <c r="F2148" s="3" t="n">
        <v>32.34</v>
      </c>
      <c r="G2148" s="3" t="n">
        <v>0</v>
      </c>
      <c r="H2148" s="3" t="n">
        <v>0</v>
      </c>
      <c r="I2148" s="3" t="n">
        <v>0</v>
      </c>
      <c r="J2148" s="3" t="n">
        <v>0</v>
      </c>
      <c r="K2148" s="3" t="n">
        <v>0</v>
      </c>
      <c r="L2148" s="3">
        <f>IF(K2148&lt;-5,"CRÍTICO",IF(K2148&lt;0,"ATENÇÃO",IF(K2148&lt;=5,"BOM","EXCELENTE")))</f>
        <v/>
      </c>
      <c r="M2148" s="3" t="n">
        <v>7</v>
      </c>
      <c r="N2148" s="3" t="n">
        <v>98.11</v>
      </c>
      <c r="O2148" s="12" t="n">
        <v>33.03370786516854</v>
      </c>
    </row>
    <row r="2149">
      <c r="A2149" s="10" t="n">
        <v>46069</v>
      </c>
      <c r="B2149" t="inlineStr">
        <is>
          <t>Emilly Caylane Costa</t>
        </is>
      </c>
      <c r="C2149" s="1" t="inlineStr">
        <is>
          <t>Estágio</t>
        </is>
      </c>
      <c r="D2149" s="3" t="n">
        <v>5</v>
      </c>
      <c r="E2149" s="3" t="n">
        <v>4</v>
      </c>
      <c r="F2149" s="3" t="n">
        <v>11.48</v>
      </c>
      <c r="G2149" s="3" t="n">
        <v>0</v>
      </c>
      <c r="H2149" s="3" t="n">
        <v>0</v>
      </c>
      <c r="I2149" s="3">
        <f>E2149+G2149+H2149</f>
        <v/>
      </c>
      <c r="J2149" s="3">
        <f>ROUND(MIN(IF(C2149="Técnico III",35,IF(C2149="Técnico II",28,IF(C2149="Técnico I",23,IF(C2149="JR",20,IF(C2149="Estágio",10,0))))),IF(C2149="Técnico III",SUMIFS($D:$D,$A:$A,$A2149,$B:$B,"&lt;&gt;Patrícia Karla de Sousa Araújo",$B:$B,"&lt;&gt;Lorena Dias de Araujo",$B:$B,"&lt;&gt;Lucas Luiz Romero")*(35/1083),IF(C2149="Técnico II",SUMIFS($D:$D,$A:$A,$A2149,$B:$B,"&lt;&gt;Patrícia Karla de Sousa Araújo",$B:$B,"&lt;&gt;Lorena Dias de Araujo",$B:$B,"&lt;&gt;Lucas Luiz Romero")*(28/1083),IF(C2149="Técnico I",SUMIFS($D:$D,$A:$A,$A2149,$B:$B,"&lt;&gt;Patrícia Karla de Sousa Araújo",$B:$B,"&lt;&gt;Lorena Dias de Araujo",$B:$B,"&lt;&gt;Lucas Luiz Romero")*(23/1083),IF(C2149="JR",SUMIFS($D:$D,$A:$A,$A2149,$B:$B,"&lt;&gt;Patrícia Karla de Sousa Araújo",$B:$B,"&lt;&gt;Lorena Dias de Araujo",$B:$B,"&lt;&gt;Lucas Luiz Romero")*(20/1083),IF(C2149="Estágio",SUMIFS($D:$D,$A:$A,$A2149,$B:$B,"&lt;&gt;Patrícia Karla de Sousa Araújo",$B:$B,"&lt;&gt;Lorena Dias de Araujo",$B:$B,"&lt;&gt;Lucas Luiz Romero")*(10/1083),0)))))),0)</f>
        <v/>
      </c>
      <c r="K2149" s="3">
        <f>I2149-J2149</f>
        <v/>
      </c>
      <c r="L2149" s="3">
        <f>IF(K2149&lt;-5,"CRÍTICO",IF(K2149&lt;0,"ATENÇÃO",IF(K2149&lt;=5,"BOM","EXCELENTE")))</f>
        <v/>
      </c>
      <c r="M2149" s="3" t="n">
        <v>3</v>
      </c>
      <c r="N2149" s="3" t="n">
        <v>78.95</v>
      </c>
      <c r="O2149" s="12" t="n">
        <v>38.98305084745763</v>
      </c>
    </row>
    <row r="2150">
      <c r="A2150" s="10" t="n">
        <v>46069</v>
      </c>
      <c r="B2150" t="inlineStr">
        <is>
          <t>Emilly Kamilly Medeiros Miranda</t>
        </is>
      </c>
      <c r="C2150" s="1" t="inlineStr">
        <is>
          <t>Técnico II</t>
        </is>
      </c>
      <c r="D2150" s="3" t="n">
        <v>10</v>
      </c>
      <c r="E2150" s="3" t="n">
        <v>10</v>
      </c>
      <c r="F2150" s="3" t="n">
        <v>22.03</v>
      </c>
      <c r="G2150" s="3" t="n">
        <v>0</v>
      </c>
      <c r="H2150" s="3" t="n">
        <v>0</v>
      </c>
      <c r="I2150" s="3">
        <f>E2150+G2150+H2150</f>
        <v/>
      </c>
      <c r="J2150" s="3">
        <f>ROUND(MIN(IF(C2150="Técnico III",35,IF(C2150="Técnico II",28,IF(C2150="Técnico I",23,IF(C2150="JR",20,IF(C2150="Estágio",10,0))))),IF(C2150="Técnico III",SUMIFS($D:$D,$A:$A,$A2150,$B:$B,"&lt;&gt;Patrícia Karla de Sousa Araújo",$B:$B,"&lt;&gt;Lorena Dias de Araujo",$B:$B,"&lt;&gt;Lucas Luiz Romero")*(35/1083),IF(C2150="Técnico II",SUMIFS($D:$D,$A:$A,$A2150,$B:$B,"&lt;&gt;Patrícia Karla de Sousa Araújo",$B:$B,"&lt;&gt;Lorena Dias de Araujo",$B:$B,"&lt;&gt;Lucas Luiz Romero")*(28/1083),IF(C2150="Técnico I",SUMIFS($D:$D,$A:$A,$A2150,$B:$B,"&lt;&gt;Patrícia Karla de Sousa Araújo",$B:$B,"&lt;&gt;Lorena Dias de Araujo",$B:$B,"&lt;&gt;Lucas Luiz Romero")*(23/1083),IF(C2150="JR",SUMIFS($D:$D,$A:$A,$A2150,$B:$B,"&lt;&gt;Patrícia Karla de Sousa Araújo",$B:$B,"&lt;&gt;Lorena Dias de Araujo",$B:$B,"&lt;&gt;Lucas Luiz Romero")*(20/1083),IF(C2150="Estágio",SUMIFS($D:$D,$A:$A,$A2150,$B:$B,"&lt;&gt;Patrícia Karla de Sousa Araújo",$B:$B,"&lt;&gt;Lorena Dias de Araujo",$B:$B,"&lt;&gt;Lucas Luiz Romero")*(10/1083),0)))))),0)</f>
        <v/>
      </c>
      <c r="K2150" s="3">
        <f>I2150-J2150</f>
        <v/>
      </c>
      <c r="L2150" s="3">
        <f>IF(K2150&lt;-5,"CRÍTICO",IF(K2150&lt;0,"ATENÇÃO",IF(K2150&lt;=5,"BOM","EXCELENTE")))</f>
        <v/>
      </c>
      <c r="M2150" s="3" t="n">
        <v>8</v>
      </c>
      <c r="N2150" s="3" t="n">
        <v>98.45</v>
      </c>
      <c r="O2150" s="12" t="n">
        <v>29.2817679558011</v>
      </c>
    </row>
    <row r="2151">
      <c r="A2151" s="10" t="n">
        <v>46069</v>
      </c>
      <c r="B2151" t="inlineStr">
        <is>
          <t>Francielson de Oliveira</t>
        </is>
      </c>
      <c r="C2151" s="1" t="inlineStr">
        <is>
          <t>Técnico III</t>
        </is>
      </c>
      <c r="D2151" s="3" t="n">
        <v>8</v>
      </c>
      <c r="E2151" s="3" t="n">
        <v>8</v>
      </c>
      <c r="F2151" s="3" t="n">
        <v>25.23</v>
      </c>
      <c r="G2151" s="3" t="n">
        <v>0</v>
      </c>
      <c r="H2151" s="3" t="n">
        <v>0</v>
      </c>
      <c r="I2151" s="3">
        <f>E2151+G2151+H2151</f>
        <v/>
      </c>
      <c r="J2151" s="3">
        <f>ROUND(MIN(IF(C2151="Técnico III",35,IF(C2151="Técnico II",28,IF(C2151="Técnico I",23,IF(C2151="JR",20,IF(C2151="Estágio",10,0))))),IF(C2151="Técnico III",SUMIFS($D:$D,$A:$A,$A2151,$B:$B,"&lt;&gt;Patrícia Karla de Sousa Araújo",$B:$B,"&lt;&gt;Lorena Dias de Araujo",$B:$B,"&lt;&gt;Lucas Luiz Romero")*(35/1083),IF(C2151="Técnico II",SUMIFS($D:$D,$A:$A,$A2151,$B:$B,"&lt;&gt;Patrícia Karla de Sousa Araújo",$B:$B,"&lt;&gt;Lorena Dias de Araujo",$B:$B,"&lt;&gt;Lucas Luiz Romero")*(28/1083),IF(C2151="Técnico I",SUMIFS($D:$D,$A:$A,$A2151,$B:$B,"&lt;&gt;Patrícia Karla de Sousa Araújo",$B:$B,"&lt;&gt;Lorena Dias de Araujo",$B:$B,"&lt;&gt;Lucas Luiz Romero")*(23/1083),IF(C2151="JR",SUMIFS($D:$D,$A:$A,$A2151,$B:$B,"&lt;&gt;Patrícia Karla de Sousa Araújo",$B:$B,"&lt;&gt;Lorena Dias de Araujo",$B:$B,"&lt;&gt;Lucas Luiz Romero")*(20/1083),IF(C2151="Estágio",SUMIFS($D:$D,$A:$A,$A2151,$B:$B,"&lt;&gt;Patrícia Karla de Sousa Araújo",$B:$B,"&lt;&gt;Lorena Dias de Araujo",$B:$B,"&lt;&gt;Lucas Luiz Romero")*(10/1083),0)))))),0)</f>
        <v/>
      </c>
      <c r="K2151" s="3">
        <f>I2151-J2151</f>
        <v/>
      </c>
      <c r="L2151" s="3">
        <f>IF(K2151&lt;-5,"CRÍTICO",IF(K2151&lt;0,"ATENÇÃO",IF(K2151&lt;=5,"BOM","EXCELENTE")))</f>
        <v/>
      </c>
      <c r="M2151" s="3" t="n">
        <v>9</v>
      </c>
      <c r="N2151" s="3" t="n">
        <v>97.84</v>
      </c>
      <c r="O2151" s="12" t="n">
        <v>26.28205128205128</v>
      </c>
    </row>
    <row r="2152">
      <c r="A2152" s="10" t="n">
        <v>46069</v>
      </c>
      <c r="B2152" t="inlineStr">
        <is>
          <t>Francilene Ferreira de Jesus</t>
        </is>
      </c>
      <c r="C2152" s="1" t="inlineStr">
        <is>
          <t>Técnico II</t>
        </is>
      </c>
      <c r="D2152" s="3" t="n">
        <v>7</v>
      </c>
      <c r="E2152" s="3" t="n">
        <v>7</v>
      </c>
      <c r="F2152" s="3" t="n">
        <v>30.48</v>
      </c>
      <c r="G2152" s="3" t="n">
        <v>0</v>
      </c>
      <c r="H2152" s="3" t="n">
        <v>0</v>
      </c>
      <c r="I2152" s="3">
        <f>E2152+G2152+H2152</f>
        <v/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/>
      </c>
      <c r="K2152" s="3">
        <f>I2152-J2152</f>
        <v/>
      </c>
      <c r="L2152" s="3">
        <f>IF(K2152&lt;-5,"CRÍTICO",IF(K2152&lt;0,"ATENÇÃO",IF(K2152&lt;=5,"BOM","EXCELENTE")))</f>
        <v/>
      </c>
      <c r="M2152" s="3" t="n">
        <v>6</v>
      </c>
      <c r="N2152" s="3" t="n">
        <v>98.5</v>
      </c>
      <c r="O2152" s="12" t="n">
        <v>23.97769516728625</v>
      </c>
    </row>
    <row r="2153">
      <c r="A2153" s="10" t="n">
        <v>46101</v>
      </c>
      <c r="B2153" t="inlineStr">
        <is>
          <t>Gabriel Gomes de Andrade</t>
        </is>
      </c>
      <c r="C2153" s="1" t="inlineStr">
        <is>
          <t>Técnico I</t>
        </is>
      </c>
      <c r="D2153" s="3" t="n">
        <v>19</v>
      </c>
      <c r="E2153" s="3" t="n">
        <v>17</v>
      </c>
      <c r="F2153" s="3" t="n">
        <v>17.27</v>
      </c>
      <c r="G2153" s="3" t="n">
        <v>0</v>
      </c>
      <c r="H2153" s="3" t="n">
        <v>0</v>
      </c>
      <c r="I2153" s="3">
        <f>E2153+G2153+H2153</f>
        <v/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/>
      </c>
      <c r="K2153" s="3">
        <f>I2153-J2153</f>
        <v/>
      </c>
      <c r="L2153" s="3">
        <f>IF(K2153&lt;-5,"CRÍTICO",IF(K2153&lt;0,"ATENÇÃO",IF(K2153&lt;=5,"BOM","EXCELENTE")))</f>
        <v/>
      </c>
      <c r="M2153" s="3" t="n">
        <v>18</v>
      </c>
      <c r="N2153" s="3" t="n">
        <v>99.05</v>
      </c>
      <c r="O2153" s="12" t="n">
        <v>26.62192393736018</v>
      </c>
    </row>
    <row r="2154">
      <c r="A2154" s="10" t="n">
        <v>46069</v>
      </c>
      <c r="B2154" t="inlineStr">
        <is>
          <t>Isabella Borges de Oliveira</t>
        </is>
      </c>
      <c r="C2154" s="1" t="inlineStr">
        <is>
          <t>Técnico II</t>
        </is>
      </c>
      <c r="D2154" s="3" t="n">
        <v>6</v>
      </c>
      <c r="E2154" s="3" t="n">
        <v>5</v>
      </c>
      <c r="F2154" s="3" t="n">
        <v>33.3</v>
      </c>
      <c r="G2154" s="3" t="n">
        <v>0</v>
      </c>
      <c r="H2154" s="3" t="n">
        <v>0</v>
      </c>
      <c r="I2154" s="3">
        <f>E2154+G2154+H2154</f>
        <v/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/>
      </c>
      <c r="K2154" s="3">
        <f>I2154-J2154</f>
        <v/>
      </c>
      <c r="L2154" s="3">
        <f>IF(K2154&lt;-5,"CRÍTICO",IF(K2154&lt;0,"ATENÇÃO",IF(K2154&lt;=5,"BOM","EXCELENTE")))</f>
        <v/>
      </c>
      <c r="M2154" s="3" t="n">
        <v>5</v>
      </c>
      <c r="N2154" s="3" t="n">
        <v>98.53</v>
      </c>
      <c r="O2154" s="12" t="n">
        <v>31.57894736842105</v>
      </c>
    </row>
    <row r="2155">
      <c r="A2155" s="10" t="n">
        <v>46069</v>
      </c>
      <c r="B2155" t="inlineStr">
        <is>
          <t>Janaina Lima dos Reis Urany</t>
        </is>
      </c>
      <c r="C2155" s="1" t="inlineStr">
        <is>
          <t>Técnico III</t>
        </is>
      </c>
      <c r="D2155" s="3" t="n">
        <v>8</v>
      </c>
      <c r="E2155" s="3" t="n">
        <v>6</v>
      </c>
      <c r="F2155" s="3" t="n">
        <v>22.15</v>
      </c>
      <c r="G2155" s="3" t="n">
        <v>0</v>
      </c>
      <c r="H2155" s="3" t="n">
        <v>0</v>
      </c>
      <c r="I2155" s="3">
        <f>E2155+G2155+H2155</f>
        <v/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/>
      </c>
      <c r="K2155" s="3">
        <f>I2155-J2155</f>
        <v/>
      </c>
      <c r="L2155" s="3">
        <f>IF(K2155&lt;-5,"CRÍTICO",IF(K2155&lt;0,"ATENÇÃO",IF(K2155&lt;=5,"BOM","EXCELENTE")))</f>
        <v/>
      </c>
      <c r="M2155" s="3" t="n">
        <v>6</v>
      </c>
      <c r="N2155" s="3" t="n">
        <v>100</v>
      </c>
      <c r="O2155" s="12" t="n">
        <v>25.72214580467676</v>
      </c>
    </row>
    <row r="2156">
      <c r="A2156" s="10" t="n">
        <v>46069</v>
      </c>
      <c r="B2156" t="inlineStr">
        <is>
          <t>Jaqueline Evangelista da Silva Martins</t>
        </is>
      </c>
      <c r="C2156" s="1" t="inlineStr">
        <is>
          <t>Técnico III</t>
        </is>
      </c>
      <c r="D2156" s="3" t="n">
        <v>7</v>
      </c>
      <c r="E2156" s="3" t="n">
        <v>7</v>
      </c>
      <c r="F2156" s="3" t="n">
        <v>8.539999999999999</v>
      </c>
      <c r="G2156" s="3" t="n">
        <v>0</v>
      </c>
      <c r="H2156" s="3" t="n">
        <v>0</v>
      </c>
      <c r="I2156" s="3">
        <f>E2156+G2156+H2156</f>
        <v/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/>
      </c>
      <c r="K2156" s="3">
        <f>I2156-J2156</f>
        <v/>
      </c>
      <c r="L2156" s="3">
        <f>IF(K2156&lt;-5,"CRÍTICO",IF(K2156&lt;0,"ATENÇÃO",IF(K2156&lt;=5,"BOM","EXCELENTE")))</f>
        <v/>
      </c>
      <c r="M2156" s="3" t="n">
        <v>7</v>
      </c>
      <c r="N2156" s="3" t="n">
        <v>94.64</v>
      </c>
      <c r="O2156" s="12" t="n">
        <v>27.52941176470588</v>
      </c>
    </row>
    <row r="2157">
      <c r="A2157" s="10" t="n">
        <v>46069</v>
      </c>
      <c r="B2157" t="inlineStr">
        <is>
          <t>Jessica Faria da Silveira</t>
        </is>
      </c>
      <c r="C2157" s="1" t="inlineStr">
        <is>
          <t>Técnico II</t>
        </is>
      </c>
      <c r="D2157" s="3" t="n">
        <v>8</v>
      </c>
      <c r="E2157" s="3" t="n">
        <v>7</v>
      </c>
      <c r="F2157" s="3" t="n">
        <v>23.33</v>
      </c>
      <c r="G2157" s="3" t="n">
        <v>0</v>
      </c>
      <c r="H2157" s="3" t="n">
        <v>0</v>
      </c>
      <c r="I2157" s="3">
        <f>E2157+G2157+H2157</f>
        <v/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/>
      </c>
      <c r="K2157" s="3">
        <f>I2157-J2157</f>
        <v/>
      </c>
      <c r="L2157" s="3">
        <f>IF(K2157&lt;-5,"CRÍTICO",IF(K2157&lt;0,"ATENÇÃO",IF(K2157&lt;=5,"BOM","EXCELENTE")))</f>
        <v/>
      </c>
      <c r="M2157" s="3" t="n">
        <v>6</v>
      </c>
      <c r="N2157" s="3" t="n">
        <v>99.06999999999999</v>
      </c>
      <c r="O2157" s="12" t="n">
        <v>26.3768115942029</v>
      </c>
    </row>
    <row r="2158">
      <c r="A2158" s="10" t="n">
        <v>46069</v>
      </c>
      <c r="B2158" t="inlineStr">
        <is>
          <t>Jéssica Fé Moura</t>
        </is>
      </c>
      <c r="C2158" s="1" t="inlineStr">
        <is>
          <t>Técnico III</t>
        </is>
      </c>
      <c r="D2158" s="3" t="n">
        <v>0</v>
      </c>
      <c r="E2158" s="3" t="n">
        <v>0</v>
      </c>
      <c r="F2158" s="3" t="n">
        <v>0</v>
      </c>
      <c r="G2158" s="3" t="n">
        <v>0</v>
      </c>
      <c r="H2158" s="3" t="n">
        <v>0</v>
      </c>
      <c r="I2158" s="3" t="n">
        <v>0</v>
      </c>
      <c r="J2158" s="3" t="n">
        <v>0</v>
      </c>
      <c r="K2158" s="3" t="n">
        <v>0</v>
      </c>
      <c r="L2158" s="3">
        <f>IF(K2158&lt;-5,"CRÍTICO",IF(K2158&lt;0,"ATENÇÃO",IF(K2158&lt;=5,"BOM","EXCELENTE")))</f>
        <v/>
      </c>
      <c r="M2158" s="3" t="n">
        <v>0</v>
      </c>
      <c r="N2158" s="3" t="n">
        <v>100</v>
      </c>
      <c r="O2158" s="12" t="n">
        <v>0</v>
      </c>
    </row>
    <row r="2159">
      <c r="A2159" s="10" t="n">
        <v>46069</v>
      </c>
      <c r="B2159" t="inlineStr">
        <is>
          <t>Karina Gonçalves Martins</t>
        </is>
      </c>
      <c r="C2159" s="1" t="inlineStr">
        <is>
          <t>JR</t>
        </is>
      </c>
      <c r="D2159" s="3" t="n">
        <v>0</v>
      </c>
      <c r="E2159" s="3" t="n">
        <v>0</v>
      </c>
      <c r="F2159" s="3" t="n">
        <v>0</v>
      </c>
      <c r="G2159" s="3" t="n">
        <v>0</v>
      </c>
      <c r="H2159" s="3" t="n">
        <v>0</v>
      </c>
      <c r="I2159" s="3" t="n">
        <v>0</v>
      </c>
      <c r="J2159" s="3" t="n">
        <v>0</v>
      </c>
      <c r="K2159" s="3" t="n">
        <v>0</v>
      </c>
      <c r="L2159" s="3">
        <f>IF(K2159&lt;-5,"CRÍTICO",IF(K2159&lt;0,"ATENÇÃO",IF(K2159&lt;=5,"BOM","EXCELENTE")))</f>
        <v/>
      </c>
      <c r="M2159" s="3" t="n">
        <v>0</v>
      </c>
      <c r="N2159" s="3" t="n">
        <v>98.48</v>
      </c>
      <c r="O2159" s="12" t="n">
        <v>27.85388127853881</v>
      </c>
    </row>
    <row r="2160">
      <c r="A2160" s="10" t="n">
        <v>46069</v>
      </c>
      <c r="B2160" t="inlineStr">
        <is>
          <t>Kerollen Cristielly de Jesus Siqueira</t>
        </is>
      </c>
      <c r="C2160" s="1" t="inlineStr">
        <is>
          <t>Técnico III</t>
        </is>
      </c>
      <c r="D2160" s="3" t="n">
        <v>7</v>
      </c>
      <c r="E2160" s="3" t="n">
        <v>6</v>
      </c>
      <c r="F2160" s="3" t="n">
        <v>22.25</v>
      </c>
      <c r="G2160" s="3" t="n">
        <v>0</v>
      </c>
      <c r="H2160" s="3" t="n">
        <v>0</v>
      </c>
      <c r="I2160" s="3">
        <f>E2160+G2160+H2160</f>
        <v/>
      </c>
      <c r="J2160" s="3">
        <f>ROUND(MIN(IF(C2160="Técnico III",35,IF(C2160="Técnico II",28,IF(C2160="Técnico I",23,IF(C2160="JR",20,IF(C2160="Estágio",10,0))))),IF(C2160="Técnico III",SUMIFS($D:$D,$A:$A,$A2160,$B:$B,"&lt;&gt;Patrícia Karla de Sousa Araújo",$B:$B,"&lt;&gt;Lorena Dias de Araujo",$B:$B,"&lt;&gt;Lucas Luiz Romero")*(35/1083),IF(C2160="Técnico II",SUMIFS($D:$D,$A:$A,$A2160,$B:$B,"&lt;&gt;Patrícia Karla de Sousa Araújo",$B:$B,"&lt;&gt;Lorena Dias de Araujo",$B:$B,"&lt;&gt;Lucas Luiz Romero")*(28/1083),IF(C2160="Técnico I",SUMIFS($D:$D,$A:$A,$A2160,$B:$B,"&lt;&gt;Patrícia Karla de Sousa Araújo",$B:$B,"&lt;&gt;Lorena Dias de Araujo",$B:$B,"&lt;&gt;Lucas Luiz Romero")*(23/1083),IF(C2160="JR",SUMIFS($D:$D,$A:$A,$A2160,$B:$B,"&lt;&gt;Patrícia Karla de Sousa Araújo",$B:$B,"&lt;&gt;Lorena Dias de Araujo",$B:$B,"&lt;&gt;Lucas Luiz Romero")*(20/1083),IF(C2160="Estágio",SUMIFS($D:$D,$A:$A,$A2160,$B:$B,"&lt;&gt;Patrícia Karla de Sousa Araújo",$B:$B,"&lt;&gt;Lorena Dias de Araujo",$B:$B,"&lt;&gt;Lucas Luiz Romero")*(10/1083),0)))))),0)</f>
        <v/>
      </c>
      <c r="K2160" s="3">
        <f>I2160-J2160</f>
        <v/>
      </c>
      <c r="L2160" s="3">
        <f>IF(K2160&lt;-5,"CRÍTICO",IF(K2160&lt;0,"ATENÇÃO",IF(K2160&lt;=5,"BOM","EXCELENTE")))</f>
        <v/>
      </c>
      <c r="M2160" s="3" t="n">
        <v>5</v>
      </c>
      <c r="N2160" s="3" t="n">
        <v>95.15000000000001</v>
      </c>
      <c r="O2160" s="12" t="n">
        <v>34.13173652694611</v>
      </c>
    </row>
    <row r="2161">
      <c r="A2161" s="10" t="n">
        <v>46069</v>
      </c>
      <c r="B2161" t="inlineStr">
        <is>
          <t>Leandro de Souza Silva</t>
        </is>
      </c>
      <c r="C2161" s="1" t="inlineStr">
        <is>
          <t>JR</t>
        </is>
      </c>
      <c r="D2161" s="3" t="n">
        <v>0</v>
      </c>
      <c r="E2161" s="3" t="n">
        <v>0</v>
      </c>
      <c r="F2161" s="3" t="n">
        <v>0</v>
      </c>
      <c r="G2161" s="3" t="n">
        <v>0</v>
      </c>
      <c r="H2161" s="3" t="n">
        <v>0</v>
      </c>
      <c r="I2161" s="3" t="n">
        <v>0</v>
      </c>
      <c r="J2161" s="3" t="n">
        <v>0</v>
      </c>
      <c r="K2161" s="3" t="n">
        <v>0</v>
      </c>
      <c r="L2161" s="3">
        <f>IF(K2161&lt;-5,"CRÍTICO",IF(K2161&lt;0,"ATENÇÃO",IF(K2161&lt;=5,"BOM","EXCELENTE")))</f>
        <v/>
      </c>
      <c r="M2161" s="3" t="n">
        <v>0</v>
      </c>
      <c r="N2161" s="3" t="n">
        <v>0</v>
      </c>
      <c r="O2161" s="12" t="n">
        <v>0</v>
      </c>
    </row>
    <row r="2162">
      <c r="A2162" s="10" t="n">
        <v>46069</v>
      </c>
      <c r="B2162" t="inlineStr">
        <is>
          <t>Leandro Oliveira de Sousa</t>
        </is>
      </c>
      <c r="C2162" s="1" t="inlineStr">
        <is>
          <t>Técnico III</t>
        </is>
      </c>
      <c r="D2162" s="3" t="n">
        <v>8</v>
      </c>
      <c r="E2162" s="3" t="n">
        <v>8</v>
      </c>
      <c r="F2162" s="3" t="n">
        <v>34.19</v>
      </c>
      <c r="G2162" s="3" t="n">
        <v>0</v>
      </c>
      <c r="H2162" s="3" t="n">
        <v>0</v>
      </c>
      <c r="I2162" s="3">
        <f>E2162+G2162+H2162</f>
        <v/>
      </c>
      <c r="J2162" s="3">
        <f>ROUND(MIN(IF(C2162="Técnico III",35,IF(C2162="Técnico II",28,IF(C2162="Técnico I",23,IF(C2162="JR",20,IF(C2162="Estágio",10,0))))),IF(C2162="Técnico III",SUMIFS($D:$D,$A:$A,$A2162,$B:$B,"&lt;&gt;Patrícia Karla de Sousa Araújo",$B:$B,"&lt;&gt;Lorena Dias de Araujo",$B:$B,"&lt;&gt;Lucas Luiz Romero")*(35/1083),IF(C2162="Técnico II",SUMIFS($D:$D,$A:$A,$A2162,$B:$B,"&lt;&gt;Patrícia Karla de Sousa Araújo",$B:$B,"&lt;&gt;Lorena Dias de Araujo",$B:$B,"&lt;&gt;Lucas Luiz Romero")*(28/1083),IF(C2162="Técnico I",SUMIFS($D:$D,$A:$A,$A2162,$B:$B,"&lt;&gt;Patrícia Karla de Sousa Araújo",$B:$B,"&lt;&gt;Lorena Dias de Araujo",$B:$B,"&lt;&gt;Lucas Luiz Romero")*(23/1083),IF(C2162="JR",SUMIFS($D:$D,$A:$A,$A2162,$B:$B,"&lt;&gt;Patrícia Karla de Sousa Araújo",$B:$B,"&lt;&gt;Lorena Dias de Araujo",$B:$B,"&lt;&gt;Lucas Luiz Romero")*(20/1083),IF(C2162="Estágio",SUMIFS($D:$D,$A:$A,$A2162,$B:$B,"&lt;&gt;Patrícia Karla de Sousa Araújo",$B:$B,"&lt;&gt;Lorena Dias de Araujo",$B:$B,"&lt;&gt;Lucas Luiz Romero")*(10/1083),0)))))),0)</f>
        <v/>
      </c>
      <c r="K2162" s="3">
        <f>I2162-J2162</f>
        <v/>
      </c>
      <c r="L2162" s="3">
        <f>IF(K2162&lt;-5,"CRÍTICO",IF(K2162&lt;0,"ATENÇÃO",IF(K2162&lt;=5,"BOM","EXCELENTE")))</f>
        <v/>
      </c>
      <c r="M2162" s="3" t="n">
        <v>8</v>
      </c>
      <c r="N2162" s="3" t="n">
        <v>99.26000000000001</v>
      </c>
      <c r="O2162" s="12" t="n">
        <v>30.84832904884319</v>
      </c>
    </row>
    <row r="2163">
      <c r="A2163" s="10" t="n">
        <v>46069</v>
      </c>
      <c r="B2163" t="inlineStr">
        <is>
          <t>Lizandra Gomes Duarte</t>
        </is>
      </c>
      <c r="C2163" s="1" t="inlineStr">
        <is>
          <t>Técnico II</t>
        </is>
      </c>
      <c r="D2163" s="3" t="n">
        <v>6</v>
      </c>
      <c r="E2163" s="3" t="n">
        <v>6</v>
      </c>
      <c r="F2163" s="3" t="n">
        <v>48.53</v>
      </c>
      <c r="G2163" s="3" t="n">
        <v>0</v>
      </c>
      <c r="H2163" s="3" t="n">
        <v>0</v>
      </c>
      <c r="I2163" s="3">
        <f>E2163+G2163+H2163</f>
        <v/>
      </c>
      <c r="J2163" s="3">
        <f>ROUND(MIN(IF(C2163="Técnico III",35,IF(C2163="Técnico II",28,IF(C2163="Técnico I",23,IF(C2163="JR",20,IF(C2163="Estágio",10,0))))),IF(C2163="Técnico III",SUMIFS($D:$D,$A:$A,$A2163,$B:$B,"&lt;&gt;Patrícia Karla de Sousa Araújo",$B:$B,"&lt;&gt;Lorena Dias de Araujo",$B:$B,"&lt;&gt;Lucas Luiz Romero")*(35/1083),IF(C2163="Técnico II",SUMIFS($D:$D,$A:$A,$A2163,$B:$B,"&lt;&gt;Patrícia Karla de Sousa Araújo",$B:$B,"&lt;&gt;Lorena Dias de Araujo",$B:$B,"&lt;&gt;Lucas Luiz Romero")*(28/1083),IF(C2163="Técnico I",SUMIFS($D:$D,$A:$A,$A2163,$B:$B,"&lt;&gt;Patrícia Karla de Sousa Araújo",$B:$B,"&lt;&gt;Lorena Dias de Araujo",$B:$B,"&lt;&gt;Lucas Luiz Romero")*(23/1083),IF(C2163="JR",SUMIFS($D:$D,$A:$A,$A2163,$B:$B,"&lt;&gt;Patrícia Karla de Sousa Araújo",$B:$B,"&lt;&gt;Lorena Dias de Araujo",$B:$B,"&lt;&gt;Lucas Luiz Romero")*(20/1083),IF(C2163="Estágio",SUMIFS($D:$D,$A:$A,$A2163,$B:$B,"&lt;&gt;Patrícia Karla de Sousa Araújo",$B:$B,"&lt;&gt;Lorena Dias de Araujo",$B:$B,"&lt;&gt;Lucas Luiz Romero")*(10/1083),0)))))),0)</f>
        <v/>
      </c>
      <c r="K2163" s="3">
        <f>I2163-J2163</f>
        <v/>
      </c>
      <c r="L2163" s="3">
        <f>IF(K2163&lt;-5,"CRÍTICO",IF(K2163&lt;0,"ATENÇÃO",IF(K2163&lt;=5,"BOM","EXCELENTE")))</f>
        <v/>
      </c>
      <c r="M2163" s="3" t="n">
        <v>35</v>
      </c>
      <c r="N2163" s="3" t="n">
        <v>97.48</v>
      </c>
      <c r="O2163" s="12" t="n">
        <v>27.76470588235294</v>
      </c>
    </row>
    <row r="2164">
      <c r="A2164" s="10" t="n">
        <v>46069</v>
      </c>
      <c r="B2164" t="inlineStr">
        <is>
          <t>Lorena Dias de Araujo</t>
        </is>
      </c>
      <c r="C2164" s="1" t="inlineStr">
        <is>
          <t>Técnico II</t>
        </is>
      </c>
      <c r="D2164" s="3" t="n">
        <v>7</v>
      </c>
      <c r="E2164" s="3" t="n">
        <v>7</v>
      </c>
      <c r="F2164" s="3" t="n">
        <v>35.48</v>
      </c>
      <c r="G2164" s="3" t="n">
        <v>0</v>
      </c>
      <c r="H2164" s="3" t="n">
        <v>0</v>
      </c>
      <c r="I2164" s="3" t="n">
        <v>0</v>
      </c>
      <c r="J2164" s="3" t="n">
        <v>0</v>
      </c>
      <c r="K2164" s="3" t="n">
        <v>0</v>
      </c>
      <c r="L2164" s="3">
        <f>IF(K2164&lt;-5,"CRÍTICO",IF(K2164&lt;0,"ATENÇÃO",IF(K2164&lt;=5,"BOM","EXCELENTE")))</f>
        <v/>
      </c>
      <c r="M2164" s="3" t="n">
        <v>5</v>
      </c>
      <c r="N2164" s="3" t="n">
        <v>99.34</v>
      </c>
      <c r="O2164" s="12" t="n">
        <v>30.04291845493562</v>
      </c>
    </row>
    <row r="2165">
      <c r="A2165" s="10" t="n">
        <v>46069</v>
      </c>
      <c r="B2165" t="inlineStr">
        <is>
          <t>Lucas Luiz Romero</t>
        </is>
      </c>
      <c r="C2165" s="1" t="inlineStr">
        <is>
          <t>Técnico III</t>
        </is>
      </c>
      <c r="D2165" s="3" t="n">
        <v>0</v>
      </c>
      <c r="E2165" s="3" t="n">
        <v>0</v>
      </c>
      <c r="F2165" s="3" t="n">
        <v>0</v>
      </c>
      <c r="G2165" s="3" t="n">
        <v>0</v>
      </c>
      <c r="H2165" s="3" t="n">
        <v>0</v>
      </c>
      <c r="I2165" s="3" t="n">
        <v>0</v>
      </c>
      <c r="J2165" s="3" t="n">
        <v>0</v>
      </c>
      <c r="K2165" s="3" t="n">
        <v>0</v>
      </c>
      <c r="L2165" s="3">
        <f>IF(K2165&lt;-5,"CRÍTICO",IF(K2165&lt;0,"ATENÇÃO",IF(K2165&lt;=5,"BOM","EXCELENTE")))</f>
        <v/>
      </c>
      <c r="M2165" s="3" t="n">
        <v>0</v>
      </c>
      <c r="N2165" s="3" t="n">
        <v>96.3</v>
      </c>
      <c r="O2165" s="12" t="n">
        <v>24.29378531073446</v>
      </c>
    </row>
    <row r="2166">
      <c r="A2166" s="10" t="n">
        <v>46069</v>
      </c>
      <c r="B2166" t="inlineStr">
        <is>
          <t>Luiz Fernando de Carvalho Junior</t>
        </is>
      </c>
      <c r="C2166" s="1" t="inlineStr">
        <is>
          <t>Técnico I</t>
        </is>
      </c>
      <c r="D2166" s="3" t="n">
        <v>7</v>
      </c>
      <c r="E2166" s="3" t="n">
        <v>7</v>
      </c>
      <c r="F2166" s="3" t="n">
        <v>22.37</v>
      </c>
      <c r="G2166" s="3" t="n">
        <v>0</v>
      </c>
      <c r="H2166" s="3" t="n">
        <v>0</v>
      </c>
      <c r="I2166" s="3">
        <f>E2166+G2166+H2166</f>
        <v/>
      </c>
      <c r="J2166" s="3">
        <f>ROUND(MIN(IF(C2166="Técnico III",35,IF(C2166="Técnico II",28,IF(C2166="Técnico I",23,IF(C2166="JR",20,IF(C2166="Estágio",10,0))))),IF(C2166="Técnico III",SUMIFS($D:$D,$A:$A,$A2166,$B:$B,"&lt;&gt;Patrícia Karla de Sousa Araújo",$B:$B,"&lt;&gt;Lorena Dias de Araujo",$B:$B,"&lt;&gt;Lucas Luiz Romero")*(35/1083),IF(C2166="Técnico II",SUMIFS($D:$D,$A:$A,$A2166,$B:$B,"&lt;&gt;Patrícia Karla de Sousa Araújo",$B:$B,"&lt;&gt;Lorena Dias de Araujo",$B:$B,"&lt;&gt;Lucas Luiz Romero")*(28/1083),IF(C2166="Técnico I",SUMIFS($D:$D,$A:$A,$A2166,$B:$B,"&lt;&gt;Patrícia Karla de Sousa Araújo",$B:$B,"&lt;&gt;Lorena Dias de Araujo",$B:$B,"&lt;&gt;Lucas Luiz Romero")*(23/1083),IF(C2166="JR",SUMIFS($D:$D,$A:$A,$A2166,$B:$B,"&lt;&gt;Patrícia Karla de Sousa Araújo",$B:$B,"&lt;&gt;Lorena Dias de Araujo",$B:$B,"&lt;&gt;Lucas Luiz Romero")*(20/1083),IF(C2166="Estágio",SUMIFS($D:$D,$A:$A,$A2166,$B:$B,"&lt;&gt;Patrícia Karla de Sousa Araújo",$B:$B,"&lt;&gt;Lorena Dias de Araujo",$B:$B,"&lt;&gt;Lucas Luiz Romero")*(10/1083),0)))))),0)</f>
        <v/>
      </c>
      <c r="K2166" s="3">
        <f>I2166-J2166</f>
        <v/>
      </c>
      <c r="L2166" s="3">
        <f>IF(K2166&lt;-5,"CRÍTICO",IF(K2166&lt;0,"ATENÇÃO",IF(K2166&lt;=5,"BOM","EXCELENTE")))</f>
        <v/>
      </c>
      <c r="M2166" s="3" t="n">
        <v>6</v>
      </c>
      <c r="N2166" s="3" t="n">
        <v>100</v>
      </c>
      <c r="O2166" s="12" t="n">
        <v>26.54320987654321</v>
      </c>
    </row>
    <row r="2167">
      <c r="A2167" s="10" t="n">
        <v>46069</v>
      </c>
      <c r="B2167" t="inlineStr">
        <is>
          <t>Maria Eduarda Sousa Costa</t>
        </is>
      </c>
      <c r="C2167" s="1" t="inlineStr">
        <is>
          <t>Estágio</t>
        </is>
      </c>
      <c r="D2167" s="3" t="n">
        <v>4</v>
      </c>
      <c r="E2167" s="3" t="n">
        <v>4</v>
      </c>
      <c r="F2167" s="3" t="n">
        <v>26.59</v>
      </c>
      <c r="G2167" s="3" t="n">
        <v>0</v>
      </c>
      <c r="H2167" s="3" t="n">
        <v>0</v>
      </c>
      <c r="I2167" s="3">
        <f>E2167+G2167+H2167</f>
        <v/>
      </c>
      <c r="J2167" s="3">
        <f>ROUND(MIN(IF(C2167="Técnico III",35,IF(C2167="Técnico II",28,IF(C2167="Técnico I",23,IF(C2167="JR",20,IF(C2167="Estágio",10,0))))),IF(C2167="Técnico III",SUMIFS($D:$D,$A:$A,$A2167,$B:$B,"&lt;&gt;Patrícia Karla de Sousa Araújo",$B:$B,"&lt;&gt;Lorena Dias de Araujo",$B:$B,"&lt;&gt;Lucas Luiz Romero")*(35/1083),IF(C2167="Técnico II",SUMIFS($D:$D,$A:$A,$A2167,$B:$B,"&lt;&gt;Patrícia Karla de Sousa Araújo",$B:$B,"&lt;&gt;Lorena Dias de Araujo",$B:$B,"&lt;&gt;Lucas Luiz Romero")*(28/1083),IF(C2167="Técnico I",SUMIFS($D:$D,$A:$A,$A2167,$B:$B,"&lt;&gt;Patrícia Karla de Sousa Araújo",$B:$B,"&lt;&gt;Lorena Dias de Araujo",$B:$B,"&lt;&gt;Lucas Luiz Romero")*(23/1083),IF(C2167="JR",SUMIFS($D:$D,$A:$A,$A2167,$B:$B,"&lt;&gt;Patrícia Karla de Sousa Araújo",$B:$B,"&lt;&gt;Lorena Dias de Araujo",$B:$B,"&lt;&gt;Lucas Luiz Romero")*(20/1083),IF(C2167="Estágio",SUMIFS($D:$D,$A:$A,$A2167,$B:$B,"&lt;&gt;Patrícia Karla de Sousa Araújo",$B:$B,"&lt;&gt;Lorena Dias de Araujo",$B:$B,"&lt;&gt;Lucas Luiz Romero")*(10/1083),0)))))),0)</f>
        <v/>
      </c>
      <c r="K2167" s="3">
        <f>I2167-J2167</f>
        <v/>
      </c>
      <c r="L2167" s="3">
        <f>IF(K2167&lt;-5,"CRÍTICO",IF(K2167&lt;0,"ATENÇÃO",IF(K2167&lt;=5,"BOM","EXCELENTE")))</f>
        <v/>
      </c>
      <c r="M2167" s="3" t="n">
        <v>3</v>
      </c>
      <c r="N2167" s="3" t="n">
        <v>100</v>
      </c>
      <c r="O2167" s="12" t="n">
        <v>35.48387096774194</v>
      </c>
    </row>
    <row r="2168">
      <c r="A2168" s="10" t="n">
        <v>46069</v>
      </c>
      <c r="B2168" t="inlineStr">
        <is>
          <t>Matheus Farias De Souza</t>
        </is>
      </c>
      <c r="C2168" s="1" t="inlineStr">
        <is>
          <t>Técnico III</t>
        </is>
      </c>
      <c r="D2168" s="3" t="n">
        <v>2</v>
      </c>
      <c r="E2168" s="3" t="n">
        <v>2</v>
      </c>
      <c r="F2168" s="3" t="n">
        <v>38.51</v>
      </c>
      <c r="G2168" s="3" t="n">
        <v>0</v>
      </c>
      <c r="H2168" s="3" t="n">
        <v>0</v>
      </c>
      <c r="I2168" s="3">
        <f>E2168+G2168+H2168</f>
        <v/>
      </c>
      <c r="J2168" s="3">
        <f>ROUND(MIN(IF(C2168="Técnico III",35,IF(C2168="Técnico II",28,IF(C2168="Técnico I",23,IF(C2168="JR",20,IF(C2168="Estágio",10,0))))),IF(C2168="Técnico III",SUMIFS($D:$D,$A:$A,$A2168,$B:$B,"&lt;&gt;Patrícia Karla de Sousa Araújo",$B:$B,"&lt;&gt;Lorena Dias de Araujo",$B:$B,"&lt;&gt;Lucas Luiz Romero")*(35/1083),IF(C2168="Técnico II",SUMIFS($D:$D,$A:$A,$A2168,$B:$B,"&lt;&gt;Patrícia Karla de Sousa Araújo",$B:$B,"&lt;&gt;Lorena Dias de Araujo",$B:$B,"&lt;&gt;Lucas Luiz Romero")*(28/1083),IF(C2168="Técnico I",SUMIFS($D:$D,$A:$A,$A2168,$B:$B,"&lt;&gt;Patrícia Karla de Sousa Araújo",$B:$B,"&lt;&gt;Lorena Dias de Araujo",$B:$B,"&lt;&gt;Lucas Luiz Romero")*(23/1083),IF(C2168="JR",SUMIFS($D:$D,$A:$A,$A2168,$B:$B,"&lt;&gt;Patrícia Karla de Sousa Araújo",$B:$B,"&lt;&gt;Lorena Dias de Araujo",$B:$B,"&lt;&gt;Lucas Luiz Romero")*(20/1083),IF(C2168="Estágio",SUMIFS($D:$D,$A:$A,$A2168,$B:$B,"&lt;&gt;Patrícia Karla de Sousa Araújo",$B:$B,"&lt;&gt;Lorena Dias de Araujo",$B:$B,"&lt;&gt;Lucas Luiz Romero")*(10/1083),0)))))),0)</f>
        <v/>
      </c>
      <c r="K2168" s="3">
        <f>I2168-J2168</f>
        <v/>
      </c>
      <c r="L2168" s="3">
        <f>IF(K2168&lt;-5,"CRÍTICO",IF(K2168&lt;0,"ATENÇÃO",IF(K2168&lt;=5,"BOM","EXCELENTE")))</f>
        <v/>
      </c>
      <c r="M2168" s="3" t="n">
        <v>3</v>
      </c>
      <c r="N2168" s="3" t="n">
        <v>99.27</v>
      </c>
      <c r="O2168" s="12" t="n">
        <v>31.16370808678501</v>
      </c>
    </row>
    <row r="2169">
      <c r="A2169" s="10" t="n">
        <v>46069</v>
      </c>
      <c r="B2169" t="inlineStr">
        <is>
          <t>Maysa Victoria Dias Moura</t>
        </is>
      </c>
      <c r="C2169" s="1" t="inlineStr">
        <is>
          <t>Técnico III</t>
        </is>
      </c>
      <c r="D2169" s="3" t="n">
        <v>7</v>
      </c>
      <c r="E2169" s="3" t="n">
        <v>5</v>
      </c>
      <c r="F2169" s="3" t="n">
        <v>7.07</v>
      </c>
      <c r="G2169" s="3" t="n">
        <v>0</v>
      </c>
      <c r="H2169" s="3" t="n">
        <v>0</v>
      </c>
      <c r="I2169" s="3">
        <f>E2169+G2169+H2169</f>
        <v/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/>
      </c>
      <c r="K2169" s="3">
        <f>I2169-J2169</f>
        <v/>
      </c>
      <c r="L2169" s="3">
        <f>IF(K2169&lt;-5,"CRÍTICO",IF(K2169&lt;0,"ATENÇÃO",IF(K2169&lt;=5,"BOM","EXCELENTE")))</f>
        <v/>
      </c>
      <c r="M2169" s="3" t="n">
        <v>5</v>
      </c>
      <c r="N2169" s="3" t="n">
        <v>94.16</v>
      </c>
      <c r="O2169" s="12" t="n">
        <v>27.03862660944206</v>
      </c>
    </row>
    <row r="2170">
      <c r="A2170" s="10" t="n">
        <v>46069</v>
      </c>
      <c r="B2170" t="inlineStr">
        <is>
          <t>Michelle G Santos</t>
        </is>
      </c>
      <c r="C2170" s="1" t="inlineStr">
        <is>
          <t>Estágio</t>
        </is>
      </c>
      <c r="D2170" s="3" t="n">
        <v>0</v>
      </c>
      <c r="E2170" s="3" t="n">
        <v>0</v>
      </c>
      <c r="F2170" s="3" t="n">
        <v>0</v>
      </c>
      <c r="G2170" s="3" t="n">
        <v>0</v>
      </c>
      <c r="H2170" s="3" t="n">
        <v>0</v>
      </c>
      <c r="I2170" s="3" t="n">
        <v>0</v>
      </c>
      <c r="J2170" s="3" t="n">
        <v>0</v>
      </c>
      <c r="K2170" s="3" t="n">
        <v>0</v>
      </c>
      <c r="L2170" s="3">
        <f>IF(K2170&lt;-5,"CRÍTICO",IF(K2170&lt;0,"ATENÇÃO",IF(K2170&lt;=5,"BOM","EXCELENTE")))</f>
        <v/>
      </c>
      <c r="M2170" s="3" t="n">
        <v>0</v>
      </c>
      <c r="N2170" s="3" t="n">
        <v>93.75</v>
      </c>
      <c r="O2170" s="12" t="n">
        <v>19.31818181818182</v>
      </c>
    </row>
    <row r="2171">
      <c r="A2171" s="10" t="n">
        <v>46069</v>
      </c>
      <c r="B2171" t="inlineStr">
        <is>
          <t>Milena Sales</t>
        </is>
      </c>
      <c r="C2171" s="1" t="inlineStr">
        <is>
          <t>JR</t>
        </is>
      </c>
      <c r="D2171" s="3" t="n">
        <v>0</v>
      </c>
      <c r="E2171" s="3" t="n">
        <v>0</v>
      </c>
      <c r="F2171" s="3" t="n">
        <v>0</v>
      </c>
      <c r="G2171" s="3" t="n">
        <v>0</v>
      </c>
      <c r="H2171" s="3" t="n">
        <v>0</v>
      </c>
      <c r="I2171" s="3" t="n">
        <v>0</v>
      </c>
      <c r="J2171" s="3" t="n">
        <v>0</v>
      </c>
      <c r="K2171" s="3" t="n">
        <v>0</v>
      </c>
      <c r="L2171" s="3">
        <f>IF(K2171&lt;-5,"CRÍTICO",IF(K2171&lt;0,"ATENÇÃO",IF(K2171&lt;=5,"BOM","EXCELENTE")))</f>
        <v/>
      </c>
      <c r="M2171" s="3" t="n">
        <v>0</v>
      </c>
      <c r="N2171" s="3" t="n">
        <v>0</v>
      </c>
      <c r="O2171" s="12" t="n">
        <v>0</v>
      </c>
    </row>
    <row r="2172">
      <c r="A2172" s="10" t="n">
        <v>46069</v>
      </c>
      <c r="B2172" t="inlineStr">
        <is>
          <t>Patrícia Karla de Sousa Araújo</t>
        </is>
      </c>
      <c r="C2172" s="1" t="inlineStr">
        <is>
          <t>Técnico II</t>
        </is>
      </c>
      <c r="D2172" s="3" t="n">
        <v>0</v>
      </c>
      <c r="E2172" s="3" t="n">
        <v>0</v>
      </c>
      <c r="F2172" s="3" t="n">
        <v>0</v>
      </c>
      <c r="G2172" s="3" t="n">
        <v>0</v>
      </c>
      <c r="H2172" s="3" t="n">
        <v>0</v>
      </c>
      <c r="I2172" s="3" t="n">
        <v>0</v>
      </c>
      <c r="J2172" s="3" t="n">
        <v>0</v>
      </c>
      <c r="K2172" s="3" t="n">
        <v>0</v>
      </c>
      <c r="L2172" s="3">
        <f>IF(K2172&lt;-5,"CRÍTICO",IF(K2172&lt;0,"ATENÇÃO",IF(K2172&lt;=5,"BOM","EXCELENTE")))</f>
        <v/>
      </c>
      <c r="M2172" s="3" t="n">
        <v>0</v>
      </c>
      <c r="N2172" s="3" t="n">
        <v>97.92</v>
      </c>
      <c r="O2172" s="12" t="n">
        <v>32.87671232876712</v>
      </c>
    </row>
    <row r="2173">
      <c r="A2173" s="10" t="n">
        <v>46069</v>
      </c>
      <c r="B2173" t="inlineStr">
        <is>
          <t>Paulo Ricardo Santos</t>
        </is>
      </c>
      <c r="C2173" s="1" t="inlineStr">
        <is>
          <t>JR</t>
        </is>
      </c>
      <c r="D2173" s="3" t="n">
        <v>0</v>
      </c>
      <c r="E2173" s="3" t="n">
        <v>0</v>
      </c>
      <c r="F2173" s="3" t="n">
        <v>0</v>
      </c>
      <c r="G2173" s="3" t="n">
        <v>0</v>
      </c>
      <c r="H2173" s="3" t="n">
        <v>0</v>
      </c>
      <c r="I2173" s="3" t="n">
        <v>0</v>
      </c>
      <c r="J2173" s="3" t="n">
        <v>0</v>
      </c>
      <c r="K2173" s="3" t="n">
        <v>0</v>
      </c>
      <c r="L2173" s="3">
        <f>IF(K2173&lt;-5,"CRÍTICO",IF(K2173&lt;0,"ATENÇÃO",IF(K2173&lt;=5,"BOM","EXCELENTE")))</f>
        <v/>
      </c>
      <c r="M2173" s="3" t="n">
        <v>0</v>
      </c>
      <c r="N2173" s="3" t="n">
        <v>0</v>
      </c>
      <c r="O2173" s="12" t="n">
        <v>0</v>
      </c>
    </row>
    <row r="2174">
      <c r="A2174" s="10" t="n">
        <v>46069</v>
      </c>
      <c r="B2174" t="inlineStr">
        <is>
          <t>Pedro Luiz Mota Sousa</t>
        </is>
      </c>
      <c r="C2174" s="1" t="inlineStr">
        <is>
          <t>JR</t>
        </is>
      </c>
      <c r="D2174" s="3" t="n">
        <v>0</v>
      </c>
      <c r="E2174" s="3" t="n">
        <v>0</v>
      </c>
      <c r="F2174" s="3" t="n">
        <v>0</v>
      </c>
      <c r="G2174" s="3" t="n">
        <v>0</v>
      </c>
      <c r="H2174" s="3" t="n">
        <v>0</v>
      </c>
      <c r="I2174" s="3" t="n">
        <v>0</v>
      </c>
      <c r="J2174" s="3" t="n">
        <v>0</v>
      </c>
      <c r="K2174" s="3" t="n">
        <v>0</v>
      </c>
      <c r="L2174" s="3">
        <f>IF(K2174&lt;-5,"CRÍTICO",IF(K2174&lt;0,"ATENÇÃO",IF(K2174&lt;=5,"BOM","EXCELENTE")))</f>
        <v/>
      </c>
      <c r="M2174" s="3" t="n">
        <v>0</v>
      </c>
      <c r="N2174" s="3" t="n">
        <v>0</v>
      </c>
      <c r="O2174" s="12" t="n">
        <v>0</v>
      </c>
    </row>
    <row r="2175">
      <c r="A2175" s="10" t="n">
        <v>46069</v>
      </c>
      <c r="B2175" t="inlineStr">
        <is>
          <t>Quirino Diogo Leite Torres</t>
        </is>
      </c>
      <c r="C2175" s="1" t="inlineStr">
        <is>
          <t>Estágio</t>
        </is>
      </c>
      <c r="D2175" s="3" t="n">
        <v>0</v>
      </c>
      <c r="E2175" s="3" t="n">
        <v>0</v>
      </c>
      <c r="F2175" s="3" t="n">
        <v>0</v>
      </c>
      <c r="G2175" s="3" t="n">
        <v>0</v>
      </c>
      <c r="H2175" s="3" t="n">
        <v>0</v>
      </c>
      <c r="I2175" s="3" t="n">
        <v>0</v>
      </c>
      <c r="J2175" s="3" t="n">
        <v>0</v>
      </c>
      <c r="K2175" s="3" t="n">
        <v>0</v>
      </c>
      <c r="L2175" s="3">
        <f>IF(K2175&lt;-5,"CRÍTICO",IF(K2175&lt;0,"ATENÇÃO",IF(K2175&lt;=5,"BOM","EXCELENTE")))</f>
        <v/>
      </c>
      <c r="M2175" s="3" t="n">
        <v>0</v>
      </c>
      <c r="N2175" s="3" t="n">
        <v>0</v>
      </c>
      <c r="O2175" s="12" t="n">
        <v>0</v>
      </c>
    </row>
    <row r="2176">
      <c r="A2176" s="10" t="n">
        <v>46069</v>
      </c>
      <c r="B2176" t="inlineStr">
        <is>
          <t>Raane Batista Matos</t>
        </is>
      </c>
      <c r="C2176" s="1" t="inlineStr">
        <is>
          <t>Técnico I</t>
        </is>
      </c>
      <c r="D2176" s="3" t="n">
        <v>7</v>
      </c>
      <c r="E2176" s="3" t="n">
        <v>7</v>
      </c>
      <c r="F2176" s="3" t="n">
        <v>25.45</v>
      </c>
      <c r="G2176" s="3" t="n">
        <v>0</v>
      </c>
      <c r="H2176" s="3" t="n">
        <v>0</v>
      </c>
      <c r="I2176" s="3">
        <f>E2176+G2176+H2176</f>
        <v/>
      </c>
      <c r="J2176" s="3">
        <f>ROUND(MIN(IF(C2176="Técnico III",35,IF(C2176="Técnico II",28,IF(C2176="Técnico I",23,IF(C2176="JR",20,IF(C2176="Estágio",10,0))))),IF(C2176="Técnico III",SUMIFS($D:$D,$A:$A,$A2176,$B:$B,"&lt;&gt;Patrícia Karla de Sousa Araújo",$B:$B,"&lt;&gt;Lorena Dias de Araujo",$B:$B,"&lt;&gt;Lucas Luiz Romero")*(35/1083),IF(C2176="Técnico II",SUMIFS($D:$D,$A:$A,$A2176,$B:$B,"&lt;&gt;Patrícia Karla de Sousa Araújo",$B:$B,"&lt;&gt;Lorena Dias de Araujo",$B:$B,"&lt;&gt;Lucas Luiz Romero")*(28/1083),IF(C2176="Técnico I",SUMIFS($D:$D,$A:$A,$A2176,$B:$B,"&lt;&gt;Patrícia Karla de Sousa Araújo",$B:$B,"&lt;&gt;Lorena Dias de Araujo",$B:$B,"&lt;&gt;Lucas Luiz Romero")*(23/1083),IF(C2176="JR",SUMIFS($D:$D,$A:$A,$A2176,$B:$B,"&lt;&gt;Patrícia Karla de Sousa Araújo",$B:$B,"&lt;&gt;Lorena Dias de Araujo",$B:$B,"&lt;&gt;Lucas Luiz Romero")*(20/1083),IF(C2176="Estágio",SUMIFS($D:$D,$A:$A,$A2176,$B:$B,"&lt;&gt;Patrícia Karla de Sousa Araújo",$B:$B,"&lt;&gt;Lorena Dias de Araujo",$B:$B,"&lt;&gt;Lucas Luiz Romero")*(10/1083),0)))))),0)</f>
        <v/>
      </c>
      <c r="K2176" s="3">
        <f>I2176-J2176</f>
        <v/>
      </c>
      <c r="L2176" s="3">
        <f>IF(K2176&lt;-5,"CRÍTICO",IF(K2176&lt;0,"ATENÇÃO",IF(K2176&lt;=5,"BOM","EXCELENTE")))</f>
        <v/>
      </c>
      <c r="M2176" s="3" t="n">
        <v>6</v>
      </c>
      <c r="N2176" s="3" t="n">
        <v>98.51000000000001</v>
      </c>
      <c r="O2176" s="12" t="n">
        <v>29.71014492753623</v>
      </c>
    </row>
    <row r="2177">
      <c r="A2177" s="10" t="n">
        <v>46069</v>
      </c>
      <c r="B2177" t="inlineStr">
        <is>
          <t>Rafael Gomes de Morais</t>
        </is>
      </c>
      <c r="C2177" s="1" t="inlineStr">
        <is>
          <t>Técnico III</t>
        </is>
      </c>
      <c r="D2177" s="3" t="n">
        <v>6</v>
      </c>
      <c r="E2177" s="3" t="n">
        <v>6</v>
      </c>
      <c r="F2177" s="3" t="n">
        <v>25.48</v>
      </c>
      <c r="G2177" s="3" t="n">
        <v>0</v>
      </c>
      <c r="H2177" s="3" t="n">
        <v>0</v>
      </c>
      <c r="I2177" s="3">
        <f>E2177+G2177+H2177</f>
        <v/>
      </c>
      <c r="J2177" s="3">
        <f>ROUND(MIN(IF(C2177="Técnico III",35,IF(C2177="Técnico II",28,IF(C2177="Técnico I",23,IF(C2177="JR",20,IF(C2177="Estágio",10,0))))),IF(C2177="Técnico III",SUMIFS($D:$D,$A:$A,$A2177,$B:$B,"&lt;&gt;Patrícia Karla de Sousa Araújo",$B:$B,"&lt;&gt;Lorena Dias de Araujo",$B:$B,"&lt;&gt;Lucas Luiz Romero")*(35/1083),IF(C2177="Técnico II",SUMIFS($D:$D,$A:$A,$A2177,$B:$B,"&lt;&gt;Patrícia Karla de Sousa Araújo",$B:$B,"&lt;&gt;Lorena Dias de Araujo",$B:$B,"&lt;&gt;Lucas Luiz Romero")*(28/1083),IF(C2177="Técnico I",SUMIFS($D:$D,$A:$A,$A2177,$B:$B,"&lt;&gt;Patrícia Karla de Sousa Araújo",$B:$B,"&lt;&gt;Lorena Dias de Araujo",$B:$B,"&lt;&gt;Lucas Luiz Romero")*(23/1083),IF(C2177="JR",SUMIFS($D:$D,$A:$A,$A2177,$B:$B,"&lt;&gt;Patrícia Karla de Sousa Araújo",$B:$B,"&lt;&gt;Lorena Dias de Araujo",$B:$B,"&lt;&gt;Lucas Luiz Romero")*(20/1083),IF(C2177="Estágio",SUMIFS($D:$D,$A:$A,$A2177,$B:$B,"&lt;&gt;Patrícia Karla de Sousa Araújo",$B:$B,"&lt;&gt;Lorena Dias de Araujo",$B:$B,"&lt;&gt;Lucas Luiz Romero")*(10/1083),0)))))),0)</f>
        <v/>
      </c>
      <c r="K2177" s="3">
        <f>I2177-J2177</f>
        <v/>
      </c>
      <c r="L2177" s="3">
        <f>IF(K2177&lt;-5,"CRÍTICO",IF(K2177&lt;0,"ATENÇÃO",IF(K2177&lt;=5,"BOM","EXCELENTE")))</f>
        <v/>
      </c>
      <c r="M2177" s="3" t="n">
        <v>3</v>
      </c>
      <c r="N2177" s="3" t="n">
        <v>98.81</v>
      </c>
      <c r="O2177" s="12" t="n">
        <v>30.71297989031079</v>
      </c>
    </row>
    <row r="2178">
      <c r="A2178" s="10" t="n">
        <v>46069</v>
      </c>
      <c r="B2178" t="inlineStr">
        <is>
          <t>Sara Maria Monteiro Lopes</t>
        </is>
      </c>
      <c r="C2178" s="1" t="inlineStr">
        <is>
          <t>Técnico I</t>
        </is>
      </c>
      <c r="D2178" s="3" t="n">
        <v>7</v>
      </c>
      <c r="E2178" s="3" t="n">
        <v>7</v>
      </c>
      <c r="F2178" s="3" t="n">
        <v>27.17</v>
      </c>
      <c r="G2178" s="3" t="n">
        <v>0</v>
      </c>
      <c r="H2178" s="3" t="n">
        <v>0</v>
      </c>
      <c r="I2178" s="3">
        <f>E2178+G2178+H2178</f>
        <v/>
      </c>
      <c r="J2178" s="3">
        <f>ROUND(MIN(IF(C2178="Técnico III",35,IF(C2178="Técnico II",28,IF(C2178="Técnico I",23,IF(C2178="JR",20,IF(C2178="Estágio",10,0))))),IF(C2178="Técnico III",SUMIFS($D:$D,$A:$A,$A2178,$B:$B,"&lt;&gt;Patrícia Karla de Sousa Araújo",$B:$B,"&lt;&gt;Lorena Dias de Araujo",$B:$B,"&lt;&gt;Lucas Luiz Romero")*(35/1083),IF(C2178="Técnico II",SUMIFS($D:$D,$A:$A,$A2178,$B:$B,"&lt;&gt;Patrícia Karla de Sousa Araújo",$B:$B,"&lt;&gt;Lorena Dias de Araujo",$B:$B,"&lt;&gt;Lucas Luiz Romero")*(28/1083),IF(C2178="Técnico I",SUMIFS($D:$D,$A:$A,$A2178,$B:$B,"&lt;&gt;Patrícia Karla de Sousa Araújo",$B:$B,"&lt;&gt;Lorena Dias de Araujo",$B:$B,"&lt;&gt;Lucas Luiz Romero")*(23/1083),IF(C2178="JR",SUMIFS($D:$D,$A:$A,$A2178,$B:$B,"&lt;&gt;Patrícia Karla de Sousa Araújo",$B:$B,"&lt;&gt;Lorena Dias de Araujo",$B:$B,"&lt;&gt;Lucas Luiz Romero")*(20/1083),IF(C2178="Estágio",SUMIFS($D:$D,$A:$A,$A2178,$B:$B,"&lt;&gt;Patrícia Karla de Sousa Araújo",$B:$B,"&lt;&gt;Lorena Dias de Araujo",$B:$B,"&lt;&gt;Lucas Luiz Romero")*(10/1083),0)))))),0)</f>
        <v/>
      </c>
      <c r="K2178" s="3">
        <f>I2178-J2178</f>
        <v/>
      </c>
      <c r="L2178" s="3">
        <f>IF(K2178&lt;-5,"CRÍTICO",IF(K2178&lt;0,"ATENÇÃO",IF(K2178&lt;=5,"BOM","EXCELENTE")))</f>
        <v/>
      </c>
      <c r="M2178" s="3" t="n">
        <v>7</v>
      </c>
      <c r="N2178" s="3" t="n">
        <v>98.48</v>
      </c>
      <c r="O2178" s="12" t="n">
        <v>29.35323383084577</v>
      </c>
    </row>
    <row r="2179">
      <c r="A2179" s="10" t="n">
        <v>46069</v>
      </c>
      <c r="B2179" t="inlineStr">
        <is>
          <t>Sarah Steffanie de Lima Borges</t>
        </is>
      </c>
      <c r="C2179" s="1" t="inlineStr">
        <is>
          <t>Técnico III</t>
        </is>
      </c>
      <c r="D2179" s="3" t="n">
        <v>10</v>
      </c>
      <c r="E2179" s="3" t="n">
        <v>9</v>
      </c>
      <c r="F2179" s="3" t="n">
        <v>27.23</v>
      </c>
      <c r="G2179" s="3" t="n">
        <v>0</v>
      </c>
      <c r="H2179" s="3" t="n">
        <v>0</v>
      </c>
      <c r="I2179" s="3">
        <f>E2179+G2179+H2179</f>
        <v/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/>
      </c>
      <c r="K2179" s="3">
        <f>I2179-J2179</f>
        <v/>
      </c>
      <c r="L2179" s="3">
        <f>IF(K2179&lt;-5,"CRÍTICO",IF(K2179&lt;0,"ATENÇÃO",IF(K2179&lt;=5,"BOM","EXCELENTE")))</f>
        <v/>
      </c>
      <c r="M2179" s="3" t="n">
        <v>5</v>
      </c>
      <c r="N2179" s="3" t="n">
        <v>98.56</v>
      </c>
      <c r="O2179" s="12" t="n">
        <v>29.37365010799136</v>
      </c>
    </row>
    <row r="2180">
      <c r="A2180" s="10" t="n">
        <v>46070</v>
      </c>
      <c r="B2180" t="inlineStr">
        <is>
          <t>Alisson de Freitas Silva</t>
        </is>
      </c>
      <c r="C2180" s="1" t="inlineStr">
        <is>
          <t>Técnico II</t>
        </is>
      </c>
      <c r="D2180" s="3" t="n">
        <v>0</v>
      </c>
      <c r="E2180" s="3" t="n">
        <v>0</v>
      </c>
      <c r="F2180" s="3" t="n">
        <v>0</v>
      </c>
      <c r="G2180" s="3" t="n">
        <v>0</v>
      </c>
      <c r="H2180" s="3" t="n">
        <v>0</v>
      </c>
      <c r="I2180" s="3" t="n">
        <v>0</v>
      </c>
      <c r="J2180" s="3" t="n">
        <v>0</v>
      </c>
      <c r="K2180" s="3" t="n">
        <v>0</v>
      </c>
      <c r="L2180" s="3">
        <f>IF(K2180&lt;-5,"CRÍTICO",IF(K2180&lt;0,"ATENÇÃO",IF(K2180&lt;=5,"BOM","EXCELENTE")))</f>
        <v/>
      </c>
      <c r="M2180" s="3" t="n">
        <v>0</v>
      </c>
      <c r="N2180" s="3" t="n">
        <v>98.31999999999999</v>
      </c>
      <c r="O2180" s="12" t="n">
        <v>30.3030303030303</v>
      </c>
    </row>
    <row r="2181">
      <c r="A2181" s="10" t="n">
        <v>46070</v>
      </c>
      <c r="B2181" t="inlineStr">
        <is>
          <t>Amanda Moura Ferreira</t>
        </is>
      </c>
      <c r="C2181" s="1" t="inlineStr">
        <is>
          <t>Técnico III</t>
        </is>
      </c>
      <c r="D2181" s="3" t="n">
        <v>0</v>
      </c>
      <c r="E2181" s="3" t="n">
        <v>0</v>
      </c>
      <c r="F2181" s="3" t="n">
        <v>0</v>
      </c>
      <c r="G2181" s="3" t="n">
        <v>0</v>
      </c>
      <c r="H2181" s="3" t="n">
        <v>0</v>
      </c>
      <c r="I2181" s="3" t="n">
        <v>0</v>
      </c>
      <c r="J2181" s="3" t="n">
        <v>0</v>
      </c>
      <c r="K2181" s="3" t="n">
        <v>0</v>
      </c>
      <c r="L2181" s="3">
        <f>IF(K2181&lt;-5,"CRÍTICO",IF(K2181&lt;0,"ATENÇÃO",IF(K2181&lt;=5,"BOM","EXCELENTE")))</f>
        <v/>
      </c>
      <c r="M2181" s="3" t="n">
        <v>0</v>
      </c>
      <c r="N2181" s="3" t="n">
        <v>98.68000000000001</v>
      </c>
      <c r="O2181" s="12" t="n">
        <v>26.21951219512195</v>
      </c>
    </row>
    <row r="2182">
      <c r="A2182" s="10" t="n">
        <v>46070</v>
      </c>
      <c r="B2182" t="inlineStr">
        <is>
          <t>Ana Karollyne Souza Faria</t>
        </is>
      </c>
      <c r="C2182" s="1" t="inlineStr">
        <is>
          <t>Técnico I</t>
        </is>
      </c>
      <c r="D2182" s="3" t="n">
        <v>0</v>
      </c>
      <c r="E2182" s="3" t="n">
        <v>0</v>
      </c>
      <c r="F2182" s="3" t="n">
        <v>0</v>
      </c>
      <c r="G2182" s="3" t="n">
        <v>0</v>
      </c>
      <c r="H2182" s="3" t="n">
        <v>0</v>
      </c>
      <c r="I2182" s="3" t="n">
        <v>0</v>
      </c>
      <c r="J2182" s="3" t="n">
        <v>0</v>
      </c>
      <c r="K2182" s="3" t="n">
        <v>0</v>
      </c>
      <c r="L2182" s="3">
        <f>IF(K2182&lt;-5,"CRÍTICO",IF(K2182&lt;0,"ATENÇÃO",IF(K2182&lt;=5,"BOM","EXCELENTE")))</f>
        <v/>
      </c>
      <c r="M2182" s="3" t="n">
        <v>0</v>
      </c>
      <c r="N2182" s="3" t="n">
        <v>100</v>
      </c>
      <c r="O2182" s="12" t="n">
        <v>31.74224343675418</v>
      </c>
    </row>
    <row r="2183">
      <c r="A2183" s="10" t="n">
        <v>46070</v>
      </c>
      <c r="B2183" t="inlineStr">
        <is>
          <t>Ana Paula Da Luz Silva Aleixo</t>
        </is>
      </c>
      <c r="C2183" s="1" t="inlineStr">
        <is>
          <t>Técnico III</t>
        </is>
      </c>
      <c r="D2183" s="3" t="n">
        <v>0</v>
      </c>
      <c r="E2183" s="3" t="n">
        <v>0</v>
      </c>
      <c r="F2183" s="3" t="n">
        <v>0</v>
      </c>
      <c r="G2183" s="3" t="n">
        <v>0</v>
      </c>
      <c r="H2183" s="3" t="n">
        <v>0</v>
      </c>
      <c r="I2183" s="3" t="n">
        <v>0</v>
      </c>
      <c r="J2183" s="3" t="n">
        <v>0</v>
      </c>
      <c r="K2183" s="3" t="n">
        <v>0</v>
      </c>
      <c r="L2183" s="3">
        <f>IF(K2183&lt;-5,"CRÍTICO",IF(K2183&lt;0,"ATENÇÃO",IF(K2183&lt;=5,"BOM","EXCELENTE")))</f>
        <v/>
      </c>
      <c r="M2183" s="3" t="n">
        <v>0</v>
      </c>
      <c r="N2183" s="3" t="n">
        <v>98.25</v>
      </c>
      <c r="O2183" s="12" t="n">
        <v>25.83518930957684</v>
      </c>
    </row>
    <row r="2184">
      <c r="A2184" s="10" t="n">
        <v>46070</v>
      </c>
      <c r="B2184" t="inlineStr">
        <is>
          <t>Anna Luiza Rezende Tavares</t>
        </is>
      </c>
      <c r="C2184" s="1" t="inlineStr">
        <is>
          <t>Estágio</t>
        </is>
      </c>
      <c r="D2184" s="3" t="n">
        <v>0</v>
      </c>
      <c r="E2184" s="3" t="n">
        <v>0</v>
      </c>
      <c r="F2184" s="3" t="n">
        <v>0</v>
      </c>
      <c r="G2184" s="3" t="n">
        <v>0</v>
      </c>
      <c r="H2184" s="3" t="n">
        <v>0</v>
      </c>
      <c r="I2184" s="3" t="n">
        <v>0</v>
      </c>
      <c r="J2184" s="3" t="n">
        <v>0</v>
      </c>
      <c r="K2184" s="3" t="n">
        <v>0</v>
      </c>
      <c r="L2184" s="3">
        <f>IF(K2184&lt;-5,"CRÍTICO",IF(K2184&lt;0,"ATENÇÃO",IF(K2184&lt;=5,"BOM","EXCELENTE")))</f>
        <v/>
      </c>
      <c r="M2184" s="3" t="n">
        <v>0</v>
      </c>
      <c r="N2184" s="3" t="n">
        <v>97.5</v>
      </c>
      <c r="O2184" s="12" t="n">
        <v>30.07518796992481</v>
      </c>
    </row>
    <row r="2185">
      <c r="A2185" s="10" t="n">
        <v>46070</v>
      </c>
      <c r="B2185" t="inlineStr">
        <is>
          <t>Brenda de Menezes Silva</t>
        </is>
      </c>
      <c r="C2185" s="1" t="inlineStr">
        <is>
          <t>Técnico II</t>
        </is>
      </c>
      <c r="D2185" s="3" t="n">
        <v>0</v>
      </c>
      <c r="E2185" s="3" t="n">
        <v>0</v>
      </c>
      <c r="F2185" s="3" t="n">
        <v>0</v>
      </c>
      <c r="G2185" s="3" t="n">
        <v>0</v>
      </c>
      <c r="H2185" s="3" t="n">
        <v>0</v>
      </c>
      <c r="I2185" s="3" t="n">
        <v>0</v>
      </c>
      <c r="J2185" s="3" t="n">
        <v>0</v>
      </c>
      <c r="K2185" s="3" t="n">
        <v>0</v>
      </c>
      <c r="L2185" s="3">
        <f>IF(K2185&lt;-5,"CRÍTICO",IF(K2185&lt;0,"ATENÇÃO",IF(K2185&lt;=5,"BOM","EXCELENTE")))</f>
        <v/>
      </c>
      <c r="M2185" s="3" t="n">
        <v>0</v>
      </c>
      <c r="N2185" s="3" t="n">
        <v>100</v>
      </c>
      <c r="O2185" s="12" t="n">
        <v>29.71311475409836</v>
      </c>
    </row>
    <row r="2186">
      <c r="A2186" s="10" t="n">
        <v>46070</v>
      </c>
      <c r="B2186" t="inlineStr">
        <is>
          <t>Carlos Mateus Cassimiro Nunes</t>
        </is>
      </c>
      <c r="C2186" s="1" t="inlineStr">
        <is>
          <t>Técnico II</t>
        </is>
      </c>
      <c r="D2186" s="3" t="n">
        <v>0</v>
      </c>
      <c r="E2186" s="3" t="n">
        <v>0</v>
      </c>
      <c r="F2186" s="3" t="n">
        <v>0</v>
      </c>
      <c r="G2186" s="3" t="n">
        <v>0</v>
      </c>
      <c r="H2186" s="3" t="n">
        <v>0</v>
      </c>
      <c r="I2186" s="3" t="n">
        <v>0</v>
      </c>
      <c r="J2186" s="3" t="n">
        <v>0</v>
      </c>
      <c r="K2186" s="3" t="n">
        <v>0</v>
      </c>
      <c r="L2186" s="3">
        <f>IF(K2186&lt;-5,"CRÍTICO",IF(K2186&lt;0,"ATENÇÃO",IF(K2186&lt;=5,"BOM","EXCELENTE")))</f>
        <v/>
      </c>
      <c r="M2186" s="3" t="n">
        <v>0</v>
      </c>
      <c r="N2186" s="3" t="n">
        <v>99.22</v>
      </c>
      <c r="O2186" s="12" t="n">
        <v>35.25641025641026</v>
      </c>
    </row>
    <row r="2187">
      <c r="A2187" s="10" t="n">
        <v>46070</v>
      </c>
      <c r="B2187" t="inlineStr">
        <is>
          <t>Claudio de Sousa Velasco Filho</t>
        </is>
      </c>
      <c r="C2187" s="1" t="inlineStr">
        <is>
          <t>Estágio</t>
        </is>
      </c>
      <c r="D2187" s="3" t="n">
        <v>0</v>
      </c>
      <c r="E2187" s="3" t="n">
        <v>0</v>
      </c>
      <c r="F2187" s="3" t="n">
        <v>0</v>
      </c>
      <c r="G2187" s="3" t="n">
        <v>0</v>
      </c>
      <c r="H2187" s="3" t="n">
        <v>0</v>
      </c>
      <c r="I2187" s="3" t="n">
        <v>0</v>
      </c>
      <c r="J2187" s="3" t="n">
        <v>0</v>
      </c>
      <c r="K2187" s="3" t="n">
        <v>0</v>
      </c>
      <c r="L2187" s="3">
        <f>IF(K2187&lt;-5,"CRÍTICO",IF(K2187&lt;0,"ATENÇÃO",IF(K2187&lt;=5,"BOM","EXCELENTE")))</f>
        <v/>
      </c>
      <c r="M2187" s="3" t="n">
        <v>0</v>
      </c>
      <c r="N2187" s="3" t="n">
        <v>0</v>
      </c>
      <c r="O2187" s="12" t="n">
        <v>0</v>
      </c>
    </row>
    <row r="2188">
      <c r="A2188" s="10" t="n">
        <v>46070</v>
      </c>
      <c r="B2188" t="inlineStr">
        <is>
          <t>Clessiane Pereira dos Santos</t>
        </is>
      </c>
      <c r="C2188" s="1" t="inlineStr">
        <is>
          <t>Técnico I</t>
        </is>
      </c>
      <c r="D2188" s="3" t="n">
        <v>0</v>
      </c>
      <c r="E2188" s="3" t="n">
        <v>0</v>
      </c>
      <c r="F2188" s="3" t="n">
        <v>0</v>
      </c>
      <c r="G2188" s="3" t="n">
        <v>0</v>
      </c>
      <c r="H2188" s="3" t="n">
        <v>0</v>
      </c>
      <c r="I2188" s="3" t="n">
        <v>0</v>
      </c>
      <c r="J2188" s="3" t="n">
        <v>0</v>
      </c>
      <c r="K2188" s="3" t="n">
        <v>0</v>
      </c>
      <c r="L2188" s="3">
        <f>IF(K2188&lt;-5,"CRÍTICO",IF(K2188&lt;0,"ATENÇÃO",IF(K2188&lt;=5,"BOM","EXCELENTE")))</f>
        <v/>
      </c>
      <c r="M2188" s="3" t="n">
        <v>0</v>
      </c>
      <c r="N2188" s="3" t="n">
        <v>98.75</v>
      </c>
      <c r="O2188" s="12" t="n">
        <v>24.32432432432433</v>
      </c>
    </row>
    <row r="2189">
      <c r="A2189" s="10" t="n">
        <v>46070</v>
      </c>
      <c r="B2189" t="inlineStr">
        <is>
          <t>Cristiane Ramos da Silva Rocha</t>
        </is>
      </c>
      <c r="C2189" s="1" t="inlineStr">
        <is>
          <t>Técnico III</t>
        </is>
      </c>
      <c r="D2189" s="3" t="n">
        <v>0</v>
      </c>
      <c r="E2189" s="3" t="n">
        <v>0</v>
      </c>
      <c r="F2189" s="3" t="n">
        <v>0</v>
      </c>
      <c r="G2189" s="3" t="n">
        <v>0</v>
      </c>
      <c r="H2189" s="3" t="n">
        <v>0</v>
      </c>
      <c r="I2189" s="3" t="n">
        <v>0</v>
      </c>
      <c r="J2189" s="3" t="n">
        <v>0</v>
      </c>
      <c r="K2189" s="3" t="n">
        <v>0</v>
      </c>
      <c r="L2189" s="3">
        <f>IF(K2189&lt;-5,"CRÍTICO",IF(K2189&lt;0,"ATENÇÃO",IF(K2189&lt;=5,"BOM","EXCELENTE")))</f>
        <v/>
      </c>
      <c r="M2189" s="3" t="n">
        <v>0</v>
      </c>
      <c r="N2189" s="3" t="n">
        <v>93.48</v>
      </c>
      <c r="O2189" s="12" t="n">
        <v>31.52804642166344</v>
      </c>
    </row>
    <row r="2190">
      <c r="A2190" s="10" t="n">
        <v>46070</v>
      </c>
      <c r="B2190" t="inlineStr">
        <is>
          <t>Damyllis Lorraine de Oliveira Gonçalves</t>
        </is>
      </c>
      <c r="C2190" s="1" t="inlineStr">
        <is>
          <t>Técnico II</t>
        </is>
      </c>
      <c r="D2190" s="3" t="n">
        <v>0</v>
      </c>
      <c r="E2190" s="3" t="n">
        <v>0</v>
      </c>
      <c r="F2190" s="3" t="n">
        <v>0</v>
      </c>
      <c r="G2190" s="3" t="n">
        <v>0</v>
      </c>
      <c r="H2190" s="3" t="n">
        <v>0</v>
      </c>
      <c r="I2190" s="3" t="n">
        <v>0</v>
      </c>
      <c r="J2190" s="3" t="n">
        <v>0</v>
      </c>
      <c r="K2190" s="3" t="n">
        <v>0</v>
      </c>
      <c r="L2190" s="3">
        <f>IF(K2190&lt;-5,"CRÍTICO",IF(K2190&lt;0,"ATENÇÃO",IF(K2190&lt;=5,"BOM","EXCELENTE")))</f>
        <v/>
      </c>
      <c r="M2190" s="3" t="n">
        <v>0</v>
      </c>
      <c r="N2190" s="3" t="n">
        <v>99.16</v>
      </c>
      <c r="O2190" s="12" t="n">
        <v>26.13908872901678</v>
      </c>
    </row>
    <row r="2191">
      <c r="A2191" s="10" t="n">
        <v>46070</v>
      </c>
      <c r="B2191" t="inlineStr">
        <is>
          <t>Daniel Gomes da Silva</t>
        </is>
      </c>
      <c r="C2191" s="1" t="inlineStr">
        <is>
          <t>Técnico I</t>
        </is>
      </c>
      <c r="D2191" s="3" t="n">
        <v>0</v>
      </c>
      <c r="E2191" s="3" t="n">
        <v>0</v>
      </c>
      <c r="F2191" s="3" t="n">
        <v>0</v>
      </c>
      <c r="G2191" s="3" t="n">
        <v>0</v>
      </c>
      <c r="H2191" s="3" t="n">
        <v>0</v>
      </c>
      <c r="I2191" s="3" t="n">
        <v>0</v>
      </c>
      <c r="J2191" s="3" t="n">
        <v>0</v>
      </c>
      <c r="K2191" s="3" t="n">
        <v>0</v>
      </c>
      <c r="L2191" s="3">
        <f>IF(K2191&lt;-5,"CRÍTICO",IF(K2191&lt;0,"ATENÇÃO",IF(K2191&lt;=5,"BOM","EXCELENTE")))</f>
        <v/>
      </c>
      <c r="M2191" s="3" t="n">
        <v>0</v>
      </c>
      <c r="N2191" s="3" t="n">
        <v>100</v>
      </c>
      <c r="O2191" s="12" t="n">
        <v>31.08974358974359</v>
      </c>
    </row>
    <row r="2192">
      <c r="A2192" s="10" t="n">
        <v>46070</v>
      </c>
      <c r="B2192" t="inlineStr">
        <is>
          <t>Davylla Rodrigues Freitas Silva</t>
        </is>
      </c>
      <c r="C2192" s="1" t="inlineStr">
        <is>
          <t>Técnico III</t>
        </is>
      </c>
      <c r="D2192" s="3" t="n">
        <v>0</v>
      </c>
      <c r="E2192" s="3" t="n">
        <v>0</v>
      </c>
      <c r="F2192" s="3" t="n">
        <v>0</v>
      </c>
      <c r="G2192" s="3" t="n">
        <v>0</v>
      </c>
      <c r="H2192" s="3" t="n">
        <v>0</v>
      </c>
      <c r="I2192" s="3" t="n">
        <v>0</v>
      </c>
      <c r="J2192" s="3" t="n">
        <v>0</v>
      </c>
      <c r="K2192" s="3" t="n">
        <v>0</v>
      </c>
      <c r="L2192" s="3">
        <f>IF(K2192&lt;-5,"CRÍTICO",IF(K2192&lt;0,"ATENÇÃO",IF(K2192&lt;=5,"BOM","EXCELENTE")))</f>
        <v/>
      </c>
      <c r="M2192" s="3" t="n">
        <v>0</v>
      </c>
      <c r="N2192" s="3" t="n">
        <v>98.11</v>
      </c>
      <c r="O2192" s="12" t="n">
        <v>33.03370786516854</v>
      </c>
    </row>
    <row r="2193">
      <c r="A2193" s="10" t="n">
        <v>46070</v>
      </c>
      <c r="B2193" t="inlineStr">
        <is>
          <t>Emilly Caylane Costa</t>
        </is>
      </c>
      <c r="C2193" s="1" t="inlineStr">
        <is>
          <t>Estágio</t>
        </is>
      </c>
      <c r="D2193" s="3" t="n">
        <v>0</v>
      </c>
      <c r="E2193" s="3" t="n">
        <v>0</v>
      </c>
      <c r="F2193" s="3" t="n">
        <v>0</v>
      </c>
      <c r="G2193" s="3" t="n">
        <v>0</v>
      </c>
      <c r="H2193" s="3" t="n">
        <v>0</v>
      </c>
      <c r="I2193" s="3" t="n">
        <v>0</v>
      </c>
      <c r="J2193" s="3" t="n">
        <v>0</v>
      </c>
      <c r="K2193" s="3" t="n">
        <v>0</v>
      </c>
      <c r="L2193" s="3">
        <f>IF(K2193&lt;-5,"CRÍTICO",IF(K2193&lt;0,"ATENÇÃO",IF(K2193&lt;=5,"BOM","EXCELENTE")))</f>
        <v/>
      </c>
      <c r="M2193" s="3" t="n">
        <v>0</v>
      </c>
      <c r="N2193" s="3" t="n">
        <v>78.95</v>
      </c>
      <c r="O2193" s="12" t="n">
        <v>38.98305084745763</v>
      </c>
    </row>
    <row r="2194">
      <c r="A2194" s="10" t="n">
        <v>46070</v>
      </c>
      <c r="B2194" t="inlineStr">
        <is>
          <t>Emilly Kamilly Medeiros Miranda</t>
        </is>
      </c>
      <c r="C2194" s="1" t="inlineStr">
        <is>
          <t>Técnico II</t>
        </is>
      </c>
      <c r="D2194" s="3" t="n">
        <v>0</v>
      </c>
      <c r="E2194" s="3" t="n">
        <v>0</v>
      </c>
      <c r="F2194" s="3" t="n">
        <v>0</v>
      </c>
      <c r="G2194" s="3" t="n">
        <v>0</v>
      </c>
      <c r="H2194" s="3" t="n">
        <v>0</v>
      </c>
      <c r="I2194" s="3" t="n">
        <v>0</v>
      </c>
      <c r="J2194" s="3" t="n">
        <v>0</v>
      </c>
      <c r="K2194" s="3" t="n">
        <v>0</v>
      </c>
      <c r="L2194" s="3">
        <f>IF(K2194&lt;-5,"CRÍTICO",IF(K2194&lt;0,"ATENÇÃO",IF(K2194&lt;=5,"BOM","EXCELENTE")))</f>
        <v/>
      </c>
      <c r="M2194" s="3" t="n">
        <v>0</v>
      </c>
      <c r="N2194" s="3" t="n">
        <v>98.45</v>
      </c>
      <c r="O2194" s="12" t="n">
        <v>29.2817679558011</v>
      </c>
    </row>
    <row r="2195">
      <c r="A2195" s="10" t="n">
        <v>46070</v>
      </c>
      <c r="B2195" t="inlineStr">
        <is>
          <t>Francielson de Oliveira</t>
        </is>
      </c>
      <c r="C2195" s="1" t="inlineStr">
        <is>
          <t>Técnico III</t>
        </is>
      </c>
      <c r="D2195" s="3" t="n">
        <v>0</v>
      </c>
      <c r="E2195" s="3" t="n">
        <v>0</v>
      </c>
      <c r="F2195" s="3" t="n">
        <v>0</v>
      </c>
      <c r="G2195" s="3" t="n">
        <v>0</v>
      </c>
      <c r="H2195" s="3" t="n">
        <v>0</v>
      </c>
      <c r="I2195" s="3" t="n">
        <v>0</v>
      </c>
      <c r="J2195" s="3" t="n">
        <v>0</v>
      </c>
      <c r="K2195" s="3" t="n">
        <v>0</v>
      </c>
      <c r="L2195" s="3">
        <f>IF(K2195&lt;-5,"CRÍTICO",IF(K2195&lt;0,"ATENÇÃO",IF(K2195&lt;=5,"BOM","EXCELENTE")))</f>
        <v/>
      </c>
      <c r="M2195" s="3" t="n">
        <v>0</v>
      </c>
      <c r="N2195" s="3" t="n">
        <v>97.84</v>
      </c>
      <c r="O2195" s="12" t="n">
        <v>26.28205128205128</v>
      </c>
    </row>
    <row r="2196">
      <c r="A2196" s="10" t="n">
        <v>46070</v>
      </c>
      <c r="B2196" t="inlineStr">
        <is>
          <t>Francilene Ferreira de Jesus</t>
        </is>
      </c>
      <c r="C2196" s="1" t="inlineStr">
        <is>
          <t>Técnico II</t>
        </is>
      </c>
      <c r="D2196" s="3" t="n">
        <v>0</v>
      </c>
      <c r="E2196" s="3" t="n">
        <v>0</v>
      </c>
      <c r="F2196" s="3" t="n">
        <v>0</v>
      </c>
      <c r="G2196" s="3" t="n">
        <v>0</v>
      </c>
      <c r="H2196" s="3" t="n">
        <v>0</v>
      </c>
      <c r="I2196" s="3" t="n">
        <v>0</v>
      </c>
      <c r="J2196" s="3" t="n">
        <v>0</v>
      </c>
      <c r="K2196" s="3" t="n">
        <v>0</v>
      </c>
      <c r="L2196" s="3">
        <f>IF(K2196&lt;-5,"CRÍTICO",IF(K2196&lt;0,"ATENÇÃO",IF(K2196&lt;=5,"BOM","EXCELENTE")))</f>
        <v/>
      </c>
      <c r="M2196" s="3" t="n">
        <v>0</v>
      </c>
      <c r="N2196" s="3" t="n">
        <v>98.5</v>
      </c>
      <c r="O2196" s="12" t="n">
        <v>23.97769516728625</v>
      </c>
    </row>
    <row r="2197">
      <c r="A2197" s="10" t="n">
        <v>46104</v>
      </c>
      <c r="B2197" t="inlineStr">
        <is>
          <t>Gabriel Gomes de Andrade</t>
        </is>
      </c>
      <c r="C2197" s="1" t="inlineStr">
        <is>
          <t>Técnico I</t>
        </is>
      </c>
      <c r="D2197" s="3" t="n">
        <v>15</v>
      </c>
      <c r="E2197" s="3" t="n">
        <v>15</v>
      </c>
      <c r="F2197" s="3" t="n">
        <v>15.53</v>
      </c>
      <c r="G2197" s="3" t="n">
        <v>0</v>
      </c>
      <c r="H2197" s="3" t="n">
        <v>0</v>
      </c>
      <c r="I2197" s="3">
        <f>E2197+G2197+H2197</f>
        <v/>
      </c>
      <c r="J2197" s="3">
        <f>ROUND(MIN(IF(C2197="Técnico III",35,IF(C2197="Técnico II",28,IF(C2197="Técnico I",23,IF(C2197="JR",20,IF(C2197="Estágio",10,0))))),IF(C2197="Técnico III",SUMIFS($D:$D,$A:$A,$A2197,$B:$B,"&lt;&gt;Patrícia Karla de Sousa Araújo",$B:$B,"&lt;&gt;Lorena Dias de Araujo",$B:$B,"&lt;&gt;Lucas Luiz Romero")*(35/1083),IF(C2197="Técnico II",SUMIFS($D:$D,$A:$A,$A2197,$B:$B,"&lt;&gt;Patrícia Karla de Sousa Araújo",$B:$B,"&lt;&gt;Lorena Dias de Araujo",$B:$B,"&lt;&gt;Lucas Luiz Romero")*(28/1083),IF(C2197="Técnico I",SUMIFS($D:$D,$A:$A,$A2197,$B:$B,"&lt;&gt;Patrícia Karla de Sousa Araújo",$B:$B,"&lt;&gt;Lorena Dias de Araujo",$B:$B,"&lt;&gt;Lucas Luiz Romero")*(23/1083),IF(C2197="JR",SUMIFS($D:$D,$A:$A,$A2197,$B:$B,"&lt;&gt;Patrícia Karla de Sousa Araújo",$B:$B,"&lt;&gt;Lorena Dias de Araujo",$B:$B,"&lt;&gt;Lucas Luiz Romero")*(20/1083),IF(C2197="Estágio",SUMIFS($D:$D,$A:$A,$A2197,$B:$B,"&lt;&gt;Patrícia Karla de Sousa Araújo",$B:$B,"&lt;&gt;Lorena Dias de Araujo",$B:$B,"&lt;&gt;Lucas Luiz Romero")*(10/1083),0)))))),0)</f>
        <v/>
      </c>
      <c r="K2197" s="3">
        <f>I2197-J2197</f>
        <v/>
      </c>
      <c r="L2197" s="3">
        <f>IF(K2197&lt;-5,"CRÍTICO",IF(K2197&lt;0,"ATENÇÃO",IF(K2197&lt;=5,"BOM","EXCELENTE")))</f>
        <v/>
      </c>
      <c r="M2197" s="3" t="n">
        <v>11</v>
      </c>
      <c r="N2197" s="3" t="n">
        <v>99.05</v>
      </c>
      <c r="O2197" s="12" t="n">
        <v>26.62192393736018</v>
      </c>
    </row>
    <row r="2198">
      <c r="A2198" s="10" t="n">
        <v>46070</v>
      </c>
      <c r="B2198" t="inlineStr">
        <is>
          <t>Isabella Borges de Oliveira</t>
        </is>
      </c>
      <c r="C2198" s="1" t="inlineStr">
        <is>
          <t>Técnico II</t>
        </is>
      </c>
      <c r="D2198" s="3" t="n">
        <v>0</v>
      </c>
      <c r="E2198" s="3" t="n">
        <v>0</v>
      </c>
      <c r="F2198" s="3" t="n">
        <v>0</v>
      </c>
      <c r="G2198" s="3" t="n">
        <v>0</v>
      </c>
      <c r="H2198" s="3" t="n">
        <v>0</v>
      </c>
      <c r="I2198" s="3" t="n">
        <v>0</v>
      </c>
      <c r="J2198" s="3" t="n">
        <v>0</v>
      </c>
      <c r="K2198" s="3" t="n">
        <v>0</v>
      </c>
      <c r="L2198" s="3">
        <f>IF(K2198&lt;-5,"CRÍTICO",IF(K2198&lt;0,"ATENÇÃO",IF(K2198&lt;=5,"BOM","EXCELENTE")))</f>
        <v/>
      </c>
      <c r="M2198" s="3" t="n">
        <v>0</v>
      </c>
      <c r="N2198" s="3" t="n">
        <v>98.53</v>
      </c>
      <c r="O2198" s="12" t="n">
        <v>31.57894736842105</v>
      </c>
    </row>
    <row r="2199">
      <c r="A2199" s="10" t="n">
        <v>46070</v>
      </c>
      <c r="B2199" t="inlineStr">
        <is>
          <t>Janaina Lima dos Reis Urany</t>
        </is>
      </c>
      <c r="C2199" s="1" t="inlineStr">
        <is>
          <t>Técnico III</t>
        </is>
      </c>
      <c r="D2199" s="3" t="n">
        <v>0</v>
      </c>
      <c r="E2199" s="3" t="n">
        <v>0</v>
      </c>
      <c r="F2199" s="3" t="n">
        <v>0</v>
      </c>
      <c r="G2199" s="3" t="n">
        <v>0</v>
      </c>
      <c r="H2199" s="3" t="n">
        <v>0</v>
      </c>
      <c r="I2199" s="3" t="n">
        <v>0</v>
      </c>
      <c r="J2199" s="3" t="n">
        <v>0</v>
      </c>
      <c r="K2199" s="3" t="n">
        <v>0</v>
      </c>
      <c r="L2199" s="3">
        <f>IF(K2199&lt;-5,"CRÍTICO",IF(K2199&lt;0,"ATENÇÃO",IF(K2199&lt;=5,"BOM","EXCELENTE")))</f>
        <v/>
      </c>
      <c r="M2199" s="3" t="n">
        <v>0</v>
      </c>
      <c r="N2199" s="3" t="n">
        <v>100</v>
      </c>
      <c r="O2199" s="12" t="n">
        <v>25.72214580467676</v>
      </c>
    </row>
    <row r="2200">
      <c r="A2200" s="10" t="n">
        <v>46070</v>
      </c>
      <c r="B2200" t="inlineStr">
        <is>
          <t>Jaqueline Evangelista da Silva Martins</t>
        </is>
      </c>
      <c r="C2200" s="1" t="inlineStr">
        <is>
          <t>Técnico III</t>
        </is>
      </c>
      <c r="D2200" s="3" t="n">
        <v>0</v>
      </c>
      <c r="E2200" s="3" t="n">
        <v>0</v>
      </c>
      <c r="F2200" s="3" t="n">
        <v>0</v>
      </c>
      <c r="G2200" s="3" t="n">
        <v>0</v>
      </c>
      <c r="H2200" s="3" t="n">
        <v>0</v>
      </c>
      <c r="I2200" s="3" t="n">
        <v>0</v>
      </c>
      <c r="J2200" s="3" t="n">
        <v>0</v>
      </c>
      <c r="K2200" s="3" t="n">
        <v>0</v>
      </c>
      <c r="L2200" s="3">
        <f>IF(K2200&lt;-5,"CRÍTICO",IF(K2200&lt;0,"ATENÇÃO",IF(K2200&lt;=5,"BOM","EXCELENTE")))</f>
        <v/>
      </c>
      <c r="M2200" s="3" t="n">
        <v>0</v>
      </c>
      <c r="N2200" s="3" t="n">
        <v>94.64</v>
      </c>
      <c r="O2200" s="12" t="n">
        <v>27.52941176470588</v>
      </c>
    </row>
    <row r="2201">
      <c r="A2201" s="10" t="n">
        <v>46070</v>
      </c>
      <c r="B2201" t="inlineStr">
        <is>
          <t>Jessica Faria da Silveira</t>
        </is>
      </c>
      <c r="C2201" s="1" t="inlineStr">
        <is>
          <t>Técnico II</t>
        </is>
      </c>
      <c r="D2201" s="3" t="n">
        <v>0</v>
      </c>
      <c r="E2201" s="3" t="n">
        <v>0</v>
      </c>
      <c r="F2201" s="3" t="n">
        <v>0</v>
      </c>
      <c r="G2201" s="3" t="n">
        <v>0</v>
      </c>
      <c r="H2201" s="3" t="n">
        <v>0</v>
      </c>
      <c r="I2201" s="3" t="n">
        <v>0</v>
      </c>
      <c r="J2201" s="3" t="n">
        <v>0</v>
      </c>
      <c r="K2201" s="3" t="n">
        <v>0</v>
      </c>
      <c r="L2201" s="3">
        <f>IF(K2201&lt;-5,"CRÍTICO",IF(K2201&lt;0,"ATENÇÃO",IF(K2201&lt;=5,"BOM","EXCELENTE")))</f>
        <v/>
      </c>
      <c r="M2201" s="3" t="n">
        <v>0</v>
      </c>
      <c r="N2201" s="3" t="n">
        <v>99.06999999999999</v>
      </c>
      <c r="O2201" s="12" t="n">
        <v>26.3768115942029</v>
      </c>
    </row>
    <row r="2202">
      <c r="A2202" s="10" t="n">
        <v>46070</v>
      </c>
      <c r="B2202" t="inlineStr">
        <is>
          <t>Jéssica Fé Moura</t>
        </is>
      </c>
      <c r="C2202" s="1" t="inlineStr">
        <is>
          <t>Técnico III</t>
        </is>
      </c>
      <c r="D2202" s="3" t="n">
        <v>0</v>
      </c>
      <c r="E2202" s="3" t="n">
        <v>0</v>
      </c>
      <c r="F2202" s="3" t="n">
        <v>0</v>
      </c>
      <c r="G2202" s="3" t="n">
        <v>0</v>
      </c>
      <c r="H2202" s="3" t="n">
        <v>0</v>
      </c>
      <c r="I2202" s="3" t="n">
        <v>0</v>
      </c>
      <c r="J2202" s="3" t="n">
        <v>0</v>
      </c>
      <c r="K2202" s="3" t="n">
        <v>0</v>
      </c>
      <c r="L2202" s="3">
        <f>IF(K2202&lt;-5,"CRÍTICO",IF(K2202&lt;0,"ATENÇÃO",IF(K2202&lt;=5,"BOM","EXCELENTE")))</f>
        <v/>
      </c>
      <c r="M2202" s="3" t="n">
        <v>0</v>
      </c>
      <c r="N2202" s="3" t="n">
        <v>100</v>
      </c>
      <c r="O2202" s="12" t="n">
        <v>0</v>
      </c>
    </row>
    <row r="2203">
      <c r="A2203" s="10" t="n">
        <v>46070</v>
      </c>
      <c r="B2203" t="inlineStr">
        <is>
          <t>Karina Gonçalves Martins</t>
        </is>
      </c>
      <c r="C2203" s="1" t="inlineStr">
        <is>
          <t>JR</t>
        </is>
      </c>
      <c r="D2203" s="3" t="n">
        <v>0</v>
      </c>
      <c r="E2203" s="3" t="n">
        <v>0</v>
      </c>
      <c r="F2203" s="3" t="n">
        <v>0</v>
      </c>
      <c r="G2203" s="3" t="n">
        <v>0</v>
      </c>
      <c r="H2203" s="3" t="n">
        <v>0</v>
      </c>
      <c r="I2203" s="3" t="n">
        <v>0</v>
      </c>
      <c r="J2203" s="3" t="n">
        <v>0</v>
      </c>
      <c r="K2203" s="3" t="n">
        <v>0</v>
      </c>
      <c r="L2203" s="3">
        <f>IF(K2203&lt;-5,"CRÍTICO",IF(K2203&lt;0,"ATENÇÃO",IF(K2203&lt;=5,"BOM","EXCELENTE")))</f>
        <v/>
      </c>
      <c r="M2203" s="3" t="n">
        <v>0</v>
      </c>
      <c r="N2203" s="3" t="n">
        <v>98.48</v>
      </c>
      <c r="O2203" s="12" t="n">
        <v>27.85388127853881</v>
      </c>
    </row>
    <row r="2204">
      <c r="A2204" s="10" t="n">
        <v>46070</v>
      </c>
      <c r="B2204" t="inlineStr">
        <is>
          <t>Kerollen Cristielly de Jesus Siqueira</t>
        </is>
      </c>
      <c r="C2204" s="1" t="inlineStr">
        <is>
          <t>Técnico III</t>
        </is>
      </c>
      <c r="D2204" s="3" t="n">
        <v>0</v>
      </c>
      <c r="E2204" s="3" t="n">
        <v>0</v>
      </c>
      <c r="F2204" s="3" t="n">
        <v>0</v>
      </c>
      <c r="G2204" s="3" t="n">
        <v>0</v>
      </c>
      <c r="H2204" s="3" t="n">
        <v>0</v>
      </c>
      <c r="I2204" s="3" t="n">
        <v>0</v>
      </c>
      <c r="J2204" s="3" t="n">
        <v>0</v>
      </c>
      <c r="K2204" s="3" t="n">
        <v>0</v>
      </c>
      <c r="L2204" s="3">
        <f>IF(K2204&lt;-5,"CRÍTICO",IF(K2204&lt;0,"ATENÇÃO",IF(K2204&lt;=5,"BOM","EXCELENTE")))</f>
        <v/>
      </c>
      <c r="M2204" s="3" t="n">
        <v>0</v>
      </c>
      <c r="N2204" s="3" t="n">
        <v>95.15000000000001</v>
      </c>
      <c r="O2204" s="12" t="n">
        <v>34.13173652694611</v>
      </c>
    </row>
    <row r="2205">
      <c r="A2205" s="10" t="n">
        <v>46070</v>
      </c>
      <c r="B2205" t="inlineStr">
        <is>
          <t>Leandro de Souza Silva</t>
        </is>
      </c>
      <c r="C2205" s="1" t="inlineStr">
        <is>
          <t>JR</t>
        </is>
      </c>
      <c r="D2205" s="3" t="n">
        <v>0</v>
      </c>
      <c r="E2205" s="3" t="n">
        <v>0</v>
      </c>
      <c r="F2205" s="3" t="n">
        <v>0</v>
      </c>
      <c r="G2205" s="3" t="n">
        <v>0</v>
      </c>
      <c r="H2205" s="3" t="n">
        <v>0</v>
      </c>
      <c r="I2205" s="3" t="n">
        <v>0</v>
      </c>
      <c r="J2205" s="3" t="n">
        <v>0</v>
      </c>
      <c r="K2205" s="3" t="n">
        <v>0</v>
      </c>
      <c r="L2205" s="3">
        <f>IF(K2205&lt;-5,"CRÍTICO",IF(K2205&lt;0,"ATENÇÃO",IF(K2205&lt;=5,"BOM","EXCELENTE")))</f>
        <v/>
      </c>
      <c r="M2205" s="3" t="n">
        <v>0</v>
      </c>
      <c r="N2205" s="3" t="n">
        <v>0</v>
      </c>
      <c r="O2205" s="12" t="n">
        <v>0</v>
      </c>
    </row>
    <row r="2206">
      <c r="A2206" s="10" t="n">
        <v>46070</v>
      </c>
      <c r="B2206" t="inlineStr">
        <is>
          <t>Leandro Oliveira de Sousa</t>
        </is>
      </c>
      <c r="C2206" s="1" t="inlineStr">
        <is>
          <t>Técnico III</t>
        </is>
      </c>
      <c r="D2206" s="3" t="n">
        <v>0</v>
      </c>
      <c r="E2206" s="3" t="n">
        <v>0</v>
      </c>
      <c r="F2206" s="3" t="n">
        <v>0</v>
      </c>
      <c r="G2206" s="3" t="n">
        <v>0</v>
      </c>
      <c r="H2206" s="3" t="n">
        <v>0</v>
      </c>
      <c r="I2206" s="3" t="n">
        <v>0</v>
      </c>
      <c r="J2206" s="3" t="n">
        <v>0</v>
      </c>
      <c r="K2206" s="3" t="n">
        <v>0</v>
      </c>
      <c r="L2206" s="3">
        <f>IF(K2206&lt;-5,"CRÍTICO",IF(K2206&lt;0,"ATENÇÃO",IF(K2206&lt;=5,"BOM","EXCELENTE")))</f>
        <v/>
      </c>
      <c r="M2206" s="3" t="n">
        <v>0</v>
      </c>
      <c r="N2206" s="3" t="n">
        <v>99.26000000000001</v>
      </c>
      <c r="O2206" s="12" t="n">
        <v>30.84832904884319</v>
      </c>
    </row>
    <row r="2207">
      <c r="A2207" s="10" t="n">
        <v>46070</v>
      </c>
      <c r="B2207" t="inlineStr">
        <is>
          <t>Lizandra Gomes Duarte</t>
        </is>
      </c>
      <c r="C2207" s="1" t="inlineStr">
        <is>
          <t>Técnico II</t>
        </is>
      </c>
      <c r="D2207" s="3" t="n">
        <v>0</v>
      </c>
      <c r="E2207" s="3" t="n">
        <v>0</v>
      </c>
      <c r="F2207" s="3" t="n">
        <v>0</v>
      </c>
      <c r="G2207" s="3" t="n">
        <v>0</v>
      </c>
      <c r="H2207" s="3" t="n">
        <v>0</v>
      </c>
      <c r="I2207" s="3" t="n">
        <v>0</v>
      </c>
      <c r="J2207" s="3" t="n">
        <v>0</v>
      </c>
      <c r="K2207" s="3" t="n">
        <v>0</v>
      </c>
      <c r="L2207" s="3">
        <f>IF(K2207&lt;-5,"CRÍTICO",IF(K2207&lt;0,"ATENÇÃO",IF(K2207&lt;=5,"BOM","EXCELENTE")))</f>
        <v/>
      </c>
      <c r="M2207" s="3" t="n">
        <v>0</v>
      </c>
      <c r="N2207" s="3" t="n">
        <v>97.48</v>
      </c>
      <c r="O2207" s="12" t="n">
        <v>27.76470588235294</v>
      </c>
    </row>
    <row r="2208">
      <c r="A2208" s="10" t="n">
        <v>46070</v>
      </c>
      <c r="B2208" t="inlineStr">
        <is>
          <t>Lorena Dias de Araujo</t>
        </is>
      </c>
      <c r="C2208" s="1" t="inlineStr">
        <is>
          <t>Técnico II</t>
        </is>
      </c>
      <c r="D2208" s="3" t="n">
        <v>0</v>
      </c>
      <c r="E2208" s="3" t="n">
        <v>0</v>
      </c>
      <c r="F2208" s="3" t="n">
        <v>0</v>
      </c>
      <c r="G2208" s="3" t="n">
        <v>0</v>
      </c>
      <c r="H2208" s="3" t="n">
        <v>0</v>
      </c>
      <c r="I2208" s="3" t="n">
        <v>0</v>
      </c>
      <c r="J2208" s="3" t="n">
        <v>0</v>
      </c>
      <c r="K2208" s="3" t="n">
        <v>0</v>
      </c>
      <c r="L2208" s="3">
        <f>IF(K2208&lt;-5,"CRÍTICO",IF(K2208&lt;0,"ATENÇÃO",IF(K2208&lt;=5,"BOM","EXCELENTE")))</f>
        <v/>
      </c>
      <c r="M2208" s="3" t="n">
        <v>0</v>
      </c>
      <c r="N2208" s="3" t="n">
        <v>99.34</v>
      </c>
      <c r="O2208" s="12" t="n">
        <v>30.04291845493562</v>
      </c>
    </row>
    <row r="2209">
      <c r="A2209" s="10" t="n">
        <v>46070</v>
      </c>
      <c r="B2209" t="inlineStr">
        <is>
          <t>Lucas Luiz Romero</t>
        </is>
      </c>
      <c r="C2209" s="1" t="inlineStr">
        <is>
          <t>Técnico III</t>
        </is>
      </c>
      <c r="D2209" s="3" t="n">
        <v>0</v>
      </c>
      <c r="E2209" s="3" t="n">
        <v>0</v>
      </c>
      <c r="F2209" s="3" t="n">
        <v>0</v>
      </c>
      <c r="G2209" s="3" t="n">
        <v>0</v>
      </c>
      <c r="H2209" s="3" t="n">
        <v>0</v>
      </c>
      <c r="I2209" s="3" t="n">
        <v>0</v>
      </c>
      <c r="J2209" s="3" t="n">
        <v>0</v>
      </c>
      <c r="K2209" s="3" t="n">
        <v>0</v>
      </c>
      <c r="L2209" s="3">
        <f>IF(K2209&lt;-5,"CRÍTICO",IF(K2209&lt;0,"ATENÇÃO",IF(K2209&lt;=5,"BOM","EXCELENTE")))</f>
        <v/>
      </c>
      <c r="M2209" s="3" t="n">
        <v>0</v>
      </c>
      <c r="N2209" s="3" t="n">
        <v>96.3</v>
      </c>
      <c r="O2209" s="12" t="n">
        <v>24.29378531073446</v>
      </c>
    </row>
    <row r="2210">
      <c r="A2210" s="10" t="n">
        <v>46070</v>
      </c>
      <c r="B2210" t="inlineStr">
        <is>
          <t>Luiz Fernando de Carvalho Junior</t>
        </is>
      </c>
      <c r="C2210" s="1" t="inlineStr">
        <is>
          <t>Técnico I</t>
        </is>
      </c>
      <c r="D2210" s="3" t="n">
        <v>0</v>
      </c>
      <c r="E2210" s="3" t="n">
        <v>0</v>
      </c>
      <c r="F2210" s="3" t="n">
        <v>0</v>
      </c>
      <c r="G2210" s="3" t="n">
        <v>0</v>
      </c>
      <c r="H2210" s="3" t="n">
        <v>0</v>
      </c>
      <c r="I2210" s="3" t="n">
        <v>0</v>
      </c>
      <c r="J2210" s="3" t="n">
        <v>0</v>
      </c>
      <c r="K2210" s="3" t="n">
        <v>0</v>
      </c>
      <c r="L2210" s="3">
        <f>IF(K2210&lt;-5,"CRÍTICO",IF(K2210&lt;0,"ATENÇÃO",IF(K2210&lt;=5,"BOM","EXCELENTE")))</f>
        <v/>
      </c>
      <c r="M2210" s="3" t="n">
        <v>0</v>
      </c>
      <c r="N2210" s="3" t="n">
        <v>100</v>
      </c>
      <c r="O2210" s="12" t="n">
        <v>26.54320987654321</v>
      </c>
    </row>
    <row r="2211">
      <c r="A2211" s="10" t="n">
        <v>46070</v>
      </c>
      <c r="B2211" t="inlineStr">
        <is>
          <t>Maria Eduarda Sousa Costa</t>
        </is>
      </c>
      <c r="C2211" s="1" t="inlineStr">
        <is>
          <t>Estágio</t>
        </is>
      </c>
      <c r="D2211" s="3" t="n">
        <v>0</v>
      </c>
      <c r="E2211" s="3" t="n">
        <v>0</v>
      </c>
      <c r="F2211" s="3" t="n">
        <v>0</v>
      </c>
      <c r="G2211" s="3" t="n">
        <v>0</v>
      </c>
      <c r="H2211" s="3" t="n">
        <v>0</v>
      </c>
      <c r="I2211" s="3" t="n">
        <v>0</v>
      </c>
      <c r="J2211" s="3" t="n">
        <v>0</v>
      </c>
      <c r="K2211" s="3" t="n">
        <v>0</v>
      </c>
      <c r="L2211" s="3">
        <f>IF(K2211&lt;-5,"CRÍTICO",IF(K2211&lt;0,"ATENÇÃO",IF(K2211&lt;=5,"BOM","EXCELENTE")))</f>
        <v/>
      </c>
      <c r="M2211" s="3" t="n">
        <v>0</v>
      </c>
      <c r="N2211" s="3" t="n">
        <v>100</v>
      </c>
      <c r="O2211" s="12" t="n">
        <v>35.48387096774194</v>
      </c>
    </row>
    <row r="2212">
      <c r="A2212" s="10" t="n">
        <v>46070</v>
      </c>
      <c r="B2212" t="inlineStr">
        <is>
          <t>Matheus Farias De Souza</t>
        </is>
      </c>
      <c r="C2212" s="1" t="inlineStr">
        <is>
          <t>Técnico III</t>
        </is>
      </c>
      <c r="D2212" s="3" t="n">
        <v>0</v>
      </c>
      <c r="E2212" s="3" t="n">
        <v>0</v>
      </c>
      <c r="F2212" s="3" t="n">
        <v>0</v>
      </c>
      <c r="G2212" s="3" t="n">
        <v>0</v>
      </c>
      <c r="H2212" s="3" t="n">
        <v>0</v>
      </c>
      <c r="I2212" s="3" t="n">
        <v>0</v>
      </c>
      <c r="J2212" s="3" t="n">
        <v>0</v>
      </c>
      <c r="K2212" s="3" t="n">
        <v>0</v>
      </c>
      <c r="L2212" s="3">
        <f>IF(K2212&lt;-5,"CRÍTICO",IF(K2212&lt;0,"ATENÇÃO",IF(K2212&lt;=5,"BOM","EXCELENTE")))</f>
        <v/>
      </c>
      <c r="M2212" s="3" t="n">
        <v>0</v>
      </c>
      <c r="N2212" s="3" t="n">
        <v>99.27</v>
      </c>
      <c r="O2212" s="12" t="n">
        <v>31.16370808678501</v>
      </c>
    </row>
    <row r="2213">
      <c r="A2213" s="10" t="n">
        <v>46070</v>
      </c>
      <c r="B2213" t="inlineStr">
        <is>
          <t>Maysa Victoria Dias Moura</t>
        </is>
      </c>
      <c r="C2213" s="1" t="inlineStr">
        <is>
          <t>Técnico III</t>
        </is>
      </c>
      <c r="D2213" s="3" t="n">
        <v>0</v>
      </c>
      <c r="E2213" s="3" t="n">
        <v>0</v>
      </c>
      <c r="F2213" s="3" t="n">
        <v>0</v>
      </c>
      <c r="G2213" s="3" t="n">
        <v>0</v>
      </c>
      <c r="H2213" s="3" t="n">
        <v>0</v>
      </c>
      <c r="I2213" s="3" t="n">
        <v>0</v>
      </c>
      <c r="J2213" s="3" t="n">
        <v>0</v>
      </c>
      <c r="K2213" s="3" t="n">
        <v>0</v>
      </c>
      <c r="L2213" s="3">
        <f>IF(K2213&lt;-5,"CRÍTICO",IF(K2213&lt;0,"ATENÇÃO",IF(K2213&lt;=5,"BOM","EXCELENTE")))</f>
        <v/>
      </c>
      <c r="M2213" s="3" t="n">
        <v>0</v>
      </c>
      <c r="N2213" s="3" t="n">
        <v>94.16</v>
      </c>
      <c r="O2213" s="12" t="n">
        <v>27.03862660944206</v>
      </c>
    </row>
    <row r="2214">
      <c r="A2214" s="10" t="n">
        <v>46070</v>
      </c>
      <c r="B2214" t="inlineStr">
        <is>
          <t>Michelle G Santos</t>
        </is>
      </c>
      <c r="C2214" s="1" t="inlineStr">
        <is>
          <t>Estágio</t>
        </is>
      </c>
      <c r="D2214" s="3" t="n">
        <v>0</v>
      </c>
      <c r="E2214" s="3" t="n">
        <v>0</v>
      </c>
      <c r="F2214" s="3" t="n">
        <v>0</v>
      </c>
      <c r="G2214" s="3" t="n">
        <v>0</v>
      </c>
      <c r="H2214" s="3" t="n">
        <v>0</v>
      </c>
      <c r="I2214" s="3" t="n">
        <v>0</v>
      </c>
      <c r="J2214" s="3" t="n">
        <v>0</v>
      </c>
      <c r="K2214" s="3" t="n">
        <v>0</v>
      </c>
      <c r="L2214" s="3">
        <f>IF(K2214&lt;-5,"CRÍTICO",IF(K2214&lt;0,"ATENÇÃO",IF(K2214&lt;=5,"BOM","EXCELENTE")))</f>
        <v/>
      </c>
      <c r="M2214" s="3" t="n">
        <v>0</v>
      </c>
      <c r="N2214" s="3" t="n">
        <v>93.75</v>
      </c>
      <c r="O2214" s="12" t="n">
        <v>19.31818181818182</v>
      </c>
    </row>
    <row r="2215">
      <c r="A2215" s="10" t="n">
        <v>46070</v>
      </c>
      <c r="B2215" t="inlineStr">
        <is>
          <t>Milena Sales</t>
        </is>
      </c>
      <c r="C2215" s="1" t="inlineStr">
        <is>
          <t>JR</t>
        </is>
      </c>
      <c r="D2215" s="3" t="n">
        <v>0</v>
      </c>
      <c r="E2215" s="3" t="n">
        <v>0</v>
      </c>
      <c r="F2215" s="3" t="n">
        <v>0</v>
      </c>
      <c r="G2215" s="3" t="n">
        <v>0</v>
      </c>
      <c r="H2215" s="3" t="n">
        <v>0</v>
      </c>
      <c r="I2215" s="3" t="n">
        <v>0</v>
      </c>
      <c r="J2215" s="3" t="n">
        <v>0</v>
      </c>
      <c r="K2215" s="3" t="n">
        <v>0</v>
      </c>
      <c r="L2215" s="3">
        <f>IF(K2215&lt;-5,"CRÍTICO",IF(K2215&lt;0,"ATENÇÃO",IF(K2215&lt;=5,"BOM","EXCELENTE")))</f>
        <v/>
      </c>
      <c r="M2215" s="3" t="n">
        <v>0</v>
      </c>
      <c r="N2215" s="3" t="n">
        <v>0</v>
      </c>
      <c r="O2215" s="12" t="n">
        <v>0</v>
      </c>
    </row>
    <row r="2216">
      <c r="A2216" s="10" t="n">
        <v>46070</v>
      </c>
      <c r="B2216" t="inlineStr">
        <is>
          <t>Patrícia Karla de Sousa Araújo</t>
        </is>
      </c>
      <c r="C2216" s="1" t="inlineStr">
        <is>
          <t>Técnico II</t>
        </is>
      </c>
      <c r="D2216" s="3" t="n">
        <v>0</v>
      </c>
      <c r="E2216" s="3" t="n">
        <v>0</v>
      </c>
      <c r="F2216" s="3" t="n">
        <v>0</v>
      </c>
      <c r="G2216" s="3" t="n">
        <v>0</v>
      </c>
      <c r="H2216" s="3" t="n">
        <v>0</v>
      </c>
      <c r="I2216" s="3" t="n">
        <v>0</v>
      </c>
      <c r="J2216" s="3" t="n">
        <v>0</v>
      </c>
      <c r="K2216" s="3" t="n">
        <v>0</v>
      </c>
      <c r="L2216" s="3">
        <f>IF(K2216&lt;-5,"CRÍTICO",IF(K2216&lt;0,"ATENÇÃO",IF(K2216&lt;=5,"BOM","EXCELENTE")))</f>
        <v/>
      </c>
      <c r="M2216" s="3" t="n">
        <v>0</v>
      </c>
      <c r="N2216" s="3" t="n">
        <v>97.92</v>
      </c>
      <c r="O2216" s="12" t="n">
        <v>32.87671232876712</v>
      </c>
    </row>
    <row r="2217">
      <c r="A2217" s="10" t="n">
        <v>46070</v>
      </c>
      <c r="B2217" t="inlineStr">
        <is>
          <t>Paulo Ricardo Santos</t>
        </is>
      </c>
      <c r="C2217" s="1" t="inlineStr">
        <is>
          <t>JR</t>
        </is>
      </c>
      <c r="D2217" s="3" t="n">
        <v>0</v>
      </c>
      <c r="E2217" s="3" t="n">
        <v>0</v>
      </c>
      <c r="F2217" s="3" t="n">
        <v>0</v>
      </c>
      <c r="G2217" s="3" t="n">
        <v>0</v>
      </c>
      <c r="H2217" s="3" t="n">
        <v>0</v>
      </c>
      <c r="I2217" s="3" t="n">
        <v>0</v>
      </c>
      <c r="J2217" s="3" t="n">
        <v>0</v>
      </c>
      <c r="K2217" s="3" t="n">
        <v>0</v>
      </c>
      <c r="L2217" s="3">
        <f>IF(K2217&lt;-5,"CRÍTICO",IF(K2217&lt;0,"ATENÇÃO",IF(K2217&lt;=5,"BOM","EXCELENTE")))</f>
        <v/>
      </c>
      <c r="M2217" s="3" t="n">
        <v>0</v>
      </c>
      <c r="N2217" s="3" t="n">
        <v>0</v>
      </c>
      <c r="O2217" s="12" t="n">
        <v>0</v>
      </c>
    </row>
    <row r="2218">
      <c r="A2218" s="10" t="n">
        <v>46070</v>
      </c>
      <c r="B2218" t="inlineStr">
        <is>
          <t>Pedro Luiz Mota Sousa</t>
        </is>
      </c>
      <c r="C2218" s="1" t="inlineStr">
        <is>
          <t>JR</t>
        </is>
      </c>
      <c r="D2218" s="3" t="n">
        <v>0</v>
      </c>
      <c r="E2218" s="3" t="n">
        <v>0</v>
      </c>
      <c r="F2218" s="3" t="n">
        <v>0</v>
      </c>
      <c r="G2218" s="3" t="n">
        <v>0</v>
      </c>
      <c r="H2218" s="3" t="n">
        <v>0</v>
      </c>
      <c r="I2218" s="3" t="n">
        <v>0</v>
      </c>
      <c r="J2218" s="3" t="n">
        <v>0</v>
      </c>
      <c r="K2218" s="3" t="n">
        <v>0</v>
      </c>
      <c r="L2218" s="3">
        <f>IF(K2218&lt;-5,"CRÍTICO",IF(K2218&lt;0,"ATENÇÃO",IF(K2218&lt;=5,"BOM","EXCELENTE")))</f>
        <v/>
      </c>
      <c r="M2218" s="3" t="n">
        <v>0</v>
      </c>
      <c r="N2218" s="3" t="n">
        <v>0</v>
      </c>
      <c r="O2218" s="12" t="n">
        <v>0</v>
      </c>
    </row>
    <row r="2219">
      <c r="A2219" s="10" t="n">
        <v>46070</v>
      </c>
      <c r="B2219" t="inlineStr">
        <is>
          <t>Quirino Diogo Leite Torres</t>
        </is>
      </c>
      <c r="C2219" s="1" t="inlineStr">
        <is>
          <t>Estágio</t>
        </is>
      </c>
      <c r="D2219" s="3" t="n">
        <v>0</v>
      </c>
      <c r="E2219" s="3" t="n">
        <v>0</v>
      </c>
      <c r="F2219" s="3" t="n">
        <v>0</v>
      </c>
      <c r="G2219" s="3" t="n">
        <v>0</v>
      </c>
      <c r="H2219" s="3" t="n">
        <v>0</v>
      </c>
      <c r="I2219" s="3" t="n">
        <v>0</v>
      </c>
      <c r="J2219" s="3" t="n">
        <v>0</v>
      </c>
      <c r="K2219" s="3" t="n">
        <v>0</v>
      </c>
      <c r="L2219" s="3">
        <f>IF(K2219&lt;-5,"CRÍTICO",IF(K2219&lt;0,"ATENÇÃO",IF(K2219&lt;=5,"BOM","EXCELENTE")))</f>
        <v/>
      </c>
      <c r="M2219" s="3" t="n">
        <v>0</v>
      </c>
      <c r="N2219" s="3" t="n">
        <v>0</v>
      </c>
      <c r="O2219" s="12" t="n">
        <v>0</v>
      </c>
    </row>
    <row r="2220">
      <c r="A2220" s="10" t="n">
        <v>46070</v>
      </c>
      <c r="B2220" t="inlineStr">
        <is>
          <t>Raane Batista Matos</t>
        </is>
      </c>
      <c r="C2220" s="1" t="inlineStr">
        <is>
          <t>Técnico I</t>
        </is>
      </c>
      <c r="D2220" s="3" t="n">
        <v>0</v>
      </c>
      <c r="E2220" s="3" t="n">
        <v>0</v>
      </c>
      <c r="F2220" s="3" t="n">
        <v>0</v>
      </c>
      <c r="G2220" s="3" t="n">
        <v>0</v>
      </c>
      <c r="H2220" s="3" t="n">
        <v>0</v>
      </c>
      <c r="I2220" s="3" t="n">
        <v>0</v>
      </c>
      <c r="J2220" s="3" t="n">
        <v>0</v>
      </c>
      <c r="K2220" s="3" t="n">
        <v>0</v>
      </c>
      <c r="L2220" s="3">
        <f>IF(K2220&lt;-5,"CRÍTICO",IF(K2220&lt;0,"ATENÇÃO",IF(K2220&lt;=5,"BOM","EXCELENTE")))</f>
        <v/>
      </c>
      <c r="M2220" s="3" t="n">
        <v>0</v>
      </c>
      <c r="N2220" s="3" t="n">
        <v>98.51000000000001</v>
      </c>
      <c r="O2220" s="12" t="n">
        <v>29.71014492753623</v>
      </c>
    </row>
    <row r="2221">
      <c r="A2221" s="10" t="n">
        <v>46070</v>
      </c>
      <c r="B2221" t="inlineStr">
        <is>
          <t>Rafael Gomes de Morais</t>
        </is>
      </c>
      <c r="C2221" s="1" t="inlineStr">
        <is>
          <t>Técnico III</t>
        </is>
      </c>
      <c r="D2221" s="3" t="n">
        <v>0</v>
      </c>
      <c r="E2221" s="3" t="n">
        <v>0</v>
      </c>
      <c r="F2221" s="3" t="n">
        <v>0</v>
      </c>
      <c r="G2221" s="3" t="n">
        <v>0</v>
      </c>
      <c r="H2221" s="3" t="n">
        <v>0</v>
      </c>
      <c r="I2221" s="3" t="n">
        <v>0</v>
      </c>
      <c r="J2221" s="3" t="n">
        <v>0</v>
      </c>
      <c r="K2221" s="3" t="n">
        <v>0</v>
      </c>
      <c r="L2221" s="3">
        <f>IF(K2221&lt;-5,"CRÍTICO",IF(K2221&lt;0,"ATENÇÃO",IF(K2221&lt;=5,"BOM","EXCELENTE")))</f>
        <v/>
      </c>
      <c r="M2221" s="3" t="n">
        <v>0</v>
      </c>
      <c r="N2221" s="3" t="n">
        <v>98.81</v>
      </c>
      <c r="O2221" s="12" t="n">
        <v>30.71297989031079</v>
      </c>
    </row>
    <row r="2222">
      <c r="A2222" s="10" t="n">
        <v>46070</v>
      </c>
      <c r="B2222" t="inlineStr">
        <is>
          <t>Sara Maria Monteiro Lopes</t>
        </is>
      </c>
      <c r="C2222" s="1" t="inlineStr">
        <is>
          <t>Técnico I</t>
        </is>
      </c>
      <c r="D2222" s="3" t="n">
        <v>0</v>
      </c>
      <c r="E2222" s="3" t="n">
        <v>0</v>
      </c>
      <c r="F2222" s="3" t="n">
        <v>0</v>
      </c>
      <c r="G2222" s="3" t="n">
        <v>0</v>
      </c>
      <c r="H2222" s="3" t="n">
        <v>0</v>
      </c>
      <c r="I2222" s="3" t="n">
        <v>0</v>
      </c>
      <c r="J2222" s="3" t="n">
        <v>0</v>
      </c>
      <c r="K2222" s="3" t="n">
        <v>0</v>
      </c>
      <c r="L2222" s="3">
        <f>IF(K2222&lt;-5,"CRÍTICO",IF(K2222&lt;0,"ATENÇÃO",IF(K2222&lt;=5,"BOM","EXCELENTE")))</f>
        <v/>
      </c>
      <c r="M2222" s="3" t="n">
        <v>0</v>
      </c>
      <c r="N2222" s="3" t="n">
        <v>98.48</v>
      </c>
      <c r="O2222" s="12" t="n">
        <v>29.35323383084577</v>
      </c>
    </row>
    <row r="2223">
      <c r="A2223" s="10" t="n">
        <v>46070</v>
      </c>
      <c r="B2223" t="inlineStr">
        <is>
          <t>Sarah Steffanie de Lima Borges</t>
        </is>
      </c>
      <c r="C2223" s="1" t="inlineStr">
        <is>
          <t>Técnico III</t>
        </is>
      </c>
      <c r="D2223" s="3" t="n">
        <v>0</v>
      </c>
      <c r="E2223" s="3" t="n">
        <v>0</v>
      </c>
      <c r="F2223" s="3" t="n">
        <v>0</v>
      </c>
      <c r="G2223" s="3" t="n">
        <v>0</v>
      </c>
      <c r="H2223" s="3" t="n">
        <v>0</v>
      </c>
      <c r="I2223" s="3" t="n">
        <v>0</v>
      </c>
      <c r="J2223" s="3" t="n">
        <v>0</v>
      </c>
      <c r="K2223" s="3" t="n">
        <v>0</v>
      </c>
      <c r="L2223" s="3">
        <f>IF(K2223&lt;-5,"CRÍTICO",IF(K2223&lt;0,"ATENÇÃO",IF(K2223&lt;=5,"BOM","EXCELENTE")))</f>
        <v/>
      </c>
      <c r="M2223" s="3" t="n">
        <v>0</v>
      </c>
      <c r="N2223" s="3" t="n">
        <v>98.56</v>
      </c>
      <c r="O2223" s="12" t="n">
        <v>29.37365010799136</v>
      </c>
    </row>
    <row r="2224">
      <c r="A2224" s="10" t="n">
        <v>46071</v>
      </c>
      <c r="B2224" t="inlineStr">
        <is>
          <t>Alisson de Freitas Silva</t>
        </is>
      </c>
      <c r="C2224" s="1" t="inlineStr">
        <is>
          <t>Técnico II</t>
        </is>
      </c>
      <c r="D2224" s="3" t="n">
        <v>35</v>
      </c>
      <c r="E2224" s="3" t="n">
        <v>32</v>
      </c>
      <c r="F2224" s="3" t="n">
        <v>27.15</v>
      </c>
      <c r="G2224" s="3" t="n">
        <v>0</v>
      </c>
      <c r="H2224" s="3" t="n">
        <v>0</v>
      </c>
      <c r="I2224" s="3">
        <f>E2224+G2224+H2224</f>
        <v/>
      </c>
      <c r="J2224" s="3">
        <f>ROUND(MIN(IF(C2224="Técnico III",35,IF(C2224="Técnico II",28,IF(C2224="Técnico I",23,IF(C2224="JR",20,IF(C2224="Estágio",10,0))))),IF(C2224="Técnico III",SUMIFS($D:$D,$A:$A,$A2224,$B:$B,"&lt;&gt;Patrícia Karla de Sousa Araújo",$B:$B,"&lt;&gt;Lorena Dias de Araujo",$B:$B,"&lt;&gt;Lucas Luiz Romero")*(35/1083),IF(C2224="Técnico II",SUMIFS($D:$D,$A:$A,$A2224,$B:$B,"&lt;&gt;Patrícia Karla de Sousa Araújo",$B:$B,"&lt;&gt;Lorena Dias de Araujo",$B:$B,"&lt;&gt;Lucas Luiz Romero")*(28/1083),IF(C2224="Técnico I",SUMIFS($D:$D,$A:$A,$A2224,$B:$B,"&lt;&gt;Patrícia Karla de Sousa Araújo",$B:$B,"&lt;&gt;Lorena Dias de Araujo",$B:$B,"&lt;&gt;Lucas Luiz Romero")*(23/1083),IF(C2224="JR",SUMIFS($D:$D,$A:$A,$A2224,$B:$B,"&lt;&gt;Patrícia Karla de Sousa Araújo",$B:$B,"&lt;&gt;Lorena Dias de Araujo",$B:$B,"&lt;&gt;Lucas Luiz Romero")*(20/1083),IF(C2224="Estágio",SUMIFS($D:$D,$A:$A,$A2224,$B:$B,"&lt;&gt;Patrícia Karla de Sousa Araújo",$B:$B,"&lt;&gt;Lorena Dias de Araujo",$B:$B,"&lt;&gt;Lucas Luiz Romero")*(10/1083),0)))))),0)</f>
        <v/>
      </c>
      <c r="K2224" s="3">
        <f>I2224-J2224</f>
        <v/>
      </c>
      <c r="L2224" s="3">
        <f>IF(K2224&lt;-5,"CRÍTICO",IF(K2224&lt;0,"ATENÇÃO",IF(K2224&lt;=5,"BOM","EXCELENTE")))</f>
        <v/>
      </c>
      <c r="M2224" s="3" t="n">
        <v>22</v>
      </c>
      <c r="N2224" s="3" t="n">
        <v>98.31999999999999</v>
      </c>
      <c r="O2224" s="12" t="n">
        <v>30.3030303030303</v>
      </c>
    </row>
    <row r="2225">
      <c r="A2225" s="10" t="n">
        <v>46071</v>
      </c>
      <c r="B2225" t="inlineStr">
        <is>
          <t>Amanda Moura Ferreira</t>
        </is>
      </c>
      <c r="C2225" s="1" t="inlineStr">
        <is>
          <t>Técnico III</t>
        </is>
      </c>
      <c r="D2225" s="3" t="n">
        <v>0</v>
      </c>
      <c r="E2225" s="3" t="n">
        <v>0</v>
      </c>
      <c r="F2225" s="3" t="n">
        <v>0</v>
      </c>
      <c r="G2225" s="3" t="n">
        <v>0</v>
      </c>
      <c r="H2225" s="3" t="n">
        <v>0</v>
      </c>
      <c r="I2225" s="3" t="n">
        <v>0</v>
      </c>
      <c r="J2225" s="3" t="n">
        <v>0</v>
      </c>
      <c r="K2225" s="3" t="n">
        <v>0</v>
      </c>
      <c r="L2225" s="3">
        <f>IF(K2225&lt;-5,"CRÍTICO",IF(K2225&lt;0,"ATENÇÃO",IF(K2225&lt;=5,"BOM","EXCELENTE")))</f>
        <v/>
      </c>
      <c r="M2225" s="3" t="n">
        <v>19</v>
      </c>
      <c r="N2225" s="3" t="n">
        <v>98.68000000000001</v>
      </c>
      <c r="O2225" s="12" t="n">
        <v>26.21951219512195</v>
      </c>
    </row>
    <row r="2226">
      <c r="A2226" s="10" t="n">
        <v>46071</v>
      </c>
      <c r="B2226" t="inlineStr">
        <is>
          <t>Ana Karollyne Souza Faria</t>
        </is>
      </c>
      <c r="C2226" s="1" t="inlineStr">
        <is>
          <t>Técnico I</t>
        </is>
      </c>
      <c r="D2226" s="3" t="n">
        <v>21</v>
      </c>
      <c r="E2226" s="3" t="n">
        <v>21</v>
      </c>
      <c r="F2226" s="3" t="n">
        <v>28.39</v>
      </c>
      <c r="G2226" s="3" t="n">
        <v>0</v>
      </c>
      <c r="H2226" s="3" t="n">
        <v>0</v>
      </c>
      <c r="I2226" s="3">
        <f>E2226+G2226+H2226</f>
        <v/>
      </c>
      <c r="J2226" s="3">
        <f>ROUND(MIN(IF(C2226="Técnico III",35,IF(C2226="Técnico II",28,IF(C2226="Técnico I",23,IF(C2226="JR",20,IF(C2226="Estágio",10,0))))),IF(C2226="Técnico III",SUMIFS($D:$D,$A:$A,$A2226,$B:$B,"&lt;&gt;Patrícia Karla de Sousa Araújo",$B:$B,"&lt;&gt;Lorena Dias de Araujo",$B:$B,"&lt;&gt;Lucas Luiz Romero")*(35/1083),IF(C2226="Técnico II",SUMIFS($D:$D,$A:$A,$A2226,$B:$B,"&lt;&gt;Patrícia Karla de Sousa Araújo",$B:$B,"&lt;&gt;Lorena Dias de Araujo",$B:$B,"&lt;&gt;Lucas Luiz Romero")*(28/1083),IF(C2226="Técnico I",SUMIFS($D:$D,$A:$A,$A2226,$B:$B,"&lt;&gt;Patrícia Karla de Sousa Araújo",$B:$B,"&lt;&gt;Lorena Dias de Araujo",$B:$B,"&lt;&gt;Lucas Luiz Romero")*(23/1083),IF(C2226="JR",SUMIFS($D:$D,$A:$A,$A2226,$B:$B,"&lt;&gt;Patrícia Karla de Sousa Araújo",$B:$B,"&lt;&gt;Lorena Dias de Araujo",$B:$B,"&lt;&gt;Lucas Luiz Romero")*(20/1083),IF(C2226="Estágio",SUMIFS($D:$D,$A:$A,$A2226,$B:$B,"&lt;&gt;Patrícia Karla de Sousa Araújo",$B:$B,"&lt;&gt;Lorena Dias de Araujo",$B:$B,"&lt;&gt;Lucas Luiz Romero")*(10/1083),0)))))),0)</f>
        <v/>
      </c>
      <c r="K2226" s="3">
        <f>I2226-J2226</f>
        <v/>
      </c>
      <c r="L2226" s="3">
        <f>IF(K2226&lt;-5,"CRÍTICO",IF(K2226&lt;0,"ATENÇÃO",IF(K2226&lt;=5,"BOM","EXCELENTE")))</f>
        <v/>
      </c>
      <c r="M2226" s="3" t="n">
        <v>21</v>
      </c>
      <c r="N2226" s="3" t="n">
        <v>100</v>
      </c>
      <c r="O2226" s="12" t="n">
        <v>31.74224343675418</v>
      </c>
    </row>
    <row r="2227">
      <c r="A2227" s="10" t="n">
        <v>46071</v>
      </c>
      <c r="B2227" t="inlineStr">
        <is>
          <t>Ana Paula Da Luz Silva Aleixo</t>
        </is>
      </c>
      <c r="C2227" s="1" t="inlineStr">
        <is>
          <t>Técnico III</t>
        </is>
      </c>
      <c r="D2227" s="3" t="n">
        <v>29</v>
      </c>
      <c r="E2227" s="3" t="n">
        <v>28</v>
      </c>
      <c r="F2227" s="3" t="n">
        <v>22.02</v>
      </c>
      <c r="G2227" s="3" t="n">
        <v>0</v>
      </c>
      <c r="H2227" s="3" t="n">
        <v>0</v>
      </c>
      <c r="I2227" s="3">
        <f>E2227+G2227+H2227</f>
        <v/>
      </c>
      <c r="J2227" s="3">
        <f>ROUND(MIN(IF(C2227="Técnico III",35,IF(C2227="Técnico II",28,IF(C2227="Técnico I",23,IF(C2227="JR",20,IF(C2227="Estágio",10,0))))),IF(C2227="Técnico III",SUMIFS($D:$D,$A:$A,$A2227,$B:$B,"&lt;&gt;Patrícia Karla de Sousa Araújo",$B:$B,"&lt;&gt;Lorena Dias de Araujo",$B:$B,"&lt;&gt;Lucas Luiz Romero")*(35/1083),IF(C2227="Técnico II",SUMIFS($D:$D,$A:$A,$A2227,$B:$B,"&lt;&gt;Patrícia Karla de Sousa Araújo",$B:$B,"&lt;&gt;Lorena Dias de Araujo",$B:$B,"&lt;&gt;Lucas Luiz Romero")*(28/1083),IF(C2227="Técnico I",SUMIFS($D:$D,$A:$A,$A2227,$B:$B,"&lt;&gt;Patrícia Karla de Sousa Araújo",$B:$B,"&lt;&gt;Lorena Dias de Araujo",$B:$B,"&lt;&gt;Lucas Luiz Romero")*(23/1083),IF(C2227="JR",SUMIFS($D:$D,$A:$A,$A2227,$B:$B,"&lt;&gt;Patrícia Karla de Sousa Araújo",$B:$B,"&lt;&gt;Lorena Dias de Araujo",$B:$B,"&lt;&gt;Lucas Luiz Romero")*(20/1083),IF(C2227="Estágio",SUMIFS($D:$D,$A:$A,$A2227,$B:$B,"&lt;&gt;Patrícia Karla de Sousa Araújo",$B:$B,"&lt;&gt;Lorena Dias de Araujo",$B:$B,"&lt;&gt;Lucas Luiz Romero")*(10/1083),0)))))),0)</f>
        <v/>
      </c>
      <c r="K2227" s="3">
        <f>I2227-J2227</f>
        <v/>
      </c>
      <c r="L2227" s="3">
        <f>IF(K2227&lt;-5,"CRÍTICO",IF(K2227&lt;0,"ATENÇÃO",IF(K2227&lt;=5,"BOM","EXCELENTE")))</f>
        <v/>
      </c>
      <c r="M2227" s="3" t="n">
        <v>26</v>
      </c>
      <c r="N2227" s="3" t="n">
        <v>98.25</v>
      </c>
      <c r="O2227" s="12" t="n">
        <v>25.83518930957684</v>
      </c>
    </row>
    <row r="2228">
      <c r="A2228" s="10" t="n">
        <v>46071</v>
      </c>
      <c r="B2228" t="inlineStr">
        <is>
          <t>Anna Luiza Rezende Tavares</t>
        </is>
      </c>
      <c r="C2228" s="1" t="inlineStr">
        <is>
          <t>Estágio</t>
        </is>
      </c>
      <c r="D2228" s="3" t="n">
        <v>6</v>
      </c>
      <c r="E2228" s="3" t="n">
        <v>6</v>
      </c>
      <c r="F2228" s="3" t="n">
        <v>55.14</v>
      </c>
      <c r="G2228" s="3" t="n">
        <v>0</v>
      </c>
      <c r="H2228" s="3" t="n">
        <v>0</v>
      </c>
      <c r="I2228" s="3">
        <f>E2228+G2228+H2228</f>
        <v/>
      </c>
      <c r="J2228" s="3">
        <f>ROUND(MIN(IF(C2228="Técnico III",35,IF(C2228="Técnico II",28,IF(C2228="Técnico I",23,IF(C2228="JR",20,IF(C2228="Estágio",10,0))))),IF(C2228="Técnico III",SUMIFS($D:$D,$A:$A,$A2228,$B:$B,"&lt;&gt;Patrícia Karla de Sousa Araújo",$B:$B,"&lt;&gt;Lorena Dias de Araujo",$B:$B,"&lt;&gt;Lucas Luiz Romero")*(35/1083),IF(C2228="Técnico II",SUMIFS($D:$D,$A:$A,$A2228,$B:$B,"&lt;&gt;Patrícia Karla de Sousa Araújo",$B:$B,"&lt;&gt;Lorena Dias de Araujo",$B:$B,"&lt;&gt;Lucas Luiz Romero")*(28/1083),IF(C2228="Técnico I",SUMIFS($D:$D,$A:$A,$A2228,$B:$B,"&lt;&gt;Patrícia Karla de Sousa Araújo",$B:$B,"&lt;&gt;Lorena Dias de Araujo",$B:$B,"&lt;&gt;Lucas Luiz Romero")*(23/1083),IF(C2228="JR",SUMIFS($D:$D,$A:$A,$A2228,$B:$B,"&lt;&gt;Patrícia Karla de Sousa Araújo",$B:$B,"&lt;&gt;Lorena Dias de Araujo",$B:$B,"&lt;&gt;Lucas Luiz Romero")*(20/1083),IF(C2228="Estágio",SUMIFS($D:$D,$A:$A,$A2228,$B:$B,"&lt;&gt;Patrícia Karla de Sousa Araújo",$B:$B,"&lt;&gt;Lorena Dias de Araujo",$B:$B,"&lt;&gt;Lucas Luiz Romero")*(10/1083),0)))))),0)</f>
        <v/>
      </c>
      <c r="K2228" s="3">
        <f>I2228-J2228</f>
        <v/>
      </c>
      <c r="L2228" s="3">
        <f>IF(K2228&lt;-5,"CRÍTICO",IF(K2228&lt;0,"ATENÇÃO",IF(K2228&lt;=5,"BOM","EXCELENTE")))</f>
        <v/>
      </c>
      <c r="M2228" s="3" t="n">
        <v>6</v>
      </c>
      <c r="N2228" s="3" t="n">
        <v>97.5</v>
      </c>
      <c r="O2228" s="12" t="n">
        <v>30.07518796992481</v>
      </c>
    </row>
    <row r="2229">
      <c r="A2229" s="10" t="n">
        <v>46071</v>
      </c>
      <c r="B2229" t="inlineStr">
        <is>
          <t>Brenda de Menezes Silva</t>
        </is>
      </c>
      <c r="C2229" s="1" t="inlineStr">
        <is>
          <t>Técnico II</t>
        </is>
      </c>
      <c r="D2229" s="3" t="n">
        <v>20</v>
      </c>
      <c r="E2229" s="3" t="n">
        <v>17</v>
      </c>
      <c r="F2229" s="3" t="n">
        <v>28.51</v>
      </c>
      <c r="G2229" s="3" t="n">
        <v>0</v>
      </c>
      <c r="H2229" s="3" t="n">
        <v>0</v>
      </c>
      <c r="I2229" s="3">
        <f>E2229+G2229+H2229</f>
        <v/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/>
      </c>
      <c r="K2229" s="3">
        <f>I2229-J2229</f>
        <v/>
      </c>
      <c r="L2229" s="3">
        <f>IF(K2229&lt;-5,"CRÍTICO",IF(K2229&lt;0,"ATENÇÃO",IF(K2229&lt;=5,"BOM","EXCELENTE")))</f>
        <v/>
      </c>
      <c r="M2229" s="3" t="n">
        <v>19</v>
      </c>
      <c r="N2229" s="3" t="n">
        <v>100</v>
      </c>
      <c r="O2229" s="12" t="n">
        <v>29.71311475409836</v>
      </c>
    </row>
    <row r="2230">
      <c r="A2230" s="10" t="n">
        <v>46071</v>
      </c>
      <c r="B2230" t="inlineStr">
        <is>
          <t>Carlos Mateus Cassimiro Nunes</t>
        </is>
      </c>
      <c r="C2230" s="1" t="inlineStr">
        <is>
          <t>Técnico II</t>
        </is>
      </c>
      <c r="D2230" s="3" t="n">
        <v>9</v>
      </c>
      <c r="E2230" s="3" t="n">
        <v>9</v>
      </c>
      <c r="F2230" s="3" t="n">
        <v>75.15000000000001</v>
      </c>
      <c r="G2230" s="3" t="n">
        <v>0</v>
      </c>
      <c r="H2230" s="3" t="n">
        <v>0</v>
      </c>
      <c r="I2230" s="3">
        <f>E2230+G2230+H2230</f>
        <v/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/>
      </c>
      <c r="K2230" s="3">
        <f>I2230-J2230</f>
        <v/>
      </c>
      <c r="L2230" s="3">
        <f>IF(K2230&lt;-5,"CRÍTICO",IF(K2230&lt;0,"ATENÇÃO",IF(K2230&lt;=5,"BOM","EXCELENTE")))</f>
        <v/>
      </c>
      <c r="M2230" s="3" t="n">
        <v>12</v>
      </c>
      <c r="N2230" s="3" t="n">
        <v>99.22</v>
      </c>
      <c r="O2230" s="12" t="n">
        <v>35.25641025641026</v>
      </c>
    </row>
    <row r="2231">
      <c r="A2231" s="10" t="n">
        <v>46071</v>
      </c>
      <c r="B2231" t="inlineStr">
        <is>
          <t>Claudio de Sousa Velasco Filho</t>
        </is>
      </c>
      <c r="C2231" s="1" t="inlineStr">
        <is>
          <t>Estágio</t>
        </is>
      </c>
      <c r="D2231" s="3" t="n">
        <v>0</v>
      </c>
      <c r="E2231" s="3" t="n">
        <v>0</v>
      </c>
      <c r="F2231" s="3" t="n">
        <v>0</v>
      </c>
      <c r="G2231" s="3" t="n">
        <v>0</v>
      </c>
      <c r="H2231" s="3" t="n">
        <v>0</v>
      </c>
      <c r="I2231" s="3" t="n">
        <v>0</v>
      </c>
      <c r="J2231" s="3" t="n">
        <v>0</v>
      </c>
      <c r="K2231" s="3" t="n">
        <v>0</v>
      </c>
      <c r="L2231" s="3">
        <f>IF(K2231&lt;-5,"CRÍTICO",IF(K2231&lt;0,"ATENÇÃO",IF(K2231&lt;=5,"BOM","EXCELENTE")))</f>
        <v/>
      </c>
      <c r="M2231" s="3" t="n">
        <v>0</v>
      </c>
      <c r="N2231" s="3" t="n">
        <v>0</v>
      </c>
      <c r="O2231" s="12" t="n">
        <v>0</v>
      </c>
    </row>
    <row r="2232">
      <c r="A2232" s="10" t="n">
        <v>46071</v>
      </c>
      <c r="B2232" t="inlineStr">
        <is>
          <t>Clessiane Pereira dos Santos</t>
        </is>
      </c>
      <c r="C2232" s="1" t="inlineStr">
        <is>
          <t>Técnico I</t>
        </is>
      </c>
      <c r="D2232" s="3" t="n">
        <v>22</v>
      </c>
      <c r="E2232" s="3" t="n">
        <v>22</v>
      </c>
      <c r="F2232" s="3" t="n">
        <v>30.28</v>
      </c>
      <c r="G2232" s="3" t="n">
        <v>0</v>
      </c>
      <c r="H2232" s="3" t="n">
        <v>0</v>
      </c>
      <c r="I2232" s="3">
        <f>E2232+G2232+H2232</f>
        <v/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/>
      </c>
      <c r="K2232" s="3">
        <f>I2232-J2232</f>
        <v/>
      </c>
      <c r="L2232" s="3">
        <f>IF(K2232&lt;-5,"CRÍTICO",IF(K2232&lt;0,"ATENÇÃO",IF(K2232&lt;=5,"BOM","EXCELENTE")))</f>
        <v/>
      </c>
      <c r="M2232" s="3" t="n">
        <v>20</v>
      </c>
      <c r="N2232" s="3" t="n">
        <v>98.75</v>
      </c>
      <c r="O2232" s="12" t="n">
        <v>24.32432432432433</v>
      </c>
    </row>
    <row r="2233">
      <c r="A2233" s="10" t="n">
        <v>46071</v>
      </c>
      <c r="B2233" t="inlineStr">
        <is>
          <t>Cristiane Ramos da Silva Rocha</t>
        </is>
      </c>
      <c r="C2233" s="1" t="inlineStr">
        <is>
          <t>Técnico III</t>
        </is>
      </c>
      <c r="D2233" s="3" t="n">
        <v>38</v>
      </c>
      <c r="E2233" s="3" t="n">
        <v>37</v>
      </c>
      <c r="F2233" s="3" t="n">
        <v>17.18</v>
      </c>
      <c r="G2233" s="3" t="n">
        <v>0</v>
      </c>
      <c r="H2233" s="3" t="n">
        <v>0</v>
      </c>
      <c r="I2233" s="3">
        <f>E2233+G2233+H2233</f>
        <v/>
      </c>
      <c r="J2233" s="3">
        <f>ROUND(MIN(IF(C2233="Técnico III",35,IF(C2233="Técnico II",28,IF(C2233="Técnico I",23,IF(C2233="JR",20,IF(C2233="Estágio",10,0))))),IF(C2233="Técnico III",SUMIFS($D:$D,$A:$A,$A2233,$B:$B,"&lt;&gt;Patrícia Karla de Sousa Araújo",$B:$B,"&lt;&gt;Lorena Dias de Araujo",$B:$B,"&lt;&gt;Lucas Luiz Romero")*(35/1083),IF(C2233="Técnico II",SUMIFS($D:$D,$A:$A,$A2233,$B:$B,"&lt;&gt;Patrícia Karla de Sousa Araújo",$B:$B,"&lt;&gt;Lorena Dias de Araujo",$B:$B,"&lt;&gt;Lucas Luiz Romero")*(28/1083),IF(C2233="Técnico I",SUMIFS($D:$D,$A:$A,$A2233,$B:$B,"&lt;&gt;Patrícia Karla de Sousa Araújo",$B:$B,"&lt;&gt;Lorena Dias de Araujo",$B:$B,"&lt;&gt;Lucas Luiz Romero")*(23/1083),IF(C2233="JR",SUMIFS($D:$D,$A:$A,$A2233,$B:$B,"&lt;&gt;Patrícia Karla de Sousa Araújo",$B:$B,"&lt;&gt;Lorena Dias de Araujo",$B:$B,"&lt;&gt;Lucas Luiz Romero")*(20/1083),IF(C2233="Estágio",SUMIFS($D:$D,$A:$A,$A2233,$B:$B,"&lt;&gt;Patrícia Karla de Sousa Araújo",$B:$B,"&lt;&gt;Lorena Dias de Araujo",$B:$B,"&lt;&gt;Lucas Luiz Romero")*(10/1083),0)))))),0)</f>
        <v/>
      </c>
      <c r="K2233" s="3">
        <f>I2233-J2233</f>
        <v/>
      </c>
      <c r="L2233" s="3">
        <f>IF(K2233&lt;-5,"CRÍTICO",IF(K2233&lt;0,"ATENÇÃO",IF(K2233&lt;=5,"BOM","EXCELENTE")))</f>
        <v/>
      </c>
      <c r="M2233" s="3" t="n">
        <v>34</v>
      </c>
      <c r="N2233" s="3" t="n">
        <v>93.48</v>
      </c>
      <c r="O2233" s="12" t="n">
        <v>31.52804642166344</v>
      </c>
    </row>
    <row r="2234">
      <c r="A2234" s="10" t="n">
        <v>46071</v>
      </c>
      <c r="B2234" t="inlineStr">
        <is>
          <t>Damyllis Lorraine de Oliveira Gonçalves</t>
        </is>
      </c>
      <c r="C2234" s="1" t="inlineStr">
        <is>
          <t>Técnico II</t>
        </is>
      </c>
      <c r="D2234" s="3" t="n">
        <v>17</v>
      </c>
      <c r="E2234" s="3" t="n">
        <v>14</v>
      </c>
      <c r="F2234" s="3" t="n">
        <v>34.05</v>
      </c>
      <c r="G2234" s="3" t="n">
        <v>0</v>
      </c>
      <c r="H2234" s="3" t="n">
        <v>0</v>
      </c>
      <c r="I2234" s="3" t="n">
        <v>0</v>
      </c>
      <c r="J2234" s="3" t="n">
        <v>0</v>
      </c>
      <c r="K2234" s="3" t="n">
        <v>0</v>
      </c>
      <c r="L2234" s="3">
        <f>IF(K2234&lt;-5,"CRÍTICO",IF(K2234&lt;0,"ATENÇÃO",IF(K2234&lt;=5,"BOM","EXCELENTE")))</f>
        <v/>
      </c>
      <c r="M2234" s="3" t="n">
        <v>13</v>
      </c>
      <c r="N2234" s="3" t="n">
        <v>99.16</v>
      </c>
      <c r="O2234" s="12" t="n">
        <v>26.13908872901678</v>
      </c>
    </row>
    <row r="2235">
      <c r="A2235" s="10" t="n">
        <v>46071</v>
      </c>
      <c r="B2235" t="inlineStr">
        <is>
          <t>Daniel Gomes da Silva</t>
        </is>
      </c>
      <c r="C2235" s="1" t="inlineStr">
        <is>
          <t>Técnico I</t>
        </is>
      </c>
      <c r="D2235" s="3" t="n">
        <v>33</v>
      </c>
      <c r="E2235" s="3" t="n">
        <v>31</v>
      </c>
      <c r="F2235" s="3" t="n">
        <v>20</v>
      </c>
      <c r="G2235" s="3" t="n">
        <v>0</v>
      </c>
      <c r="H2235" s="3" t="n">
        <v>0</v>
      </c>
      <c r="I2235" s="3">
        <f>E2235+G2235+H2235</f>
        <v/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/>
      </c>
      <c r="K2235" s="3">
        <f>I2235-J2235</f>
        <v/>
      </c>
      <c r="L2235" s="3">
        <f>IF(K2235&lt;-5,"CRÍTICO",IF(K2235&lt;0,"ATENÇÃO",IF(K2235&lt;=5,"BOM","EXCELENTE")))</f>
        <v/>
      </c>
      <c r="M2235" s="3" t="n">
        <v>24</v>
      </c>
      <c r="N2235" s="3" t="n">
        <v>100</v>
      </c>
      <c r="O2235" s="12" t="n">
        <v>31.08974358974359</v>
      </c>
    </row>
    <row r="2236">
      <c r="A2236" s="10" t="n">
        <v>46071</v>
      </c>
      <c r="B2236" t="inlineStr">
        <is>
          <t>Davylla Rodrigues Freitas Silva</t>
        </is>
      </c>
      <c r="C2236" s="1" t="inlineStr">
        <is>
          <t>Técnico III</t>
        </is>
      </c>
      <c r="D2236" s="3" t="n">
        <v>13</v>
      </c>
      <c r="E2236" s="3" t="n">
        <v>13</v>
      </c>
      <c r="F2236" s="3" t="n">
        <v>47.13</v>
      </c>
      <c r="G2236" s="3" t="n">
        <v>0</v>
      </c>
      <c r="H2236" s="3" t="n">
        <v>0</v>
      </c>
      <c r="I2236" s="3" t="n">
        <v>0</v>
      </c>
      <c r="J2236" s="3" t="n">
        <v>0</v>
      </c>
      <c r="K2236" s="3" t="n">
        <v>0</v>
      </c>
      <c r="L2236" s="3">
        <f>IF(K2236&lt;-5,"CRÍTICO",IF(K2236&lt;0,"ATENÇÃO",IF(K2236&lt;=5,"BOM","EXCELENTE")))</f>
        <v/>
      </c>
      <c r="M2236" s="3" t="n">
        <v>13</v>
      </c>
      <c r="N2236" s="3" t="n">
        <v>98.11</v>
      </c>
      <c r="O2236" s="12" t="n">
        <v>33.03370786516854</v>
      </c>
    </row>
    <row r="2237">
      <c r="A2237" s="10" t="n">
        <v>46071</v>
      </c>
      <c r="B2237" t="inlineStr">
        <is>
          <t>Emilly Caylane Costa</t>
        </is>
      </c>
      <c r="C2237" s="1" t="inlineStr">
        <is>
          <t>Estágio</t>
        </is>
      </c>
      <c r="D2237" s="3" t="n">
        <v>5</v>
      </c>
      <c r="E2237" s="3" t="n">
        <v>3</v>
      </c>
      <c r="F2237" s="3" t="n">
        <v>30.22</v>
      </c>
      <c r="G2237" s="3" t="n">
        <v>0</v>
      </c>
      <c r="H2237" s="3" t="n">
        <v>0</v>
      </c>
      <c r="I2237" s="3">
        <f>E2237+G2237+H2237</f>
        <v/>
      </c>
      <c r="J2237" s="3">
        <f>ROUND(MIN(IF(C2237="Técnico III",35,IF(C2237="Técnico II",28,IF(C2237="Técnico I",23,IF(C2237="JR",20,IF(C2237="Estágio",10,0))))),IF(C2237="Técnico III",SUMIFS($D:$D,$A:$A,$A2237,$B:$B,"&lt;&gt;Patrícia Karla de Sousa Araújo",$B:$B,"&lt;&gt;Lorena Dias de Araujo",$B:$B,"&lt;&gt;Lucas Luiz Romero")*(35/1083),IF(C2237="Técnico II",SUMIFS($D:$D,$A:$A,$A2237,$B:$B,"&lt;&gt;Patrícia Karla de Sousa Araújo",$B:$B,"&lt;&gt;Lorena Dias de Araujo",$B:$B,"&lt;&gt;Lucas Luiz Romero")*(28/1083),IF(C2237="Técnico I",SUMIFS($D:$D,$A:$A,$A2237,$B:$B,"&lt;&gt;Patrícia Karla de Sousa Araújo",$B:$B,"&lt;&gt;Lorena Dias de Araujo",$B:$B,"&lt;&gt;Lucas Luiz Romero")*(23/1083),IF(C2237="JR",SUMIFS($D:$D,$A:$A,$A2237,$B:$B,"&lt;&gt;Patrícia Karla de Sousa Araújo",$B:$B,"&lt;&gt;Lorena Dias de Araujo",$B:$B,"&lt;&gt;Lucas Luiz Romero")*(20/1083),IF(C2237="Estágio",SUMIFS($D:$D,$A:$A,$A2237,$B:$B,"&lt;&gt;Patrícia Karla de Sousa Araújo",$B:$B,"&lt;&gt;Lorena Dias de Araujo",$B:$B,"&lt;&gt;Lucas Luiz Romero")*(10/1083),0)))))),0)</f>
        <v/>
      </c>
      <c r="K2237" s="3">
        <f>I2237-J2237</f>
        <v/>
      </c>
      <c r="L2237" s="3">
        <f>IF(K2237&lt;-5,"CRÍTICO",IF(K2237&lt;0,"ATENÇÃO",IF(K2237&lt;=5,"BOM","EXCELENTE")))</f>
        <v/>
      </c>
      <c r="M2237" s="3" t="n">
        <v>4</v>
      </c>
      <c r="N2237" s="3" t="n">
        <v>78.95</v>
      </c>
      <c r="O2237" s="12" t="n">
        <v>38.98305084745763</v>
      </c>
    </row>
    <row r="2238">
      <c r="A2238" s="10" t="n">
        <v>46071</v>
      </c>
      <c r="B2238" t="inlineStr">
        <is>
          <t>Emilly Kamilly Medeiros Miranda</t>
        </is>
      </c>
      <c r="C2238" s="1" t="inlineStr">
        <is>
          <t>Técnico II</t>
        </is>
      </c>
      <c r="D2238" s="3" t="n">
        <v>30</v>
      </c>
      <c r="E2238" s="3" t="n">
        <v>28</v>
      </c>
      <c r="F2238" s="3" t="n">
        <v>18.55</v>
      </c>
      <c r="G2238" s="3" t="n">
        <v>0</v>
      </c>
      <c r="H2238" s="3" t="n">
        <v>0</v>
      </c>
      <c r="I2238" s="3">
        <f>E2238+G2238+H2238</f>
        <v/>
      </c>
      <c r="J2238" s="3">
        <f>ROUND(MIN(IF(C2238="Técnico III",35,IF(C2238="Técnico II",28,IF(C2238="Técnico I",23,IF(C2238="JR",20,IF(C2238="Estágio",10,0))))),IF(C2238="Técnico III",SUMIFS($D:$D,$A:$A,$A2238,$B:$B,"&lt;&gt;Patrícia Karla de Sousa Araújo",$B:$B,"&lt;&gt;Lorena Dias de Araujo",$B:$B,"&lt;&gt;Lucas Luiz Romero")*(35/1083),IF(C2238="Técnico II",SUMIFS($D:$D,$A:$A,$A2238,$B:$B,"&lt;&gt;Patrícia Karla de Sousa Araújo",$B:$B,"&lt;&gt;Lorena Dias de Araujo",$B:$B,"&lt;&gt;Lucas Luiz Romero")*(28/1083),IF(C2238="Técnico I",SUMIFS($D:$D,$A:$A,$A2238,$B:$B,"&lt;&gt;Patrícia Karla de Sousa Araújo",$B:$B,"&lt;&gt;Lorena Dias de Araujo",$B:$B,"&lt;&gt;Lucas Luiz Romero")*(23/1083),IF(C2238="JR",SUMIFS($D:$D,$A:$A,$A2238,$B:$B,"&lt;&gt;Patrícia Karla de Sousa Araújo",$B:$B,"&lt;&gt;Lorena Dias de Araujo",$B:$B,"&lt;&gt;Lucas Luiz Romero")*(20/1083),IF(C2238="Estágio",SUMIFS($D:$D,$A:$A,$A2238,$B:$B,"&lt;&gt;Patrícia Karla de Sousa Araújo",$B:$B,"&lt;&gt;Lorena Dias de Araujo",$B:$B,"&lt;&gt;Lucas Luiz Romero")*(10/1083),0)))))),0)</f>
        <v/>
      </c>
      <c r="K2238" s="3">
        <f>I2238-J2238</f>
        <v/>
      </c>
      <c r="L2238" s="3">
        <f>IF(K2238&lt;-5,"CRÍTICO",IF(K2238&lt;0,"ATENÇÃO",IF(K2238&lt;=5,"BOM","EXCELENTE")))</f>
        <v/>
      </c>
      <c r="M2238" s="3" t="n">
        <v>22</v>
      </c>
      <c r="N2238" s="3" t="n">
        <v>98.45</v>
      </c>
      <c r="O2238" s="12" t="n">
        <v>29.2817679558011</v>
      </c>
    </row>
    <row r="2239">
      <c r="A2239" s="10" t="n">
        <v>46071</v>
      </c>
      <c r="B2239" t="inlineStr">
        <is>
          <t>Francielson de Oliveira</t>
        </is>
      </c>
      <c r="C2239" s="1" t="inlineStr">
        <is>
          <t>Técnico III</t>
        </is>
      </c>
      <c r="D2239" s="3" t="n">
        <v>15</v>
      </c>
      <c r="E2239" s="3" t="n">
        <v>15</v>
      </c>
      <c r="F2239" s="3" t="n">
        <v>30</v>
      </c>
      <c r="G2239" s="3" t="n">
        <v>0</v>
      </c>
      <c r="H2239" s="3" t="n">
        <v>0</v>
      </c>
      <c r="I2239" s="3">
        <f>E2239+G2239+H2239</f>
        <v/>
      </c>
      <c r="J2239" s="3">
        <f>ROUND(MIN(IF(C2239="Técnico III",35,IF(C2239="Técnico II",28,IF(C2239="Técnico I",23,IF(C2239="JR",20,IF(C2239="Estágio",10,0))))),IF(C2239="Técnico III",SUMIFS($D:$D,$A:$A,$A2239,$B:$B,"&lt;&gt;Patrícia Karla de Sousa Araújo",$B:$B,"&lt;&gt;Lorena Dias de Araujo",$B:$B,"&lt;&gt;Lucas Luiz Romero")*(35/1083),IF(C2239="Técnico II",SUMIFS($D:$D,$A:$A,$A2239,$B:$B,"&lt;&gt;Patrícia Karla de Sousa Araújo",$B:$B,"&lt;&gt;Lorena Dias de Araujo",$B:$B,"&lt;&gt;Lucas Luiz Romero")*(28/1083),IF(C2239="Técnico I",SUMIFS($D:$D,$A:$A,$A2239,$B:$B,"&lt;&gt;Patrícia Karla de Sousa Araújo",$B:$B,"&lt;&gt;Lorena Dias de Araujo",$B:$B,"&lt;&gt;Lucas Luiz Romero")*(23/1083),IF(C2239="JR",SUMIFS($D:$D,$A:$A,$A2239,$B:$B,"&lt;&gt;Patrícia Karla de Sousa Araújo",$B:$B,"&lt;&gt;Lorena Dias de Araujo",$B:$B,"&lt;&gt;Lucas Luiz Romero")*(20/1083),IF(C2239="Estágio",SUMIFS($D:$D,$A:$A,$A2239,$B:$B,"&lt;&gt;Patrícia Karla de Sousa Araújo",$B:$B,"&lt;&gt;Lorena Dias de Araujo",$B:$B,"&lt;&gt;Lucas Luiz Romero")*(10/1083),0)))))),0)</f>
        <v/>
      </c>
      <c r="K2239" s="3">
        <f>I2239-J2239</f>
        <v/>
      </c>
      <c r="L2239" s="3">
        <f>IF(K2239&lt;-5,"CRÍTICO",IF(K2239&lt;0,"ATENÇÃO",IF(K2239&lt;=5,"BOM","EXCELENTE")))</f>
        <v/>
      </c>
      <c r="M2239" s="3" t="n">
        <v>14</v>
      </c>
      <c r="N2239" s="3" t="n">
        <v>97.84</v>
      </c>
      <c r="O2239" s="12" t="n">
        <v>26.28205128205128</v>
      </c>
    </row>
    <row r="2240">
      <c r="A2240" s="10" t="n">
        <v>46071</v>
      </c>
      <c r="B2240" t="inlineStr">
        <is>
          <t>Francilene Ferreira de Jesus</t>
        </is>
      </c>
      <c r="C2240" s="1" t="inlineStr">
        <is>
          <t>Técnico II</t>
        </is>
      </c>
      <c r="D2240" s="3" t="n">
        <v>26</v>
      </c>
      <c r="E2240" s="3" t="n">
        <v>24</v>
      </c>
      <c r="F2240" s="3" t="n">
        <v>29.02</v>
      </c>
      <c r="G2240" s="3" t="n">
        <v>0</v>
      </c>
      <c r="H2240" s="3" t="n">
        <v>0</v>
      </c>
      <c r="I2240" s="3">
        <f>E2240+G2240+H2240</f>
        <v/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/>
      </c>
      <c r="K2240" s="3">
        <f>I2240-J2240</f>
        <v/>
      </c>
      <c r="L2240" s="3">
        <f>IF(K2240&lt;-5,"CRÍTICO",IF(K2240&lt;0,"ATENÇÃO",IF(K2240&lt;=5,"BOM","EXCELENTE")))</f>
        <v/>
      </c>
      <c r="M2240" s="3" t="n">
        <v>21</v>
      </c>
      <c r="N2240" s="3" t="n">
        <v>98.5</v>
      </c>
      <c r="O2240" s="12" t="n">
        <v>23.97769516728625</v>
      </c>
    </row>
    <row r="2241">
      <c r="A2241" s="10" t="n">
        <v>46105</v>
      </c>
      <c r="B2241" t="inlineStr">
        <is>
          <t>Gabriel Gomes de Andrade</t>
        </is>
      </c>
      <c r="C2241" s="1" t="inlineStr">
        <is>
          <t>Técnico I</t>
        </is>
      </c>
      <c r="D2241" s="3" t="n">
        <v>30</v>
      </c>
      <c r="E2241" s="3" t="n">
        <v>29</v>
      </c>
      <c r="F2241" s="3" t="n">
        <v>17.27</v>
      </c>
      <c r="G2241" s="3" t="n">
        <v>0</v>
      </c>
      <c r="H2241" s="3" t="n">
        <v>0</v>
      </c>
      <c r="I2241" s="3">
        <f>E2241+G2241+H2241</f>
        <v/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/>
      </c>
      <c r="K2241" s="3">
        <f>I2241-J2241</f>
        <v/>
      </c>
      <c r="L2241" s="3">
        <f>IF(K2241&lt;-5,"CRÍTICO",IF(K2241&lt;0,"ATENÇÃO",IF(K2241&lt;=5,"BOM","EXCELENTE")))</f>
        <v/>
      </c>
      <c r="M2241" s="3" t="n">
        <v>29</v>
      </c>
      <c r="N2241" s="3" t="n">
        <v>99.05</v>
      </c>
      <c r="O2241" s="12" t="n">
        <v>26.62192393736018</v>
      </c>
    </row>
    <row r="2242">
      <c r="A2242" s="10" t="n">
        <v>46071</v>
      </c>
      <c r="B2242" t="inlineStr">
        <is>
          <t>Isabella Borges de Oliveira</t>
        </is>
      </c>
      <c r="C2242" s="1" t="inlineStr">
        <is>
          <t>Técnico II</t>
        </is>
      </c>
      <c r="D2242" s="3" t="n">
        <v>23</v>
      </c>
      <c r="E2242" s="3" t="n">
        <v>22</v>
      </c>
      <c r="F2242" s="3" t="n">
        <v>24.07</v>
      </c>
      <c r="G2242" s="3" t="n">
        <v>0</v>
      </c>
      <c r="H2242" s="3" t="n">
        <v>0</v>
      </c>
      <c r="I2242" s="3">
        <f>E2242+G2242+H2242</f>
        <v/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/>
      </c>
      <c r="K2242" s="3">
        <f>I2242-J2242</f>
        <v/>
      </c>
      <c r="L2242" s="3">
        <f>IF(K2242&lt;-5,"CRÍTICO",IF(K2242&lt;0,"ATENÇÃO",IF(K2242&lt;=5,"BOM","EXCELENTE")))</f>
        <v/>
      </c>
      <c r="M2242" s="3" t="n">
        <v>21</v>
      </c>
      <c r="N2242" s="3" t="n">
        <v>98.53</v>
      </c>
      <c r="O2242" s="12" t="n">
        <v>31.57894736842105</v>
      </c>
    </row>
    <row r="2243">
      <c r="A2243" s="10" t="n">
        <v>46071</v>
      </c>
      <c r="B2243" t="inlineStr">
        <is>
          <t>Janaina Lima dos Reis Urany</t>
        </is>
      </c>
      <c r="C2243" s="1" t="inlineStr">
        <is>
          <t>Técnico III</t>
        </is>
      </c>
      <c r="D2243" s="3" t="n">
        <v>40</v>
      </c>
      <c r="E2243" s="3" t="n">
        <v>39</v>
      </c>
      <c r="F2243" s="3" t="n">
        <v>16.41</v>
      </c>
      <c r="G2243" s="3" t="n">
        <v>0</v>
      </c>
      <c r="H2243" s="3" t="n">
        <v>0</v>
      </c>
      <c r="I2243" s="3">
        <f>E2243+G2243+H2243</f>
        <v/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/>
      </c>
      <c r="K2243" s="3">
        <f>I2243-J2243</f>
        <v/>
      </c>
      <c r="L2243" s="3">
        <f>IF(K2243&lt;-5,"CRÍTICO",IF(K2243&lt;0,"ATENÇÃO",IF(K2243&lt;=5,"BOM","EXCELENTE")))</f>
        <v/>
      </c>
      <c r="M2243" s="3" t="n">
        <v>37</v>
      </c>
      <c r="N2243" s="3" t="n">
        <v>100</v>
      </c>
      <c r="O2243" s="12" t="n">
        <v>25.72214580467676</v>
      </c>
    </row>
    <row r="2244">
      <c r="A2244" s="10" t="n">
        <v>46071</v>
      </c>
      <c r="B2244" t="inlineStr">
        <is>
          <t>Jaqueline Evangelista da Silva Martins</t>
        </is>
      </c>
      <c r="C2244" s="1" t="inlineStr">
        <is>
          <t>Técnico III</t>
        </is>
      </c>
      <c r="D2244" s="3" t="n">
        <v>29</v>
      </c>
      <c r="E2244" s="3" t="n">
        <v>26</v>
      </c>
      <c r="F2244" s="3" t="n">
        <v>14.14</v>
      </c>
      <c r="G2244" s="3" t="n">
        <v>0</v>
      </c>
      <c r="H2244" s="3" t="n">
        <v>0</v>
      </c>
      <c r="I2244" s="3">
        <f>E2244+G2244+H2244</f>
        <v/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/>
      </c>
      <c r="K2244" s="3">
        <f>I2244-J2244</f>
        <v/>
      </c>
      <c r="L2244" s="3">
        <f>IF(K2244&lt;-5,"CRÍTICO",IF(K2244&lt;0,"ATENÇÃO",IF(K2244&lt;=5,"BOM","EXCELENTE")))</f>
        <v/>
      </c>
      <c r="M2244" s="3" t="n">
        <v>22</v>
      </c>
      <c r="N2244" s="3" t="n">
        <v>94.64</v>
      </c>
      <c r="O2244" s="12" t="n">
        <v>27.52941176470588</v>
      </c>
    </row>
    <row r="2245">
      <c r="A2245" s="10" t="n">
        <v>46071</v>
      </c>
      <c r="B2245" t="inlineStr">
        <is>
          <t>Jessica Faria da Silveira</t>
        </is>
      </c>
      <c r="C2245" s="1" t="inlineStr">
        <is>
          <t>Técnico II</t>
        </is>
      </c>
      <c r="D2245" s="3" t="n">
        <v>27</v>
      </c>
      <c r="E2245" s="3" t="n">
        <v>20</v>
      </c>
      <c r="F2245" s="3" t="n">
        <v>20.04</v>
      </c>
      <c r="G2245" s="3" t="n">
        <v>0</v>
      </c>
      <c r="H2245" s="3" t="n">
        <v>0</v>
      </c>
      <c r="I2245" s="3">
        <f>E2245+G2245+H2245</f>
        <v/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/>
      </c>
      <c r="K2245" s="3">
        <f>I2245-J2245</f>
        <v/>
      </c>
      <c r="L2245" s="3">
        <f>IF(K2245&lt;-5,"CRÍTICO",IF(K2245&lt;0,"ATENÇÃO",IF(K2245&lt;=5,"BOM","EXCELENTE")))</f>
        <v/>
      </c>
      <c r="M2245" s="3" t="n">
        <v>16</v>
      </c>
      <c r="N2245" s="3" t="n">
        <v>99.06999999999999</v>
      </c>
      <c r="O2245" s="12" t="n">
        <v>26.3768115942029</v>
      </c>
    </row>
    <row r="2246">
      <c r="A2246" s="10" t="n">
        <v>46071</v>
      </c>
      <c r="B2246" t="inlineStr">
        <is>
          <t>Jéssica Fé Moura</t>
        </is>
      </c>
      <c r="C2246" s="1" t="inlineStr">
        <is>
          <t>Técnico III</t>
        </is>
      </c>
      <c r="D2246" s="3" t="n">
        <v>0</v>
      </c>
      <c r="E2246" s="3" t="n">
        <v>0</v>
      </c>
      <c r="F2246" s="3" t="n">
        <v>0</v>
      </c>
      <c r="G2246" s="3" t="n">
        <v>0</v>
      </c>
      <c r="H2246" s="3" t="n">
        <v>0</v>
      </c>
      <c r="I2246" s="3" t="n">
        <v>0</v>
      </c>
      <c r="J2246" s="3" t="n">
        <v>0</v>
      </c>
      <c r="K2246" s="3" t="n">
        <v>0</v>
      </c>
      <c r="L2246" s="3">
        <f>IF(K2246&lt;-5,"CRÍTICO",IF(K2246&lt;0,"ATENÇÃO",IF(K2246&lt;=5,"BOM","EXCELENTE")))</f>
        <v/>
      </c>
      <c r="M2246" s="3" t="n">
        <v>0</v>
      </c>
      <c r="N2246" s="3" t="n">
        <v>100</v>
      </c>
      <c r="O2246" s="12" t="n">
        <v>0</v>
      </c>
    </row>
    <row r="2247">
      <c r="A2247" s="10" t="n">
        <v>46071</v>
      </c>
      <c r="B2247" t="inlineStr">
        <is>
          <t>Karina Gonçalves Martins</t>
        </is>
      </c>
      <c r="C2247" s="1" t="inlineStr">
        <is>
          <t>JR</t>
        </is>
      </c>
      <c r="D2247" s="3" t="n">
        <v>10</v>
      </c>
      <c r="E2247" s="3" t="n">
        <v>9</v>
      </c>
      <c r="F2247" s="3" t="n">
        <v>42.14</v>
      </c>
      <c r="G2247" s="3" t="n">
        <v>0</v>
      </c>
      <c r="H2247" s="3" t="n">
        <v>0</v>
      </c>
      <c r="I2247" s="3">
        <f>E2247+G2247+H2247</f>
        <v/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/>
      </c>
      <c r="K2247" s="3">
        <f>I2247-J2247</f>
        <v/>
      </c>
      <c r="L2247" s="3">
        <f>IF(K2247&lt;-5,"CRÍTICO",IF(K2247&lt;0,"ATENÇÃO",IF(K2247&lt;=5,"BOM","EXCELENTE")))</f>
        <v/>
      </c>
      <c r="M2247" s="3" t="n">
        <v>7</v>
      </c>
      <c r="N2247" s="3" t="n">
        <v>98.48</v>
      </c>
      <c r="O2247" s="12" t="n">
        <v>27.85388127853881</v>
      </c>
    </row>
    <row r="2248">
      <c r="A2248" s="10" t="n">
        <v>46071</v>
      </c>
      <c r="B2248" t="inlineStr">
        <is>
          <t>Kerollen Cristielly de Jesus Siqueira</t>
        </is>
      </c>
      <c r="C2248" s="1" t="inlineStr">
        <is>
          <t>Técnico III</t>
        </is>
      </c>
      <c r="D2248" s="3" t="n">
        <v>16</v>
      </c>
      <c r="E2248" s="3" t="n">
        <v>16</v>
      </c>
      <c r="F2248" s="3" t="n">
        <v>30.03</v>
      </c>
      <c r="G2248" s="3" t="n">
        <v>0</v>
      </c>
      <c r="H2248" s="3" t="n">
        <v>0</v>
      </c>
      <c r="I2248" s="3">
        <f>E2248+G2248+H2248</f>
        <v/>
      </c>
      <c r="J2248" s="3">
        <f>ROUND(MIN(IF(C2248="Técnico III",35,IF(C2248="Técnico II",28,IF(C2248="Técnico I",23,IF(C2248="JR",20,IF(C2248="Estágio",10,0))))),IF(C2248="Técnico III",SUMIFS($D:$D,$A:$A,$A2248,$B:$B,"&lt;&gt;Patrícia Karla de Sousa Araújo",$B:$B,"&lt;&gt;Lorena Dias de Araujo",$B:$B,"&lt;&gt;Lucas Luiz Romero")*(35/1083),IF(C2248="Técnico II",SUMIFS($D:$D,$A:$A,$A2248,$B:$B,"&lt;&gt;Patrícia Karla de Sousa Araújo",$B:$B,"&lt;&gt;Lorena Dias de Araujo",$B:$B,"&lt;&gt;Lucas Luiz Romero")*(28/1083),IF(C2248="Técnico I",SUMIFS($D:$D,$A:$A,$A2248,$B:$B,"&lt;&gt;Patrícia Karla de Sousa Araújo",$B:$B,"&lt;&gt;Lorena Dias de Araujo",$B:$B,"&lt;&gt;Lucas Luiz Romero")*(23/1083),IF(C2248="JR",SUMIFS($D:$D,$A:$A,$A2248,$B:$B,"&lt;&gt;Patrícia Karla de Sousa Araújo",$B:$B,"&lt;&gt;Lorena Dias de Araujo",$B:$B,"&lt;&gt;Lucas Luiz Romero")*(20/1083),IF(C2248="Estágio",SUMIFS($D:$D,$A:$A,$A2248,$B:$B,"&lt;&gt;Patrícia Karla de Sousa Araújo",$B:$B,"&lt;&gt;Lorena Dias de Araujo",$B:$B,"&lt;&gt;Lucas Luiz Romero")*(10/1083),0)))))),0)</f>
        <v/>
      </c>
      <c r="K2248" s="3">
        <f>I2248-J2248</f>
        <v/>
      </c>
      <c r="L2248" s="3">
        <f>IF(K2248&lt;-5,"CRÍTICO",IF(K2248&lt;0,"ATENÇÃO",IF(K2248&lt;=5,"BOM","EXCELENTE")))</f>
        <v/>
      </c>
      <c r="M2248" s="3" t="n">
        <v>14</v>
      </c>
      <c r="N2248" s="3" t="n">
        <v>95.15000000000001</v>
      </c>
      <c r="O2248" s="12" t="n">
        <v>34.13173652694611</v>
      </c>
    </row>
    <row r="2249">
      <c r="A2249" s="10" t="n">
        <v>46071</v>
      </c>
      <c r="B2249" t="inlineStr">
        <is>
          <t>Leandro de Souza Silva</t>
        </is>
      </c>
      <c r="C2249" s="1" t="inlineStr">
        <is>
          <t>JR</t>
        </is>
      </c>
      <c r="D2249" s="3" t="n">
        <v>0</v>
      </c>
      <c r="E2249" s="3" t="n">
        <v>0</v>
      </c>
      <c r="F2249" s="3" t="n">
        <v>0</v>
      </c>
      <c r="G2249" s="3" t="n">
        <v>0</v>
      </c>
      <c r="H2249" s="3" t="n">
        <v>0</v>
      </c>
      <c r="I2249" s="3" t="n">
        <v>0</v>
      </c>
      <c r="J2249" s="3" t="n">
        <v>0</v>
      </c>
      <c r="K2249" s="3" t="n">
        <v>0</v>
      </c>
      <c r="L2249" s="3">
        <f>IF(K2249&lt;-5,"CRÍTICO",IF(K2249&lt;0,"ATENÇÃO",IF(K2249&lt;=5,"BOM","EXCELENTE")))</f>
        <v/>
      </c>
      <c r="M2249" s="3" t="n">
        <v>0</v>
      </c>
      <c r="N2249" s="3" t="n">
        <v>0</v>
      </c>
      <c r="O2249" s="12" t="n">
        <v>0</v>
      </c>
    </row>
    <row r="2250">
      <c r="A2250" s="10" t="n">
        <v>46071</v>
      </c>
      <c r="B2250" t="inlineStr">
        <is>
          <t>Leandro Oliveira de Sousa</t>
        </is>
      </c>
      <c r="C2250" s="1" t="inlineStr">
        <is>
          <t>Técnico III</t>
        </is>
      </c>
      <c r="D2250" s="3" t="n">
        <v>20</v>
      </c>
      <c r="E2250" s="3" t="n">
        <v>18</v>
      </c>
      <c r="F2250" s="3" t="n">
        <v>30.28</v>
      </c>
      <c r="G2250" s="3" t="n">
        <v>0</v>
      </c>
      <c r="H2250" s="3" t="n">
        <v>0</v>
      </c>
      <c r="I2250" s="3">
        <f>E2250+G2250+H2250</f>
        <v/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/>
      </c>
      <c r="K2250" s="3">
        <f>I2250-J2250</f>
        <v/>
      </c>
      <c r="L2250" s="3">
        <f>IF(K2250&lt;-5,"CRÍTICO",IF(K2250&lt;0,"ATENÇÃO",IF(K2250&lt;=5,"BOM","EXCELENTE")))</f>
        <v/>
      </c>
      <c r="M2250" s="3" t="n">
        <v>15</v>
      </c>
      <c r="N2250" s="3" t="n">
        <v>99.26000000000001</v>
      </c>
      <c r="O2250" s="12" t="n">
        <v>30.84832904884319</v>
      </c>
    </row>
    <row r="2251">
      <c r="A2251" s="10" t="n">
        <v>46071</v>
      </c>
      <c r="B2251" t="inlineStr">
        <is>
          <t>Lizandra Gomes Duarte</t>
        </is>
      </c>
      <c r="C2251" s="1" t="inlineStr">
        <is>
          <t>Técnico II</t>
        </is>
      </c>
      <c r="D2251" s="3" t="n">
        <v>25</v>
      </c>
      <c r="E2251" s="3" t="n">
        <v>22</v>
      </c>
      <c r="F2251" s="3" t="n">
        <v>25.32</v>
      </c>
      <c r="G2251" s="3" t="n">
        <v>0</v>
      </c>
      <c r="H2251" s="3" t="n">
        <v>0</v>
      </c>
      <c r="I2251" s="3">
        <f>E2251+G2251+H2251</f>
        <v/>
      </c>
      <c r="J2251" s="3">
        <f>ROUND(MIN(IF(C2251="Técnico III",35,IF(C2251="Técnico II",28,IF(C2251="Técnico I",23,IF(C2251="JR",20,IF(C2251="Estágio",10,0))))),IF(C2251="Técnico III",SUMIFS($D:$D,$A:$A,$A2251,$B:$B,"&lt;&gt;Patrícia Karla de Sousa Araújo",$B:$B,"&lt;&gt;Lorena Dias de Araujo",$B:$B,"&lt;&gt;Lucas Luiz Romero")*(35/1083),IF(C2251="Técnico II",SUMIFS($D:$D,$A:$A,$A2251,$B:$B,"&lt;&gt;Patrícia Karla de Sousa Araújo",$B:$B,"&lt;&gt;Lorena Dias de Araujo",$B:$B,"&lt;&gt;Lucas Luiz Romero")*(28/1083),IF(C2251="Técnico I",SUMIFS($D:$D,$A:$A,$A2251,$B:$B,"&lt;&gt;Patrícia Karla de Sousa Araújo",$B:$B,"&lt;&gt;Lorena Dias de Araujo",$B:$B,"&lt;&gt;Lucas Luiz Romero")*(23/1083),IF(C2251="JR",SUMIFS($D:$D,$A:$A,$A2251,$B:$B,"&lt;&gt;Patrícia Karla de Sousa Araújo",$B:$B,"&lt;&gt;Lorena Dias de Araujo",$B:$B,"&lt;&gt;Lucas Luiz Romero")*(20/1083),IF(C2251="Estágio",SUMIFS($D:$D,$A:$A,$A2251,$B:$B,"&lt;&gt;Patrícia Karla de Sousa Araújo",$B:$B,"&lt;&gt;Lorena Dias de Araujo",$B:$B,"&lt;&gt;Lucas Luiz Romero")*(10/1083),0)))))),0)</f>
        <v/>
      </c>
      <c r="K2251" s="3">
        <f>I2251-J2251</f>
        <v/>
      </c>
      <c r="L2251" s="3">
        <f>IF(K2251&lt;-5,"CRÍTICO",IF(K2251&lt;0,"ATENÇÃO",IF(K2251&lt;=5,"BOM","EXCELENTE")))</f>
        <v/>
      </c>
      <c r="M2251" s="3" t="n">
        <v>5</v>
      </c>
      <c r="N2251" s="3" t="n">
        <v>97.48</v>
      </c>
      <c r="O2251" s="12" t="n">
        <v>27.76470588235294</v>
      </c>
    </row>
    <row r="2252">
      <c r="A2252" s="10" t="n">
        <v>46071</v>
      </c>
      <c r="B2252" t="inlineStr">
        <is>
          <t>Lorena Dias de Araujo</t>
        </is>
      </c>
      <c r="C2252" s="1" t="inlineStr">
        <is>
          <t>Técnico II</t>
        </is>
      </c>
      <c r="D2252" s="3" t="n">
        <v>32</v>
      </c>
      <c r="E2252" s="3" t="n">
        <v>32</v>
      </c>
      <c r="F2252" s="3" t="n">
        <v>21.45</v>
      </c>
      <c r="G2252" s="3" t="n">
        <v>0</v>
      </c>
      <c r="H2252" s="3" t="n">
        <v>0</v>
      </c>
      <c r="I2252" s="3" t="n">
        <v>0</v>
      </c>
      <c r="J2252" s="3" t="n">
        <v>0</v>
      </c>
      <c r="K2252" s="3" t="n">
        <v>0</v>
      </c>
      <c r="L2252" s="3">
        <f>IF(K2252&lt;-5,"CRÍTICO",IF(K2252&lt;0,"ATENÇÃO",IF(K2252&lt;=5,"BOM","EXCELENTE")))</f>
        <v/>
      </c>
      <c r="M2252" s="3" t="n">
        <v>28</v>
      </c>
      <c r="N2252" s="3" t="n">
        <v>99.34</v>
      </c>
      <c r="O2252" s="12" t="n">
        <v>30.04291845493562</v>
      </c>
    </row>
    <row r="2253">
      <c r="A2253" s="10" t="n">
        <v>46071</v>
      </c>
      <c r="B2253" t="inlineStr">
        <is>
          <t>Lucas Luiz Romero</t>
        </is>
      </c>
      <c r="C2253" s="1" t="inlineStr">
        <is>
          <t>Técnico III</t>
        </is>
      </c>
      <c r="D2253" s="3" t="n">
        <v>0</v>
      </c>
      <c r="E2253" s="3" t="n">
        <v>0</v>
      </c>
      <c r="F2253" s="3" t="n">
        <v>0</v>
      </c>
      <c r="G2253" s="3" t="n">
        <v>0</v>
      </c>
      <c r="H2253" s="3" t="n">
        <v>0</v>
      </c>
      <c r="I2253" s="3" t="n">
        <v>0</v>
      </c>
      <c r="J2253" s="3" t="n">
        <v>0</v>
      </c>
      <c r="K2253" s="3" t="n">
        <v>0</v>
      </c>
      <c r="L2253" s="3">
        <f>IF(K2253&lt;-5,"CRÍTICO",IF(K2253&lt;0,"ATENÇÃO",IF(K2253&lt;=5,"BOM","EXCELENTE")))</f>
        <v/>
      </c>
      <c r="M2253" s="3" t="n">
        <v>0</v>
      </c>
      <c r="N2253" s="3" t="n">
        <v>96.3</v>
      </c>
      <c r="O2253" s="12" t="n">
        <v>24.29378531073446</v>
      </c>
    </row>
    <row r="2254">
      <c r="A2254" s="10" t="n">
        <v>46071</v>
      </c>
      <c r="B2254" t="inlineStr">
        <is>
          <t>Luiz Fernando de Carvalho Junior</t>
        </is>
      </c>
      <c r="C2254" s="1" t="inlineStr">
        <is>
          <t>Técnico I</t>
        </is>
      </c>
      <c r="D2254" s="3" t="n">
        <v>18</v>
      </c>
      <c r="E2254" s="3" t="n">
        <v>18</v>
      </c>
      <c r="F2254" s="3" t="n">
        <v>29.08</v>
      </c>
      <c r="G2254" s="3" t="n">
        <v>0</v>
      </c>
      <c r="H2254" s="3" t="n">
        <v>0</v>
      </c>
      <c r="I2254" s="3">
        <f>E2254+G2254+H2254</f>
        <v/>
      </c>
      <c r="J2254" s="3">
        <f>ROUND(MIN(IF(C2254="Técnico III",35,IF(C2254="Técnico II",28,IF(C2254="Técnico I",23,IF(C2254="JR",20,IF(C2254="Estágio",10,0))))),IF(C2254="Técnico III",SUMIFS($D:$D,$A:$A,$A2254,$B:$B,"&lt;&gt;Patrícia Karla de Sousa Araújo",$B:$B,"&lt;&gt;Lorena Dias de Araujo",$B:$B,"&lt;&gt;Lucas Luiz Romero")*(35/1083),IF(C2254="Técnico II",SUMIFS($D:$D,$A:$A,$A2254,$B:$B,"&lt;&gt;Patrícia Karla de Sousa Araújo",$B:$B,"&lt;&gt;Lorena Dias de Araujo",$B:$B,"&lt;&gt;Lucas Luiz Romero")*(28/1083),IF(C2254="Técnico I",SUMIFS($D:$D,$A:$A,$A2254,$B:$B,"&lt;&gt;Patrícia Karla de Sousa Araújo",$B:$B,"&lt;&gt;Lorena Dias de Araujo",$B:$B,"&lt;&gt;Lucas Luiz Romero")*(23/1083),IF(C2254="JR",SUMIFS($D:$D,$A:$A,$A2254,$B:$B,"&lt;&gt;Patrícia Karla de Sousa Araújo",$B:$B,"&lt;&gt;Lorena Dias de Araujo",$B:$B,"&lt;&gt;Lucas Luiz Romero")*(20/1083),IF(C2254="Estágio",SUMIFS($D:$D,$A:$A,$A2254,$B:$B,"&lt;&gt;Patrícia Karla de Sousa Araújo",$B:$B,"&lt;&gt;Lorena Dias de Araujo",$B:$B,"&lt;&gt;Lucas Luiz Romero")*(10/1083),0)))))),0)</f>
        <v/>
      </c>
      <c r="K2254" s="3">
        <f>I2254-J2254</f>
        <v/>
      </c>
      <c r="L2254" s="3">
        <f>IF(K2254&lt;-5,"CRÍTICO",IF(K2254&lt;0,"ATENÇÃO",IF(K2254&lt;=5,"BOM","EXCELENTE")))</f>
        <v/>
      </c>
      <c r="M2254" s="3" t="n">
        <v>16</v>
      </c>
      <c r="N2254" s="3" t="n">
        <v>100</v>
      </c>
      <c r="O2254" s="12" t="n">
        <v>26.54320987654321</v>
      </c>
    </row>
    <row r="2255">
      <c r="A2255" s="10" t="n">
        <v>46071</v>
      </c>
      <c r="B2255" t="inlineStr">
        <is>
          <t>Maria Eduarda Sousa Costa</t>
        </is>
      </c>
      <c r="C2255" s="1" t="inlineStr">
        <is>
          <t>Estágio</t>
        </is>
      </c>
      <c r="D2255" s="3" t="n">
        <v>2</v>
      </c>
      <c r="E2255" s="3" t="n">
        <v>2</v>
      </c>
      <c r="F2255" s="3" t="n">
        <v>65.20999999999999</v>
      </c>
      <c r="G2255" s="3" t="n">
        <v>0</v>
      </c>
      <c r="H2255" s="3" t="n">
        <v>0</v>
      </c>
      <c r="I2255" s="3">
        <f>E2255+G2255+H2255</f>
        <v/>
      </c>
      <c r="J2255" s="3">
        <f>ROUND(MIN(IF(C2255="Técnico III",35,IF(C2255="Técnico II",28,IF(C2255="Técnico I",23,IF(C2255="JR",20,IF(C2255="Estágio",10,0))))),IF(C2255="Técnico III",SUMIFS($D:$D,$A:$A,$A2255,$B:$B,"&lt;&gt;Patrícia Karla de Sousa Araújo",$B:$B,"&lt;&gt;Lorena Dias de Araujo",$B:$B,"&lt;&gt;Lucas Luiz Romero")*(35/1083),IF(C2255="Técnico II",SUMIFS($D:$D,$A:$A,$A2255,$B:$B,"&lt;&gt;Patrícia Karla de Sousa Araújo",$B:$B,"&lt;&gt;Lorena Dias de Araujo",$B:$B,"&lt;&gt;Lucas Luiz Romero")*(28/1083),IF(C2255="Técnico I",SUMIFS($D:$D,$A:$A,$A2255,$B:$B,"&lt;&gt;Patrícia Karla de Sousa Araújo",$B:$B,"&lt;&gt;Lorena Dias de Araujo",$B:$B,"&lt;&gt;Lucas Luiz Romero")*(23/1083),IF(C2255="JR",SUMIFS($D:$D,$A:$A,$A2255,$B:$B,"&lt;&gt;Patrícia Karla de Sousa Araújo",$B:$B,"&lt;&gt;Lorena Dias de Araujo",$B:$B,"&lt;&gt;Lucas Luiz Romero")*(20/1083),IF(C2255="Estágio",SUMIFS($D:$D,$A:$A,$A2255,$B:$B,"&lt;&gt;Patrícia Karla de Sousa Araújo",$B:$B,"&lt;&gt;Lorena Dias de Araujo",$B:$B,"&lt;&gt;Lucas Luiz Romero")*(10/1083),0)))))),0)</f>
        <v/>
      </c>
      <c r="K2255" s="3">
        <f>I2255-J2255</f>
        <v/>
      </c>
      <c r="L2255" s="3">
        <f>IF(K2255&lt;-5,"CRÍTICO",IF(K2255&lt;0,"ATENÇÃO",IF(K2255&lt;=5,"BOM","EXCELENTE")))</f>
        <v/>
      </c>
      <c r="M2255" s="3" t="n">
        <v>2</v>
      </c>
      <c r="N2255" s="3" t="n">
        <v>100</v>
      </c>
      <c r="O2255" s="12" t="n">
        <v>35.48387096774194</v>
      </c>
    </row>
    <row r="2256">
      <c r="A2256" s="10" t="n">
        <v>46071</v>
      </c>
      <c r="B2256" t="inlineStr">
        <is>
          <t>Matheus Farias De Souza</t>
        </is>
      </c>
      <c r="C2256" s="1" t="inlineStr">
        <is>
          <t>Técnico III</t>
        </is>
      </c>
      <c r="D2256" s="3" t="n">
        <v>29</v>
      </c>
      <c r="E2256" s="3" t="n">
        <v>28</v>
      </c>
      <c r="F2256" s="3" t="n">
        <v>20.02</v>
      </c>
      <c r="G2256" s="3" t="n">
        <v>0</v>
      </c>
      <c r="H2256" s="3" t="n">
        <v>0</v>
      </c>
      <c r="I2256" s="3">
        <f>E2256+G2256+H2256</f>
        <v/>
      </c>
      <c r="J2256" s="3">
        <f>ROUND(MIN(IF(C2256="Técnico III",35,IF(C2256="Técnico II",28,IF(C2256="Técnico I",23,IF(C2256="JR",20,IF(C2256="Estágio",10,0))))),IF(C2256="Técnico III",SUMIFS($D:$D,$A:$A,$A2256,$B:$B,"&lt;&gt;Patrícia Karla de Sousa Araújo",$B:$B,"&lt;&gt;Lorena Dias de Araujo",$B:$B,"&lt;&gt;Lucas Luiz Romero")*(35/1083),IF(C2256="Técnico II",SUMIFS($D:$D,$A:$A,$A2256,$B:$B,"&lt;&gt;Patrícia Karla de Sousa Araújo",$B:$B,"&lt;&gt;Lorena Dias de Araujo",$B:$B,"&lt;&gt;Lucas Luiz Romero")*(28/1083),IF(C2256="Técnico I",SUMIFS($D:$D,$A:$A,$A2256,$B:$B,"&lt;&gt;Patrícia Karla de Sousa Araújo",$B:$B,"&lt;&gt;Lorena Dias de Araujo",$B:$B,"&lt;&gt;Lucas Luiz Romero")*(23/1083),IF(C2256="JR",SUMIFS($D:$D,$A:$A,$A2256,$B:$B,"&lt;&gt;Patrícia Karla de Sousa Araújo",$B:$B,"&lt;&gt;Lorena Dias de Araujo",$B:$B,"&lt;&gt;Lucas Luiz Romero")*(20/1083),IF(C2256="Estágio",SUMIFS($D:$D,$A:$A,$A2256,$B:$B,"&lt;&gt;Patrícia Karla de Sousa Araújo",$B:$B,"&lt;&gt;Lorena Dias de Araujo",$B:$B,"&lt;&gt;Lucas Luiz Romero")*(10/1083),0)))))),0)</f>
        <v/>
      </c>
      <c r="K2256" s="3">
        <f>I2256-J2256</f>
        <v/>
      </c>
      <c r="L2256" s="3">
        <f>IF(K2256&lt;-5,"CRÍTICO",IF(K2256&lt;0,"ATENÇÃO",IF(K2256&lt;=5,"BOM","EXCELENTE")))</f>
        <v/>
      </c>
      <c r="M2256" s="3" t="n">
        <v>25</v>
      </c>
      <c r="N2256" s="3" t="n">
        <v>99.27</v>
      </c>
      <c r="O2256" s="12" t="n">
        <v>31.16370808678501</v>
      </c>
    </row>
    <row r="2257">
      <c r="A2257" s="10" t="n">
        <v>46071</v>
      </c>
      <c r="B2257" t="inlineStr">
        <is>
          <t>Maysa Victoria Dias Moura</t>
        </is>
      </c>
      <c r="C2257" s="1" t="inlineStr">
        <is>
          <t>Técnico III</t>
        </is>
      </c>
      <c r="D2257" s="3" t="n">
        <v>40</v>
      </c>
      <c r="E2257" s="3" t="n">
        <v>35</v>
      </c>
      <c r="F2257" s="3" t="n">
        <v>15.13</v>
      </c>
      <c r="G2257" s="3" t="n">
        <v>0</v>
      </c>
      <c r="H2257" s="3" t="n">
        <v>0</v>
      </c>
      <c r="I2257" s="3">
        <f>E2257+G2257+H2257</f>
        <v/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/>
      </c>
      <c r="K2257" s="3">
        <f>I2257-J2257</f>
        <v/>
      </c>
      <c r="L2257" s="3">
        <f>IF(K2257&lt;-5,"CRÍTICO",IF(K2257&lt;0,"ATENÇÃO",IF(K2257&lt;=5,"BOM","EXCELENTE")))</f>
        <v/>
      </c>
      <c r="M2257" s="3" t="n">
        <v>26</v>
      </c>
      <c r="N2257" s="3" t="n">
        <v>94.16</v>
      </c>
      <c r="O2257" s="12" t="n">
        <v>27.03862660944206</v>
      </c>
    </row>
    <row r="2258">
      <c r="A2258" s="10" t="n">
        <v>46071</v>
      </c>
      <c r="B2258" t="inlineStr">
        <is>
          <t>Michelle G Santos</t>
        </is>
      </c>
      <c r="C2258" s="1" t="inlineStr">
        <is>
          <t>Estágio</t>
        </is>
      </c>
      <c r="D2258" s="3" t="n">
        <v>6</v>
      </c>
      <c r="E2258" s="3" t="n">
        <v>6</v>
      </c>
      <c r="F2258" s="3" t="n">
        <v>166.4</v>
      </c>
      <c r="G2258" s="3" t="n">
        <v>0</v>
      </c>
      <c r="H2258" s="3" t="n">
        <v>0</v>
      </c>
      <c r="I2258" s="3">
        <f>E2258+G2258+H2258</f>
        <v/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/>
      </c>
      <c r="K2258" s="3">
        <f>I2258-J2258</f>
        <v/>
      </c>
      <c r="L2258" s="3">
        <f>IF(K2258&lt;-5,"CRÍTICO",IF(K2258&lt;0,"ATENÇÃO",IF(K2258&lt;=5,"BOM","EXCELENTE")))</f>
        <v/>
      </c>
      <c r="M2258" s="3" t="n">
        <v>4</v>
      </c>
      <c r="N2258" s="3" t="n">
        <v>93.75</v>
      </c>
      <c r="O2258" s="12" t="n">
        <v>19.31818181818182</v>
      </c>
    </row>
    <row r="2259">
      <c r="A2259" s="10" t="n">
        <v>46071</v>
      </c>
      <c r="B2259" t="inlineStr">
        <is>
          <t>Milena Sales</t>
        </is>
      </c>
      <c r="C2259" s="1" t="inlineStr">
        <is>
          <t>JR</t>
        </is>
      </c>
      <c r="D2259" s="3" t="n">
        <v>0</v>
      </c>
      <c r="E2259" s="3" t="n">
        <v>0</v>
      </c>
      <c r="F2259" s="3" t="n">
        <v>0</v>
      </c>
      <c r="G2259" s="3" t="n">
        <v>0</v>
      </c>
      <c r="H2259" s="3" t="n">
        <v>0</v>
      </c>
      <c r="I2259" s="3" t="n">
        <v>0</v>
      </c>
      <c r="J2259" s="3" t="n">
        <v>0</v>
      </c>
      <c r="K2259" s="3" t="n">
        <v>0</v>
      </c>
      <c r="L2259" s="3">
        <f>IF(K2259&lt;-5,"CRÍTICO",IF(K2259&lt;0,"ATENÇÃO",IF(K2259&lt;=5,"BOM","EXCELENTE")))</f>
        <v/>
      </c>
      <c r="M2259" s="3" t="n">
        <v>0</v>
      </c>
      <c r="N2259" s="3" t="n">
        <v>0</v>
      </c>
      <c r="O2259" s="12" t="n">
        <v>0</v>
      </c>
    </row>
    <row r="2260">
      <c r="A2260" s="10" t="n">
        <v>46071</v>
      </c>
      <c r="B2260" t="inlineStr">
        <is>
          <t>Patrícia Karla de Sousa Araújo</t>
        </is>
      </c>
      <c r="C2260" s="1" t="inlineStr">
        <is>
          <t>Técnico II</t>
        </is>
      </c>
      <c r="D2260" s="3" t="n">
        <v>0</v>
      </c>
      <c r="E2260" s="3" t="n">
        <v>0</v>
      </c>
      <c r="F2260" s="3" t="n">
        <v>0</v>
      </c>
      <c r="G2260" s="3" t="n">
        <v>0</v>
      </c>
      <c r="H2260" s="3" t="n">
        <v>0</v>
      </c>
      <c r="I2260" s="3" t="n">
        <v>0</v>
      </c>
      <c r="J2260" s="3" t="n">
        <v>0</v>
      </c>
      <c r="K2260" s="3" t="n">
        <v>0</v>
      </c>
      <c r="L2260" s="3">
        <f>IF(K2260&lt;-5,"CRÍTICO",IF(K2260&lt;0,"ATENÇÃO",IF(K2260&lt;=5,"BOM","EXCELENTE")))</f>
        <v/>
      </c>
      <c r="M2260" s="3" t="n">
        <v>0</v>
      </c>
      <c r="N2260" s="3" t="n">
        <v>97.92</v>
      </c>
      <c r="O2260" s="12" t="n">
        <v>32.87671232876712</v>
      </c>
    </row>
    <row r="2261">
      <c r="A2261" s="10" t="n">
        <v>46071</v>
      </c>
      <c r="B2261" t="inlineStr">
        <is>
          <t>Paulo Ricardo Santos</t>
        </is>
      </c>
      <c r="C2261" s="1" t="inlineStr">
        <is>
          <t>JR</t>
        </is>
      </c>
      <c r="D2261" s="3" t="n">
        <v>0</v>
      </c>
      <c r="E2261" s="3" t="n">
        <v>0</v>
      </c>
      <c r="F2261" s="3" t="n">
        <v>0</v>
      </c>
      <c r="G2261" s="3" t="n">
        <v>0</v>
      </c>
      <c r="H2261" s="3" t="n">
        <v>0</v>
      </c>
      <c r="I2261" s="3" t="n">
        <v>0</v>
      </c>
      <c r="J2261" s="3" t="n">
        <v>0</v>
      </c>
      <c r="K2261" s="3" t="n">
        <v>0</v>
      </c>
      <c r="L2261" s="3">
        <f>IF(K2261&lt;-5,"CRÍTICO",IF(K2261&lt;0,"ATENÇÃO",IF(K2261&lt;=5,"BOM","EXCELENTE")))</f>
        <v/>
      </c>
      <c r="M2261" s="3" t="n">
        <v>0</v>
      </c>
      <c r="N2261" s="3" t="n">
        <v>0</v>
      </c>
      <c r="O2261" s="12" t="n">
        <v>0</v>
      </c>
    </row>
    <row r="2262">
      <c r="A2262" s="10" t="n">
        <v>46071</v>
      </c>
      <c r="B2262" t="inlineStr">
        <is>
          <t>Pedro Luiz Mota Sousa</t>
        </is>
      </c>
      <c r="C2262" s="1" t="inlineStr">
        <is>
          <t>JR</t>
        </is>
      </c>
      <c r="D2262" s="3" t="n">
        <v>0</v>
      </c>
      <c r="E2262" s="3" t="n">
        <v>0</v>
      </c>
      <c r="F2262" s="3" t="n">
        <v>0</v>
      </c>
      <c r="G2262" s="3" t="n">
        <v>0</v>
      </c>
      <c r="H2262" s="3" t="n">
        <v>0</v>
      </c>
      <c r="I2262" s="3" t="n">
        <v>0</v>
      </c>
      <c r="J2262" s="3" t="n">
        <v>0</v>
      </c>
      <c r="K2262" s="3" t="n">
        <v>0</v>
      </c>
      <c r="L2262" s="3">
        <f>IF(K2262&lt;-5,"CRÍTICO",IF(K2262&lt;0,"ATENÇÃO",IF(K2262&lt;=5,"BOM","EXCELENTE")))</f>
        <v/>
      </c>
      <c r="M2262" s="3" t="n">
        <v>0</v>
      </c>
      <c r="N2262" s="3" t="n">
        <v>0</v>
      </c>
      <c r="O2262" s="12" t="n">
        <v>0</v>
      </c>
    </row>
    <row r="2263">
      <c r="A2263" s="10" t="n">
        <v>46071</v>
      </c>
      <c r="B2263" t="inlineStr">
        <is>
          <t>Quirino Diogo Leite Torres</t>
        </is>
      </c>
      <c r="C2263" s="1" t="inlineStr">
        <is>
          <t>Estágio</t>
        </is>
      </c>
      <c r="D2263" s="3" t="n">
        <v>0</v>
      </c>
      <c r="E2263" s="3" t="n">
        <v>0</v>
      </c>
      <c r="F2263" s="3" t="n">
        <v>0</v>
      </c>
      <c r="G2263" s="3" t="n">
        <v>0</v>
      </c>
      <c r="H2263" s="3" t="n">
        <v>0</v>
      </c>
      <c r="I2263" s="3" t="n">
        <v>0</v>
      </c>
      <c r="J2263" s="3" t="n">
        <v>0</v>
      </c>
      <c r="K2263" s="3" t="n">
        <v>0</v>
      </c>
      <c r="L2263" s="3">
        <f>IF(K2263&lt;-5,"CRÍTICO",IF(K2263&lt;0,"ATENÇÃO",IF(K2263&lt;=5,"BOM","EXCELENTE")))</f>
        <v/>
      </c>
      <c r="M2263" s="3" t="n">
        <v>0</v>
      </c>
      <c r="N2263" s="3" t="n">
        <v>0</v>
      </c>
      <c r="O2263" s="12" t="n">
        <v>0</v>
      </c>
    </row>
    <row r="2264">
      <c r="A2264" s="10" t="n">
        <v>46071</v>
      </c>
      <c r="B2264" t="inlineStr">
        <is>
          <t>Raane Batista Matos</t>
        </is>
      </c>
      <c r="C2264" s="1" t="inlineStr">
        <is>
          <t>Técnico I</t>
        </is>
      </c>
      <c r="D2264" s="3" t="n">
        <v>34</v>
      </c>
      <c r="E2264" s="3" t="n">
        <v>34</v>
      </c>
      <c r="F2264" s="3" t="n">
        <v>19.14</v>
      </c>
      <c r="G2264" s="3" t="n">
        <v>0</v>
      </c>
      <c r="H2264" s="3" t="n">
        <v>0</v>
      </c>
      <c r="I2264" s="3">
        <f>E2264+G2264+H2264</f>
        <v/>
      </c>
      <c r="J2264" s="3">
        <f>ROUND(MIN(IF(C2264="Técnico III",35,IF(C2264="Técnico II",28,IF(C2264="Técnico I",23,IF(C2264="JR",20,IF(C2264="Estágio",10,0))))),IF(C2264="Técnico III",SUMIFS($D:$D,$A:$A,$A2264,$B:$B,"&lt;&gt;Patrícia Karla de Sousa Araújo",$B:$B,"&lt;&gt;Lorena Dias de Araujo",$B:$B,"&lt;&gt;Lucas Luiz Romero")*(35/1083),IF(C2264="Técnico II",SUMIFS($D:$D,$A:$A,$A2264,$B:$B,"&lt;&gt;Patrícia Karla de Sousa Araújo",$B:$B,"&lt;&gt;Lorena Dias de Araujo",$B:$B,"&lt;&gt;Lucas Luiz Romero")*(28/1083),IF(C2264="Técnico I",SUMIFS($D:$D,$A:$A,$A2264,$B:$B,"&lt;&gt;Patrícia Karla de Sousa Araújo",$B:$B,"&lt;&gt;Lorena Dias de Araujo",$B:$B,"&lt;&gt;Lucas Luiz Romero")*(23/1083),IF(C2264="JR",SUMIFS($D:$D,$A:$A,$A2264,$B:$B,"&lt;&gt;Patrícia Karla de Sousa Araújo",$B:$B,"&lt;&gt;Lorena Dias de Araujo",$B:$B,"&lt;&gt;Lucas Luiz Romero")*(20/1083),IF(C2264="Estágio",SUMIFS($D:$D,$A:$A,$A2264,$B:$B,"&lt;&gt;Patrícia Karla de Sousa Araújo",$B:$B,"&lt;&gt;Lorena Dias de Araujo",$B:$B,"&lt;&gt;Lucas Luiz Romero")*(10/1083),0)))))),0)</f>
        <v/>
      </c>
      <c r="K2264" s="3">
        <f>I2264-J2264</f>
        <v/>
      </c>
      <c r="L2264" s="3">
        <f>IF(K2264&lt;-5,"CRÍTICO",IF(K2264&lt;0,"ATENÇÃO",IF(K2264&lt;=5,"BOM","EXCELENTE")))</f>
        <v/>
      </c>
      <c r="M2264" s="3" t="n">
        <v>27</v>
      </c>
      <c r="N2264" s="3" t="n">
        <v>98.51000000000001</v>
      </c>
      <c r="O2264" s="12" t="n">
        <v>29.71014492753623</v>
      </c>
    </row>
    <row r="2265">
      <c r="A2265" s="10" t="n">
        <v>46071</v>
      </c>
      <c r="B2265" t="inlineStr">
        <is>
          <t>Rafael Gomes de Morais</t>
        </is>
      </c>
      <c r="C2265" s="1" t="inlineStr">
        <is>
          <t>Técnico III</t>
        </is>
      </c>
      <c r="D2265" s="3" t="n">
        <v>43</v>
      </c>
      <c r="E2265" s="3" t="n">
        <v>41</v>
      </c>
      <c r="F2265" s="3" t="n">
        <v>18.46</v>
      </c>
      <c r="G2265" s="3" t="n">
        <v>0</v>
      </c>
      <c r="H2265" s="3" t="n">
        <v>0</v>
      </c>
      <c r="I2265" s="3">
        <f>E2265+G2265+H2265</f>
        <v/>
      </c>
      <c r="J2265" s="3">
        <f>ROUND(MIN(IF(C2265="Técnico III",35,IF(C2265="Técnico II",28,IF(C2265="Técnico I",23,IF(C2265="JR",20,IF(C2265="Estágio",10,0))))),IF(C2265="Técnico III",SUMIFS($D:$D,$A:$A,$A2265,$B:$B,"&lt;&gt;Patrícia Karla de Sousa Araújo",$B:$B,"&lt;&gt;Lorena Dias de Araujo",$B:$B,"&lt;&gt;Lucas Luiz Romero")*(35/1083),IF(C2265="Técnico II",SUMIFS($D:$D,$A:$A,$A2265,$B:$B,"&lt;&gt;Patrícia Karla de Sousa Araújo",$B:$B,"&lt;&gt;Lorena Dias de Araujo",$B:$B,"&lt;&gt;Lucas Luiz Romero")*(28/1083),IF(C2265="Técnico I",SUMIFS($D:$D,$A:$A,$A2265,$B:$B,"&lt;&gt;Patrícia Karla de Sousa Araújo",$B:$B,"&lt;&gt;Lorena Dias de Araujo",$B:$B,"&lt;&gt;Lucas Luiz Romero")*(23/1083),IF(C2265="JR",SUMIFS($D:$D,$A:$A,$A2265,$B:$B,"&lt;&gt;Patrícia Karla de Sousa Araújo",$B:$B,"&lt;&gt;Lorena Dias de Araujo",$B:$B,"&lt;&gt;Lucas Luiz Romero")*(20/1083),IF(C2265="Estágio",SUMIFS($D:$D,$A:$A,$A2265,$B:$B,"&lt;&gt;Patrícia Karla de Sousa Araújo",$B:$B,"&lt;&gt;Lorena Dias de Araujo",$B:$B,"&lt;&gt;Lucas Luiz Romero")*(10/1083),0)))))),0)</f>
        <v/>
      </c>
      <c r="K2265" s="3">
        <f>I2265-J2265</f>
        <v/>
      </c>
      <c r="L2265" s="3">
        <f>IF(K2265&lt;-5,"CRÍTICO",IF(K2265&lt;0,"ATENÇÃO",IF(K2265&lt;=5,"BOM","EXCELENTE")))</f>
        <v/>
      </c>
      <c r="M2265" s="3" t="n">
        <v>36</v>
      </c>
      <c r="N2265" s="3" t="n">
        <v>98.81</v>
      </c>
      <c r="O2265" s="12" t="n">
        <v>30.71297989031079</v>
      </c>
    </row>
    <row r="2266">
      <c r="A2266" s="10" t="n">
        <v>46071</v>
      </c>
      <c r="B2266" t="inlineStr">
        <is>
          <t>Sara Maria Monteiro Lopes</t>
        </is>
      </c>
      <c r="C2266" s="1" t="inlineStr">
        <is>
          <t>Técnico I</t>
        </is>
      </c>
      <c r="D2266" s="3" t="n">
        <v>10</v>
      </c>
      <c r="E2266" s="3" t="n">
        <v>10</v>
      </c>
      <c r="F2266" s="3" t="n">
        <v>68.56999999999999</v>
      </c>
      <c r="G2266" s="3" t="n">
        <v>0</v>
      </c>
      <c r="H2266" s="3" t="n">
        <v>0</v>
      </c>
      <c r="I2266" s="3">
        <f>E2266+G2266+H2266</f>
        <v/>
      </c>
      <c r="J2266" s="3">
        <f>ROUND(MIN(IF(C2266="Técnico III",35,IF(C2266="Técnico II",28,IF(C2266="Técnico I",23,IF(C2266="JR",20,IF(C2266="Estágio",10,0))))),IF(C2266="Técnico III",SUMIFS($D:$D,$A:$A,$A2266,$B:$B,"&lt;&gt;Patrícia Karla de Sousa Araújo",$B:$B,"&lt;&gt;Lorena Dias de Araujo",$B:$B,"&lt;&gt;Lucas Luiz Romero")*(35/1083),IF(C2266="Técnico II",SUMIFS($D:$D,$A:$A,$A2266,$B:$B,"&lt;&gt;Patrícia Karla de Sousa Araújo",$B:$B,"&lt;&gt;Lorena Dias de Araujo",$B:$B,"&lt;&gt;Lucas Luiz Romero")*(28/1083),IF(C2266="Técnico I",SUMIFS($D:$D,$A:$A,$A2266,$B:$B,"&lt;&gt;Patrícia Karla de Sousa Araújo",$B:$B,"&lt;&gt;Lorena Dias de Araujo",$B:$B,"&lt;&gt;Lucas Luiz Romero")*(23/1083),IF(C2266="JR",SUMIFS($D:$D,$A:$A,$A2266,$B:$B,"&lt;&gt;Patrícia Karla de Sousa Araújo",$B:$B,"&lt;&gt;Lorena Dias de Araujo",$B:$B,"&lt;&gt;Lucas Luiz Romero")*(20/1083),IF(C2266="Estágio",SUMIFS($D:$D,$A:$A,$A2266,$B:$B,"&lt;&gt;Patrícia Karla de Sousa Araújo",$B:$B,"&lt;&gt;Lorena Dias de Araujo",$B:$B,"&lt;&gt;Lucas Luiz Romero")*(10/1083),0)))))),0)</f>
        <v/>
      </c>
      <c r="K2266" s="3">
        <f>I2266-J2266</f>
        <v/>
      </c>
      <c r="L2266" s="3">
        <f>IF(K2266&lt;-5,"CRÍTICO",IF(K2266&lt;0,"ATENÇÃO",IF(K2266&lt;=5,"BOM","EXCELENTE")))</f>
        <v/>
      </c>
      <c r="M2266" s="3" t="n">
        <v>8</v>
      </c>
      <c r="N2266" s="3" t="n">
        <v>98.48</v>
      </c>
      <c r="O2266" s="12" t="n">
        <v>29.35323383084577</v>
      </c>
    </row>
    <row r="2267">
      <c r="A2267" s="10" t="n">
        <v>46071</v>
      </c>
      <c r="B2267" t="inlineStr">
        <is>
          <t>Sarah Steffanie de Lima Borges</t>
        </is>
      </c>
      <c r="C2267" s="1" t="inlineStr">
        <is>
          <t>Técnico III</t>
        </is>
      </c>
      <c r="D2267" s="3" t="n">
        <v>28</v>
      </c>
      <c r="E2267" s="3" t="n">
        <v>26</v>
      </c>
      <c r="F2267" s="3" t="n">
        <v>17.08</v>
      </c>
      <c r="G2267" s="3" t="n">
        <v>0</v>
      </c>
      <c r="H2267" s="3" t="n">
        <v>0</v>
      </c>
      <c r="I2267" s="3">
        <f>E2267+G2267+H2267</f>
        <v/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/>
      </c>
      <c r="K2267" s="3">
        <f>I2267-J2267</f>
        <v/>
      </c>
      <c r="L2267" s="3">
        <f>IF(K2267&lt;-5,"CRÍTICO",IF(K2267&lt;0,"ATENÇÃO",IF(K2267&lt;=5,"BOM","EXCELENTE")))</f>
        <v/>
      </c>
      <c r="M2267" s="3" t="n">
        <v>24</v>
      </c>
      <c r="N2267" s="3" t="n">
        <v>98.56</v>
      </c>
      <c r="O2267" s="12" t="n">
        <v>29.37365010799136</v>
      </c>
    </row>
    <row r="2268">
      <c r="A2268" s="10" t="n">
        <v>46072</v>
      </c>
      <c r="B2268" t="inlineStr">
        <is>
          <t>Alisson de Freitas Silva</t>
        </is>
      </c>
      <c r="C2268" s="1" t="inlineStr">
        <is>
          <t>Técnico II</t>
        </is>
      </c>
      <c r="D2268" s="3" t="n">
        <v>18</v>
      </c>
      <c r="E2268" s="3" t="n">
        <v>15</v>
      </c>
      <c r="F2268" s="3" t="n">
        <v>28.36</v>
      </c>
      <c r="G2268" s="3" t="n">
        <v>0</v>
      </c>
      <c r="H2268" s="3" t="n">
        <v>0</v>
      </c>
      <c r="I2268" s="3">
        <f>E2268+G2268+H2268</f>
        <v/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/>
      </c>
      <c r="K2268" s="3">
        <f>I2268-J2268</f>
        <v/>
      </c>
      <c r="L2268" s="3">
        <f>IF(K2268&lt;-5,"CRÍTICO",IF(K2268&lt;0,"ATENÇÃO",IF(K2268&lt;=5,"BOM","EXCELENTE")))</f>
        <v/>
      </c>
      <c r="M2268" s="3" t="n">
        <v>12</v>
      </c>
      <c r="N2268" s="3" t="n">
        <v>98.31999999999999</v>
      </c>
      <c r="O2268" s="12" t="n">
        <v>30.3030303030303</v>
      </c>
    </row>
    <row r="2269">
      <c r="A2269" s="10" t="n">
        <v>46072</v>
      </c>
      <c r="B2269" t="inlineStr">
        <is>
          <t>Amanda Moura Ferreira</t>
        </is>
      </c>
      <c r="C2269" s="1" t="inlineStr">
        <is>
          <t>Técnico III</t>
        </is>
      </c>
      <c r="D2269" s="3" t="n">
        <v>0</v>
      </c>
      <c r="E2269" s="3" t="n">
        <v>0</v>
      </c>
      <c r="F2269" s="3" t="n">
        <v>0</v>
      </c>
      <c r="G2269" s="3" t="n">
        <v>0</v>
      </c>
      <c r="H2269" s="3" t="n">
        <v>0</v>
      </c>
      <c r="I2269" s="3" t="n">
        <v>0</v>
      </c>
      <c r="J2269" s="3" t="n">
        <v>0</v>
      </c>
      <c r="K2269" s="3" t="n">
        <v>0</v>
      </c>
      <c r="L2269" s="3">
        <f>IF(K2269&lt;-5,"CRÍTICO",IF(K2269&lt;0,"ATENÇÃO",IF(K2269&lt;=5,"BOM","EXCELENTE")))</f>
        <v/>
      </c>
      <c r="M2269" s="3" t="n">
        <v>21</v>
      </c>
      <c r="N2269" s="3" t="n">
        <v>98.68000000000001</v>
      </c>
      <c r="O2269" s="12" t="n">
        <v>26.21951219512195</v>
      </c>
    </row>
    <row r="2270">
      <c r="A2270" s="10" t="n">
        <v>46072</v>
      </c>
      <c r="B2270" t="inlineStr">
        <is>
          <t>Ana Karollyne Souza Faria</t>
        </is>
      </c>
      <c r="C2270" s="1" t="inlineStr">
        <is>
          <t>Técnico I</t>
        </is>
      </c>
      <c r="D2270" s="3" t="n">
        <v>14</v>
      </c>
      <c r="E2270" s="3" t="n">
        <v>14</v>
      </c>
      <c r="F2270" s="3" t="n">
        <v>52.3</v>
      </c>
      <c r="G2270" s="3" t="n">
        <v>0</v>
      </c>
      <c r="H2270" s="3" t="n">
        <v>0</v>
      </c>
      <c r="I2270" s="3">
        <f>E2270+G2270+H2270</f>
        <v/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/>
      </c>
      <c r="K2270" s="3">
        <f>I2270-J2270</f>
        <v/>
      </c>
      <c r="L2270" s="3">
        <f>IF(K2270&lt;-5,"CRÍTICO",IF(K2270&lt;0,"ATENÇÃO",IF(K2270&lt;=5,"BOM","EXCELENTE")))</f>
        <v/>
      </c>
      <c r="M2270" s="3" t="n">
        <v>14</v>
      </c>
      <c r="N2270" s="3" t="n">
        <v>100</v>
      </c>
      <c r="O2270" s="12" t="n">
        <v>31.74224343675418</v>
      </c>
    </row>
    <row r="2271">
      <c r="A2271" s="10" t="n">
        <v>46072</v>
      </c>
      <c r="B2271" t="inlineStr">
        <is>
          <t>Ana Paula Da Luz Silva Aleixo</t>
        </is>
      </c>
      <c r="C2271" s="1" t="inlineStr">
        <is>
          <t>Técnico III</t>
        </is>
      </c>
      <c r="D2271" s="3" t="n">
        <v>30</v>
      </c>
      <c r="E2271" s="3" t="n">
        <v>28</v>
      </c>
      <c r="F2271" s="3" t="n">
        <v>25.44</v>
      </c>
      <c r="G2271" s="3" t="n">
        <v>0</v>
      </c>
      <c r="H2271" s="3" t="n">
        <v>0</v>
      </c>
      <c r="I2271" s="3">
        <f>E2271+G2271+H2271</f>
        <v/>
      </c>
      <c r="J2271" s="3">
        <f>ROUND(MIN(IF(C2271="Técnico III",35,IF(C2271="Técnico II",28,IF(C2271="Técnico I",23,IF(C2271="JR",20,IF(C2271="Estágio",10,0))))),IF(C2271="Técnico III",SUMIFS($D:$D,$A:$A,$A2271,$B:$B,"&lt;&gt;Patrícia Karla de Sousa Araújo",$B:$B,"&lt;&gt;Lorena Dias de Araujo",$B:$B,"&lt;&gt;Lucas Luiz Romero")*(35/1083),IF(C2271="Técnico II",SUMIFS($D:$D,$A:$A,$A2271,$B:$B,"&lt;&gt;Patrícia Karla de Sousa Araújo",$B:$B,"&lt;&gt;Lorena Dias de Araujo",$B:$B,"&lt;&gt;Lucas Luiz Romero")*(28/1083),IF(C2271="Técnico I",SUMIFS($D:$D,$A:$A,$A2271,$B:$B,"&lt;&gt;Patrícia Karla de Sousa Araújo",$B:$B,"&lt;&gt;Lorena Dias de Araujo",$B:$B,"&lt;&gt;Lucas Luiz Romero")*(23/1083),IF(C2271="JR",SUMIFS($D:$D,$A:$A,$A2271,$B:$B,"&lt;&gt;Patrícia Karla de Sousa Araújo",$B:$B,"&lt;&gt;Lorena Dias de Araujo",$B:$B,"&lt;&gt;Lucas Luiz Romero")*(20/1083),IF(C2271="Estágio",SUMIFS($D:$D,$A:$A,$A2271,$B:$B,"&lt;&gt;Patrícia Karla de Sousa Araújo",$B:$B,"&lt;&gt;Lorena Dias de Araujo",$B:$B,"&lt;&gt;Lucas Luiz Romero")*(10/1083),0)))))),0)</f>
        <v/>
      </c>
      <c r="K2271" s="3">
        <f>I2271-J2271</f>
        <v/>
      </c>
      <c r="L2271" s="3">
        <f>IF(K2271&lt;-5,"CRÍTICO",IF(K2271&lt;0,"ATENÇÃO",IF(K2271&lt;=5,"BOM","EXCELENTE")))</f>
        <v/>
      </c>
      <c r="M2271" s="3" t="n">
        <v>31</v>
      </c>
      <c r="N2271" s="3" t="n">
        <v>98.25</v>
      </c>
      <c r="O2271" s="12" t="n">
        <v>25.83518930957684</v>
      </c>
    </row>
    <row r="2272">
      <c r="A2272" s="10" t="n">
        <v>46072</v>
      </c>
      <c r="B2272" t="inlineStr">
        <is>
          <t>Anna Luiza Rezende Tavares</t>
        </is>
      </c>
      <c r="C2272" s="1" t="inlineStr">
        <is>
          <t>Estágio</t>
        </is>
      </c>
      <c r="D2272" s="3" t="n">
        <v>5</v>
      </c>
      <c r="E2272" s="3" t="n">
        <v>4</v>
      </c>
      <c r="F2272" s="3" t="n">
        <v>83.41</v>
      </c>
      <c r="G2272" s="3" t="n">
        <v>0</v>
      </c>
      <c r="H2272" s="3" t="n">
        <v>0</v>
      </c>
      <c r="I2272" s="3">
        <f>E2272+G2272+H2272</f>
        <v/>
      </c>
      <c r="J2272" s="3">
        <f>ROUND(MIN(IF(C2272="Técnico III",35,IF(C2272="Técnico II",28,IF(C2272="Técnico I",23,IF(C2272="JR",20,IF(C2272="Estágio",10,0))))),IF(C2272="Técnico III",SUMIFS($D:$D,$A:$A,$A2272,$B:$B,"&lt;&gt;Patrícia Karla de Sousa Araújo",$B:$B,"&lt;&gt;Lorena Dias de Araujo",$B:$B,"&lt;&gt;Lucas Luiz Romero")*(35/1083),IF(C2272="Técnico II",SUMIFS($D:$D,$A:$A,$A2272,$B:$B,"&lt;&gt;Patrícia Karla de Sousa Araújo",$B:$B,"&lt;&gt;Lorena Dias de Araujo",$B:$B,"&lt;&gt;Lucas Luiz Romero")*(28/1083),IF(C2272="Técnico I",SUMIFS($D:$D,$A:$A,$A2272,$B:$B,"&lt;&gt;Patrícia Karla de Sousa Araújo",$B:$B,"&lt;&gt;Lorena Dias de Araujo",$B:$B,"&lt;&gt;Lucas Luiz Romero")*(23/1083),IF(C2272="JR",SUMIFS($D:$D,$A:$A,$A2272,$B:$B,"&lt;&gt;Patrícia Karla de Sousa Araújo",$B:$B,"&lt;&gt;Lorena Dias de Araujo",$B:$B,"&lt;&gt;Lucas Luiz Romero")*(20/1083),IF(C2272="Estágio",SUMIFS($D:$D,$A:$A,$A2272,$B:$B,"&lt;&gt;Patrícia Karla de Sousa Araújo",$B:$B,"&lt;&gt;Lorena Dias de Araujo",$B:$B,"&lt;&gt;Lucas Luiz Romero")*(10/1083),0)))))),0)</f>
        <v/>
      </c>
      <c r="K2272" s="3">
        <f>I2272-J2272</f>
        <v/>
      </c>
      <c r="L2272" s="3">
        <f>IF(K2272&lt;-5,"CRÍTICO",IF(K2272&lt;0,"ATENÇÃO",IF(K2272&lt;=5,"BOM","EXCELENTE")))</f>
        <v/>
      </c>
      <c r="M2272" s="3" t="n">
        <v>5</v>
      </c>
      <c r="N2272" s="3" t="n">
        <v>97.5</v>
      </c>
      <c r="O2272" s="12" t="n">
        <v>30.07518796992481</v>
      </c>
    </row>
    <row r="2273">
      <c r="A2273" s="10" t="n">
        <v>46072</v>
      </c>
      <c r="B2273" t="inlineStr">
        <is>
          <t>Brenda de Menezes Silva</t>
        </is>
      </c>
      <c r="C2273" s="1" t="inlineStr">
        <is>
          <t>Técnico II</t>
        </is>
      </c>
      <c r="D2273" s="3" t="n">
        <v>28</v>
      </c>
      <c r="E2273" s="3" t="n">
        <v>23</v>
      </c>
      <c r="F2273" s="3" t="n">
        <v>18.54</v>
      </c>
      <c r="G2273" s="3" t="n">
        <v>0</v>
      </c>
      <c r="H2273" s="3" t="n">
        <v>0</v>
      </c>
      <c r="I2273" s="3">
        <f>E2273+G2273+H2273</f>
        <v/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/>
      </c>
      <c r="K2273" s="3">
        <f>I2273-J2273</f>
        <v/>
      </c>
      <c r="L2273" s="3">
        <f>IF(K2273&lt;-5,"CRÍTICO",IF(K2273&lt;0,"ATENÇÃO",IF(K2273&lt;=5,"BOM","EXCELENTE")))</f>
        <v/>
      </c>
      <c r="M2273" s="3" t="n">
        <v>25</v>
      </c>
      <c r="N2273" s="3" t="n">
        <v>100</v>
      </c>
      <c r="O2273" s="12" t="n">
        <v>29.71311475409836</v>
      </c>
    </row>
    <row r="2274">
      <c r="A2274" s="10" t="n">
        <v>46072</v>
      </c>
      <c r="B2274" t="inlineStr">
        <is>
          <t>Carlos Mateus Cassimiro Nunes</t>
        </is>
      </c>
      <c r="C2274" s="1" t="inlineStr">
        <is>
          <t>Técnico II</t>
        </is>
      </c>
      <c r="D2274" s="3" t="n">
        <v>11</v>
      </c>
      <c r="E2274" s="3" t="n">
        <v>11</v>
      </c>
      <c r="F2274" s="3" t="n">
        <v>38.36</v>
      </c>
      <c r="G2274" s="3" t="n">
        <v>0</v>
      </c>
      <c r="H2274" s="3" t="n">
        <v>0</v>
      </c>
      <c r="I2274" s="3">
        <f>E2274+G2274+H2274</f>
        <v/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/>
      </c>
      <c r="K2274" s="3">
        <f>I2274-J2274</f>
        <v/>
      </c>
      <c r="L2274" s="3">
        <f>IF(K2274&lt;-5,"CRÍTICO",IF(K2274&lt;0,"ATENÇÃO",IF(K2274&lt;=5,"BOM","EXCELENTE")))</f>
        <v/>
      </c>
      <c r="M2274" s="3" t="n">
        <v>11</v>
      </c>
      <c r="N2274" s="3" t="n">
        <v>99.22</v>
      </c>
      <c r="O2274" s="12" t="n">
        <v>35.25641025641026</v>
      </c>
    </row>
    <row r="2275">
      <c r="A2275" s="10" t="n">
        <v>46072</v>
      </c>
      <c r="B2275" t="inlineStr">
        <is>
          <t>Claudio de Sousa Velasco Filho</t>
        </is>
      </c>
      <c r="C2275" s="1" t="inlineStr">
        <is>
          <t>Estágio</t>
        </is>
      </c>
      <c r="D2275" s="3" t="n">
        <v>0</v>
      </c>
      <c r="E2275" s="3" t="n">
        <v>0</v>
      </c>
      <c r="F2275" s="3" t="n">
        <v>0</v>
      </c>
      <c r="G2275" s="3" t="n">
        <v>0</v>
      </c>
      <c r="H2275" s="3" t="n">
        <v>0</v>
      </c>
      <c r="I2275" s="3" t="n">
        <v>0</v>
      </c>
      <c r="J2275" s="3" t="n">
        <v>0</v>
      </c>
      <c r="K2275" s="3" t="n">
        <v>0</v>
      </c>
      <c r="L2275" s="3">
        <f>IF(K2275&lt;-5,"CRÍTICO",IF(K2275&lt;0,"ATENÇÃO",IF(K2275&lt;=5,"BOM","EXCELENTE")))</f>
        <v/>
      </c>
      <c r="M2275" s="3" t="n">
        <v>0</v>
      </c>
      <c r="N2275" s="3" t="n">
        <v>0</v>
      </c>
      <c r="O2275" s="12" t="n">
        <v>0</v>
      </c>
    </row>
    <row r="2276">
      <c r="A2276" s="10" t="n">
        <v>46072</v>
      </c>
      <c r="B2276" t="inlineStr">
        <is>
          <t>Clessiane Pereira dos Santos</t>
        </is>
      </c>
      <c r="C2276" s="1" t="inlineStr">
        <is>
          <t>Técnico I</t>
        </is>
      </c>
      <c r="D2276" s="3" t="n">
        <v>21</v>
      </c>
      <c r="E2276" s="3" t="n">
        <v>18</v>
      </c>
      <c r="F2276" s="3" t="n">
        <v>22.18</v>
      </c>
      <c r="G2276" s="3" t="n">
        <v>0</v>
      </c>
      <c r="H2276" s="3" t="n">
        <v>0</v>
      </c>
      <c r="I2276" s="3">
        <f>E2276+G2276+H2276</f>
        <v/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/>
      </c>
      <c r="K2276" s="3">
        <f>I2276-J2276</f>
        <v/>
      </c>
      <c r="L2276" s="3">
        <f>IF(K2276&lt;-5,"CRÍTICO",IF(K2276&lt;0,"ATENÇÃO",IF(K2276&lt;=5,"BOM","EXCELENTE")))</f>
        <v/>
      </c>
      <c r="M2276" s="3" t="n">
        <v>16</v>
      </c>
      <c r="N2276" s="3" t="n">
        <v>98.75</v>
      </c>
      <c r="O2276" s="12" t="n">
        <v>24.32432432432433</v>
      </c>
    </row>
    <row r="2277">
      <c r="A2277" s="10" t="n">
        <v>46072</v>
      </c>
      <c r="B2277" t="inlineStr">
        <is>
          <t>Cristiane Ramos da Silva Rocha</t>
        </is>
      </c>
      <c r="C2277" s="1" t="inlineStr">
        <is>
          <t>Técnico III</t>
        </is>
      </c>
      <c r="D2277" s="3" t="n">
        <v>42</v>
      </c>
      <c r="E2277" s="3" t="n">
        <v>40</v>
      </c>
      <c r="F2277" s="3" t="n">
        <v>13.28</v>
      </c>
      <c r="G2277" s="3" t="n">
        <v>0</v>
      </c>
      <c r="H2277" s="3" t="n">
        <v>0</v>
      </c>
      <c r="I2277" s="3">
        <f>E2277+G2277+H2277</f>
        <v/>
      </c>
      <c r="J2277" s="3">
        <f>ROUND(MIN(IF(C2277="Técnico III",35,IF(C2277="Técnico II",28,IF(C2277="Técnico I",23,IF(C2277="JR",20,IF(C2277="Estágio",10,0))))),IF(C2277="Técnico III",SUMIFS($D:$D,$A:$A,$A2277,$B:$B,"&lt;&gt;Patrícia Karla de Sousa Araújo",$B:$B,"&lt;&gt;Lorena Dias de Araujo",$B:$B,"&lt;&gt;Lucas Luiz Romero")*(35/1083),IF(C2277="Técnico II",SUMIFS($D:$D,$A:$A,$A2277,$B:$B,"&lt;&gt;Patrícia Karla de Sousa Araújo",$B:$B,"&lt;&gt;Lorena Dias de Araujo",$B:$B,"&lt;&gt;Lucas Luiz Romero")*(28/1083),IF(C2277="Técnico I",SUMIFS($D:$D,$A:$A,$A2277,$B:$B,"&lt;&gt;Patrícia Karla de Sousa Araújo",$B:$B,"&lt;&gt;Lorena Dias de Araujo",$B:$B,"&lt;&gt;Lucas Luiz Romero")*(23/1083),IF(C2277="JR",SUMIFS($D:$D,$A:$A,$A2277,$B:$B,"&lt;&gt;Patrícia Karla de Sousa Araújo",$B:$B,"&lt;&gt;Lorena Dias de Araujo",$B:$B,"&lt;&gt;Lucas Luiz Romero")*(20/1083),IF(C2277="Estágio",SUMIFS($D:$D,$A:$A,$A2277,$B:$B,"&lt;&gt;Patrícia Karla de Sousa Araújo",$B:$B,"&lt;&gt;Lorena Dias de Araujo",$B:$B,"&lt;&gt;Lucas Luiz Romero")*(10/1083),0)))))),0)</f>
        <v/>
      </c>
      <c r="K2277" s="3">
        <f>I2277-J2277</f>
        <v/>
      </c>
      <c r="L2277" s="3">
        <f>IF(K2277&lt;-5,"CRÍTICO",IF(K2277&lt;0,"ATENÇÃO",IF(K2277&lt;=5,"BOM","EXCELENTE")))</f>
        <v/>
      </c>
      <c r="M2277" s="3" t="n">
        <v>31</v>
      </c>
      <c r="N2277" s="3" t="n">
        <v>93.48</v>
      </c>
      <c r="O2277" s="12" t="n">
        <v>31.52804642166344</v>
      </c>
    </row>
    <row r="2278">
      <c r="A2278" s="10" t="n">
        <v>46072</v>
      </c>
      <c r="B2278" t="inlineStr">
        <is>
          <t>Damyllis Lorraine de Oliveira Gonçalves</t>
        </is>
      </c>
      <c r="C2278" s="1" t="inlineStr">
        <is>
          <t>Técnico II</t>
        </is>
      </c>
      <c r="D2278" s="3" t="n">
        <v>35</v>
      </c>
      <c r="E2278" s="3" t="n">
        <v>30</v>
      </c>
      <c r="F2278" s="3" t="n">
        <v>22.16</v>
      </c>
      <c r="G2278" s="3" t="n">
        <v>0</v>
      </c>
      <c r="H2278" s="3" t="n">
        <v>0</v>
      </c>
      <c r="I2278" s="3" t="n">
        <v>0</v>
      </c>
      <c r="J2278" s="3" t="n">
        <v>0</v>
      </c>
      <c r="K2278" s="3" t="n">
        <v>0</v>
      </c>
      <c r="L2278" s="3">
        <f>IF(K2278&lt;-5,"CRÍTICO",IF(K2278&lt;0,"ATENÇÃO",IF(K2278&lt;=5,"BOM","EXCELENTE")))</f>
        <v/>
      </c>
      <c r="M2278" s="3" t="n">
        <v>27</v>
      </c>
      <c r="N2278" s="3" t="n">
        <v>99.16</v>
      </c>
      <c r="O2278" s="12" t="n">
        <v>26.13908872901678</v>
      </c>
    </row>
    <row r="2279">
      <c r="A2279" s="10" t="n">
        <v>46072</v>
      </c>
      <c r="B2279" t="inlineStr">
        <is>
          <t>Daniel Gomes da Silva</t>
        </is>
      </c>
      <c r="C2279" s="1" t="inlineStr">
        <is>
          <t>Técnico I</t>
        </is>
      </c>
      <c r="D2279" s="3" t="n">
        <v>13</v>
      </c>
      <c r="E2279" s="3" t="n">
        <v>13</v>
      </c>
      <c r="F2279" s="3" t="n">
        <v>47.1</v>
      </c>
      <c r="G2279" s="3" t="n">
        <v>0</v>
      </c>
      <c r="H2279" s="3" t="n">
        <v>0</v>
      </c>
      <c r="I2279" s="3">
        <f>E2279+G2279+H2279</f>
        <v/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/>
      </c>
      <c r="K2279" s="3">
        <f>I2279-J2279</f>
        <v/>
      </c>
      <c r="L2279" s="3">
        <f>IF(K2279&lt;-5,"CRÍTICO",IF(K2279&lt;0,"ATENÇÃO",IF(K2279&lt;=5,"BOM","EXCELENTE")))</f>
        <v/>
      </c>
      <c r="M2279" s="3" t="n">
        <v>13</v>
      </c>
      <c r="N2279" s="3" t="n">
        <v>100</v>
      </c>
      <c r="O2279" s="12" t="n">
        <v>31.08974358974359</v>
      </c>
    </row>
    <row r="2280">
      <c r="A2280" s="10" t="n">
        <v>46072</v>
      </c>
      <c r="B2280" t="inlineStr">
        <is>
          <t>Davylla Rodrigues Freitas Silva</t>
        </is>
      </c>
      <c r="C2280" s="1" t="inlineStr">
        <is>
          <t>Técnico III</t>
        </is>
      </c>
      <c r="D2280" s="3" t="n">
        <v>23</v>
      </c>
      <c r="E2280" s="3" t="n">
        <v>23</v>
      </c>
      <c r="F2280" s="3" t="n">
        <v>35.42</v>
      </c>
      <c r="G2280" s="3" t="n">
        <v>0</v>
      </c>
      <c r="H2280" s="3" t="n">
        <v>0</v>
      </c>
      <c r="I2280" s="3" t="n">
        <v>0</v>
      </c>
      <c r="J2280" s="3" t="n">
        <v>0</v>
      </c>
      <c r="K2280" s="3" t="n">
        <v>0</v>
      </c>
      <c r="L2280" s="3">
        <f>IF(K2280&lt;-5,"CRÍTICO",IF(K2280&lt;0,"ATENÇÃO",IF(K2280&lt;=5,"BOM","EXCELENTE")))</f>
        <v/>
      </c>
      <c r="M2280" s="3" t="n">
        <v>24</v>
      </c>
      <c r="N2280" s="3" t="n">
        <v>98.11</v>
      </c>
      <c r="O2280" s="12" t="n">
        <v>33.03370786516854</v>
      </c>
    </row>
    <row r="2281">
      <c r="A2281" s="10" t="n">
        <v>46072</v>
      </c>
      <c r="B2281" t="inlineStr">
        <is>
          <t>Emilly Caylane Costa</t>
        </is>
      </c>
      <c r="C2281" s="1" t="inlineStr">
        <is>
          <t>Estágio</t>
        </is>
      </c>
      <c r="D2281" s="3" t="n">
        <v>10</v>
      </c>
      <c r="E2281" s="3" t="n">
        <v>9</v>
      </c>
      <c r="F2281" s="3" t="n">
        <v>33.51</v>
      </c>
      <c r="G2281" s="3" t="n">
        <v>0</v>
      </c>
      <c r="H2281" s="3" t="n">
        <v>0</v>
      </c>
      <c r="I2281" s="3">
        <f>E2281+G2281+H2281</f>
        <v/>
      </c>
      <c r="J2281" s="3">
        <f>ROUND(MIN(IF(C2281="Técnico III",35,IF(C2281="Técnico II",28,IF(C2281="Técnico I",23,IF(C2281="JR",20,IF(C2281="Estágio",10,0))))),IF(C2281="Técnico III",SUMIFS($D:$D,$A:$A,$A2281,$B:$B,"&lt;&gt;Patrícia Karla de Sousa Araújo",$B:$B,"&lt;&gt;Lorena Dias de Araujo",$B:$B,"&lt;&gt;Lucas Luiz Romero")*(35/1083),IF(C2281="Técnico II",SUMIFS($D:$D,$A:$A,$A2281,$B:$B,"&lt;&gt;Patrícia Karla de Sousa Araújo",$B:$B,"&lt;&gt;Lorena Dias de Araujo",$B:$B,"&lt;&gt;Lucas Luiz Romero")*(28/1083),IF(C2281="Técnico I",SUMIFS($D:$D,$A:$A,$A2281,$B:$B,"&lt;&gt;Patrícia Karla de Sousa Araújo",$B:$B,"&lt;&gt;Lorena Dias de Araujo",$B:$B,"&lt;&gt;Lucas Luiz Romero")*(23/1083),IF(C2281="JR",SUMIFS($D:$D,$A:$A,$A2281,$B:$B,"&lt;&gt;Patrícia Karla de Sousa Araújo",$B:$B,"&lt;&gt;Lorena Dias de Araujo",$B:$B,"&lt;&gt;Lucas Luiz Romero")*(20/1083),IF(C2281="Estágio",SUMIFS($D:$D,$A:$A,$A2281,$B:$B,"&lt;&gt;Patrícia Karla de Sousa Araújo",$B:$B,"&lt;&gt;Lorena Dias de Araujo",$B:$B,"&lt;&gt;Lucas Luiz Romero")*(10/1083),0)))))),0)</f>
        <v/>
      </c>
      <c r="K2281" s="3">
        <f>I2281-J2281</f>
        <v/>
      </c>
      <c r="L2281" s="3">
        <f>IF(K2281&lt;-5,"CRÍTICO",IF(K2281&lt;0,"ATENÇÃO",IF(K2281&lt;=5,"BOM","EXCELENTE")))</f>
        <v/>
      </c>
      <c r="M2281" s="3" t="n">
        <v>4</v>
      </c>
      <c r="N2281" s="3" t="n">
        <v>78.95</v>
      </c>
      <c r="O2281" s="12" t="n">
        <v>38.98305084745763</v>
      </c>
    </row>
    <row r="2282">
      <c r="A2282" s="10" t="n">
        <v>46072</v>
      </c>
      <c r="B2282" t="inlineStr">
        <is>
          <t>Emilly Kamilly Medeiros Miranda</t>
        </is>
      </c>
      <c r="C2282" s="1" t="inlineStr">
        <is>
          <t>Técnico II</t>
        </is>
      </c>
      <c r="D2282" s="3" t="n">
        <v>16</v>
      </c>
      <c r="E2282" s="3" t="n">
        <v>15</v>
      </c>
      <c r="F2282" s="3" t="n">
        <v>22.25</v>
      </c>
      <c r="G2282" s="3" t="n">
        <v>0</v>
      </c>
      <c r="H2282" s="3" t="n">
        <v>0</v>
      </c>
      <c r="I2282" s="3">
        <f>E2282+G2282+H2282</f>
        <v/>
      </c>
      <c r="J2282" s="3">
        <f>ROUND(MIN(IF(C2282="Técnico III",35,IF(C2282="Técnico II",28,IF(C2282="Técnico I",23,IF(C2282="JR",20,IF(C2282="Estágio",10,0))))),IF(C2282="Técnico III",SUMIFS($D:$D,$A:$A,$A2282,$B:$B,"&lt;&gt;Patrícia Karla de Sousa Araújo",$B:$B,"&lt;&gt;Lorena Dias de Araujo",$B:$B,"&lt;&gt;Lucas Luiz Romero")*(35/1083),IF(C2282="Técnico II",SUMIFS($D:$D,$A:$A,$A2282,$B:$B,"&lt;&gt;Patrícia Karla de Sousa Araújo",$B:$B,"&lt;&gt;Lorena Dias de Araujo",$B:$B,"&lt;&gt;Lucas Luiz Romero")*(28/1083),IF(C2282="Técnico I",SUMIFS($D:$D,$A:$A,$A2282,$B:$B,"&lt;&gt;Patrícia Karla de Sousa Araújo",$B:$B,"&lt;&gt;Lorena Dias de Araujo",$B:$B,"&lt;&gt;Lucas Luiz Romero")*(23/1083),IF(C2282="JR",SUMIFS($D:$D,$A:$A,$A2282,$B:$B,"&lt;&gt;Patrícia Karla de Sousa Araújo",$B:$B,"&lt;&gt;Lorena Dias de Araujo",$B:$B,"&lt;&gt;Lucas Luiz Romero")*(20/1083),IF(C2282="Estágio",SUMIFS($D:$D,$A:$A,$A2282,$B:$B,"&lt;&gt;Patrícia Karla de Sousa Araújo",$B:$B,"&lt;&gt;Lorena Dias de Araujo",$B:$B,"&lt;&gt;Lucas Luiz Romero")*(10/1083),0)))))),0)</f>
        <v/>
      </c>
      <c r="K2282" s="3">
        <f>I2282-J2282</f>
        <v/>
      </c>
      <c r="L2282" s="3">
        <f>IF(K2282&lt;-5,"CRÍTICO",IF(K2282&lt;0,"ATENÇÃO",IF(K2282&lt;=5,"BOM","EXCELENTE")))</f>
        <v/>
      </c>
      <c r="M2282" s="3" t="n">
        <v>13</v>
      </c>
      <c r="N2282" s="3" t="n">
        <v>98.45</v>
      </c>
      <c r="O2282" s="12" t="n">
        <v>29.2817679558011</v>
      </c>
    </row>
    <row r="2283">
      <c r="A2283" s="10" t="n">
        <v>46072</v>
      </c>
      <c r="B2283" t="inlineStr">
        <is>
          <t>Francielson de Oliveira</t>
        </is>
      </c>
      <c r="C2283" s="1" t="inlineStr">
        <is>
          <t>Técnico III</t>
        </is>
      </c>
      <c r="D2283" s="3" t="n">
        <v>22</v>
      </c>
      <c r="E2283" s="3" t="n">
        <v>21</v>
      </c>
      <c r="F2283" s="3" t="n">
        <v>20.17</v>
      </c>
      <c r="G2283" s="3" t="n">
        <v>0</v>
      </c>
      <c r="H2283" s="3" t="n">
        <v>0</v>
      </c>
      <c r="I2283" s="3">
        <f>E2283+G2283+H2283</f>
        <v/>
      </c>
      <c r="J2283" s="3">
        <f>ROUND(MIN(IF(C2283="Técnico III",35,IF(C2283="Técnico II",28,IF(C2283="Técnico I",23,IF(C2283="JR",20,IF(C2283="Estágio",10,0))))),IF(C2283="Técnico III",SUMIFS($D:$D,$A:$A,$A2283,$B:$B,"&lt;&gt;Patrícia Karla de Sousa Araújo",$B:$B,"&lt;&gt;Lorena Dias de Araujo",$B:$B,"&lt;&gt;Lucas Luiz Romero")*(35/1083),IF(C2283="Técnico II",SUMIFS($D:$D,$A:$A,$A2283,$B:$B,"&lt;&gt;Patrícia Karla de Sousa Araújo",$B:$B,"&lt;&gt;Lorena Dias de Araujo",$B:$B,"&lt;&gt;Lucas Luiz Romero")*(28/1083),IF(C2283="Técnico I",SUMIFS($D:$D,$A:$A,$A2283,$B:$B,"&lt;&gt;Patrícia Karla de Sousa Araújo",$B:$B,"&lt;&gt;Lorena Dias de Araujo",$B:$B,"&lt;&gt;Lucas Luiz Romero")*(23/1083),IF(C2283="JR",SUMIFS($D:$D,$A:$A,$A2283,$B:$B,"&lt;&gt;Patrícia Karla de Sousa Araújo",$B:$B,"&lt;&gt;Lorena Dias de Araujo",$B:$B,"&lt;&gt;Lucas Luiz Romero")*(20/1083),IF(C2283="Estágio",SUMIFS($D:$D,$A:$A,$A2283,$B:$B,"&lt;&gt;Patrícia Karla de Sousa Araújo",$B:$B,"&lt;&gt;Lorena Dias de Araujo",$B:$B,"&lt;&gt;Lucas Luiz Romero")*(10/1083),0)))))),0)</f>
        <v/>
      </c>
      <c r="K2283" s="3">
        <f>I2283-J2283</f>
        <v/>
      </c>
      <c r="L2283" s="3">
        <f>IF(K2283&lt;-5,"CRÍTICO",IF(K2283&lt;0,"ATENÇÃO",IF(K2283&lt;=5,"BOM","EXCELENTE")))</f>
        <v/>
      </c>
      <c r="M2283" s="3" t="n">
        <v>20</v>
      </c>
      <c r="N2283" s="3" t="n">
        <v>97.84</v>
      </c>
      <c r="O2283" s="12" t="n">
        <v>26.28205128205128</v>
      </c>
    </row>
    <row r="2284">
      <c r="A2284" s="10" t="n">
        <v>46072</v>
      </c>
      <c r="B2284" t="inlineStr">
        <is>
          <t>Francilene Ferreira de Jesus</t>
        </is>
      </c>
      <c r="C2284" s="1" t="inlineStr">
        <is>
          <t>Técnico II</t>
        </is>
      </c>
      <c r="D2284" s="3" t="n">
        <v>30</v>
      </c>
      <c r="E2284" s="3" t="n">
        <v>29</v>
      </c>
      <c r="F2284" s="3" t="n">
        <v>24.09</v>
      </c>
      <c r="G2284" s="3" t="n">
        <v>0</v>
      </c>
      <c r="H2284" s="3" t="n">
        <v>0</v>
      </c>
      <c r="I2284" s="3">
        <f>E2284+G2284+H2284</f>
        <v/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/>
      </c>
      <c r="K2284" s="3">
        <f>I2284-J2284</f>
        <v/>
      </c>
      <c r="L2284" s="3">
        <f>IF(K2284&lt;-5,"CRÍTICO",IF(K2284&lt;0,"ATENÇÃO",IF(K2284&lt;=5,"BOM","EXCELENTE")))</f>
        <v/>
      </c>
      <c r="M2284" s="3" t="n">
        <v>26</v>
      </c>
      <c r="N2284" s="3" t="n">
        <v>98.5</v>
      </c>
      <c r="O2284" s="12" t="n">
        <v>23.97769516728625</v>
      </c>
    </row>
    <row r="2285">
      <c r="A2285" s="10" t="n">
        <v>46106</v>
      </c>
      <c r="B2285" t="inlineStr">
        <is>
          <t>Gabriel Gomes de Andrade</t>
        </is>
      </c>
      <c r="C2285" s="1" t="inlineStr">
        <is>
          <t>Técnico I</t>
        </is>
      </c>
      <c r="D2285" s="3" t="n">
        <v>22</v>
      </c>
      <c r="E2285" s="3" t="n">
        <v>21</v>
      </c>
      <c r="F2285" s="3" t="n">
        <v>23.42</v>
      </c>
      <c r="G2285" s="3" t="n">
        <v>0</v>
      </c>
      <c r="H2285" s="3" t="n">
        <v>0</v>
      </c>
      <c r="I2285" s="3">
        <f>E2285+G2285+H2285</f>
        <v/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/>
      </c>
      <c r="K2285" s="3">
        <f>I2285-J2285</f>
        <v/>
      </c>
      <c r="L2285" s="3">
        <f>IF(K2285&lt;-5,"CRÍTICO",IF(K2285&lt;0,"ATENÇÃO",IF(K2285&lt;=5,"BOM","EXCELENTE")))</f>
        <v/>
      </c>
      <c r="M2285" s="3" t="n">
        <v>18</v>
      </c>
      <c r="N2285" s="3" t="n">
        <v>99.05</v>
      </c>
      <c r="O2285" s="12" t="n">
        <v>26.62192393736018</v>
      </c>
    </row>
    <row r="2286">
      <c r="A2286" s="10" t="n">
        <v>46072</v>
      </c>
      <c r="B2286" t="inlineStr">
        <is>
          <t>Isabella Borges de Oliveira</t>
        </is>
      </c>
      <c r="C2286" s="1" t="inlineStr">
        <is>
          <t>Técnico II</t>
        </is>
      </c>
      <c r="D2286" s="3" t="n">
        <v>23</v>
      </c>
      <c r="E2286" s="3" t="n">
        <v>22</v>
      </c>
      <c r="F2286" s="3" t="n">
        <v>32.13</v>
      </c>
      <c r="G2286" s="3" t="n">
        <v>0</v>
      </c>
      <c r="H2286" s="3" t="n">
        <v>0</v>
      </c>
      <c r="I2286" s="3">
        <f>E2286+G2286+H2286</f>
        <v/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/>
      </c>
      <c r="K2286" s="3">
        <f>I2286-J2286</f>
        <v/>
      </c>
      <c r="L2286" s="3">
        <f>IF(K2286&lt;-5,"CRÍTICO",IF(K2286&lt;0,"ATENÇÃO",IF(K2286&lt;=5,"BOM","EXCELENTE")))</f>
        <v/>
      </c>
      <c r="M2286" s="3" t="n">
        <v>22</v>
      </c>
      <c r="N2286" s="3" t="n">
        <v>98.53</v>
      </c>
      <c r="O2286" s="12" t="n">
        <v>31.57894736842105</v>
      </c>
    </row>
    <row r="2287">
      <c r="A2287" s="10" t="n">
        <v>46072</v>
      </c>
      <c r="B2287" t="inlineStr">
        <is>
          <t>Janaina Lima dos Reis Urany</t>
        </is>
      </c>
      <c r="C2287" s="1" t="inlineStr">
        <is>
          <t>Técnico III</t>
        </is>
      </c>
      <c r="D2287" s="3" t="n">
        <v>31</v>
      </c>
      <c r="E2287" s="3" t="n">
        <v>31</v>
      </c>
      <c r="F2287" s="3" t="n">
        <v>23.47</v>
      </c>
      <c r="G2287" s="3" t="n">
        <v>0</v>
      </c>
      <c r="H2287" s="3" t="n">
        <v>0</v>
      </c>
      <c r="I2287" s="3">
        <f>E2287+G2287+H2287</f>
        <v/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/>
      </c>
      <c r="K2287" s="3">
        <f>I2287-J2287</f>
        <v/>
      </c>
      <c r="L2287" s="3">
        <f>IF(K2287&lt;-5,"CRÍTICO",IF(K2287&lt;0,"ATENÇÃO",IF(K2287&lt;=5,"BOM","EXCELENTE")))</f>
        <v/>
      </c>
      <c r="M2287" s="3" t="n">
        <v>29</v>
      </c>
      <c r="N2287" s="3" t="n">
        <v>100</v>
      </c>
      <c r="O2287" s="12" t="n">
        <v>25.72214580467676</v>
      </c>
    </row>
    <row r="2288">
      <c r="A2288" s="10" t="n">
        <v>46072</v>
      </c>
      <c r="B2288" t="inlineStr">
        <is>
          <t>Jaqueline Evangelista da Silva Martins</t>
        </is>
      </c>
      <c r="C2288" s="1" t="inlineStr">
        <is>
          <t>Técnico III</t>
        </is>
      </c>
      <c r="D2288" s="3" t="n">
        <v>2</v>
      </c>
      <c r="E2288" s="3" t="n">
        <v>2</v>
      </c>
      <c r="F2288" s="3" t="n">
        <v>25.15</v>
      </c>
      <c r="G2288" s="3" t="n">
        <v>0</v>
      </c>
      <c r="H2288" s="3" t="n">
        <v>0</v>
      </c>
      <c r="I2288" s="3">
        <f>E2288+G2288+H2288</f>
        <v/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/>
      </c>
      <c r="K2288" s="3">
        <f>I2288-J2288</f>
        <v/>
      </c>
      <c r="L2288" s="3">
        <f>IF(K2288&lt;-5,"CRÍTICO",IF(K2288&lt;0,"ATENÇÃO",IF(K2288&lt;=5,"BOM","EXCELENTE")))</f>
        <v/>
      </c>
      <c r="M2288" s="3" t="n">
        <v>2</v>
      </c>
      <c r="N2288" s="3" t="n">
        <v>94.64</v>
      </c>
      <c r="O2288" s="12" t="n">
        <v>27.52941176470588</v>
      </c>
    </row>
    <row r="2289">
      <c r="A2289" s="10" t="n">
        <v>46072</v>
      </c>
      <c r="B2289" t="inlineStr">
        <is>
          <t>Jessica Faria da Silveira</t>
        </is>
      </c>
      <c r="C2289" s="1" t="inlineStr">
        <is>
          <t>Técnico II</t>
        </is>
      </c>
      <c r="D2289" s="3" t="n">
        <v>19</v>
      </c>
      <c r="E2289" s="3" t="n">
        <v>14</v>
      </c>
      <c r="F2289" s="3" t="n">
        <v>15.17</v>
      </c>
      <c r="G2289" s="3" t="n">
        <v>0</v>
      </c>
      <c r="H2289" s="3" t="n">
        <v>0</v>
      </c>
      <c r="I2289" s="3">
        <f>E2289+G2289+H2289</f>
        <v/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/>
      </c>
      <c r="K2289" s="3">
        <f>I2289-J2289</f>
        <v/>
      </c>
      <c r="L2289" s="3">
        <f>IF(K2289&lt;-5,"CRÍTICO",IF(K2289&lt;0,"ATENÇÃO",IF(K2289&lt;=5,"BOM","EXCELENTE")))</f>
        <v/>
      </c>
      <c r="M2289" s="3" t="n">
        <v>14</v>
      </c>
      <c r="N2289" s="3" t="n">
        <v>99.06999999999999</v>
      </c>
      <c r="O2289" s="12" t="n">
        <v>26.3768115942029</v>
      </c>
    </row>
    <row r="2290">
      <c r="A2290" s="10" t="n">
        <v>46072</v>
      </c>
      <c r="B2290" t="inlineStr">
        <is>
          <t>Jéssica Fé Moura</t>
        </is>
      </c>
      <c r="C2290" s="1" t="inlineStr">
        <is>
          <t>Técnico III</t>
        </is>
      </c>
      <c r="D2290" s="3" t="n">
        <v>0</v>
      </c>
      <c r="E2290" s="3" t="n">
        <v>0</v>
      </c>
      <c r="F2290" s="3" t="n">
        <v>0</v>
      </c>
      <c r="G2290" s="3" t="n">
        <v>0</v>
      </c>
      <c r="H2290" s="3" t="n">
        <v>0</v>
      </c>
      <c r="I2290" s="3" t="n">
        <v>0</v>
      </c>
      <c r="J2290" s="3" t="n">
        <v>0</v>
      </c>
      <c r="K2290" s="3" t="n">
        <v>0</v>
      </c>
      <c r="L2290" s="3">
        <f>IF(K2290&lt;-5,"CRÍTICO",IF(K2290&lt;0,"ATENÇÃO",IF(K2290&lt;=5,"BOM","EXCELENTE")))</f>
        <v/>
      </c>
      <c r="M2290" s="3" t="n">
        <v>0</v>
      </c>
      <c r="N2290" s="3" t="n">
        <v>100</v>
      </c>
      <c r="O2290" s="12" t="n">
        <v>0</v>
      </c>
    </row>
    <row r="2291">
      <c r="A2291" s="10" t="n">
        <v>46072</v>
      </c>
      <c r="B2291" t="inlineStr">
        <is>
          <t>Karina Gonçalves Martins</t>
        </is>
      </c>
      <c r="C2291" s="1" t="inlineStr">
        <is>
          <t>JR</t>
        </is>
      </c>
      <c r="D2291" s="3" t="n">
        <v>17</v>
      </c>
      <c r="E2291" s="3" t="n">
        <v>15</v>
      </c>
      <c r="F2291" s="3" t="n">
        <v>35.44</v>
      </c>
      <c r="G2291" s="3" t="n">
        <v>0</v>
      </c>
      <c r="H2291" s="3" t="n">
        <v>0</v>
      </c>
      <c r="I2291" s="3">
        <f>E2291+G2291+H2291</f>
        <v/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/>
      </c>
      <c r="K2291" s="3">
        <f>I2291-J2291</f>
        <v/>
      </c>
      <c r="L2291" s="3">
        <f>IF(K2291&lt;-5,"CRÍTICO",IF(K2291&lt;0,"ATENÇÃO",IF(K2291&lt;=5,"BOM","EXCELENTE")))</f>
        <v/>
      </c>
      <c r="M2291" s="3" t="n">
        <v>13</v>
      </c>
      <c r="N2291" s="3" t="n">
        <v>98.48</v>
      </c>
      <c r="O2291" s="12" t="n">
        <v>27.85388127853881</v>
      </c>
    </row>
    <row r="2292">
      <c r="A2292" s="10" t="n">
        <v>46072</v>
      </c>
      <c r="B2292" t="inlineStr">
        <is>
          <t>Kerollen Cristielly de Jesus Siqueira</t>
        </is>
      </c>
      <c r="C2292" s="1" t="inlineStr">
        <is>
          <t>Técnico III</t>
        </is>
      </c>
      <c r="D2292" s="3" t="n">
        <v>18</v>
      </c>
      <c r="E2292" s="3" t="n">
        <v>17</v>
      </c>
      <c r="F2292" s="3" t="n">
        <v>27.03</v>
      </c>
      <c r="G2292" s="3" t="n">
        <v>0</v>
      </c>
      <c r="H2292" s="3" t="n">
        <v>0</v>
      </c>
      <c r="I2292" s="3">
        <f>E2292+G2292+H2292</f>
        <v/>
      </c>
      <c r="J2292" s="3">
        <f>ROUND(MIN(IF(C2292="Técnico III",35,IF(C2292="Técnico II",28,IF(C2292="Técnico I",23,IF(C2292="JR",20,IF(C2292="Estágio",10,0))))),IF(C2292="Técnico III",SUMIFS($D:$D,$A:$A,$A2292,$B:$B,"&lt;&gt;Patrícia Karla de Sousa Araújo",$B:$B,"&lt;&gt;Lorena Dias de Araujo",$B:$B,"&lt;&gt;Lucas Luiz Romero")*(35/1083),IF(C2292="Técnico II",SUMIFS($D:$D,$A:$A,$A2292,$B:$B,"&lt;&gt;Patrícia Karla de Sousa Araújo",$B:$B,"&lt;&gt;Lorena Dias de Araujo",$B:$B,"&lt;&gt;Lucas Luiz Romero")*(28/1083),IF(C2292="Técnico I",SUMIFS($D:$D,$A:$A,$A2292,$B:$B,"&lt;&gt;Patrícia Karla de Sousa Araújo",$B:$B,"&lt;&gt;Lorena Dias de Araujo",$B:$B,"&lt;&gt;Lucas Luiz Romero")*(23/1083),IF(C2292="JR",SUMIFS($D:$D,$A:$A,$A2292,$B:$B,"&lt;&gt;Patrícia Karla de Sousa Araújo",$B:$B,"&lt;&gt;Lorena Dias de Araujo",$B:$B,"&lt;&gt;Lucas Luiz Romero")*(20/1083),IF(C2292="Estágio",SUMIFS($D:$D,$A:$A,$A2292,$B:$B,"&lt;&gt;Patrícia Karla de Sousa Araújo",$B:$B,"&lt;&gt;Lorena Dias de Araujo",$B:$B,"&lt;&gt;Lucas Luiz Romero")*(10/1083),0)))))),0)</f>
        <v/>
      </c>
      <c r="K2292" s="3">
        <f>I2292-J2292</f>
        <v/>
      </c>
      <c r="L2292" s="3">
        <f>IF(K2292&lt;-5,"CRÍTICO",IF(K2292&lt;0,"ATENÇÃO",IF(K2292&lt;=5,"BOM","EXCELENTE")))</f>
        <v/>
      </c>
      <c r="M2292" s="3" t="n">
        <v>17</v>
      </c>
      <c r="N2292" s="3" t="n">
        <v>95.15000000000001</v>
      </c>
      <c r="O2292" s="12" t="n">
        <v>34.13173652694611</v>
      </c>
    </row>
    <row r="2293">
      <c r="A2293" s="10" t="n">
        <v>46072</v>
      </c>
      <c r="B2293" t="inlineStr">
        <is>
          <t>Leandro de Souza Silva</t>
        </is>
      </c>
      <c r="C2293" s="1" t="inlineStr">
        <is>
          <t>JR</t>
        </is>
      </c>
      <c r="D2293" s="3" t="n">
        <v>0</v>
      </c>
      <c r="E2293" s="3" t="n">
        <v>0</v>
      </c>
      <c r="F2293" s="3" t="n">
        <v>0</v>
      </c>
      <c r="G2293" s="3" t="n">
        <v>0</v>
      </c>
      <c r="H2293" s="3" t="n">
        <v>0</v>
      </c>
      <c r="I2293" s="3" t="n">
        <v>0</v>
      </c>
      <c r="J2293" s="3" t="n">
        <v>0</v>
      </c>
      <c r="K2293" s="3" t="n">
        <v>0</v>
      </c>
      <c r="L2293" s="3">
        <f>IF(K2293&lt;-5,"CRÍTICO",IF(K2293&lt;0,"ATENÇÃO",IF(K2293&lt;=5,"BOM","EXCELENTE")))</f>
        <v/>
      </c>
      <c r="M2293" s="3" t="n">
        <v>0</v>
      </c>
      <c r="N2293" s="3" t="n">
        <v>0</v>
      </c>
      <c r="O2293" s="12" t="n">
        <v>0</v>
      </c>
    </row>
    <row r="2294">
      <c r="A2294" s="10" t="n">
        <v>46072</v>
      </c>
      <c r="B2294" t="inlineStr">
        <is>
          <t>Leandro Oliveira de Sousa</t>
        </is>
      </c>
      <c r="C2294" s="1" t="inlineStr">
        <is>
          <t>Técnico III</t>
        </is>
      </c>
      <c r="D2294" s="3" t="n">
        <v>28</v>
      </c>
      <c r="E2294" s="3" t="n">
        <v>27</v>
      </c>
      <c r="F2294" s="3" t="n">
        <v>23.23</v>
      </c>
      <c r="G2294" s="3" t="n">
        <v>0</v>
      </c>
      <c r="H2294" s="3" t="n">
        <v>0</v>
      </c>
      <c r="I2294" s="3">
        <f>E2294+G2294+H2294</f>
        <v/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/>
      </c>
      <c r="K2294" s="3">
        <f>I2294-J2294</f>
        <v/>
      </c>
      <c r="L2294" s="3">
        <f>IF(K2294&lt;-5,"CRÍTICO",IF(K2294&lt;0,"ATENÇÃO",IF(K2294&lt;=5,"BOM","EXCELENTE")))</f>
        <v/>
      </c>
      <c r="M2294" s="3" t="n">
        <v>21</v>
      </c>
      <c r="N2294" s="3" t="n">
        <v>99.26000000000001</v>
      </c>
      <c r="O2294" s="12" t="n">
        <v>30.84832904884319</v>
      </c>
    </row>
    <row r="2295">
      <c r="A2295" s="10" t="n">
        <v>46072</v>
      </c>
      <c r="B2295" t="inlineStr">
        <is>
          <t>Lizandra Gomes Duarte</t>
        </is>
      </c>
      <c r="C2295" s="1" t="inlineStr">
        <is>
          <t>Técnico II</t>
        </is>
      </c>
      <c r="D2295" s="3" t="n">
        <v>26</v>
      </c>
      <c r="E2295" s="3" t="n">
        <v>25</v>
      </c>
      <c r="F2295" s="3" t="n">
        <v>28.45</v>
      </c>
      <c r="G2295" s="3" t="n">
        <v>0</v>
      </c>
      <c r="H2295" s="3" t="n">
        <v>0</v>
      </c>
      <c r="I2295" s="3">
        <f>E2295+G2295+H2295</f>
        <v/>
      </c>
      <c r="J2295" s="3">
        <f>ROUND(MIN(IF(C2295="Técnico III",35,IF(C2295="Técnico II",28,IF(C2295="Técnico I",23,IF(C2295="JR",20,IF(C2295="Estágio",10,0))))),IF(C2295="Técnico III",SUMIFS($D:$D,$A:$A,$A2295,$B:$B,"&lt;&gt;Patrícia Karla de Sousa Araújo",$B:$B,"&lt;&gt;Lorena Dias de Araujo",$B:$B,"&lt;&gt;Lucas Luiz Romero")*(35/1083),IF(C2295="Técnico II",SUMIFS($D:$D,$A:$A,$A2295,$B:$B,"&lt;&gt;Patrícia Karla de Sousa Araújo",$B:$B,"&lt;&gt;Lorena Dias de Araujo",$B:$B,"&lt;&gt;Lucas Luiz Romero")*(28/1083),IF(C2295="Técnico I",SUMIFS($D:$D,$A:$A,$A2295,$B:$B,"&lt;&gt;Patrícia Karla de Sousa Araújo",$B:$B,"&lt;&gt;Lorena Dias de Araujo",$B:$B,"&lt;&gt;Lucas Luiz Romero")*(23/1083),IF(C2295="JR",SUMIFS($D:$D,$A:$A,$A2295,$B:$B,"&lt;&gt;Patrícia Karla de Sousa Araújo",$B:$B,"&lt;&gt;Lorena Dias de Araujo",$B:$B,"&lt;&gt;Lucas Luiz Romero")*(20/1083),IF(C2295="Estágio",SUMIFS($D:$D,$A:$A,$A2295,$B:$B,"&lt;&gt;Patrícia Karla de Sousa Araújo",$B:$B,"&lt;&gt;Lorena Dias de Araujo",$B:$B,"&lt;&gt;Lucas Luiz Romero")*(10/1083),0)))))),0)</f>
        <v/>
      </c>
      <c r="K2295" s="3">
        <f>I2295-J2295</f>
        <v/>
      </c>
      <c r="L2295" s="3">
        <f>IF(K2295&lt;-5,"CRÍTICO",IF(K2295&lt;0,"ATENÇÃO",IF(K2295&lt;=5,"BOM","EXCELENTE")))</f>
        <v/>
      </c>
      <c r="M2295" s="3" t="n">
        <v>20</v>
      </c>
      <c r="N2295" s="3" t="n">
        <v>97.48</v>
      </c>
      <c r="O2295" s="12" t="n">
        <v>27.76470588235294</v>
      </c>
    </row>
    <row r="2296">
      <c r="A2296" s="10" t="n">
        <v>46072</v>
      </c>
      <c r="B2296" t="inlineStr">
        <is>
          <t>Lorena Dias de Araujo</t>
        </is>
      </c>
      <c r="C2296" s="1" t="inlineStr">
        <is>
          <t>Técnico II</t>
        </is>
      </c>
      <c r="D2296" s="3" t="n">
        <v>23</v>
      </c>
      <c r="E2296" s="3" t="n">
        <v>23</v>
      </c>
      <c r="F2296" s="3" t="n">
        <v>20.56</v>
      </c>
      <c r="G2296" s="3" t="n">
        <v>0</v>
      </c>
      <c r="H2296" s="3" t="n">
        <v>0</v>
      </c>
      <c r="I2296" s="3" t="n">
        <v>0</v>
      </c>
      <c r="J2296" s="3" t="n">
        <v>0</v>
      </c>
      <c r="K2296" s="3" t="n">
        <v>0</v>
      </c>
      <c r="L2296" s="3">
        <f>IF(K2296&lt;-5,"CRÍTICO",IF(K2296&lt;0,"ATENÇÃO",IF(K2296&lt;=5,"BOM","EXCELENTE")))</f>
        <v/>
      </c>
      <c r="M2296" s="3" t="n">
        <v>19</v>
      </c>
      <c r="N2296" s="3" t="n">
        <v>99.34</v>
      </c>
      <c r="O2296" s="12" t="n">
        <v>30.04291845493562</v>
      </c>
    </row>
    <row r="2297">
      <c r="A2297" s="10" t="n">
        <v>46072</v>
      </c>
      <c r="B2297" t="inlineStr">
        <is>
          <t>Lucas Luiz Romero</t>
        </is>
      </c>
      <c r="C2297" s="1" t="inlineStr">
        <is>
          <t>Técnico III</t>
        </is>
      </c>
      <c r="D2297" s="3" t="n">
        <v>0</v>
      </c>
      <c r="E2297" s="3" t="n">
        <v>0</v>
      </c>
      <c r="F2297" s="3" t="n">
        <v>0</v>
      </c>
      <c r="G2297" s="3" t="n">
        <v>0</v>
      </c>
      <c r="H2297" s="3" t="n">
        <v>0</v>
      </c>
      <c r="I2297" s="3" t="n">
        <v>0</v>
      </c>
      <c r="J2297" s="3" t="n">
        <v>0</v>
      </c>
      <c r="K2297" s="3" t="n">
        <v>0</v>
      </c>
      <c r="L2297" s="3">
        <f>IF(K2297&lt;-5,"CRÍTICO",IF(K2297&lt;0,"ATENÇÃO",IF(K2297&lt;=5,"BOM","EXCELENTE")))</f>
        <v/>
      </c>
      <c r="M2297" s="3" t="n">
        <v>0</v>
      </c>
      <c r="N2297" s="3" t="n">
        <v>96.3</v>
      </c>
      <c r="O2297" s="12" t="n">
        <v>24.29378531073446</v>
      </c>
    </row>
    <row r="2298">
      <c r="A2298" s="10" t="n">
        <v>46072</v>
      </c>
      <c r="B2298" t="inlineStr">
        <is>
          <t>Luiz Fernando de Carvalho Junior</t>
        </is>
      </c>
      <c r="C2298" s="1" t="inlineStr">
        <is>
          <t>Técnico I</t>
        </is>
      </c>
      <c r="D2298" s="3" t="n">
        <v>17</v>
      </c>
      <c r="E2298" s="3" t="n">
        <v>15</v>
      </c>
      <c r="F2298" s="3" t="n">
        <v>25.21</v>
      </c>
      <c r="G2298" s="3" t="n">
        <v>0</v>
      </c>
      <c r="H2298" s="3" t="n">
        <v>0</v>
      </c>
      <c r="I2298" s="3">
        <f>E2298+G2298+H2298</f>
        <v/>
      </c>
      <c r="J2298" s="3">
        <f>ROUND(MIN(IF(C2298="Técnico III",35,IF(C2298="Técnico II",28,IF(C2298="Técnico I",23,IF(C2298="JR",20,IF(C2298="Estágio",10,0))))),IF(C2298="Técnico III",SUMIFS($D:$D,$A:$A,$A2298,$B:$B,"&lt;&gt;Patrícia Karla de Sousa Araújo",$B:$B,"&lt;&gt;Lorena Dias de Araujo",$B:$B,"&lt;&gt;Lucas Luiz Romero")*(35/1083),IF(C2298="Técnico II",SUMIFS($D:$D,$A:$A,$A2298,$B:$B,"&lt;&gt;Patrícia Karla de Sousa Araújo",$B:$B,"&lt;&gt;Lorena Dias de Araujo",$B:$B,"&lt;&gt;Lucas Luiz Romero")*(28/1083),IF(C2298="Técnico I",SUMIFS($D:$D,$A:$A,$A2298,$B:$B,"&lt;&gt;Patrícia Karla de Sousa Araújo",$B:$B,"&lt;&gt;Lorena Dias de Araujo",$B:$B,"&lt;&gt;Lucas Luiz Romero")*(23/1083),IF(C2298="JR",SUMIFS($D:$D,$A:$A,$A2298,$B:$B,"&lt;&gt;Patrícia Karla de Sousa Araújo",$B:$B,"&lt;&gt;Lorena Dias de Araujo",$B:$B,"&lt;&gt;Lucas Luiz Romero")*(20/1083),IF(C2298="Estágio",SUMIFS($D:$D,$A:$A,$A2298,$B:$B,"&lt;&gt;Patrícia Karla de Sousa Araújo",$B:$B,"&lt;&gt;Lorena Dias de Araujo",$B:$B,"&lt;&gt;Lucas Luiz Romero")*(10/1083),0)))))),0)</f>
        <v/>
      </c>
      <c r="K2298" s="3">
        <f>I2298-J2298</f>
        <v/>
      </c>
      <c r="L2298" s="3">
        <f>IF(K2298&lt;-5,"CRÍTICO",IF(K2298&lt;0,"ATENÇÃO",IF(K2298&lt;=5,"BOM","EXCELENTE")))</f>
        <v/>
      </c>
      <c r="M2298" s="3" t="n">
        <v>15</v>
      </c>
      <c r="N2298" s="3" t="n">
        <v>100</v>
      </c>
      <c r="O2298" s="12" t="n">
        <v>26.54320987654321</v>
      </c>
    </row>
    <row r="2299">
      <c r="A2299" s="10" t="n">
        <v>46072</v>
      </c>
      <c r="B2299" t="inlineStr">
        <is>
          <t>Maria Eduarda Sousa Costa</t>
        </is>
      </c>
      <c r="C2299" s="1" t="inlineStr">
        <is>
          <t>Estágio</t>
        </is>
      </c>
      <c r="D2299" s="3" t="n">
        <v>8</v>
      </c>
      <c r="E2299" s="3" t="n">
        <v>8</v>
      </c>
      <c r="F2299" s="3" t="n">
        <v>42.28</v>
      </c>
      <c r="G2299" s="3" t="n">
        <v>0</v>
      </c>
      <c r="H2299" s="3" t="n">
        <v>0</v>
      </c>
      <c r="I2299" s="3">
        <f>E2299+G2299+H2299</f>
        <v/>
      </c>
      <c r="J2299" s="3">
        <f>ROUND(MIN(IF(C2299="Técnico III",35,IF(C2299="Técnico II",28,IF(C2299="Técnico I",23,IF(C2299="JR",20,IF(C2299="Estágio",10,0))))),IF(C2299="Técnico III",SUMIFS($D:$D,$A:$A,$A2299,$B:$B,"&lt;&gt;Patrícia Karla de Sousa Araújo",$B:$B,"&lt;&gt;Lorena Dias de Araujo",$B:$B,"&lt;&gt;Lucas Luiz Romero")*(35/1083),IF(C2299="Técnico II",SUMIFS($D:$D,$A:$A,$A2299,$B:$B,"&lt;&gt;Patrícia Karla de Sousa Araújo",$B:$B,"&lt;&gt;Lorena Dias de Araujo",$B:$B,"&lt;&gt;Lucas Luiz Romero")*(28/1083),IF(C2299="Técnico I",SUMIFS($D:$D,$A:$A,$A2299,$B:$B,"&lt;&gt;Patrícia Karla de Sousa Araújo",$B:$B,"&lt;&gt;Lorena Dias de Araujo",$B:$B,"&lt;&gt;Lucas Luiz Romero")*(23/1083),IF(C2299="JR",SUMIFS($D:$D,$A:$A,$A2299,$B:$B,"&lt;&gt;Patrícia Karla de Sousa Araújo",$B:$B,"&lt;&gt;Lorena Dias de Araujo",$B:$B,"&lt;&gt;Lucas Luiz Romero")*(20/1083),IF(C2299="Estágio",SUMIFS($D:$D,$A:$A,$A2299,$B:$B,"&lt;&gt;Patrícia Karla de Sousa Araújo",$B:$B,"&lt;&gt;Lorena Dias de Araujo",$B:$B,"&lt;&gt;Lucas Luiz Romero")*(10/1083),0)))))),0)</f>
        <v/>
      </c>
      <c r="K2299" s="3">
        <f>I2299-J2299</f>
        <v/>
      </c>
      <c r="L2299" s="3">
        <f>IF(K2299&lt;-5,"CRÍTICO",IF(K2299&lt;0,"ATENÇÃO",IF(K2299&lt;=5,"BOM","EXCELENTE")))</f>
        <v/>
      </c>
      <c r="M2299" s="3" t="n">
        <v>6</v>
      </c>
      <c r="N2299" s="3" t="n">
        <v>100</v>
      </c>
      <c r="O2299" s="12" t="n">
        <v>35.48387096774194</v>
      </c>
    </row>
    <row r="2300">
      <c r="A2300" s="10" t="n">
        <v>46072</v>
      </c>
      <c r="B2300" t="inlineStr">
        <is>
          <t>Matheus Farias De Souza</t>
        </is>
      </c>
      <c r="C2300" s="1" t="inlineStr">
        <is>
          <t>Técnico III</t>
        </is>
      </c>
      <c r="D2300" s="3" t="n">
        <v>36</v>
      </c>
      <c r="E2300" s="3" t="n">
        <v>35</v>
      </c>
      <c r="F2300" s="3" t="n">
        <v>18.56</v>
      </c>
      <c r="G2300" s="3" t="n">
        <v>0</v>
      </c>
      <c r="H2300" s="3" t="n">
        <v>0</v>
      </c>
      <c r="I2300" s="3">
        <f>E2300+G2300+H2300</f>
        <v/>
      </c>
      <c r="J2300" s="3">
        <f>ROUND(MIN(IF(C2300="Técnico III",35,IF(C2300="Técnico II",28,IF(C2300="Técnico I",23,IF(C2300="JR",20,IF(C2300="Estágio",10,0))))),IF(C2300="Técnico III",SUMIFS($D:$D,$A:$A,$A2300,$B:$B,"&lt;&gt;Patrícia Karla de Sousa Araújo",$B:$B,"&lt;&gt;Lorena Dias de Araujo",$B:$B,"&lt;&gt;Lucas Luiz Romero")*(35/1083),IF(C2300="Técnico II",SUMIFS($D:$D,$A:$A,$A2300,$B:$B,"&lt;&gt;Patrícia Karla de Sousa Araújo",$B:$B,"&lt;&gt;Lorena Dias de Araujo",$B:$B,"&lt;&gt;Lucas Luiz Romero")*(28/1083),IF(C2300="Técnico I",SUMIFS($D:$D,$A:$A,$A2300,$B:$B,"&lt;&gt;Patrícia Karla de Sousa Araújo",$B:$B,"&lt;&gt;Lorena Dias de Araujo",$B:$B,"&lt;&gt;Lucas Luiz Romero")*(23/1083),IF(C2300="JR",SUMIFS($D:$D,$A:$A,$A2300,$B:$B,"&lt;&gt;Patrícia Karla de Sousa Araújo",$B:$B,"&lt;&gt;Lorena Dias de Araujo",$B:$B,"&lt;&gt;Lucas Luiz Romero")*(20/1083),IF(C2300="Estágio",SUMIFS($D:$D,$A:$A,$A2300,$B:$B,"&lt;&gt;Patrícia Karla de Sousa Araújo",$B:$B,"&lt;&gt;Lorena Dias de Araujo",$B:$B,"&lt;&gt;Lucas Luiz Romero")*(10/1083),0)))))),0)</f>
        <v/>
      </c>
      <c r="K2300" s="3">
        <f>I2300-J2300</f>
        <v/>
      </c>
      <c r="L2300" s="3">
        <f>IF(K2300&lt;-5,"CRÍTICO",IF(K2300&lt;0,"ATENÇÃO",IF(K2300&lt;=5,"BOM","EXCELENTE")))</f>
        <v/>
      </c>
      <c r="M2300" s="3" t="n">
        <v>33</v>
      </c>
      <c r="N2300" s="3" t="n">
        <v>99.27</v>
      </c>
      <c r="O2300" s="12" t="n">
        <v>31.16370808678501</v>
      </c>
    </row>
    <row r="2301">
      <c r="A2301" s="10" t="n">
        <v>46072</v>
      </c>
      <c r="B2301" t="inlineStr">
        <is>
          <t>Maysa Victoria Dias Moura</t>
        </is>
      </c>
      <c r="C2301" s="1" t="inlineStr">
        <is>
          <t>Técnico III</t>
        </is>
      </c>
      <c r="D2301" s="3" t="n">
        <v>29</v>
      </c>
      <c r="E2301" s="3" t="n">
        <v>28</v>
      </c>
      <c r="F2301" s="3" t="n">
        <v>27.14</v>
      </c>
      <c r="G2301" s="3" t="n">
        <v>0</v>
      </c>
      <c r="H2301" s="3" t="n">
        <v>0</v>
      </c>
      <c r="I2301" s="3">
        <f>E2301+G2301+H2301</f>
        <v/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/>
      </c>
      <c r="K2301" s="3">
        <f>I2301-J2301</f>
        <v/>
      </c>
      <c r="L2301" s="3">
        <f>IF(K2301&lt;-5,"CRÍTICO",IF(K2301&lt;0,"ATENÇÃO",IF(K2301&lt;=5,"BOM","EXCELENTE")))</f>
        <v/>
      </c>
      <c r="M2301" s="3" t="n">
        <v>25</v>
      </c>
      <c r="N2301" s="3" t="n">
        <v>94.16</v>
      </c>
      <c r="O2301" s="12" t="n">
        <v>27.03862660944206</v>
      </c>
    </row>
    <row r="2302">
      <c r="A2302" s="10" t="n">
        <v>46072</v>
      </c>
      <c r="B2302" t="inlineStr">
        <is>
          <t>Michelle G Santos</t>
        </is>
      </c>
      <c r="C2302" s="1" t="inlineStr">
        <is>
          <t>Estágio</t>
        </is>
      </c>
      <c r="D2302" s="3" t="n">
        <v>8</v>
      </c>
      <c r="E2302" s="3" t="n">
        <v>7</v>
      </c>
      <c r="F2302" s="3" t="n">
        <v>63.32</v>
      </c>
      <c r="G2302" s="3" t="n">
        <v>0</v>
      </c>
      <c r="H2302" s="3" t="n">
        <v>0</v>
      </c>
      <c r="I2302" s="3">
        <f>E2302+G2302+H2302</f>
        <v/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/>
      </c>
      <c r="K2302" s="3">
        <f>I2302-J2302</f>
        <v/>
      </c>
      <c r="L2302" s="3">
        <f>IF(K2302&lt;-5,"CRÍTICO",IF(K2302&lt;0,"ATENÇÃO",IF(K2302&lt;=5,"BOM","EXCELENTE")))</f>
        <v/>
      </c>
      <c r="M2302" s="3" t="n">
        <v>1</v>
      </c>
      <c r="N2302" s="3" t="n">
        <v>93.75</v>
      </c>
      <c r="O2302" s="12" t="n">
        <v>19.31818181818182</v>
      </c>
    </row>
    <row r="2303">
      <c r="A2303" s="10" t="n">
        <v>46072</v>
      </c>
      <c r="B2303" t="inlineStr">
        <is>
          <t>Milena Sales</t>
        </is>
      </c>
      <c r="C2303" s="1" t="inlineStr">
        <is>
          <t>JR</t>
        </is>
      </c>
      <c r="D2303" s="3" t="n">
        <v>0</v>
      </c>
      <c r="E2303" s="3" t="n">
        <v>0</v>
      </c>
      <c r="F2303" s="3" t="n">
        <v>0</v>
      </c>
      <c r="G2303" s="3" t="n">
        <v>0</v>
      </c>
      <c r="H2303" s="3" t="n">
        <v>0</v>
      </c>
      <c r="I2303" s="3" t="n">
        <v>0</v>
      </c>
      <c r="J2303" s="3" t="n">
        <v>0</v>
      </c>
      <c r="K2303" s="3" t="n">
        <v>0</v>
      </c>
      <c r="L2303" s="3">
        <f>IF(K2303&lt;-5,"CRÍTICO",IF(K2303&lt;0,"ATENÇÃO",IF(K2303&lt;=5,"BOM","EXCELENTE")))</f>
        <v/>
      </c>
      <c r="M2303" s="3" t="n">
        <v>0</v>
      </c>
      <c r="N2303" s="3" t="n">
        <v>0</v>
      </c>
      <c r="O2303" s="12" t="n">
        <v>0</v>
      </c>
    </row>
    <row r="2304">
      <c r="A2304" s="10" t="n">
        <v>46072</v>
      </c>
      <c r="B2304" t="inlineStr">
        <is>
          <t>Patrícia Karla de Sousa Araújo</t>
        </is>
      </c>
      <c r="C2304" s="1" t="inlineStr">
        <is>
          <t>Técnico II</t>
        </is>
      </c>
      <c r="D2304" s="3" t="n">
        <v>0</v>
      </c>
      <c r="E2304" s="3" t="n">
        <v>0</v>
      </c>
      <c r="F2304" s="3" t="n">
        <v>0</v>
      </c>
      <c r="G2304" s="3" t="n">
        <v>0</v>
      </c>
      <c r="H2304" s="3" t="n">
        <v>0</v>
      </c>
      <c r="I2304" s="3" t="n">
        <v>0</v>
      </c>
      <c r="J2304" s="3" t="n">
        <v>0</v>
      </c>
      <c r="K2304" s="3" t="n">
        <v>0</v>
      </c>
      <c r="L2304" s="3">
        <f>IF(K2304&lt;-5,"CRÍTICO",IF(K2304&lt;0,"ATENÇÃO",IF(K2304&lt;=5,"BOM","EXCELENTE")))</f>
        <v/>
      </c>
      <c r="M2304" s="3" t="n">
        <v>0</v>
      </c>
      <c r="N2304" s="3" t="n">
        <v>97.92</v>
      </c>
      <c r="O2304" s="12" t="n">
        <v>32.87671232876712</v>
      </c>
    </row>
    <row r="2305">
      <c r="A2305" s="10" t="n">
        <v>46072</v>
      </c>
      <c r="B2305" t="inlineStr">
        <is>
          <t>Paulo Ricardo Santos</t>
        </is>
      </c>
      <c r="C2305" s="1" t="inlineStr">
        <is>
          <t>JR</t>
        </is>
      </c>
      <c r="D2305" s="3" t="n">
        <v>0</v>
      </c>
      <c r="E2305" s="3" t="n">
        <v>0</v>
      </c>
      <c r="F2305" s="3" t="n">
        <v>0</v>
      </c>
      <c r="G2305" s="3" t="n">
        <v>0</v>
      </c>
      <c r="H2305" s="3" t="n">
        <v>0</v>
      </c>
      <c r="I2305" s="3" t="n">
        <v>0</v>
      </c>
      <c r="J2305" s="3" t="n">
        <v>0</v>
      </c>
      <c r="K2305" s="3" t="n">
        <v>0</v>
      </c>
      <c r="L2305" s="3">
        <f>IF(K2305&lt;-5,"CRÍTICO",IF(K2305&lt;0,"ATENÇÃO",IF(K2305&lt;=5,"BOM","EXCELENTE")))</f>
        <v/>
      </c>
      <c r="M2305" s="3" t="n">
        <v>0</v>
      </c>
      <c r="N2305" s="3" t="n">
        <v>0</v>
      </c>
      <c r="O2305" s="12" t="n">
        <v>0</v>
      </c>
    </row>
    <row r="2306">
      <c r="A2306" s="10" t="n">
        <v>46072</v>
      </c>
      <c r="B2306" t="inlineStr">
        <is>
          <t>Pedro Luiz Mota Sousa</t>
        </is>
      </c>
      <c r="C2306" s="1" t="inlineStr">
        <is>
          <t>JR</t>
        </is>
      </c>
      <c r="D2306" s="3" t="n">
        <v>0</v>
      </c>
      <c r="E2306" s="3" t="n">
        <v>0</v>
      </c>
      <c r="F2306" s="3" t="n">
        <v>0</v>
      </c>
      <c r="G2306" s="3" t="n">
        <v>0</v>
      </c>
      <c r="H2306" s="3" t="n">
        <v>0</v>
      </c>
      <c r="I2306" s="3" t="n">
        <v>0</v>
      </c>
      <c r="J2306" s="3" t="n">
        <v>0</v>
      </c>
      <c r="K2306" s="3" t="n">
        <v>0</v>
      </c>
      <c r="L2306" s="3">
        <f>IF(K2306&lt;-5,"CRÍTICO",IF(K2306&lt;0,"ATENÇÃO",IF(K2306&lt;=5,"BOM","EXCELENTE")))</f>
        <v/>
      </c>
      <c r="M2306" s="3" t="n">
        <v>0</v>
      </c>
      <c r="N2306" s="3" t="n">
        <v>0</v>
      </c>
      <c r="O2306" s="12" t="n">
        <v>0</v>
      </c>
    </row>
    <row r="2307">
      <c r="A2307" s="10" t="n">
        <v>46072</v>
      </c>
      <c r="B2307" t="inlineStr">
        <is>
          <t>Quirino Diogo Leite Torres</t>
        </is>
      </c>
      <c r="C2307" s="1" t="inlineStr">
        <is>
          <t>Estágio</t>
        </is>
      </c>
      <c r="D2307" s="3" t="n">
        <v>0</v>
      </c>
      <c r="E2307" s="3" t="n">
        <v>0</v>
      </c>
      <c r="F2307" s="3" t="n">
        <v>0</v>
      </c>
      <c r="G2307" s="3" t="n">
        <v>0</v>
      </c>
      <c r="H2307" s="3" t="n">
        <v>0</v>
      </c>
      <c r="I2307" s="3" t="n">
        <v>0</v>
      </c>
      <c r="J2307" s="3" t="n">
        <v>0</v>
      </c>
      <c r="K2307" s="3" t="n">
        <v>0</v>
      </c>
      <c r="L2307" s="3">
        <f>IF(K2307&lt;-5,"CRÍTICO",IF(K2307&lt;0,"ATENÇÃO",IF(K2307&lt;=5,"BOM","EXCELENTE")))</f>
        <v/>
      </c>
      <c r="M2307" s="3" t="n">
        <v>0</v>
      </c>
      <c r="N2307" s="3" t="n">
        <v>0</v>
      </c>
      <c r="O2307" s="12" t="n">
        <v>0</v>
      </c>
    </row>
    <row r="2308">
      <c r="A2308" s="10" t="n">
        <v>46072</v>
      </c>
      <c r="B2308" t="inlineStr">
        <is>
          <t>Raane Batista Matos</t>
        </is>
      </c>
      <c r="C2308" s="1" t="inlineStr">
        <is>
          <t>Técnico I</t>
        </is>
      </c>
      <c r="D2308" s="3" t="n">
        <v>21</v>
      </c>
      <c r="E2308" s="3" t="n">
        <v>21</v>
      </c>
      <c r="F2308" s="3" t="n">
        <v>28.24</v>
      </c>
      <c r="G2308" s="3" t="n">
        <v>0</v>
      </c>
      <c r="H2308" s="3" t="n">
        <v>0</v>
      </c>
      <c r="I2308" s="3">
        <f>E2308+G2308+H2308</f>
        <v/>
      </c>
      <c r="J2308" s="3">
        <f>ROUND(MIN(IF(C2308="Técnico III",35,IF(C2308="Técnico II",28,IF(C2308="Técnico I",23,IF(C2308="JR",20,IF(C2308="Estágio",10,0))))),IF(C2308="Técnico III",SUMIFS($D:$D,$A:$A,$A2308,$B:$B,"&lt;&gt;Patrícia Karla de Sousa Araújo",$B:$B,"&lt;&gt;Lorena Dias de Araujo",$B:$B,"&lt;&gt;Lucas Luiz Romero")*(35/1083),IF(C2308="Técnico II",SUMIFS($D:$D,$A:$A,$A2308,$B:$B,"&lt;&gt;Patrícia Karla de Sousa Araújo",$B:$B,"&lt;&gt;Lorena Dias de Araujo",$B:$B,"&lt;&gt;Lucas Luiz Romero")*(28/1083),IF(C2308="Técnico I",SUMIFS($D:$D,$A:$A,$A2308,$B:$B,"&lt;&gt;Patrícia Karla de Sousa Araújo",$B:$B,"&lt;&gt;Lorena Dias de Araujo",$B:$B,"&lt;&gt;Lucas Luiz Romero")*(23/1083),IF(C2308="JR",SUMIFS($D:$D,$A:$A,$A2308,$B:$B,"&lt;&gt;Patrícia Karla de Sousa Araújo",$B:$B,"&lt;&gt;Lorena Dias de Araujo",$B:$B,"&lt;&gt;Lucas Luiz Romero")*(20/1083),IF(C2308="Estágio",SUMIFS($D:$D,$A:$A,$A2308,$B:$B,"&lt;&gt;Patrícia Karla de Sousa Araújo",$B:$B,"&lt;&gt;Lorena Dias de Araujo",$B:$B,"&lt;&gt;Lucas Luiz Romero")*(10/1083),0)))))),0)</f>
        <v/>
      </c>
      <c r="K2308" s="3">
        <f>I2308-J2308</f>
        <v/>
      </c>
      <c r="L2308" s="3">
        <f>IF(K2308&lt;-5,"CRÍTICO",IF(K2308&lt;0,"ATENÇÃO",IF(K2308&lt;=5,"BOM","EXCELENTE")))</f>
        <v/>
      </c>
      <c r="M2308" s="3" t="n">
        <v>18</v>
      </c>
      <c r="N2308" s="3" t="n">
        <v>98.51000000000001</v>
      </c>
      <c r="O2308" s="12" t="n">
        <v>29.71014492753623</v>
      </c>
    </row>
    <row r="2309">
      <c r="A2309" s="10" t="n">
        <v>46072</v>
      </c>
      <c r="B2309" t="inlineStr">
        <is>
          <t>Rafael Gomes de Morais</t>
        </is>
      </c>
      <c r="C2309" s="1" t="inlineStr">
        <is>
          <t>Técnico III</t>
        </is>
      </c>
      <c r="D2309" s="3" t="n">
        <v>29</v>
      </c>
      <c r="E2309" s="3" t="n">
        <v>26</v>
      </c>
      <c r="F2309" s="3" t="n">
        <v>20.16</v>
      </c>
      <c r="G2309" s="3" t="n">
        <v>0</v>
      </c>
      <c r="H2309" s="3" t="n">
        <v>0</v>
      </c>
      <c r="I2309" s="3">
        <f>E2309+G2309+H2309</f>
        <v/>
      </c>
      <c r="J2309" s="3">
        <f>ROUND(MIN(IF(C2309="Técnico III",35,IF(C2309="Técnico II",28,IF(C2309="Técnico I",23,IF(C2309="JR",20,IF(C2309="Estágio",10,0))))),IF(C2309="Técnico III",SUMIFS($D:$D,$A:$A,$A2309,$B:$B,"&lt;&gt;Patrícia Karla de Sousa Araújo",$B:$B,"&lt;&gt;Lorena Dias de Araujo",$B:$B,"&lt;&gt;Lucas Luiz Romero")*(35/1083),IF(C2309="Técnico II",SUMIFS($D:$D,$A:$A,$A2309,$B:$B,"&lt;&gt;Patrícia Karla de Sousa Araújo",$B:$B,"&lt;&gt;Lorena Dias de Araujo",$B:$B,"&lt;&gt;Lucas Luiz Romero")*(28/1083),IF(C2309="Técnico I",SUMIFS($D:$D,$A:$A,$A2309,$B:$B,"&lt;&gt;Patrícia Karla de Sousa Araújo",$B:$B,"&lt;&gt;Lorena Dias de Araujo",$B:$B,"&lt;&gt;Lucas Luiz Romero")*(23/1083),IF(C2309="JR",SUMIFS($D:$D,$A:$A,$A2309,$B:$B,"&lt;&gt;Patrícia Karla de Sousa Araújo",$B:$B,"&lt;&gt;Lorena Dias de Araujo",$B:$B,"&lt;&gt;Lucas Luiz Romero")*(20/1083),IF(C2309="Estágio",SUMIFS($D:$D,$A:$A,$A2309,$B:$B,"&lt;&gt;Patrícia Karla de Sousa Araújo",$B:$B,"&lt;&gt;Lorena Dias de Araujo",$B:$B,"&lt;&gt;Lucas Luiz Romero")*(10/1083),0)))))),0)</f>
        <v/>
      </c>
      <c r="K2309" s="3">
        <f>I2309-J2309</f>
        <v/>
      </c>
      <c r="L2309" s="3">
        <f>IF(K2309&lt;-5,"CRÍTICO",IF(K2309&lt;0,"ATENÇÃO",IF(K2309&lt;=5,"BOM","EXCELENTE")))</f>
        <v/>
      </c>
      <c r="M2309" s="3" t="n">
        <v>27</v>
      </c>
      <c r="N2309" s="3" t="n">
        <v>98.81</v>
      </c>
      <c r="O2309" s="12" t="n">
        <v>30.71297989031079</v>
      </c>
    </row>
    <row r="2310">
      <c r="A2310" s="10" t="n">
        <v>46072</v>
      </c>
      <c r="B2310" t="inlineStr">
        <is>
          <t>Sara Maria Monteiro Lopes</t>
        </is>
      </c>
      <c r="C2310" s="1" t="inlineStr">
        <is>
          <t>Técnico I</t>
        </is>
      </c>
      <c r="D2310" s="3" t="n">
        <v>12</v>
      </c>
      <c r="E2310" s="3" t="n">
        <v>12</v>
      </c>
      <c r="F2310" s="3" t="n">
        <v>48.38</v>
      </c>
      <c r="G2310" s="3" t="n">
        <v>0</v>
      </c>
      <c r="H2310" s="3" t="n">
        <v>0</v>
      </c>
      <c r="I2310" s="3">
        <f>E2310+G2310+H2310</f>
        <v/>
      </c>
      <c r="J2310" s="3">
        <f>ROUND(MIN(IF(C2310="Técnico III",35,IF(C2310="Técnico II",28,IF(C2310="Técnico I",23,IF(C2310="JR",20,IF(C2310="Estágio",10,0))))),IF(C2310="Técnico III",SUMIFS($D:$D,$A:$A,$A2310,$B:$B,"&lt;&gt;Patrícia Karla de Sousa Araújo",$B:$B,"&lt;&gt;Lorena Dias de Araujo",$B:$B,"&lt;&gt;Lucas Luiz Romero")*(35/1083),IF(C2310="Técnico II",SUMIFS($D:$D,$A:$A,$A2310,$B:$B,"&lt;&gt;Patrícia Karla de Sousa Araújo",$B:$B,"&lt;&gt;Lorena Dias de Araujo",$B:$B,"&lt;&gt;Lucas Luiz Romero")*(28/1083),IF(C2310="Técnico I",SUMIFS($D:$D,$A:$A,$A2310,$B:$B,"&lt;&gt;Patrícia Karla de Sousa Araújo",$B:$B,"&lt;&gt;Lorena Dias de Araujo",$B:$B,"&lt;&gt;Lucas Luiz Romero")*(23/1083),IF(C2310="JR",SUMIFS($D:$D,$A:$A,$A2310,$B:$B,"&lt;&gt;Patrícia Karla de Sousa Araújo",$B:$B,"&lt;&gt;Lorena Dias de Araujo",$B:$B,"&lt;&gt;Lucas Luiz Romero")*(20/1083),IF(C2310="Estágio",SUMIFS($D:$D,$A:$A,$A2310,$B:$B,"&lt;&gt;Patrícia Karla de Sousa Araújo",$B:$B,"&lt;&gt;Lorena Dias de Araujo",$B:$B,"&lt;&gt;Lucas Luiz Romero")*(10/1083),0)))))),0)</f>
        <v/>
      </c>
      <c r="K2310" s="3">
        <f>I2310-J2310</f>
        <v/>
      </c>
      <c r="L2310" s="3">
        <f>IF(K2310&lt;-5,"CRÍTICO",IF(K2310&lt;0,"ATENÇÃO",IF(K2310&lt;=5,"BOM","EXCELENTE")))</f>
        <v/>
      </c>
      <c r="M2310" s="3" t="n">
        <v>11</v>
      </c>
      <c r="N2310" s="3" t="n">
        <v>98.48</v>
      </c>
      <c r="O2310" s="12" t="n">
        <v>29.35323383084577</v>
      </c>
    </row>
    <row r="2311">
      <c r="A2311" s="10" t="n">
        <v>46072</v>
      </c>
      <c r="B2311" t="inlineStr">
        <is>
          <t>Sarah Steffanie de Lima Borges</t>
        </is>
      </c>
      <c r="C2311" s="1" t="inlineStr">
        <is>
          <t>Técnico III</t>
        </is>
      </c>
      <c r="D2311" s="3" t="n">
        <v>36</v>
      </c>
      <c r="E2311" s="3" t="n">
        <v>33</v>
      </c>
      <c r="F2311" s="3" t="n">
        <v>17.29</v>
      </c>
      <c r="G2311" s="3" t="n">
        <v>0</v>
      </c>
      <c r="H2311" s="3" t="n">
        <v>0</v>
      </c>
      <c r="I2311" s="3">
        <f>E2311+G2311+H2311</f>
        <v/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/>
      </c>
      <c r="K2311" s="3">
        <f>I2311-J2311</f>
        <v/>
      </c>
      <c r="L2311" s="3">
        <f>IF(K2311&lt;-5,"CRÍTICO",IF(K2311&lt;0,"ATENÇÃO",IF(K2311&lt;=5,"BOM","EXCELENTE")))</f>
        <v/>
      </c>
      <c r="M2311" s="3" t="n">
        <v>27</v>
      </c>
      <c r="N2311" s="3" t="n">
        <v>98.56</v>
      </c>
      <c r="O2311" s="12" t="n">
        <v>29.37365010799136</v>
      </c>
    </row>
    <row r="2312">
      <c r="A2312" s="10" t="n">
        <v>46073</v>
      </c>
      <c r="B2312" t="inlineStr">
        <is>
          <t>Alisson de Freitas Silva</t>
        </is>
      </c>
      <c r="C2312" s="1" t="inlineStr">
        <is>
          <t>Técnico II</t>
        </is>
      </c>
      <c r="D2312" s="3" t="n">
        <v>20</v>
      </c>
      <c r="E2312" s="3" t="n">
        <v>18</v>
      </c>
      <c r="F2312" s="3" t="n">
        <v>33.27</v>
      </c>
      <c r="G2312" s="3" t="n">
        <v>0</v>
      </c>
      <c r="H2312" s="3" t="n">
        <v>0</v>
      </c>
      <c r="I2312" s="3">
        <f>E2312+G2312+H2312</f>
        <v/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/>
      </c>
      <c r="K2312" s="3">
        <f>I2312-J2312</f>
        <v/>
      </c>
      <c r="L2312" s="3">
        <f>IF(K2312&lt;-5,"CRÍTICO",IF(K2312&lt;0,"ATENÇÃO",IF(K2312&lt;=5,"BOM","EXCELENTE")))</f>
        <v/>
      </c>
      <c r="M2312" s="3" t="n">
        <v>18</v>
      </c>
      <c r="N2312" s="3" t="n">
        <v>98.31999999999999</v>
      </c>
      <c r="O2312" s="12" t="n">
        <v>30.3030303030303</v>
      </c>
    </row>
    <row r="2313">
      <c r="A2313" s="10" t="n">
        <v>46073</v>
      </c>
      <c r="B2313" t="inlineStr">
        <is>
          <t>Amanda Moura Ferreira</t>
        </is>
      </c>
      <c r="C2313" s="1" t="inlineStr">
        <is>
          <t>Técnico III</t>
        </is>
      </c>
      <c r="D2313" s="3" t="n">
        <v>0</v>
      </c>
      <c r="E2313" s="3" t="n">
        <v>0</v>
      </c>
      <c r="F2313" s="3" t="n">
        <v>0</v>
      </c>
      <c r="G2313" s="3" t="n">
        <v>0</v>
      </c>
      <c r="H2313" s="3" t="n">
        <v>0</v>
      </c>
      <c r="I2313" s="3" t="n">
        <v>0</v>
      </c>
      <c r="J2313" s="3" t="n">
        <v>0</v>
      </c>
      <c r="K2313" s="3" t="n">
        <v>0</v>
      </c>
      <c r="L2313" s="3">
        <f>IF(K2313&lt;-5,"CRÍTICO",IF(K2313&lt;0,"ATENÇÃO",IF(K2313&lt;=5,"BOM","EXCELENTE")))</f>
        <v/>
      </c>
      <c r="M2313" s="3" t="n">
        <v>25</v>
      </c>
      <c r="N2313" s="3" t="n">
        <v>98.68000000000001</v>
      </c>
      <c r="O2313" s="12" t="n">
        <v>26.21951219512195</v>
      </c>
    </row>
    <row r="2314">
      <c r="A2314" s="10" t="n">
        <v>46073</v>
      </c>
      <c r="B2314" t="inlineStr">
        <is>
          <t>Ana Karollyne Souza Faria</t>
        </is>
      </c>
      <c r="C2314" s="1" t="inlineStr">
        <is>
          <t>Técnico I</t>
        </is>
      </c>
      <c r="D2314" s="3" t="n">
        <v>20</v>
      </c>
      <c r="E2314" s="3" t="n">
        <v>19</v>
      </c>
      <c r="F2314" s="3" t="n">
        <v>28.28</v>
      </c>
      <c r="G2314" s="3" t="n">
        <v>0</v>
      </c>
      <c r="H2314" s="3" t="n">
        <v>0</v>
      </c>
      <c r="I2314" s="3">
        <f>E2314+G2314+H2314</f>
        <v/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/>
      </c>
      <c r="K2314" s="3">
        <f>I2314-J2314</f>
        <v/>
      </c>
      <c r="L2314" s="3">
        <f>IF(K2314&lt;-5,"CRÍTICO",IF(K2314&lt;0,"ATENÇÃO",IF(K2314&lt;=5,"BOM","EXCELENTE")))</f>
        <v/>
      </c>
      <c r="M2314" s="3" t="n">
        <v>18</v>
      </c>
      <c r="N2314" s="3" t="n">
        <v>100</v>
      </c>
      <c r="O2314" s="12" t="n">
        <v>31.74224343675418</v>
      </c>
    </row>
    <row r="2315">
      <c r="A2315" s="10" t="n">
        <v>46073</v>
      </c>
      <c r="B2315" t="inlineStr">
        <is>
          <t>Ana Paula Da Luz Silva Aleixo</t>
        </is>
      </c>
      <c r="C2315" s="1" t="inlineStr">
        <is>
          <t>Técnico III</t>
        </is>
      </c>
      <c r="D2315" s="3" t="n">
        <v>33</v>
      </c>
      <c r="E2315" s="3" t="n">
        <v>31</v>
      </c>
      <c r="F2315" s="3" t="n">
        <v>25.14</v>
      </c>
      <c r="G2315" s="3" t="n">
        <v>0</v>
      </c>
      <c r="H2315" s="3" t="n">
        <v>0</v>
      </c>
      <c r="I2315" s="3">
        <f>E2315+G2315+H2315</f>
        <v/>
      </c>
      <c r="J2315" s="3">
        <f>ROUND(MIN(IF(C2315="Técnico III",35,IF(C2315="Técnico II",28,IF(C2315="Técnico I",23,IF(C2315="JR",20,IF(C2315="Estágio",10,0))))),IF(C2315="Técnico III",SUMIFS($D:$D,$A:$A,$A2315,$B:$B,"&lt;&gt;Patrícia Karla de Sousa Araújo",$B:$B,"&lt;&gt;Lorena Dias de Araujo",$B:$B,"&lt;&gt;Lucas Luiz Romero")*(35/1083),IF(C2315="Técnico II",SUMIFS($D:$D,$A:$A,$A2315,$B:$B,"&lt;&gt;Patrícia Karla de Sousa Araújo",$B:$B,"&lt;&gt;Lorena Dias de Araujo",$B:$B,"&lt;&gt;Lucas Luiz Romero")*(28/1083),IF(C2315="Técnico I",SUMIFS($D:$D,$A:$A,$A2315,$B:$B,"&lt;&gt;Patrícia Karla de Sousa Araújo",$B:$B,"&lt;&gt;Lorena Dias de Araujo",$B:$B,"&lt;&gt;Lucas Luiz Romero")*(23/1083),IF(C2315="JR",SUMIFS($D:$D,$A:$A,$A2315,$B:$B,"&lt;&gt;Patrícia Karla de Sousa Araújo",$B:$B,"&lt;&gt;Lorena Dias de Araujo",$B:$B,"&lt;&gt;Lucas Luiz Romero")*(20/1083),IF(C2315="Estágio",SUMIFS($D:$D,$A:$A,$A2315,$B:$B,"&lt;&gt;Patrícia Karla de Sousa Araújo",$B:$B,"&lt;&gt;Lorena Dias de Araujo",$B:$B,"&lt;&gt;Lucas Luiz Romero")*(10/1083),0)))))),0)</f>
        <v/>
      </c>
      <c r="K2315" s="3">
        <f>I2315-J2315</f>
        <v/>
      </c>
      <c r="L2315" s="3">
        <f>IF(K2315&lt;-5,"CRÍTICO",IF(K2315&lt;0,"ATENÇÃO",IF(K2315&lt;=5,"BOM","EXCELENTE")))</f>
        <v/>
      </c>
      <c r="M2315" s="3" t="n">
        <v>28</v>
      </c>
      <c r="N2315" s="3" t="n">
        <v>98.25</v>
      </c>
      <c r="O2315" s="12" t="n">
        <v>25.83518930957684</v>
      </c>
    </row>
    <row r="2316">
      <c r="A2316" s="10" t="n">
        <v>46073</v>
      </c>
      <c r="B2316" t="inlineStr">
        <is>
          <t>Anna Luiza Rezende Tavares</t>
        </is>
      </c>
      <c r="C2316" s="1" t="inlineStr">
        <is>
          <t>Estágio</t>
        </is>
      </c>
      <c r="D2316" s="3" t="n">
        <v>11</v>
      </c>
      <c r="E2316" s="3" t="n">
        <v>11</v>
      </c>
      <c r="F2316" s="3" t="n">
        <v>28.53</v>
      </c>
      <c r="G2316" s="3" t="n">
        <v>0</v>
      </c>
      <c r="H2316" s="3" t="n">
        <v>0</v>
      </c>
      <c r="I2316" s="3">
        <f>E2316+G2316+H2316</f>
        <v/>
      </c>
      <c r="J2316" s="3">
        <f>ROUND(MIN(IF(C2316="Técnico III",35,IF(C2316="Técnico II",28,IF(C2316="Técnico I",23,IF(C2316="JR",20,IF(C2316="Estágio",10,0))))),IF(C2316="Técnico III",SUMIFS($D:$D,$A:$A,$A2316,$B:$B,"&lt;&gt;Patrícia Karla de Sousa Araújo",$B:$B,"&lt;&gt;Lorena Dias de Araujo",$B:$B,"&lt;&gt;Lucas Luiz Romero")*(35/1083),IF(C2316="Técnico II",SUMIFS($D:$D,$A:$A,$A2316,$B:$B,"&lt;&gt;Patrícia Karla de Sousa Araújo",$B:$B,"&lt;&gt;Lorena Dias de Araujo",$B:$B,"&lt;&gt;Lucas Luiz Romero")*(28/1083),IF(C2316="Técnico I",SUMIFS($D:$D,$A:$A,$A2316,$B:$B,"&lt;&gt;Patrícia Karla de Sousa Araújo",$B:$B,"&lt;&gt;Lorena Dias de Araujo",$B:$B,"&lt;&gt;Lucas Luiz Romero")*(23/1083),IF(C2316="JR",SUMIFS($D:$D,$A:$A,$A2316,$B:$B,"&lt;&gt;Patrícia Karla de Sousa Araújo",$B:$B,"&lt;&gt;Lorena Dias de Araujo",$B:$B,"&lt;&gt;Lucas Luiz Romero")*(20/1083),IF(C2316="Estágio",SUMIFS($D:$D,$A:$A,$A2316,$B:$B,"&lt;&gt;Patrícia Karla de Sousa Araújo",$B:$B,"&lt;&gt;Lorena Dias de Araujo",$B:$B,"&lt;&gt;Lucas Luiz Romero")*(10/1083),0)))))),0)</f>
        <v/>
      </c>
      <c r="K2316" s="3">
        <f>I2316-J2316</f>
        <v/>
      </c>
      <c r="L2316" s="3">
        <f>IF(K2316&lt;-5,"CRÍTICO",IF(K2316&lt;0,"ATENÇÃO",IF(K2316&lt;=5,"BOM","EXCELENTE")))</f>
        <v/>
      </c>
      <c r="M2316" s="3" t="n">
        <v>9</v>
      </c>
      <c r="N2316" s="3" t="n">
        <v>97.5</v>
      </c>
      <c r="O2316" s="12" t="n">
        <v>30.07518796992481</v>
      </c>
    </row>
    <row r="2317">
      <c r="A2317" s="10" t="n">
        <v>46073</v>
      </c>
      <c r="B2317" t="inlineStr">
        <is>
          <t>Brenda de Menezes Silva</t>
        </is>
      </c>
      <c r="C2317" s="1" t="inlineStr">
        <is>
          <t>Técnico II</t>
        </is>
      </c>
      <c r="D2317" s="3" t="n">
        <v>34</v>
      </c>
      <c r="E2317" s="3" t="n">
        <v>29</v>
      </c>
      <c r="F2317" s="3" t="n">
        <v>15.39</v>
      </c>
      <c r="G2317" s="3" t="n">
        <v>0</v>
      </c>
      <c r="H2317" s="3" t="n">
        <v>0</v>
      </c>
      <c r="I2317" s="3">
        <f>E2317+G2317+H2317</f>
        <v/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/>
      </c>
      <c r="K2317" s="3">
        <f>I2317-J2317</f>
        <v/>
      </c>
      <c r="L2317" s="3">
        <f>IF(K2317&lt;-5,"CRÍTICO",IF(K2317&lt;0,"ATENÇÃO",IF(K2317&lt;=5,"BOM","EXCELENTE")))</f>
        <v/>
      </c>
      <c r="M2317" s="3" t="n">
        <v>29</v>
      </c>
      <c r="N2317" s="3" t="n">
        <v>100</v>
      </c>
      <c r="O2317" s="12" t="n">
        <v>29.71311475409836</v>
      </c>
    </row>
    <row r="2318">
      <c r="A2318" s="10" t="n">
        <v>46073</v>
      </c>
      <c r="B2318" t="inlineStr">
        <is>
          <t>Carlos Mateus Cassimiro Nunes</t>
        </is>
      </c>
      <c r="C2318" s="1" t="inlineStr">
        <is>
          <t>Técnico II</t>
        </is>
      </c>
      <c r="D2318" s="3" t="n">
        <v>17</v>
      </c>
      <c r="E2318" s="3" t="n">
        <v>16</v>
      </c>
      <c r="F2318" s="3" t="n">
        <v>37.27</v>
      </c>
      <c r="G2318" s="3" t="n">
        <v>0</v>
      </c>
      <c r="H2318" s="3" t="n">
        <v>0</v>
      </c>
      <c r="I2318" s="3">
        <f>E2318+G2318+H2318</f>
        <v/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/>
      </c>
      <c r="K2318" s="3">
        <f>I2318-J2318</f>
        <v/>
      </c>
      <c r="L2318" s="3">
        <f>IF(K2318&lt;-5,"CRÍTICO",IF(K2318&lt;0,"ATENÇÃO",IF(K2318&lt;=5,"BOM","EXCELENTE")))</f>
        <v/>
      </c>
      <c r="M2318" s="3" t="n">
        <v>19</v>
      </c>
      <c r="N2318" s="3" t="n">
        <v>99.22</v>
      </c>
      <c r="O2318" s="12" t="n">
        <v>35.25641025641026</v>
      </c>
    </row>
    <row r="2319">
      <c r="A2319" s="10" t="n">
        <v>46073</v>
      </c>
      <c r="B2319" t="inlineStr">
        <is>
          <t>Claudio de Sousa Velasco Filho</t>
        </is>
      </c>
      <c r="C2319" s="1" t="inlineStr">
        <is>
          <t>Estágio</t>
        </is>
      </c>
      <c r="D2319" s="3" t="n">
        <v>0</v>
      </c>
      <c r="E2319" s="3" t="n">
        <v>0</v>
      </c>
      <c r="F2319" s="3" t="n">
        <v>0</v>
      </c>
      <c r="G2319" s="3" t="n">
        <v>0</v>
      </c>
      <c r="H2319" s="3" t="n">
        <v>0</v>
      </c>
      <c r="I2319" s="3" t="n">
        <v>0</v>
      </c>
      <c r="J2319" s="3" t="n">
        <v>0</v>
      </c>
      <c r="K2319" s="3" t="n">
        <v>0</v>
      </c>
      <c r="L2319" s="3">
        <f>IF(K2319&lt;-5,"CRÍTICO",IF(K2319&lt;0,"ATENÇÃO",IF(K2319&lt;=5,"BOM","EXCELENTE")))</f>
        <v/>
      </c>
      <c r="M2319" s="3" t="n">
        <v>0</v>
      </c>
      <c r="N2319" s="3" t="n">
        <v>0</v>
      </c>
      <c r="O2319" s="12" t="n">
        <v>0</v>
      </c>
    </row>
    <row r="2320">
      <c r="A2320" s="10" t="n">
        <v>46073</v>
      </c>
      <c r="B2320" t="inlineStr">
        <is>
          <t>Clessiane Pereira dos Santos</t>
        </is>
      </c>
      <c r="C2320" s="1" t="inlineStr">
        <is>
          <t>Técnico I</t>
        </is>
      </c>
      <c r="D2320" s="3" t="n">
        <v>18</v>
      </c>
      <c r="E2320" s="3" t="n">
        <v>18</v>
      </c>
      <c r="F2320" s="3" t="n">
        <v>38.42</v>
      </c>
      <c r="G2320" s="3" t="n">
        <v>0</v>
      </c>
      <c r="H2320" s="3" t="n">
        <v>0</v>
      </c>
      <c r="I2320" s="3">
        <f>E2320+G2320+H2320</f>
        <v/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/>
      </c>
      <c r="K2320" s="3">
        <f>I2320-J2320</f>
        <v/>
      </c>
      <c r="L2320" s="3">
        <f>IF(K2320&lt;-5,"CRÍTICO",IF(K2320&lt;0,"ATENÇÃO",IF(K2320&lt;=5,"BOM","EXCELENTE")))</f>
        <v/>
      </c>
      <c r="M2320" s="3" t="n">
        <v>18</v>
      </c>
      <c r="N2320" s="3" t="n">
        <v>98.75</v>
      </c>
      <c r="O2320" s="12" t="n">
        <v>24.32432432432433</v>
      </c>
    </row>
    <row r="2321">
      <c r="A2321" s="10" t="n">
        <v>46073</v>
      </c>
      <c r="B2321" t="inlineStr">
        <is>
          <t>Cristiane Ramos da Silva Rocha</t>
        </is>
      </c>
      <c r="C2321" s="1" t="inlineStr">
        <is>
          <t>Técnico III</t>
        </is>
      </c>
      <c r="D2321" s="3" t="n">
        <v>39</v>
      </c>
      <c r="E2321" s="3" t="n">
        <v>34</v>
      </c>
      <c r="F2321" s="3" t="n">
        <v>15.08</v>
      </c>
      <c r="G2321" s="3" t="n">
        <v>0</v>
      </c>
      <c r="H2321" s="3" t="n">
        <v>0</v>
      </c>
      <c r="I2321" s="3">
        <f>E2321+G2321+H2321</f>
        <v/>
      </c>
      <c r="J2321" s="3">
        <f>ROUND(MIN(IF(C2321="Técnico III",35,IF(C2321="Técnico II",28,IF(C2321="Técnico I",23,IF(C2321="JR",20,IF(C2321="Estágio",10,0))))),IF(C2321="Técnico III",SUMIFS($D:$D,$A:$A,$A2321,$B:$B,"&lt;&gt;Patrícia Karla de Sousa Araújo",$B:$B,"&lt;&gt;Lorena Dias de Araujo",$B:$B,"&lt;&gt;Lucas Luiz Romero")*(35/1083),IF(C2321="Técnico II",SUMIFS($D:$D,$A:$A,$A2321,$B:$B,"&lt;&gt;Patrícia Karla de Sousa Araújo",$B:$B,"&lt;&gt;Lorena Dias de Araujo",$B:$B,"&lt;&gt;Lucas Luiz Romero")*(28/1083),IF(C2321="Técnico I",SUMIFS($D:$D,$A:$A,$A2321,$B:$B,"&lt;&gt;Patrícia Karla de Sousa Araújo",$B:$B,"&lt;&gt;Lorena Dias de Araujo",$B:$B,"&lt;&gt;Lucas Luiz Romero")*(23/1083),IF(C2321="JR",SUMIFS($D:$D,$A:$A,$A2321,$B:$B,"&lt;&gt;Patrícia Karla de Sousa Araújo",$B:$B,"&lt;&gt;Lorena Dias de Araujo",$B:$B,"&lt;&gt;Lucas Luiz Romero")*(20/1083),IF(C2321="Estágio",SUMIFS($D:$D,$A:$A,$A2321,$B:$B,"&lt;&gt;Patrícia Karla de Sousa Araújo",$B:$B,"&lt;&gt;Lorena Dias de Araujo",$B:$B,"&lt;&gt;Lucas Luiz Romero")*(10/1083),0)))))),0)</f>
        <v/>
      </c>
      <c r="K2321" s="3">
        <f>I2321-J2321</f>
        <v/>
      </c>
      <c r="L2321" s="3">
        <f>IF(K2321&lt;-5,"CRÍTICO",IF(K2321&lt;0,"ATENÇÃO",IF(K2321&lt;=5,"BOM","EXCELENTE")))</f>
        <v/>
      </c>
      <c r="M2321" s="3" t="n">
        <v>30</v>
      </c>
      <c r="N2321" s="3" t="n">
        <v>93.48</v>
      </c>
      <c r="O2321" s="12" t="n">
        <v>31.52804642166344</v>
      </c>
    </row>
    <row r="2322">
      <c r="A2322" s="10" t="n">
        <v>46073</v>
      </c>
      <c r="B2322" t="inlineStr">
        <is>
          <t>Damyllis Lorraine de Oliveira Gonçalves</t>
        </is>
      </c>
      <c r="C2322" s="1" t="inlineStr">
        <is>
          <t>Técnico II</t>
        </is>
      </c>
      <c r="D2322" s="3" t="n">
        <v>30</v>
      </c>
      <c r="E2322" s="3" t="n">
        <v>26</v>
      </c>
      <c r="F2322" s="3" t="n">
        <v>21.54</v>
      </c>
      <c r="G2322" s="3" t="n">
        <v>0</v>
      </c>
      <c r="H2322" s="3" t="n">
        <v>0</v>
      </c>
      <c r="I2322" s="3" t="n">
        <v>0</v>
      </c>
      <c r="J2322" s="3" t="n">
        <v>0</v>
      </c>
      <c r="K2322" s="3" t="n">
        <v>0</v>
      </c>
      <c r="L2322" s="3">
        <f>IF(K2322&lt;-5,"CRÍTICO",IF(K2322&lt;0,"ATENÇÃO",IF(K2322&lt;=5,"BOM","EXCELENTE")))</f>
        <v/>
      </c>
      <c r="M2322" s="3" t="n">
        <v>24</v>
      </c>
      <c r="N2322" s="3" t="n">
        <v>99.16</v>
      </c>
      <c r="O2322" s="12" t="n">
        <v>26.13908872901678</v>
      </c>
    </row>
    <row r="2323">
      <c r="A2323" s="10" t="n">
        <v>46073</v>
      </c>
      <c r="B2323" t="inlineStr">
        <is>
          <t>Daniel Gomes da Silva</t>
        </is>
      </c>
      <c r="C2323" s="1" t="inlineStr">
        <is>
          <t>Técnico I</t>
        </is>
      </c>
      <c r="D2323" s="3" t="n">
        <v>21</v>
      </c>
      <c r="E2323" s="3" t="n">
        <v>21</v>
      </c>
      <c r="F2323" s="3" t="n">
        <v>27.19</v>
      </c>
      <c r="G2323" s="3" t="n">
        <v>0</v>
      </c>
      <c r="H2323" s="3" t="n">
        <v>0</v>
      </c>
      <c r="I2323" s="3">
        <f>E2323+G2323+H2323</f>
        <v/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/>
      </c>
      <c r="K2323" s="3">
        <f>I2323-J2323</f>
        <v/>
      </c>
      <c r="L2323" s="3">
        <f>IF(K2323&lt;-5,"CRÍTICO",IF(K2323&lt;0,"ATENÇÃO",IF(K2323&lt;=5,"BOM","EXCELENTE")))</f>
        <v/>
      </c>
      <c r="M2323" s="3" t="n">
        <v>12</v>
      </c>
      <c r="N2323" s="3" t="n">
        <v>100</v>
      </c>
      <c r="O2323" s="12" t="n">
        <v>31.08974358974359</v>
      </c>
    </row>
    <row r="2324">
      <c r="A2324" s="10" t="n">
        <v>46073</v>
      </c>
      <c r="B2324" t="inlineStr">
        <is>
          <t>Davylla Rodrigues Freitas Silva</t>
        </is>
      </c>
      <c r="C2324" s="1" t="inlineStr">
        <is>
          <t>Técnico III</t>
        </is>
      </c>
      <c r="D2324" s="3" t="n">
        <v>16</v>
      </c>
      <c r="E2324" s="3" t="n">
        <v>16</v>
      </c>
      <c r="F2324" s="3" t="n">
        <v>45.29</v>
      </c>
      <c r="G2324" s="3" t="n">
        <v>0</v>
      </c>
      <c r="H2324" s="3" t="n">
        <v>0</v>
      </c>
      <c r="I2324" s="3" t="n">
        <v>0</v>
      </c>
      <c r="J2324" s="3" t="n">
        <v>0</v>
      </c>
      <c r="K2324" s="3" t="n">
        <v>0</v>
      </c>
      <c r="L2324" s="3">
        <f>IF(K2324&lt;-5,"CRÍTICO",IF(K2324&lt;0,"ATENÇÃO",IF(K2324&lt;=5,"BOM","EXCELENTE")))</f>
        <v/>
      </c>
      <c r="M2324" s="3" t="n">
        <v>16</v>
      </c>
      <c r="N2324" s="3" t="n">
        <v>98.11</v>
      </c>
      <c r="O2324" s="12" t="n">
        <v>33.03370786516854</v>
      </c>
    </row>
    <row r="2325">
      <c r="A2325" s="10" t="n">
        <v>46073</v>
      </c>
      <c r="B2325" t="inlineStr">
        <is>
          <t>Emilly Caylane Costa</t>
        </is>
      </c>
      <c r="C2325" s="1" t="inlineStr">
        <is>
          <t>Estágio</t>
        </is>
      </c>
      <c r="D2325" s="3" t="n">
        <v>7</v>
      </c>
      <c r="E2325" s="3" t="n">
        <v>7</v>
      </c>
      <c r="F2325" s="3" t="n">
        <v>47.2</v>
      </c>
      <c r="G2325" s="3" t="n">
        <v>0</v>
      </c>
      <c r="H2325" s="3" t="n">
        <v>0</v>
      </c>
      <c r="I2325" s="3">
        <f>E2325+G2325+H2325</f>
        <v/>
      </c>
      <c r="J2325" s="3">
        <f>ROUND(MIN(IF(C2325="Técnico III",35,IF(C2325="Técnico II",28,IF(C2325="Técnico I",23,IF(C2325="JR",20,IF(C2325="Estágio",10,0))))),IF(C2325="Técnico III",SUMIFS($D:$D,$A:$A,$A2325,$B:$B,"&lt;&gt;Patrícia Karla de Sousa Araújo",$B:$B,"&lt;&gt;Lorena Dias de Araujo",$B:$B,"&lt;&gt;Lucas Luiz Romero")*(35/1083),IF(C2325="Técnico II",SUMIFS($D:$D,$A:$A,$A2325,$B:$B,"&lt;&gt;Patrícia Karla de Sousa Araújo",$B:$B,"&lt;&gt;Lorena Dias de Araujo",$B:$B,"&lt;&gt;Lucas Luiz Romero")*(28/1083),IF(C2325="Técnico I",SUMIFS($D:$D,$A:$A,$A2325,$B:$B,"&lt;&gt;Patrícia Karla de Sousa Araújo",$B:$B,"&lt;&gt;Lorena Dias de Araujo",$B:$B,"&lt;&gt;Lucas Luiz Romero")*(23/1083),IF(C2325="JR",SUMIFS($D:$D,$A:$A,$A2325,$B:$B,"&lt;&gt;Patrícia Karla de Sousa Araújo",$B:$B,"&lt;&gt;Lorena Dias de Araujo",$B:$B,"&lt;&gt;Lucas Luiz Romero")*(20/1083),IF(C2325="Estágio",SUMIFS($D:$D,$A:$A,$A2325,$B:$B,"&lt;&gt;Patrícia Karla de Sousa Araújo",$B:$B,"&lt;&gt;Lorena Dias de Araujo",$B:$B,"&lt;&gt;Lucas Luiz Romero")*(10/1083),0)))))),0)</f>
        <v/>
      </c>
      <c r="K2325" s="3">
        <f>I2325-J2325</f>
        <v/>
      </c>
      <c r="L2325" s="3">
        <f>IF(K2325&lt;-5,"CRÍTICO",IF(K2325&lt;0,"ATENÇÃO",IF(K2325&lt;=5,"BOM","EXCELENTE")))</f>
        <v/>
      </c>
      <c r="M2325" s="3" t="n">
        <v>0</v>
      </c>
      <c r="N2325" s="3" t="n">
        <v>78.95</v>
      </c>
      <c r="O2325" s="12" t="n">
        <v>38.98305084745763</v>
      </c>
    </row>
    <row r="2326">
      <c r="A2326" s="10" t="n">
        <v>46073</v>
      </c>
      <c r="B2326" t="inlineStr">
        <is>
          <t>Emilly Kamilly Medeiros Miranda</t>
        </is>
      </c>
      <c r="C2326" s="1" t="inlineStr">
        <is>
          <t>Técnico II</t>
        </is>
      </c>
      <c r="D2326" s="3" t="n">
        <v>20</v>
      </c>
      <c r="E2326" s="3" t="n">
        <v>19</v>
      </c>
      <c r="F2326" s="3" t="n">
        <v>32.34</v>
      </c>
      <c r="G2326" s="3" t="n">
        <v>0</v>
      </c>
      <c r="H2326" s="3" t="n">
        <v>0</v>
      </c>
      <c r="I2326" s="3">
        <f>E2326+G2326+H2326</f>
        <v/>
      </c>
      <c r="J2326" s="3">
        <f>ROUND(MIN(IF(C2326="Técnico III",35,IF(C2326="Técnico II",28,IF(C2326="Técnico I",23,IF(C2326="JR",20,IF(C2326="Estágio",10,0))))),IF(C2326="Técnico III",SUMIFS($D:$D,$A:$A,$A2326,$B:$B,"&lt;&gt;Patrícia Karla de Sousa Araújo",$B:$B,"&lt;&gt;Lorena Dias de Araujo",$B:$B,"&lt;&gt;Lucas Luiz Romero")*(35/1083),IF(C2326="Técnico II",SUMIFS($D:$D,$A:$A,$A2326,$B:$B,"&lt;&gt;Patrícia Karla de Sousa Araújo",$B:$B,"&lt;&gt;Lorena Dias de Araujo",$B:$B,"&lt;&gt;Lucas Luiz Romero")*(28/1083),IF(C2326="Técnico I",SUMIFS($D:$D,$A:$A,$A2326,$B:$B,"&lt;&gt;Patrícia Karla de Sousa Araújo",$B:$B,"&lt;&gt;Lorena Dias de Araujo",$B:$B,"&lt;&gt;Lucas Luiz Romero")*(23/1083),IF(C2326="JR",SUMIFS($D:$D,$A:$A,$A2326,$B:$B,"&lt;&gt;Patrícia Karla de Sousa Araújo",$B:$B,"&lt;&gt;Lorena Dias de Araujo",$B:$B,"&lt;&gt;Lucas Luiz Romero")*(20/1083),IF(C2326="Estágio",SUMIFS($D:$D,$A:$A,$A2326,$B:$B,"&lt;&gt;Patrícia Karla de Sousa Araújo",$B:$B,"&lt;&gt;Lorena Dias de Araujo",$B:$B,"&lt;&gt;Lucas Luiz Romero")*(10/1083),0)))))),0)</f>
        <v/>
      </c>
      <c r="K2326" s="3">
        <f>I2326-J2326</f>
        <v/>
      </c>
      <c r="L2326" s="3">
        <f>IF(K2326&lt;-5,"CRÍTICO",IF(K2326&lt;0,"ATENÇÃO",IF(K2326&lt;=5,"BOM","EXCELENTE")))</f>
        <v/>
      </c>
      <c r="M2326" s="3" t="n">
        <v>17</v>
      </c>
      <c r="N2326" s="3" t="n">
        <v>98.45</v>
      </c>
      <c r="O2326" s="12" t="n">
        <v>29.2817679558011</v>
      </c>
    </row>
    <row r="2327">
      <c r="A2327" s="10" t="n">
        <v>46073</v>
      </c>
      <c r="B2327" t="inlineStr">
        <is>
          <t>Francielson de Oliveira</t>
        </is>
      </c>
      <c r="C2327" s="1" t="inlineStr">
        <is>
          <t>Técnico III</t>
        </is>
      </c>
      <c r="D2327" s="3" t="n">
        <v>22</v>
      </c>
      <c r="E2327" s="3" t="n">
        <v>22</v>
      </c>
      <c r="F2327" s="3" t="n">
        <v>29.11</v>
      </c>
      <c r="G2327" s="3" t="n">
        <v>0</v>
      </c>
      <c r="H2327" s="3" t="n">
        <v>0</v>
      </c>
      <c r="I2327" s="3">
        <f>E2327+G2327+H2327</f>
        <v/>
      </c>
      <c r="J2327" s="3">
        <f>ROUND(MIN(IF(C2327="Técnico III",35,IF(C2327="Técnico II",28,IF(C2327="Técnico I",23,IF(C2327="JR",20,IF(C2327="Estágio",10,0))))),IF(C2327="Técnico III",SUMIFS($D:$D,$A:$A,$A2327,$B:$B,"&lt;&gt;Patrícia Karla de Sousa Araújo",$B:$B,"&lt;&gt;Lorena Dias de Araujo",$B:$B,"&lt;&gt;Lucas Luiz Romero")*(35/1083),IF(C2327="Técnico II",SUMIFS($D:$D,$A:$A,$A2327,$B:$B,"&lt;&gt;Patrícia Karla de Sousa Araújo",$B:$B,"&lt;&gt;Lorena Dias de Araujo",$B:$B,"&lt;&gt;Lucas Luiz Romero")*(28/1083),IF(C2327="Técnico I",SUMIFS($D:$D,$A:$A,$A2327,$B:$B,"&lt;&gt;Patrícia Karla de Sousa Araújo",$B:$B,"&lt;&gt;Lorena Dias de Araujo",$B:$B,"&lt;&gt;Lucas Luiz Romero")*(23/1083),IF(C2327="JR",SUMIFS($D:$D,$A:$A,$A2327,$B:$B,"&lt;&gt;Patrícia Karla de Sousa Araújo",$B:$B,"&lt;&gt;Lorena Dias de Araujo",$B:$B,"&lt;&gt;Lucas Luiz Romero")*(20/1083),IF(C2327="Estágio",SUMIFS($D:$D,$A:$A,$A2327,$B:$B,"&lt;&gt;Patrícia Karla de Sousa Araújo",$B:$B,"&lt;&gt;Lorena Dias de Araujo",$B:$B,"&lt;&gt;Lucas Luiz Romero")*(10/1083),0)))))),0)</f>
        <v/>
      </c>
      <c r="K2327" s="3">
        <f>I2327-J2327</f>
        <v/>
      </c>
      <c r="L2327" s="3">
        <f>IF(K2327&lt;-5,"CRÍTICO",IF(K2327&lt;0,"ATENÇÃO",IF(K2327&lt;=5,"BOM","EXCELENTE")))</f>
        <v/>
      </c>
      <c r="M2327" s="3" t="n">
        <v>22</v>
      </c>
      <c r="N2327" s="3" t="n">
        <v>97.84</v>
      </c>
      <c r="O2327" s="12" t="n">
        <v>26.28205128205128</v>
      </c>
    </row>
    <row r="2328">
      <c r="A2328" s="10" t="n">
        <v>46073</v>
      </c>
      <c r="B2328" t="inlineStr">
        <is>
          <t>Francilene Ferreira de Jesus</t>
        </is>
      </c>
      <c r="C2328" s="1" t="inlineStr">
        <is>
          <t>Técnico II</t>
        </is>
      </c>
      <c r="D2328" s="3" t="n">
        <v>31</v>
      </c>
      <c r="E2328" s="3" t="n">
        <v>29</v>
      </c>
      <c r="F2328" s="3" t="n">
        <v>16.56</v>
      </c>
      <c r="G2328" s="3" t="n">
        <v>0</v>
      </c>
      <c r="H2328" s="3" t="n">
        <v>0</v>
      </c>
      <c r="I2328" s="3">
        <f>E2328+G2328+H2328</f>
        <v/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/>
      </c>
      <c r="K2328" s="3">
        <f>I2328-J2328</f>
        <v/>
      </c>
      <c r="L2328" s="3">
        <f>IF(K2328&lt;-5,"CRÍTICO",IF(K2328&lt;0,"ATENÇÃO",IF(K2328&lt;=5,"BOM","EXCELENTE")))</f>
        <v/>
      </c>
      <c r="M2328" s="3" t="n">
        <v>29</v>
      </c>
      <c r="N2328" s="3" t="n">
        <v>98.5</v>
      </c>
      <c r="O2328" s="12" t="n">
        <v>23.97769516728625</v>
      </c>
    </row>
    <row r="2329">
      <c r="A2329" s="10" t="n">
        <v>46107</v>
      </c>
      <c r="B2329" t="inlineStr">
        <is>
          <t>Gabriel Gomes de Andrade</t>
        </is>
      </c>
      <c r="C2329" s="1" t="inlineStr">
        <is>
          <t>Técnico I</t>
        </is>
      </c>
      <c r="D2329" s="3" t="n">
        <v>29</v>
      </c>
      <c r="E2329" s="3" t="n">
        <v>27</v>
      </c>
      <c r="F2329" s="3" t="n">
        <v>22.14</v>
      </c>
      <c r="G2329" s="3" t="n">
        <v>0</v>
      </c>
      <c r="H2329" s="3" t="n">
        <v>0</v>
      </c>
      <c r="I2329" s="3">
        <f>E2329+G2329+H2329</f>
        <v/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/>
      </c>
      <c r="K2329" s="3">
        <f>I2329-J2329</f>
        <v/>
      </c>
      <c r="L2329" s="3">
        <f>IF(K2329&lt;-5,"CRÍTICO",IF(K2329&lt;0,"ATENÇÃO",IF(K2329&lt;=5,"BOM","EXCELENTE")))</f>
        <v/>
      </c>
      <c r="M2329" s="3" t="n">
        <v>25</v>
      </c>
      <c r="N2329" s="3" t="n">
        <v>99.05</v>
      </c>
      <c r="O2329" s="12" t="n">
        <v>26.62192393736018</v>
      </c>
    </row>
    <row r="2330">
      <c r="A2330" s="10" t="n">
        <v>46073</v>
      </c>
      <c r="B2330" t="inlineStr">
        <is>
          <t>Isabella Borges de Oliveira</t>
        </is>
      </c>
      <c r="C2330" s="1" t="inlineStr">
        <is>
          <t>Técnico II</t>
        </is>
      </c>
      <c r="D2330" s="3" t="n">
        <v>29</v>
      </c>
      <c r="E2330" s="3" t="n">
        <v>28</v>
      </c>
      <c r="F2330" s="3" t="n">
        <v>25.19</v>
      </c>
      <c r="G2330" s="3" t="n">
        <v>0</v>
      </c>
      <c r="H2330" s="3" t="n">
        <v>0</v>
      </c>
      <c r="I2330" s="3">
        <f>E2330+G2330+H2330</f>
        <v/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/>
      </c>
      <c r="K2330" s="3">
        <f>I2330-J2330</f>
        <v/>
      </c>
      <c r="L2330" s="3">
        <f>IF(K2330&lt;-5,"CRÍTICO",IF(K2330&lt;0,"ATENÇÃO",IF(K2330&lt;=5,"BOM","EXCELENTE")))</f>
        <v/>
      </c>
      <c r="M2330" s="3" t="n">
        <v>22</v>
      </c>
      <c r="N2330" s="3" t="n">
        <v>98.53</v>
      </c>
      <c r="O2330" s="12" t="n">
        <v>31.57894736842105</v>
      </c>
    </row>
    <row r="2331">
      <c r="A2331" s="10" t="n">
        <v>46073</v>
      </c>
      <c r="B2331" t="inlineStr">
        <is>
          <t>Janaina Lima dos Reis Urany</t>
        </is>
      </c>
      <c r="C2331" s="1" t="inlineStr">
        <is>
          <t>Técnico III</t>
        </is>
      </c>
      <c r="D2331" s="3" t="n">
        <v>31</v>
      </c>
      <c r="E2331" s="3" t="n">
        <v>30</v>
      </c>
      <c r="F2331" s="3" t="n">
        <v>25.38</v>
      </c>
      <c r="G2331" s="3" t="n">
        <v>0</v>
      </c>
      <c r="H2331" s="3" t="n">
        <v>0</v>
      </c>
      <c r="I2331" s="3">
        <f>E2331+G2331+H2331</f>
        <v/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/>
      </c>
      <c r="K2331" s="3">
        <f>I2331-J2331</f>
        <v/>
      </c>
      <c r="L2331" s="3">
        <f>IF(K2331&lt;-5,"CRÍTICO",IF(K2331&lt;0,"ATENÇÃO",IF(K2331&lt;=5,"BOM","EXCELENTE")))</f>
        <v/>
      </c>
      <c r="M2331" s="3" t="n">
        <v>30</v>
      </c>
      <c r="N2331" s="3" t="n">
        <v>100</v>
      </c>
      <c r="O2331" s="12" t="n">
        <v>25.72214580467676</v>
      </c>
    </row>
    <row r="2332">
      <c r="A2332" s="10" t="n">
        <v>46073</v>
      </c>
      <c r="B2332" t="inlineStr">
        <is>
          <t>Jaqueline Evangelista da Silva Martins</t>
        </is>
      </c>
      <c r="C2332" s="1" t="inlineStr">
        <is>
          <t>Técnico III</t>
        </is>
      </c>
      <c r="D2332" s="3" t="n">
        <v>26</v>
      </c>
      <c r="E2332" s="3" t="n">
        <v>24</v>
      </c>
      <c r="F2332" s="3" t="n">
        <v>17.12</v>
      </c>
      <c r="G2332" s="3" t="n">
        <v>0</v>
      </c>
      <c r="H2332" s="3" t="n">
        <v>0</v>
      </c>
      <c r="I2332" s="3">
        <f>E2332+G2332+H2332</f>
        <v/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/>
      </c>
      <c r="K2332" s="3">
        <f>I2332-J2332</f>
        <v/>
      </c>
      <c r="L2332" s="3">
        <f>IF(K2332&lt;-5,"CRÍTICO",IF(K2332&lt;0,"ATENÇÃO",IF(K2332&lt;=5,"BOM","EXCELENTE")))</f>
        <v/>
      </c>
      <c r="M2332" s="3" t="n">
        <v>23</v>
      </c>
      <c r="N2332" s="3" t="n">
        <v>94.64</v>
      </c>
      <c r="O2332" s="12" t="n">
        <v>27.52941176470588</v>
      </c>
    </row>
    <row r="2333">
      <c r="A2333" s="10" t="n">
        <v>46073</v>
      </c>
      <c r="B2333" t="inlineStr">
        <is>
          <t>Jessica Faria da Silveira</t>
        </is>
      </c>
      <c r="C2333" s="1" t="inlineStr">
        <is>
          <t>Técnico II</t>
        </is>
      </c>
      <c r="D2333" s="3" t="n">
        <v>29</v>
      </c>
      <c r="E2333" s="3" t="n">
        <v>20</v>
      </c>
      <c r="F2333" s="3" t="n">
        <v>21.56</v>
      </c>
      <c r="G2333" s="3" t="n">
        <v>0</v>
      </c>
      <c r="H2333" s="3" t="n">
        <v>0</v>
      </c>
      <c r="I2333" s="3">
        <f>E2333+G2333+H2333</f>
        <v/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/>
      </c>
      <c r="K2333" s="3">
        <f>I2333-J2333</f>
        <v/>
      </c>
      <c r="L2333" s="3">
        <f>IF(K2333&lt;-5,"CRÍTICO",IF(K2333&lt;0,"ATENÇÃO",IF(K2333&lt;=5,"BOM","EXCELENTE")))</f>
        <v/>
      </c>
      <c r="M2333" s="3" t="n">
        <v>15</v>
      </c>
      <c r="N2333" s="3" t="n">
        <v>99.06999999999999</v>
      </c>
      <c r="O2333" s="12" t="n">
        <v>26.3768115942029</v>
      </c>
    </row>
    <row r="2334">
      <c r="A2334" s="10" t="n">
        <v>46073</v>
      </c>
      <c r="B2334" t="inlineStr">
        <is>
          <t>Jéssica Fé Moura</t>
        </is>
      </c>
      <c r="C2334" s="1" t="inlineStr">
        <is>
          <t>Técnico III</t>
        </is>
      </c>
      <c r="D2334" s="3" t="n">
        <v>0</v>
      </c>
      <c r="E2334" s="3" t="n">
        <v>0</v>
      </c>
      <c r="F2334" s="3" t="n">
        <v>0</v>
      </c>
      <c r="G2334" s="3" t="n">
        <v>0</v>
      </c>
      <c r="H2334" s="3" t="n">
        <v>0</v>
      </c>
      <c r="I2334" s="3" t="n">
        <v>0</v>
      </c>
      <c r="J2334" s="3" t="n">
        <v>0</v>
      </c>
      <c r="K2334" s="3" t="n">
        <v>0</v>
      </c>
      <c r="L2334" s="3">
        <f>IF(K2334&lt;-5,"CRÍTICO",IF(K2334&lt;0,"ATENÇÃO",IF(K2334&lt;=5,"BOM","EXCELENTE")))</f>
        <v/>
      </c>
      <c r="M2334" s="3" t="n">
        <v>0</v>
      </c>
      <c r="N2334" s="3" t="n">
        <v>100</v>
      </c>
      <c r="O2334" s="12" t="n">
        <v>0</v>
      </c>
    </row>
    <row r="2335">
      <c r="A2335" s="10" t="n">
        <v>46073</v>
      </c>
      <c r="B2335" t="inlineStr">
        <is>
          <t>Karina Gonçalves Martins</t>
        </is>
      </c>
      <c r="C2335" s="1" t="inlineStr">
        <is>
          <t>JR</t>
        </is>
      </c>
      <c r="D2335" s="3" t="n">
        <v>19</v>
      </c>
      <c r="E2335" s="3" t="n">
        <v>18</v>
      </c>
      <c r="F2335" s="3" t="n">
        <v>28.27</v>
      </c>
      <c r="G2335" s="3" t="n">
        <v>0</v>
      </c>
      <c r="H2335" s="3" t="n">
        <v>0</v>
      </c>
      <c r="I2335" s="3">
        <f>E2335+G2335+H2335</f>
        <v/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/>
      </c>
      <c r="K2335" s="3">
        <f>I2335-J2335</f>
        <v/>
      </c>
      <c r="L2335" s="3">
        <f>IF(K2335&lt;-5,"CRÍTICO",IF(K2335&lt;0,"ATENÇÃO",IF(K2335&lt;=5,"BOM","EXCELENTE")))</f>
        <v/>
      </c>
      <c r="M2335" s="3" t="n">
        <v>17</v>
      </c>
      <c r="N2335" s="3" t="n">
        <v>98.48</v>
      </c>
      <c r="O2335" s="12" t="n">
        <v>27.85388127853881</v>
      </c>
    </row>
    <row r="2336">
      <c r="A2336" s="10" t="n">
        <v>46073</v>
      </c>
      <c r="B2336" t="inlineStr">
        <is>
          <t>Kerollen Cristielly de Jesus Siqueira</t>
        </is>
      </c>
      <c r="C2336" s="1" t="inlineStr">
        <is>
          <t>Técnico III</t>
        </is>
      </c>
      <c r="D2336" s="3" t="n">
        <v>20</v>
      </c>
      <c r="E2336" s="3" t="n">
        <v>19</v>
      </c>
      <c r="F2336" s="3" t="n">
        <v>25.12</v>
      </c>
      <c r="G2336" s="3" t="n">
        <v>0</v>
      </c>
      <c r="H2336" s="3" t="n">
        <v>0</v>
      </c>
      <c r="I2336" s="3">
        <f>E2336+G2336+H2336</f>
        <v/>
      </c>
      <c r="J2336" s="3">
        <f>ROUND(MIN(IF(C2336="Técnico III",35,IF(C2336="Técnico II",28,IF(C2336="Técnico I",23,IF(C2336="JR",20,IF(C2336="Estágio",10,0))))),IF(C2336="Técnico III",SUMIFS($D:$D,$A:$A,$A2336,$B:$B,"&lt;&gt;Patrícia Karla de Sousa Araújo",$B:$B,"&lt;&gt;Lorena Dias de Araujo",$B:$B,"&lt;&gt;Lucas Luiz Romero")*(35/1083),IF(C2336="Técnico II",SUMIFS($D:$D,$A:$A,$A2336,$B:$B,"&lt;&gt;Patrícia Karla de Sousa Araújo",$B:$B,"&lt;&gt;Lorena Dias de Araujo",$B:$B,"&lt;&gt;Lucas Luiz Romero")*(28/1083),IF(C2336="Técnico I",SUMIFS($D:$D,$A:$A,$A2336,$B:$B,"&lt;&gt;Patrícia Karla de Sousa Araújo",$B:$B,"&lt;&gt;Lorena Dias de Araujo",$B:$B,"&lt;&gt;Lucas Luiz Romero")*(23/1083),IF(C2336="JR",SUMIFS($D:$D,$A:$A,$A2336,$B:$B,"&lt;&gt;Patrícia Karla de Sousa Araújo",$B:$B,"&lt;&gt;Lorena Dias de Araujo",$B:$B,"&lt;&gt;Lucas Luiz Romero")*(20/1083),IF(C2336="Estágio",SUMIFS($D:$D,$A:$A,$A2336,$B:$B,"&lt;&gt;Patrícia Karla de Sousa Araújo",$B:$B,"&lt;&gt;Lorena Dias de Araujo",$B:$B,"&lt;&gt;Lucas Luiz Romero")*(10/1083),0)))))),0)</f>
        <v/>
      </c>
      <c r="K2336" s="3">
        <f>I2336-J2336</f>
        <v/>
      </c>
      <c r="L2336" s="3">
        <f>IF(K2336&lt;-5,"CRÍTICO",IF(K2336&lt;0,"ATENÇÃO",IF(K2336&lt;=5,"BOM","EXCELENTE")))</f>
        <v/>
      </c>
      <c r="M2336" s="3" t="n">
        <v>18</v>
      </c>
      <c r="N2336" s="3" t="n">
        <v>95.15000000000001</v>
      </c>
      <c r="O2336" s="12" t="n">
        <v>34.13173652694611</v>
      </c>
    </row>
    <row r="2337">
      <c r="A2337" s="10" t="n">
        <v>46073</v>
      </c>
      <c r="B2337" t="inlineStr">
        <is>
          <t>Leandro de Souza Silva</t>
        </is>
      </c>
      <c r="C2337" s="1" t="inlineStr">
        <is>
          <t>JR</t>
        </is>
      </c>
      <c r="D2337" s="3" t="n">
        <v>0</v>
      </c>
      <c r="E2337" s="3" t="n">
        <v>0</v>
      </c>
      <c r="F2337" s="3" t="n">
        <v>0</v>
      </c>
      <c r="G2337" s="3" t="n">
        <v>0</v>
      </c>
      <c r="H2337" s="3" t="n">
        <v>0</v>
      </c>
      <c r="I2337" s="3" t="n">
        <v>0</v>
      </c>
      <c r="J2337" s="3" t="n">
        <v>0</v>
      </c>
      <c r="K2337" s="3" t="n">
        <v>0</v>
      </c>
      <c r="L2337" s="3">
        <f>IF(K2337&lt;-5,"CRÍTICO",IF(K2337&lt;0,"ATENÇÃO",IF(K2337&lt;=5,"BOM","EXCELENTE")))</f>
        <v/>
      </c>
      <c r="M2337" s="3" t="n">
        <v>0</v>
      </c>
      <c r="N2337" s="3" t="n">
        <v>0</v>
      </c>
      <c r="O2337" s="12" t="n">
        <v>0</v>
      </c>
    </row>
    <row r="2338">
      <c r="A2338" s="10" t="n">
        <v>46073</v>
      </c>
      <c r="B2338" t="inlineStr">
        <is>
          <t>Leandro Oliveira de Sousa</t>
        </is>
      </c>
      <c r="C2338" s="1" t="inlineStr">
        <is>
          <t>Técnico III</t>
        </is>
      </c>
      <c r="D2338" s="3" t="n">
        <v>29</v>
      </c>
      <c r="E2338" s="3" t="n">
        <v>28</v>
      </c>
      <c r="F2338" s="3" t="n">
        <v>21.56</v>
      </c>
      <c r="G2338" s="3" t="n">
        <v>0</v>
      </c>
      <c r="H2338" s="3" t="n">
        <v>0</v>
      </c>
      <c r="I2338" s="3">
        <f>E2338+G2338+H2338</f>
        <v/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/>
      </c>
      <c r="K2338" s="3">
        <f>I2338-J2338</f>
        <v/>
      </c>
      <c r="L2338" s="3">
        <f>IF(K2338&lt;-5,"CRÍTICO",IF(K2338&lt;0,"ATENÇÃO",IF(K2338&lt;=5,"BOM","EXCELENTE")))</f>
        <v/>
      </c>
      <c r="M2338" s="3" t="n">
        <v>28</v>
      </c>
      <c r="N2338" s="3" t="n">
        <v>99.26000000000001</v>
      </c>
      <c r="O2338" s="12" t="n">
        <v>30.84832904884319</v>
      </c>
    </row>
    <row r="2339">
      <c r="A2339" s="10" t="n">
        <v>46073</v>
      </c>
      <c r="B2339" t="inlineStr">
        <is>
          <t>Lizandra Gomes Duarte</t>
        </is>
      </c>
      <c r="C2339" s="1" t="inlineStr">
        <is>
          <t>Técnico II</t>
        </is>
      </c>
      <c r="D2339" s="3" t="n">
        <v>31</v>
      </c>
      <c r="E2339" s="3" t="n">
        <v>27</v>
      </c>
      <c r="F2339" s="3" t="n">
        <v>24.05</v>
      </c>
      <c r="G2339" s="3" t="n">
        <v>0</v>
      </c>
      <c r="H2339" s="3" t="n">
        <v>0</v>
      </c>
      <c r="I2339" s="3">
        <f>E2339+G2339+H2339</f>
        <v/>
      </c>
      <c r="J2339" s="3">
        <f>ROUND(MIN(IF(C2339="Técnico III",35,IF(C2339="Técnico II",28,IF(C2339="Técnico I",23,IF(C2339="JR",20,IF(C2339="Estágio",10,0))))),IF(C2339="Técnico III",SUMIFS($D:$D,$A:$A,$A2339,$B:$B,"&lt;&gt;Patrícia Karla de Sousa Araújo",$B:$B,"&lt;&gt;Lorena Dias de Araujo",$B:$B,"&lt;&gt;Lucas Luiz Romero")*(35/1083),IF(C2339="Técnico II",SUMIFS($D:$D,$A:$A,$A2339,$B:$B,"&lt;&gt;Patrícia Karla de Sousa Araújo",$B:$B,"&lt;&gt;Lorena Dias de Araujo",$B:$B,"&lt;&gt;Lucas Luiz Romero")*(28/1083),IF(C2339="Técnico I",SUMIFS($D:$D,$A:$A,$A2339,$B:$B,"&lt;&gt;Patrícia Karla de Sousa Araújo",$B:$B,"&lt;&gt;Lorena Dias de Araujo",$B:$B,"&lt;&gt;Lucas Luiz Romero")*(23/1083),IF(C2339="JR",SUMIFS($D:$D,$A:$A,$A2339,$B:$B,"&lt;&gt;Patrícia Karla de Sousa Araújo",$B:$B,"&lt;&gt;Lorena Dias de Araujo",$B:$B,"&lt;&gt;Lucas Luiz Romero")*(20/1083),IF(C2339="Estágio",SUMIFS($D:$D,$A:$A,$A2339,$B:$B,"&lt;&gt;Patrícia Karla de Sousa Araújo",$B:$B,"&lt;&gt;Lorena Dias de Araujo",$B:$B,"&lt;&gt;Lucas Luiz Romero")*(10/1083),0)))))),0)</f>
        <v/>
      </c>
      <c r="K2339" s="3">
        <f>I2339-J2339</f>
        <v/>
      </c>
      <c r="L2339" s="3">
        <f>IF(K2339&lt;-5,"CRÍTICO",IF(K2339&lt;0,"ATENÇÃO",IF(K2339&lt;=5,"BOM","EXCELENTE")))</f>
        <v/>
      </c>
      <c r="M2339" s="3" t="n">
        <v>20</v>
      </c>
      <c r="N2339" s="3" t="n">
        <v>97.48</v>
      </c>
      <c r="O2339" s="12" t="n">
        <v>27.76470588235294</v>
      </c>
    </row>
    <row r="2340">
      <c r="A2340" s="10" t="n">
        <v>46073</v>
      </c>
      <c r="B2340" t="inlineStr">
        <is>
          <t>Lorena Dias de Araujo</t>
        </is>
      </c>
      <c r="C2340" s="1" t="inlineStr">
        <is>
          <t>Técnico II</t>
        </is>
      </c>
      <c r="D2340" s="3" t="n">
        <v>29</v>
      </c>
      <c r="E2340" s="3" t="n">
        <v>26</v>
      </c>
      <c r="F2340" s="3" t="n">
        <v>22.26</v>
      </c>
      <c r="G2340" s="3" t="n">
        <v>0</v>
      </c>
      <c r="H2340" s="3" t="n">
        <v>0</v>
      </c>
      <c r="I2340" s="3" t="n">
        <v>0</v>
      </c>
      <c r="J2340" s="3" t="n">
        <v>0</v>
      </c>
      <c r="K2340" s="3" t="n">
        <v>0</v>
      </c>
      <c r="L2340" s="3">
        <f>IF(K2340&lt;-5,"CRÍTICO",IF(K2340&lt;0,"ATENÇÃO",IF(K2340&lt;=5,"BOM","EXCELENTE")))</f>
        <v/>
      </c>
      <c r="M2340" s="3" t="n">
        <v>25</v>
      </c>
      <c r="N2340" s="3" t="n">
        <v>99.34</v>
      </c>
      <c r="O2340" s="12" t="n">
        <v>30.04291845493562</v>
      </c>
    </row>
    <row r="2341">
      <c r="A2341" s="10" t="n">
        <v>46073</v>
      </c>
      <c r="B2341" t="inlineStr">
        <is>
          <t>Lucas Luiz Romero</t>
        </is>
      </c>
      <c r="C2341" s="1" t="inlineStr">
        <is>
          <t>Técnico III</t>
        </is>
      </c>
      <c r="D2341" s="3" t="n">
        <v>0</v>
      </c>
      <c r="E2341" s="3" t="n">
        <v>0</v>
      </c>
      <c r="F2341" s="3" t="n">
        <v>0</v>
      </c>
      <c r="G2341" s="3" t="n">
        <v>0</v>
      </c>
      <c r="H2341" s="3" t="n">
        <v>0</v>
      </c>
      <c r="I2341" s="3" t="n">
        <v>0</v>
      </c>
      <c r="J2341" s="3" t="n">
        <v>0</v>
      </c>
      <c r="K2341" s="3" t="n">
        <v>0</v>
      </c>
      <c r="L2341" s="3">
        <f>IF(K2341&lt;-5,"CRÍTICO",IF(K2341&lt;0,"ATENÇÃO",IF(K2341&lt;=5,"BOM","EXCELENTE")))</f>
        <v/>
      </c>
      <c r="M2341" s="3" t="n">
        <v>0</v>
      </c>
      <c r="N2341" s="3" t="n">
        <v>96.3</v>
      </c>
      <c r="O2341" s="12" t="n">
        <v>24.29378531073446</v>
      </c>
    </row>
    <row r="2342">
      <c r="A2342" s="10" t="n">
        <v>46073</v>
      </c>
      <c r="B2342" t="inlineStr">
        <is>
          <t>Luiz Fernando de Carvalho Junior</t>
        </is>
      </c>
      <c r="C2342" s="1" t="inlineStr">
        <is>
          <t>Técnico I</t>
        </is>
      </c>
      <c r="D2342" s="3" t="n">
        <v>10</v>
      </c>
      <c r="E2342" s="3" t="n">
        <v>9</v>
      </c>
      <c r="F2342" s="3" t="n">
        <v>38.54</v>
      </c>
      <c r="G2342" s="3" t="n">
        <v>0</v>
      </c>
      <c r="H2342" s="3" t="n">
        <v>0</v>
      </c>
      <c r="I2342" s="3">
        <f>E2342+G2342+H2342</f>
        <v/>
      </c>
      <c r="J2342" s="3">
        <f>ROUND(MIN(IF(C2342="Técnico III",35,IF(C2342="Técnico II",28,IF(C2342="Técnico I",23,IF(C2342="JR",20,IF(C2342="Estágio",10,0))))),IF(C2342="Técnico III",SUMIFS($D:$D,$A:$A,$A2342,$B:$B,"&lt;&gt;Patrícia Karla de Sousa Araújo",$B:$B,"&lt;&gt;Lorena Dias de Araujo",$B:$B,"&lt;&gt;Lucas Luiz Romero")*(35/1083),IF(C2342="Técnico II",SUMIFS($D:$D,$A:$A,$A2342,$B:$B,"&lt;&gt;Patrícia Karla de Sousa Araújo",$B:$B,"&lt;&gt;Lorena Dias de Araujo",$B:$B,"&lt;&gt;Lucas Luiz Romero")*(28/1083),IF(C2342="Técnico I",SUMIFS($D:$D,$A:$A,$A2342,$B:$B,"&lt;&gt;Patrícia Karla de Sousa Araújo",$B:$B,"&lt;&gt;Lorena Dias de Araujo",$B:$B,"&lt;&gt;Lucas Luiz Romero")*(23/1083),IF(C2342="JR",SUMIFS($D:$D,$A:$A,$A2342,$B:$B,"&lt;&gt;Patrícia Karla de Sousa Araújo",$B:$B,"&lt;&gt;Lorena Dias de Araujo",$B:$B,"&lt;&gt;Lucas Luiz Romero")*(20/1083),IF(C2342="Estágio",SUMIFS($D:$D,$A:$A,$A2342,$B:$B,"&lt;&gt;Patrícia Karla de Sousa Araújo",$B:$B,"&lt;&gt;Lorena Dias de Araujo",$B:$B,"&lt;&gt;Lucas Luiz Romero")*(10/1083),0)))))),0)</f>
        <v/>
      </c>
      <c r="K2342" s="3">
        <f>I2342-J2342</f>
        <v/>
      </c>
      <c r="L2342" s="3">
        <f>IF(K2342&lt;-5,"CRÍTICO",IF(K2342&lt;0,"ATENÇÃO",IF(K2342&lt;=5,"BOM","EXCELENTE")))</f>
        <v/>
      </c>
      <c r="M2342" s="3" t="n">
        <v>8</v>
      </c>
      <c r="N2342" s="3" t="n">
        <v>100</v>
      </c>
      <c r="O2342" s="12" t="n">
        <v>26.54320987654321</v>
      </c>
    </row>
    <row r="2343">
      <c r="A2343" s="10" t="n">
        <v>46073</v>
      </c>
      <c r="B2343" t="inlineStr">
        <is>
          <t>Maria Eduarda Sousa Costa</t>
        </is>
      </c>
      <c r="C2343" s="1" t="inlineStr">
        <is>
          <t>Estágio</t>
        </is>
      </c>
      <c r="D2343" s="3" t="n">
        <v>4</v>
      </c>
      <c r="E2343" s="3" t="n">
        <v>4</v>
      </c>
      <c r="F2343" s="3" t="n">
        <v>99.13</v>
      </c>
      <c r="G2343" s="3" t="n">
        <v>0</v>
      </c>
      <c r="H2343" s="3" t="n">
        <v>0</v>
      </c>
      <c r="I2343" s="3">
        <f>E2343+G2343+H2343</f>
        <v/>
      </c>
      <c r="J2343" s="3">
        <f>ROUND(MIN(IF(C2343="Técnico III",35,IF(C2343="Técnico II",28,IF(C2343="Técnico I",23,IF(C2343="JR",20,IF(C2343="Estágio",10,0))))),IF(C2343="Técnico III",SUMIFS($D:$D,$A:$A,$A2343,$B:$B,"&lt;&gt;Patrícia Karla de Sousa Araújo",$B:$B,"&lt;&gt;Lorena Dias de Araujo",$B:$B,"&lt;&gt;Lucas Luiz Romero")*(35/1083),IF(C2343="Técnico II",SUMIFS($D:$D,$A:$A,$A2343,$B:$B,"&lt;&gt;Patrícia Karla de Sousa Araújo",$B:$B,"&lt;&gt;Lorena Dias de Araujo",$B:$B,"&lt;&gt;Lucas Luiz Romero")*(28/1083),IF(C2343="Técnico I",SUMIFS($D:$D,$A:$A,$A2343,$B:$B,"&lt;&gt;Patrícia Karla de Sousa Araújo",$B:$B,"&lt;&gt;Lorena Dias de Araujo",$B:$B,"&lt;&gt;Lucas Luiz Romero")*(23/1083),IF(C2343="JR",SUMIFS($D:$D,$A:$A,$A2343,$B:$B,"&lt;&gt;Patrícia Karla de Sousa Araújo",$B:$B,"&lt;&gt;Lorena Dias de Araujo",$B:$B,"&lt;&gt;Lucas Luiz Romero")*(20/1083),IF(C2343="Estágio",SUMIFS($D:$D,$A:$A,$A2343,$B:$B,"&lt;&gt;Patrícia Karla de Sousa Araújo",$B:$B,"&lt;&gt;Lorena Dias de Araujo",$B:$B,"&lt;&gt;Lucas Luiz Romero")*(10/1083),0)))))),0)</f>
        <v/>
      </c>
      <c r="K2343" s="3">
        <f>I2343-J2343</f>
        <v/>
      </c>
      <c r="L2343" s="3">
        <f>IF(K2343&lt;-5,"CRÍTICO",IF(K2343&lt;0,"ATENÇÃO",IF(K2343&lt;=5,"BOM","EXCELENTE")))</f>
        <v/>
      </c>
      <c r="M2343" s="3" t="n">
        <v>5</v>
      </c>
      <c r="N2343" s="3" t="n">
        <v>100</v>
      </c>
      <c r="O2343" s="12" t="n">
        <v>35.48387096774194</v>
      </c>
    </row>
    <row r="2344">
      <c r="A2344" s="10" t="n">
        <v>46073</v>
      </c>
      <c r="B2344" t="inlineStr">
        <is>
          <t>Matheus Farias De Souza</t>
        </is>
      </c>
      <c r="C2344" s="1" t="inlineStr">
        <is>
          <t>Técnico III</t>
        </is>
      </c>
      <c r="D2344" s="3" t="n">
        <v>23</v>
      </c>
      <c r="E2344" s="3" t="n">
        <v>22</v>
      </c>
      <c r="F2344" s="3" t="n">
        <v>32.11</v>
      </c>
      <c r="G2344" s="3" t="n">
        <v>0</v>
      </c>
      <c r="H2344" s="3" t="n">
        <v>0</v>
      </c>
      <c r="I2344" s="3">
        <f>E2344+G2344+H2344</f>
        <v/>
      </c>
      <c r="J2344" s="3">
        <f>ROUND(MIN(IF(C2344="Técnico III",35,IF(C2344="Técnico II",28,IF(C2344="Técnico I",23,IF(C2344="JR",20,IF(C2344="Estágio",10,0))))),IF(C2344="Técnico III",SUMIFS($D:$D,$A:$A,$A2344,$B:$B,"&lt;&gt;Patrícia Karla de Sousa Araújo",$B:$B,"&lt;&gt;Lorena Dias de Araujo",$B:$B,"&lt;&gt;Lucas Luiz Romero")*(35/1083),IF(C2344="Técnico II",SUMIFS($D:$D,$A:$A,$A2344,$B:$B,"&lt;&gt;Patrícia Karla de Sousa Araújo",$B:$B,"&lt;&gt;Lorena Dias de Araujo",$B:$B,"&lt;&gt;Lucas Luiz Romero")*(28/1083),IF(C2344="Técnico I",SUMIFS($D:$D,$A:$A,$A2344,$B:$B,"&lt;&gt;Patrícia Karla de Sousa Araújo",$B:$B,"&lt;&gt;Lorena Dias de Araujo",$B:$B,"&lt;&gt;Lucas Luiz Romero")*(23/1083),IF(C2344="JR",SUMIFS($D:$D,$A:$A,$A2344,$B:$B,"&lt;&gt;Patrícia Karla de Sousa Araújo",$B:$B,"&lt;&gt;Lorena Dias de Araujo",$B:$B,"&lt;&gt;Lucas Luiz Romero")*(20/1083),IF(C2344="Estágio",SUMIFS($D:$D,$A:$A,$A2344,$B:$B,"&lt;&gt;Patrícia Karla de Sousa Araújo",$B:$B,"&lt;&gt;Lorena Dias de Araujo",$B:$B,"&lt;&gt;Lucas Luiz Romero")*(10/1083),0)))))),0)</f>
        <v/>
      </c>
      <c r="K2344" s="3">
        <f>I2344-J2344</f>
        <v/>
      </c>
      <c r="L2344" s="3">
        <f>IF(K2344&lt;-5,"CRÍTICO",IF(K2344&lt;0,"ATENÇÃO",IF(K2344&lt;=5,"BOM","EXCELENTE")))</f>
        <v/>
      </c>
      <c r="M2344" s="3" t="n">
        <v>21</v>
      </c>
      <c r="N2344" s="3" t="n">
        <v>99.27</v>
      </c>
      <c r="O2344" s="12" t="n">
        <v>31.16370808678501</v>
      </c>
    </row>
    <row r="2345">
      <c r="A2345" s="10" t="n">
        <v>46073</v>
      </c>
      <c r="B2345" t="inlineStr">
        <is>
          <t>Maysa Victoria Dias Moura</t>
        </is>
      </c>
      <c r="C2345" s="1" t="inlineStr">
        <is>
          <t>Técnico III</t>
        </is>
      </c>
      <c r="D2345" s="3" t="n">
        <v>24</v>
      </c>
      <c r="E2345" s="3" t="n">
        <v>23</v>
      </c>
      <c r="F2345" s="3" t="n">
        <v>23.25</v>
      </c>
      <c r="G2345" s="3" t="n">
        <v>0</v>
      </c>
      <c r="H2345" s="3" t="n">
        <v>0</v>
      </c>
      <c r="I2345" s="3">
        <f>E2345+G2345+H2345</f>
        <v/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/>
      </c>
      <c r="K2345" s="3">
        <f>I2345-J2345</f>
        <v/>
      </c>
      <c r="L2345" s="3">
        <f>IF(K2345&lt;-5,"CRÍTICO",IF(K2345&lt;0,"ATENÇÃO",IF(K2345&lt;=5,"BOM","EXCELENTE")))</f>
        <v/>
      </c>
      <c r="M2345" s="3" t="n">
        <v>21</v>
      </c>
      <c r="N2345" s="3" t="n">
        <v>94.16</v>
      </c>
      <c r="O2345" s="12" t="n">
        <v>27.03862660944206</v>
      </c>
    </row>
    <row r="2346">
      <c r="A2346" s="10" t="n">
        <v>46073</v>
      </c>
      <c r="B2346" t="inlineStr">
        <is>
          <t>Michelle G Santos</t>
        </is>
      </c>
      <c r="C2346" s="1" t="inlineStr">
        <is>
          <t>Estágio</t>
        </is>
      </c>
      <c r="D2346" s="3" t="n">
        <v>8</v>
      </c>
      <c r="E2346" s="3" t="n">
        <v>7</v>
      </c>
      <c r="F2346" s="3" t="n">
        <v>40.15</v>
      </c>
      <c r="G2346" s="3" t="n">
        <v>0</v>
      </c>
      <c r="H2346" s="3" t="n">
        <v>0</v>
      </c>
      <c r="I2346" s="3">
        <f>E2346+G2346+H2346</f>
        <v/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/>
      </c>
      <c r="K2346" s="3">
        <f>I2346-J2346</f>
        <v/>
      </c>
      <c r="L2346" s="3">
        <f>IF(K2346&lt;-5,"CRÍTICO",IF(K2346&lt;0,"ATENÇÃO",IF(K2346&lt;=5,"BOM","EXCELENTE")))</f>
        <v/>
      </c>
      <c r="M2346" s="3" t="n">
        <v>6</v>
      </c>
      <c r="N2346" s="3" t="n">
        <v>93.75</v>
      </c>
      <c r="O2346" s="12" t="n">
        <v>19.31818181818182</v>
      </c>
    </row>
    <row r="2347">
      <c r="A2347" s="10" t="n">
        <v>46073</v>
      </c>
      <c r="B2347" t="inlineStr">
        <is>
          <t>Milena Sales</t>
        </is>
      </c>
      <c r="C2347" s="1" t="inlineStr">
        <is>
          <t>JR</t>
        </is>
      </c>
      <c r="D2347" s="3" t="n">
        <v>0</v>
      </c>
      <c r="E2347" s="3" t="n">
        <v>0</v>
      </c>
      <c r="F2347" s="3" t="n">
        <v>0</v>
      </c>
      <c r="G2347" s="3" t="n">
        <v>0</v>
      </c>
      <c r="H2347" s="3" t="n">
        <v>0</v>
      </c>
      <c r="I2347" s="3" t="n">
        <v>0</v>
      </c>
      <c r="J2347" s="3" t="n">
        <v>0</v>
      </c>
      <c r="K2347" s="3" t="n">
        <v>0</v>
      </c>
      <c r="L2347" s="3">
        <f>IF(K2347&lt;-5,"CRÍTICO",IF(K2347&lt;0,"ATENÇÃO",IF(K2347&lt;=5,"BOM","EXCELENTE")))</f>
        <v/>
      </c>
      <c r="M2347" s="3" t="n">
        <v>0</v>
      </c>
      <c r="N2347" s="3" t="n">
        <v>0</v>
      </c>
      <c r="O2347" s="12" t="n">
        <v>0</v>
      </c>
    </row>
    <row r="2348">
      <c r="A2348" s="10" t="n">
        <v>46073</v>
      </c>
      <c r="B2348" t="inlineStr">
        <is>
          <t>Patrícia Karla de Sousa Araújo</t>
        </is>
      </c>
      <c r="C2348" s="1" t="inlineStr">
        <is>
          <t>Técnico II</t>
        </is>
      </c>
      <c r="D2348" s="3" t="n">
        <v>0</v>
      </c>
      <c r="E2348" s="3" t="n">
        <v>0</v>
      </c>
      <c r="F2348" s="3" t="n">
        <v>0</v>
      </c>
      <c r="G2348" s="3" t="n">
        <v>0</v>
      </c>
      <c r="H2348" s="3" t="n">
        <v>0</v>
      </c>
      <c r="I2348" s="3" t="n">
        <v>0</v>
      </c>
      <c r="J2348" s="3" t="n">
        <v>0</v>
      </c>
      <c r="K2348" s="3" t="n">
        <v>0</v>
      </c>
      <c r="L2348" s="3">
        <f>IF(K2348&lt;-5,"CRÍTICO",IF(K2348&lt;0,"ATENÇÃO",IF(K2348&lt;=5,"BOM","EXCELENTE")))</f>
        <v/>
      </c>
      <c r="M2348" s="3" t="n">
        <v>0</v>
      </c>
      <c r="N2348" s="3" t="n">
        <v>97.92</v>
      </c>
      <c r="O2348" s="12" t="n">
        <v>32.87671232876712</v>
      </c>
    </row>
    <row r="2349">
      <c r="A2349" s="10" t="n">
        <v>46073</v>
      </c>
      <c r="B2349" t="inlineStr">
        <is>
          <t>Paulo Ricardo Santos</t>
        </is>
      </c>
      <c r="C2349" s="1" t="inlineStr">
        <is>
          <t>JR</t>
        </is>
      </c>
      <c r="D2349" s="3" t="n">
        <v>0</v>
      </c>
      <c r="E2349" s="3" t="n">
        <v>0</v>
      </c>
      <c r="F2349" s="3" t="n">
        <v>0</v>
      </c>
      <c r="G2349" s="3" t="n">
        <v>0</v>
      </c>
      <c r="H2349" s="3" t="n">
        <v>0</v>
      </c>
      <c r="I2349" s="3" t="n">
        <v>0</v>
      </c>
      <c r="J2349" s="3" t="n">
        <v>0</v>
      </c>
      <c r="K2349" s="3" t="n">
        <v>0</v>
      </c>
      <c r="L2349" s="3">
        <f>IF(K2349&lt;-5,"CRÍTICO",IF(K2349&lt;0,"ATENÇÃO",IF(K2349&lt;=5,"BOM","EXCELENTE")))</f>
        <v/>
      </c>
      <c r="M2349" s="3" t="n">
        <v>0</v>
      </c>
      <c r="N2349" s="3" t="n">
        <v>0</v>
      </c>
      <c r="O2349" s="12" t="n">
        <v>0</v>
      </c>
    </row>
    <row r="2350">
      <c r="A2350" s="10" t="n">
        <v>46073</v>
      </c>
      <c r="B2350" t="inlineStr">
        <is>
          <t>Pedro Luiz Mota Sousa</t>
        </is>
      </c>
      <c r="C2350" s="1" t="inlineStr">
        <is>
          <t>JR</t>
        </is>
      </c>
      <c r="D2350" s="3" t="n">
        <v>0</v>
      </c>
      <c r="E2350" s="3" t="n">
        <v>0</v>
      </c>
      <c r="F2350" s="3" t="n">
        <v>0</v>
      </c>
      <c r="G2350" s="3" t="n">
        <v>0</v>
      </c>
      <c r="H2350" s="3" t="n">
        <v>0</v>
      </c>
      <c r="I2350" s="3" t="n">
        <v>0</v>
      </c>
      <c r="J2350" s="3" t="n">
        <v>0</v>
      </c>
      <c r="K2350" s="3" t="n">
        <v>0</v>
      </c>
      <c r="L2350" s="3">
        <f>IF(K2350&lt;-5,"CRÍTICO",IF(K2350&lt;0,"ATENÇÃO",IF(K2350&lt;=5,"BOM","EXCELENTE")))</f>
        <v/>
      </c>
      <c r="M2350" s="3" t="n">
        <v>0</v>
      </c>
      <c r="N2350" s="3" t="n">
        <v>0</v>
      </c>
      <c r="O2350" s="12" t="n">
        <v>0</v>
      </c>
    </row>
    <row r="2351">
      <c r="A2351" s="10" t="n">
        <v>46073</v>
      </c>
      <c r="B2351" t="inlineStr">
        <is>
          <t>Quirino Diogo Leite Torres</t>
        </is>
      </c>
      <c r="C2351" s="1" t="inlineStr">
        <is>
          <t>Estágio</t>
        </is>
      </c>
      <c r="D2351" s="3" t="n">
        <v>0</v>
      </c>
      <c r="E2351" s="3" t="n">
        <v>0</v>
      </c>
      <c r="F2351" s="3" t="n">
        <v>0</v>
      </c>
      <c r="G2351" s="3" t="n">
        <v>0</v>
      </c>
      <c r="H2351" s="3" t="n">
        <v>0</v>
      </c>
      <c r="I2351" s="3" t="n">
        <v>0</v>
      </c>
      <c r="J2351" s="3" t="n">
        <v>0</v>
      </c>
      <c r="K2351" s="3" t="n">
        <v>0</v>
      </c>
      <c r="L2351" s="3">
        <f>IF(K2351&lt;-5,"CRÍTICO",IF(K2351&lt;0,"ATENÇÃO",IF(K2351&lt;=5,"BOM","EXCELENTE")))</f>
        <v/>
      </c>
      <c r="M2351" s="3" t="n">
        <v>0</v>
      </c>
      <c r="N2351" s="3" t="n">
        <v>0</v>
      </c>
      <c r="O2351" s="12" t="n">
        <v>0</v>
      </c>
    </row>
    <row r="2352">
      <c r="A2352" s="10" t="n">
        <v>46073</v>
      </c>
      <c r="B2352" t="inlineStr">
        <is>
          <t>Raane Batista Matos</t>
        </is>
      </c>
      <c r="C2352" s="1" t="inlineStr">
        <is>
          <t>Técnico I</t>
        </is>
      </c>
      <c r="D2352" s="3" t="n">
        <v>22</v>
      </c>
      <c r="E2352" s="3" t="n">
        <v>19</v>
      </c>
      <c r="F2352" s="3" t="n">
        <v>28.38</v>
      </c>
      <c r="G2352" s="3" t="n">
        <v>0</v>
      </c>
      <c r="H2352" s="3" t="n">
        <v>0</v>
      </c>
      <c r="I2352" s="3">
        <f>E2352+G2352+H2352</f>
        <v/>
      </c>
      <c r="J2352" s="3">
        <f>ROUND(MIN(IF(C2352="Técnico III",35,IF(C2352="Técnico II",28,IF(C2352="Técnico I",23,IF(C2352="JR",20,IF(C2352="Estágio",10,0))))),IF(C2352="Técnico III",SUMIFS($D:$D,$A:$A,$A2352,$B:$B,"&lt;&gt;Patrícia Karla de Sousa Araújo",$B:$B,"&lt;&gt;Lorena Dias de Araujo",$B:$B,"&lt;&gt;Lucas Luiz Romero")*(35/1083),IF(C2352="Técnico II",SUMIFS($D:$D,$A:$A,$A2352,$B:$B,"&lt;&gt;Patrícia Karla de Sousa Araújo",$B:$B,"&lt;&gt;Lorena Dias de Araujo",$B:$B,"&lt;&gt;Lucas Luiz Romero")*(28/1083),IF(C2352="Técnico I",SUMIFS($D:$D,$A:$A,$A2352,$B:$B,"&lt;&gt;Patrícia Karla de Sousa Araújo",$B:$B,"&lt;&gt;Lorena Dias de Araujo",$B:$B,"&lt;&gt;Lucas Luiz Romero")*(23/1083),IF(C2352="JR",SUMIFS($D:$D,$A:$A,$A2352,$B:$B,"&lt;&gt;Patrícia Karla de Sousa Araújo",$B:$B,"&lt;&gt;Lorena Dias de Araujo",$B:$B,"&lt;&gt;Lucas Luiz Romero")*(20/1083),IF(C2352="Estágio",SUMIFS($D:$D,$A:$A,$A2352,$B:$B,"&lt;&gt;Patrícia Karla de Sousa Araújo",$B:$B,"&lt;&gt;Lorena Dias de Araujo",$B:$B,"&lt;&gt;Lucas Luiz Romero")*(10/1083),0)))))),0)</f>
        <v/>
      </c>
      <c r="K2352" s="3">
        <f>I2352-J2352</f>
        <v/>
      </c>
      <c r="L2352" s="3">
        <f>IF(K2352&lt;-5,"CRÍTICO",IF(K2352&lt;0,"ATENÇÃO",IF(K2352&lt;=5,"BOM","EXCELENTE")))</f>
        <v/>
      </c>
      <c r="M2352" s="3" t="n">
        <v>17</v>
      </c>
      <c r="N2352" s="3" t="n">
        <v>98.51000000000001</v>
      </c>
      <c r="O2352" s="12" t="n">
        <v>29.71014492753623</v>
      </c>
    </row>
    <row r="2353">
      <c r="A2353" s="10" t="n">
        <v>46073</v>
      </c>
      <c r="B2353" t="inlineStr">
        <is>
          <t>Rafael Gomes de Morais</t>
        </is>
      </c>
      <c r="C2353" s="1" t="inlineStr">
        <is>
          <t>Técnico III</t>
        </is>
      </c>
      <c r="D2353" s="3" t="n">
        <v>34</v>
      </c>
      <c r="E2353" s="3" t="n">
        <v>32</v>
      </c>
      <c r="F2353" s="3" t="n">
        <v>20.12</v>
      </c>
      <c r="G2353" s="3" t="n">
        <v>0</v>
      </c>
      <c r="H2353" s="3" t="n">
        <v>0</v>
      </c>
      <c r="I2353" s="3">
        <f>E2353+G2353+H2353</f>
        <v/>
      </c>
      <c r="J2353" s="3">
        <f>ROUND(MIN(IF(C2353="Técnico III",35,IF(C2353="Técnico II",28,IF(C2353="Técnico I",23,IF(C2353="JR",20,IF(C2353="Estágio",10,0))))),IF(C2353="Técnico III",SUMIFS($D:$D,$A:$A,$A2353,$B:$B,"&lt;&gt;Patrícia Karla de Sousa Araújo",$B:$B,"&lt;&gt;Lorena Dias de Araujo",$B:$B,"&lt;&gt;Lucas Luiz Romero")*(35/1083),IF(C2353="Técnico II",SUMIFS($D:$D,$A:$A,$A2353,$B:$B,"&lt;&gt;Patrícia Karla de Sousa Araújo",$B:$B,"&lt;&gt;Lorena Dias de Araujo",$B:$B,"&lt;&gt;Lucas Luiz Romero")*(28/1083),IF(C2353="Técnico I",SUMIFS($D:$D,$A:$A,$A2353,$B:$B,"&lt;&gt;Patrícia Karla de Sousa Araújo",$B:$B,"&lt;&gt;Lorena Dias de Araujo",$B:$B,"&lt;&gt;Lucas Luiz Romero")*(23/1083),IF(C2353="JR",SUMIFS($D:$D,$A:$A,$A2353,$B:$B,"&lt;&gt;Patrícia Karla de Sousa Araújo",$B:$B,"&lt;&gt;Lorena Dias de Araujo",$B:$B,"&lt;&gt;Lucas Luiz Romero")*(20/1083),IF(C2353="Estágio",SUMIFS($D:$D,$A:$A,$A2353,$B:$B,"&lt;&gt;Patrícia Karla de Sousa Araújo",$B:$B,"&lt;&gt;Lorena Dias de Araujo",$B:$B,"&lt;&gt;Lucas Luiz Romero")*(10/1083),0)))))),0)</f>
        <v/>
      </c>
      <c r="K2353" s="3">
        <f>I2353-J2353</f>
        <v/>
      </c>
      <c r="L2353" s="3">
        <f>IF(K2353&lt;-5,"CRÍTICO",IF(K2353&lt;0,"ATENÇÃO",IF(K2353&lt;=5,"BOM","EXCELENTE")))</f>
        <v/>
      </c>
      <c r="M2353" s="3" t="n">
        <v>28</v>
      </c>
      <c r="N2353" s="3" t="n">
        <v>98.81</v>
      </c>
      <c r="O2353" s="12" t="n">
        <v>30.71297989031079</v>
      </c>
    </row>
    <row r="2354">
      <c r="A2354" s="10" t="n">
        <v>46073</v>
      </c>
      <c r="B2354" t="inlineStr">
        <is>
          <t>Sara Maria Monteiro Lopes</t>
        </is>
      </c>
      <c r="C2354" s="1" t="inlineStr">
        <is>
          <t>Técnico I</t>
        </is>
      </c>
      <c r="D2354" s="3" t="n">
        <v>11</v>
      </c>
      <c r="E2354" s="3" t="n">
        <v>11</v>
      </c>
      <c r="F2354" s="3" t="n">
        <v>50.56</v>
      </c>
      <c r="G2354" s="3" t="n">
        <v>0</v>
      </c>
      <c r="H2354" s="3" t="n">
        <v>0</v>
      </c>
      <c r="I2354" s="3">
        <f>E2354+G2354+H2354</f>
        <v/>
      </c>
      <c r="J2354" s="3">
        <f>ROUND(MIN(IF(C2354="Técnico III",35,IF(C2354="Técnico II",28,IF(C2354="Técnico I",23,IF(C2354="JR",20,IF(C2354="Estágio",10,0))))),IF(C2354="Técnico III",SUMIFS($D:$D,$A:$A,$A2354,$B:$B,"&lt;&gt;Patrícia Karla de Sousa Araújo",$B:$B,"&lt;&gt;Lorena Dias de Araujo",$B:$B,"&lt;&gt;Lucas Luiz Romero")*(35/1083),IF(C2354="Técnico II",SUMIFS($D:$D,$A:$A,$A2354,$B:$B,"&lt;&gt;Patrícia Karla de Sousa Araújo",$B:$B,"&lt;&gt;Lorena Dias de Araujo",$B:$B,"&lt;&gt;Lucas Luiz Romero")*(28/1083),IF(C2354="Técnico I",SUMIFS($D:$D,$A:$A,$A2354,$B:$B,"&lt;&gt;Patrícia Karla de Sousa Araújo",$B:$B,"&lt;&gt;Lorena Dias de Araujo",$B:$B,"&lt;&gt;Lucas Luiz Romero")*(23/1083),IF(C2354="JR",SUMIFS($D:$D,$A:$A,$A2354,$B:$B,"&lt;&gt;Patrícia Karla de Sousa Araújo",$B:$B,"&lt;&gt;Lorena Dias de Araujo",$B:$B,"&lt;&gt;Lucas Luiz Romero")*(20/1083),IF(C2354="Estágio",SUMIFS($D:$D,$A:$A,$A2354,$B:$B,"&lt;&gt;Patrícia Karla de Sousa Araújo",$B:$B,"&lt;&gt;Lorena Dias de Araujo",$B:$B,"&lt;&gt;Lucas Luiz Romero")*(10/1083),0)))))),0)</f>
        <v/>
      </c>
      <c r="K2354" s="3">
        <f>I2354-J2354</f>
        <v/>
      </c>
      <c r="L2354" s="3">
        <f>IF(K2354&lt;-5,"CRÍTICO",IF(K2354&lt;0,"ATENÇÃO",IF(K2354&lt;=5,"BOM","EXCELENTE")))</f>
        <v/>
      </c>
      <c r="M2354" s="3" t="n">
        <v>8</v>
      </c>
      <c r="N2354" s="3" t="n">
        <v>98.48</v>
      </c>
      <c r="O2354" s="12" t="n">
        <v>29.35323383084577</v>
      </c>
    </row>
    <row r="2355">
      <c r="A2355" s="10" t="n">
        <v>46073</v>
      </c>
      <c r="B2355" t="inlineStr">
        <is>
          <t>Sarah Steffanie de Lima Borges</t>
        </is>
      </c>
      <c r="C2355" s="1" t="inlineStr">
        <is>
          <t>Técnico III</t>
        </is>
      </c>
      <c r="D2355" s="3" t="n">
        <v>20</v>
      </c>
      <c r="E2355" s="3" t="n">
        <v>16</v>
      </c>
      <c r="F2355" s="3" t="n">
        <v>29.02</v>
      </c>
      <c r="G2355" s="3" t="n">
        <v>0</v>
      </c>
      <c r="H2355" s="3" t="n">
        <v>0</v>
      </c>
      <c r="I2355" s="3">
        <f>E2355+G2355+H2355</f>
        <v/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/>
      </c>
      <c r="K2355" s="3">
        <f>I2355-J2355</f>
        <v/>
      </c>
      <c r="L2355" s="3">
        <f>IF(K2355&lt;-5,"CRÍTICO",IF(K2355&lt;0,"ATENÇÃO",IF(K2355&lt;=5,"BOM","EXCELENTE")))</f>
        <v/>
      </c>
      <c r="M2355" s="3" t="n">
        <v>12</v>
      </c>
      <c r="N2355" s="3" t="n">
        <v>98.56</v>
      </c>
      <c r="O2355" s="12" t="n">
        <v>29.37365010799136</v>
      </c>
    </row>
    <row r="2356">
      <c r="A2356" s="10" t="n">
        <v>46076</v>
      </c>
      <c r="B2356" t="inlineStr">
        <is>
          <t>Alisson de Freitas Silva</t>
        </is>
      </c>
      <c r="C2356" s="1" t="inlineStr">
        <is>
          <t>Técnico II</t>
        </is>
      </c>
      <c r="D2356" s="3" t="n">
        <v>33</v>
      </c>
      <c r="E2356" s="3" t="n">
        <v>32</v>
      </c>
      <c r="F2356" s="3" t="n">
        <v>20.31</v>
      </c>
      <c r="G2356" s="3" t="n">
        <v>0</v>
      </c>
      <c r="H2356" s="3" t="n">
        <v>0</v>
      </c>
      <c r="I2356" s="3">
        <f>E2356+G2356+H2356</f>
        <v/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/>
      </c>
      <c r="K2356" s="3">
        <f>I2356-J2356</f>
        <v/>
      </c>
      <c r="L2356" s="3">
        <f>IF(K2356&lt;-5,"CRÍTICO",IF(K2356&lt;0,"ATENÇÃO",IF(K2356&lt;=5,"BOM","EXCELENTE")))</f>
        <v/>
      </c>
      <c r="M2356" s="3" t="n">
        <v>29</v>
      </c>
      <c r="N2356" s="3" t="n">
        <v>98.31999999999999</v>
      </c>
      <c r="O2356" s="12" t="n">
        <v>30.3030303030303</v>
      </c>
    </row>
    <row r="2357">
      <c r="A2357" s="10" t="n">
        <v>46076</v>
      </c>
      <c r="B2357" t="inlineStr">
        <is>
          <t>Amanda Moura Ferreira</t>
        </is>
      </c>
      <c r="C2357" s="1" t="inlineStr">
        <is>
          <t>Técnico III</t>
        </is>
      </c>
      <c r="D2357" s="3" t="n">
        <v>0</v>
      </c>
      <c r="E2357" s="3" t="n">
        <v>0</v>
      </c>
      <c r="F2357" s="3" t="n">
        <v>0</v>
      </c>
      <c r="G2357" s="3" t="n">
        <v>0</v>
      </c>
      <c r="H2357" s="3" t="n">
        <v>0</v>
      </c>
      <c r="I2357" s="3" t="n">
        <v>0</v>
      </c>
      <c r="J2357" s="3" t="n">
        <v>0</v>
      </c>
      <c r="K2357" s="3" t="n">
        <v>0</v>
      </c>
      <c r="L2357" s="3">
        <f>IF(K2357&lt;-5,"CRÍTICO",IF(K2357&lt;0,"ATENÇÃO",IF(K2357&lt;=5,"BOM","EXCELENTE")))</f>
        <v/>
      </c>
      <c r="M2357" s="3" t="n">
        <v>28</v>
      </c>
      <c r="N2357" s="3" t="n">
        <v>98.68000000000001</v>
      </c>
      <c r="O2357" s="12" t="n">
        <v>26.21951219512195</v>
      </c>
    </row>
    <row r="2358">
      <c r="A2358" s="10" t="n">
        <v>46076</v>
      </c>
      <c r="B2358" t="inlineStr">
        <is>
          <t>Ana Karollyne Souza Faria</t>
        </is>
      </c>
      <c r="C2358" s="1" t="inlineStr">
        <is>
          <t>Técnico I</t>
        </is>
      </c>
      <c r="D2358" s="3" t="n">
        <v>27</v>
      </c>
      <c r="E2358" s="3" t="n">
        <v>27</v>
      </c>
      <c r="F2358" s="3" t="n">
        <v>18.46</v>
      </c>
      <c r="G2358" s="3" t="n">
        <v>0</v>
      </c>
      <c r="H2358" s="3" t="n">
        <v>0</v>
      </c>
      <c r="I2358" s="3">
        <f>E2358+G2358+H2358</f>
        <v/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/>
      </c>
      <c r="K2358" s="3">
        <f>I2358-J2358</f>
        <v/>
      </c>
      <c r="L2358" s="3">
        <f>IF(K2358&lt;-5,"CRÍTICO",IF(K2358&lt;0,"ATENÇÃO",IF(K2358&lt;=5,"BOM","EXCELENTE")))</f>
        <v/>
      </c>
      <c r="M2358" s="3" t="n">
        <v>23</v>
      </c>
      <c r="N2358" s="3" t="n">
        <v>100</v>
      </c>
      <c r="O2358" s="12" t="n">
        <v>31.74224343675418</v>
      </c>
    </row>
    <row r="2359">
      <c r="A2359" s="10" t="n">
        <v>46076</v>
      </c>
      <c r="B2359" t="inlineStr">
        <is>
          <t>Ana Paula Da Luz Silva Aleixo</t>
        </is>
      </c>
      <c r="C2359" s="1" t="inlineStr">
        <is>
          <t>Técnico III</t>
        </is>
      </c>
      <c r="D2359" s="3" t="n">
        <v>25</v>
      </c>
      <c r="E2359" s="3" t="n">
        <v>22</v>
      </c>
      <c r="F2359" s="3" t="n">
        <v>32</v>
      </c>
      <c r="G2359" s="3" t="n">
        <v>0</v>
      </c>
      <c r="H2359" s="3" t="n">
        <v>0</v>
      </c>
      <c r="I2359" s="3">
        <f>E2359+G2359+H2359</f>
        <v/>
      </c>
      <c r="J2359" s="3">
        <f>ROUND(MIN(IF(C2359="Técnico III",35,IF(C2359="Técnico II",28,IF(C2359="Técnico I",23,IF(C2359="JR",20,IF(C2359="Estágio",10,0))))),IF(C2359="Técnico III",SUMIFS($D:$D,$A:$A,$A2359,$B:$B,"&lt;&gt;Patrícia Karla de Sousa Araújo",$B:$B,"&lt;&gt;Lorena Dias de Araujo",$B:$B,"&lt;&gt;Lucas Luiz Romero")*(35/1083),IF(C2359="Técnico II",SUMIFS($D:$D,$A:$A,$A2359,$B:$B,"&lt;&gt;Patrícia Karla de Sousa Araújo",$B:$B,"&lt;&gt;Lorena Dias de Araujo",$B:$B,"&lt;&gt;Lucas Luiz Romero")*(28/1083),IF(C2359="Técnico I",SUMIFS($D:$D,$A:$A,$A2359,$B:$B,"&lt;&gt;Patrícia Karla de Sousa Araújo",$B:$B,"&lt;&gt;Lorena Dias de Araujo",$B:$B,"&lt;&gt;Lucas Luiz Romero")*(23/1083),IF(C2359="JR",SUMIFS($D:$D,$A:$A,$A2359,$B:$B,"&lt;&gt;Patrícia Karla de Sousa Araújo",$B:$B,"&lt;&gt;Lorena Dias de Araujo",$B:$B,"&lt;&gt;Lucas Luiz Romero")*(20/1083),IF(C2359="Estágio",SUMIFS($D:$D,$A:$A,$A2359,$B:$B,"&lt;&gt;Patrícia Karla de Sousa Araújo",$B:$B,"&lt;&gt;Lorena Dias de Araujo",$B:$B,"&lt;&gt;Lucas Luiz Romero")*(10/1083),0)))))),0)</f>
        <v/>
      </c>
      <c r="K2359" s="3">
        <f>I2359-J2359</f>
        <v/>
      </c>
      <c r="L2359" s="3">
        <f>IF(K2359&lt;-5,"CRÍTICO",IF(K2359&lt;0,"ATENÇÃO",IF(K2359&lt;=5,"BOM","EXCELENTE")))</f>
        <v/>
      </c>
      <c r="M2359" s="3" t="n">
        <v>17</v>
      </c>
      <c r="N2359" s="3" t="n">
        <v>98.25</v>
      </c>
      <c r="O2359" s="12" t="n">
        <v>25.83518930957684</v>
      </c>
    </row>
    <row r="2360">
      <c r="A2360" s="10" t="n">
        <v>46076</v>
      </c>
      <c r="B2360" t="inlineStr">
        <is>
          <t>Anna Luiza Rezende Tavares</t>
        </is>
      </c>
      <c r="C2360" s="1" t="inlineStr">
        <is>
          <t>Estágio</t>
        </is>
      </c>
      <c r="D2360" s="3" t="n">
        <v>10</v>
      </c>
      <c r="E2360" s="3" t="n">
        <v>8</v>
      </c>
      <c r="F2360" s="3" t="n">
        <v>32.14</v>
      </c>
      <c r="G2360" s="3" t="n">
        <v>0</v>
      </c>
      <c r="H2360" s="3" t="n">
        <v>0</v>
      </c>
      <c r="I2360" s="3">
        <f>E2360+G2360+H2360</f>
        <v/>
      </c>
      <c r="J2360" s="3">
        <f>ROUND(MIN(IF(C2360="Técnico III",35,IF(C2360="Técnico II",28,IF(C2360="Técnico I",23,IF(C2360="JR",20,IF(C2360="Estágio",10,0))))),IF(C2360="Técnico III",SUMIFS($D:$D,$A:$A,$A2360,$B:$B,"&lt;&gt;Patrícia Karla de Sousa Araújo",$B:$B,"&lt;&gt;Lorena Dias de Araujo",$B:$B,"&lt;&gt;Lucas Luiz Romero")*(35/1083),IF(C2360="Técnico II",SUMIFS($D:$D,$A:$A,$A2360,$B:$B,"&lt;&gt;Patrícia Karla de Sousa Araújo",$B:$B,"&lt;&gt;Lorena Dias de Araujo",$B:$B,"&lt;&gt;Lucas Luiz Romero")*(28/1083),IF(C2360="Técnico I",SUMIFS($D:$D,$A:$A,$A2360,$B:$B,"&lt;&gt;Patrícia Karla de Sousa Araújo",$B:$B,"&lt;&gt;Lorena Dias de Araujo",$B:$B,"&lt;&gt;Lucas Luiz Romero")*(23/1083),IF(C2360="JR",SUMIFS($D:$D,$A:$A,$A2360,$B:$B,"&lt;&gt;Patrícia Karla de Sousa Araújo",$B:$B,"&lt;&gt;Lorena Dias de Araujo",$B:$B,"&lt;&gt;Lucas Luiz Romero")*(20/1083),IF(C2360="Estágio",SUMIFS($D:$D,$A:$A,$A2360,$B:$B,"&lt;&gt;Patrícia Karla de Sousa Araújo",$B:$B,"&lt;&gt;Lorena Dias de Araujo",$B:$B,"&lt;&gt;Lucas Luiz Romero")*(10/1083),0)))))),0)</f>
        <v/>
      </c>
      <c r="K2360" s="3">
        <f>I2360-J2360</f>
        <v/>
      </c>
      <c r="L2360" s="3">
        <f>IF(K2360&lt;-5,"CRÍTICO",IF(K2360&lt;0,"ATENÇÃO",IF(K2360&lt;=5,"BOM","EXCELENTE")))</f>
        <v/>
      </c>
      <c r="M2360" s="3" t="n">
        <v>7</v>
      </c>
      <c r="N2360" s="3" t="n">
        <v>97.5</v>
      </c>
      <c r="O2360" s="12" t="n">
        <v>30.07518796992481</v>
      </c>
    </row>
    <row r="2361">
      <c r="A2361" s="10" t="n">
        <v>46076</v>
      </c>
      <c r="B2361" t="inlineStr">
        <is>
          <t>Brenda de Menezes Silva</t>
        </is>
      </c>
      <c r="C2361" s="1" t="inlineStr">
        <is>
          <t>Técnico II</t>
        </is>
      </c>
      <c r="D2361" s="3" t="n">
        <v>32</v>
      </c>
      <c r="E2361" s="3" t="n">
        <v>27</v>
      </c>
      <c r="F2361" s="3" t="n">
        <v>20.1</v>
      </c>
      <c r="G2361" s="3" t="n">
        <v>0</v>
      </c>
      <c r="H2361" s="3" t="n">
        <v>0</v>
      </c>
      <c r="I2361" s="3">
        <f>E2361+G2361+H2361</f>
        <v/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/>
      </c>
      <c r="K2361" s="3">
        <f>I2361-J2361</f>
        <v/>
      </c>
      <c r="L2361" s="3">
        <f>IF(K2361&lt;-5,"CRÍTICO",IF(K2361&lt;0,"ATENÇÃO",IF(K2361&lt;=5,"BOM","EXCELENTE")))</f>
        <v/>
      </c>
      <c r="M2361" s="3" t="n">
        <v>27</v>
      </c>
      <c r="N2361" s="3" t="n">
        <v>100</v>
      </c>
      <c r="O2361" s="12" t="n">
        <v>29.71311475409836</v>
      </c>
    </row>
    <row r="2362">
      <c r="A2362" s="10" t="n">
        <v>46076</v>
      </c>
      <c r="B2362" t="inlineStr">
        <is>
          <t>Carlos Mateus Cassimiro Nunes</t>
        </is>
      </c>
      <c r="C2362" s="1" t="inlineStr">
        <is>
          <t>Técnico II</t>
        </is>
      </c>
      <c r="D2362" s="3" t="n">
        <v>14</v>
      </c>
      <c r="E2362" s="3" t="n">
        <v>14</v>
      </c>
      <c r="F2362" s="3" t="n">
        <v>52.33</v>
      </c>
      <c r="G2362" s="3" t="n">
        <v>0</v>
      </c>
      <c r="H2362" s="3" t="n">
        <v>0</v>
      </c>
      <c r="I2362" s="3">
        <f>E2362+G2362+H2362</f>
        <v/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/>
      </c>
      <c r="K2362" s="3">
        <f>I2362-J2362</f>
        <v/>
      </c>
      <c r="L2362" s="3">
        <f>IF(K2362&lt;-5,"CRÍTICO",IF(K2362&lt;0,"ATENÇÃO",IF(K2362&lt;=5,"BOM","EXCELENTE")))</f>
        <v/>
      </c>
      <c r="M2362" s="3" t="n">
        <v>18</v>
      </c>
      <c r="N2362" s="3" t="n">
        <v>99.22</v>
      </c>
      <c r="O2362" s="12" t="n">
        <v>35.25641025641026</v>
      </c>
    </row>
    <row r="2363">
      <c r="A2363" s="10" t="n">
        <v>46076</v>
      </c>
      <c r="B2363" t="inlineStr">
        <is>
          <t>Claudio de Sousa Velasco Filho</t>
        </is>
      </c>
      <c r="C2363" s="1" t="inlineStr">
        <is>
          <t>Estágio</t>
        </is>
      </c>
      <c r="D2363" s="3" t="n">
        <v>0</v>
      </c>
      <c r="E2363" s="3" t="n">
        <v>0</v>
      </c>
      <c r="F2363" s="3" t="n">
        <v>0</v>
      </c>
      <c r="G2363" s="3" t="n">
        <v>0</v>
      </c>
      <c r="H2363" s="3" t="n">
        <v>0</v>
      </c>
      <c r="I2363" s="3" t="n">
        <v>0</v>
      </c>
      <c r="J2363" s="3" t="n">
        <v>0</v>
      </c>
      <c r="K2363" s="3" t="n">
        <v>0</v>
      </c>
      <c r="L2363" s="3">
        <f>IF(K2363&lt;-5,"CRÍTICO",IF(K2363&lt;0,"ATENÇÃO",IF(K2363&lt;=5,"BOM","EXCELENTE")))</f>
        <v/>
      </c>
      <c r="M2363" s="3" t="n">
        <v>0</v>
      </c>
      <c r="N2363" s="3" t="n">
        <v>0</v>
      </c>
      <c r="O2363" s="12" t="n">
        <v>0</v>
      </c>
    </row>
    <row r="2364">
      <c r="A2364" s="10" t="n">
        <v>46076</v>
      </c>
      <c r="B2364" t="inlineStr">
        <is>
          <t>Clessiane Pereira dos Santos</t>
        </is>
      </c>
      <c r="C2364" s="1" t="inlineStr">
        <is>
          <t>Técnico I</t>
        </is>
      </c>
      <c r="D2364" s="3" t="n">
        <v>0</v>
      </c>
      <c r="E2364" s="3" t="n">
        <v>0</v>
      </c>
      <c r="F2364" s="3" t="n">
        <v>0</v>
      </c>
      <c r="G2364" s="3" t="n">
        <v>0</v>
      </c>
      <c r="H2364" s="3" t="n">
        <v>0</v>
      </c>
      <c r="I2364" s="3" t="n">
        <v>0</v>
      </c>
      <c r="J2364" s="3" t="n">
        <v>0</v>
      </c>
      <c r="K2364" s="3" t="n">
        <v>0</v>
      </c>
      <c r="L2364" s="3">
        <f>IF(K2364&lt;-5,"CRÍTICO",IF(K2364&lt;0,"ATENÇÃO",IF(K2364&lt;=5,"BOM","EXCELENTE")))</f>
        <v/>
      </c>
      <c r="M2364" s="3" t="n">
        <v>0</v>
      </c>
      <c r="N2364" s="3" t="n">
        <v>98.75</v>
      </c>
      <c r="O2364" s="12" t="n">
        <v>24.32432432432433</v>
      </c>
    </row>
    <row r="2365">
      <c r="A2365" s="10" t="n">
        <v>46076</v>
      </c>
      <c r="B2365" t="inlineStr">
        <is>
          <t>Cristiane Ramos da Silva Rocha</t>
        </is>
      </c>
      <c r="C2365" s="1" t="inlineStr">
        <is>
          <t>Técnico III</t>
        </is>
      </c>
      <c r="D2365" s="3" t="n">
        <v>0</v>
      </c>
      <c r="E2365" s="3" t="n">
        <v>0</v>
      </c>
      <c r="F2365" s="3" t="n">
        <v>0</v>
      </c>
      <c r="G2365" s="3" t="n">
        <v>0</v>
      </c>
      <c r="H2365" s="3" t="n">
        <v>0</v>
      </c>
      <c r="I2365" s="3" t="n">
        <v>0</v>
      </c>
      <c r="J2365" s="3" t="n">
        <v>0</v>
      </c>
      <c r="K2365" s="3" t="n">
        <v>0</v>
      </c>
      <c r="L2365" s="3">
        <f>IF(K2365&lt;-5,"CRÍTICO",IF(K2365&lt;0,"ATENÇÃO",IF(K2365&lt;=5,"BOM","EXCELENTE")))</f>
        <v/>
      </c>
      <c r="M2365" s="3" t="n">
        <v>0</v>
      </c>
      <c r="N2365" s="3" t="n">
        <v>93.48</v>
      </c>
      <c r="O2365" s="12" t="n">
        <v>31.52804642166344</v>
      </c>
    </row>
    <row r="2366">
      <c r="A2366" s="10" t="n">
        <v>46076</v>
      </c>
      <c r="B2366" t="inlineStr">
        <is>
          <t>Damyllis Lorraine de Oliveira Gonçalves</t>
        </is>
      </c>
      <c r="C2366" s="1" t="inlineStr">
        <is>
          <t>Técnico II</t>
        </is>
      </c>
      <c r="D2366" s="3" t="n">
        <v>31</v>
      </c>
      <c r="E2366" s="3" t="n">
        <v>26</v>
      </c>
      <c r="F2366" s="3" t="n">
        <v>26.55</v>
      </c>
      <c r="G2366" s="3" t="n">
        <v>0</v>
      </c>
      <c r="H2366" s="3" t="n">
        <v>0</v>
      </c>
      <c r="I2366" s="3" t="n">
        <v>0</v>
      </c>
      <c r="J2366" s="3" t="n">
        <v>0</v>
      </c>
      <c r="K2366" s="3" t="n">
        <v>0</v>
      </c>
      <c r="L2366" s="3">
        <f>IF(K2366&lt;-5,"CRÍTICO",IF(K2366&lt;0,"ATENÇÃO",IF(K2366&lt;=5,"BOM","EXCELENTE")))</f>
        <v/>
      </c>
      <c r="M2366" s="3" t="n">
        <v>19</v>
      </c>
      <c r="N2366" s="3" t="n">
        <v>99.16</v>
      </c>
      <c r="O2366" s="12" t="n">
        <v>26.13908872901678</v>
      </c>
    </row>
    <row r="2367">
      <c r="A2367" s="10" t="n">
        <v>46076</v>
      </c>
      <c r="B2367" t="inlineStr">
        <is>
          <t>Daniel Gomes da Silva</t>
        </is>
      </c>
      <c r="C2367" s="1" t="inlineStr">
        <is>
          <t>Técnico I</t>
        </is>
      </c>
      <c r="D2367" s="3" t="n">
        <v>22</v>
      </c>
      <c r="E2367" s="3" t="n">
        <v>19</v>
      </c>
      <c r="F2367" s="3" t="n">
        <v>24.17</v>
      </c>
      <c r="G2367" s="3" t="n">
        <v>0</v>
      </c>
      <c r="H2367" s="3" t="n">
        <v>0</v>
      </c>
      <c r="I2367" s="3">
        <f>E2367+G2367+H2367</f>
        <v/>
      </c>
      <c r="J2367" s="3">
        <f>ROUND(MIN(IF(C2367="Técnico III",35,IF(C2367="Técnico II",28,IF(C2367="Técnico I",23,IF(C2367="JR",20,IF(C2367="Estágio",10,0))))),IF(C2367="Técnico III",SUMIFS($D:$D,$A:$A,$A2367,$B:$B,"&lt;&gt;Patrícia Karla de Sousa Araújo",$B:$B,"&lt;&gt;Lorena Dias de Araujo",$B:$B,"&lt;&gt;Lucas Luiz Romero")*(35/1083),IF(C2367="Técnico II",SUMIFS($D:$D,$A:$A,$A2367,$B:$B,"&lt;&gt;Patrícia Karla de Sousa Araújo",$B:$B,"&lt;&gt;Lorena Dias de Araujo",$B:$B,"&lt;&gt;Lucas Luiz Romero")*(28/1083),IF(C2367="Técnico I",SUMIFS($D:$D,$A:$A,$A2367,$B:$B,"&lt;&gt;Patrícia Karla de Sousa Araújo",$B:$B,"&lt;&gt;Lorena Dias de Araujo",$B:$B,"&lt;&gt;Lucas Luiz Romero")*(23/1083),IF(C2367="JR",SUMIFS($D:$D,$A:$A,$A2367,$B:$B,"&lt;&gt;Patrícia Karla de Sousa Araújo",$B:$B,"&lt;&gt;Lorena Dias de Araujo",$B:$B,"&lt;&gt;Lucas Luiz Romero")*(20/1083),IF(C2367="Estágio",SUMIFS($D:$D,$A:$A,$A2367,$B:$B,"&lt;&gt;Patrícia Karla de Sousa Araújo",$B:$B,"&lt;&gt;Lorena Dias de Araujo",$B:$B,"&lt;&gt;Lucas Luiz Romero")*(10/1083),0)))))),0)</f>
        <v/>
      </c>
      <c r="K2367" s="3">
        <f>I2367-J2367</f>
        <v/>
      </c>
      <c r="L2367" s="3">
        <f>IF(K2367&lt;-5,"CRÍTICO",IF(K2367&lt;0,"ATENÇÃO",IF(K2367&lt;=5,"BOM","EXCELENTE")))</f>
        <v/>
      </c>
      <c r="M2367" s="3" t="n">
        <v>9</v>
      </c>
      <c r="N2367" s="3" t="n">
        <v>100</v>
      </c>
      <c r="O2367" s="12" t="n">
        <v>31.08974358974359</v>
      </c>
    </row>
    <row r="2368">
      <c r="A2368" s="10" t="n">
        <v>46076</v>
      </c>
      <c r="B2368" t="inlineStr">
        <is>
          <t>Davylla Rodrigues Freitas Silva</t>
        </is>
      </c>
      <c r="C2368" s="1" t="inlineStr">
        <is>
          <t>Técnico III</t>
        </is>
      </c>
      <c r="D2368" s="3" t="n">
        <v>20</v>
      </c>
      <c r="E2368" s="3" t="n">
        <v>19</v>
      </c>
      <c r="F2368" s="3" t="n">
        <v>37.39</v>
      </c>
      <c r="G2368" s="3" t="n">
        <v>0</v>
      </c>
      <c r="H2368" s="3" t="n">
        <v>0</v>
      </c>
      <c r="I2368" s="3" t="n">
        <v>0</v>
      </c>
      <c r="J2368" s="3" t="n">
        <v>0</v>
      </c>
      <c r="K2368" s="3" t="n">
        <v>0</v>
      </c>
      <c r="L2368" s="3">
        <f>IF(K2368&lt;-5,"CRÍTICO",IF(K2368&lt;0,"ATENÇÃO",IF(K2368&lt;=5,"BOM","EXCELENTE")))</f>
        <v/>
      </c>
      <c r="M2368" s="3" t="n">
        <v>18</v>
      </c>
      <c r="N2368" s="3" t="n">
        <v>98.11</v>
      </c>
      <c r="O2368" s="12" t="n">
        <v>33.03370786516854</v>
      </c>
    </row>
    <row r="2369">
      <c r="A2369" s="10" t="n">
        <v>46076</v>
      </c>
      <c r="B2369" t="inlineStr">
        <is>
          <t>Emilly Caylane Costa</t>
        </is>
      </c>
      <c r="C2369" s="1" t="inlineStr">
        <is>
          <t>Estágio</t>
        </is>
      </c>
      <c r="D2369" s="3" t="n">
        <v>9</v>
      </c>
      <c r="E2369" s="3" t="n">
        <v>8</v>
      </c>
      <c r="F2369" s="3" t="n">
        <v>36.51</v>
      </c>
      <c r="G2369" s="3" t="n">
        <v>0</v>
      </c>
      <c r="H2369" s="3" t="n">
        <v>0</v>
      </c>
      <c r="I2369" s="3">
        <f>E2369+G2369+H2369</f>
        <v/>
      </c>
      <c r="J2369" s="3">
        <f>ROUND(MIN(IF(C2369="Técnico III",35,IF(C2369="Técnico II",28,IF(C2369="Técnico I",23,IF(C2369="JR",20,IF(C2369="Estágio",10,0))))),IF(C2369="Técnico III",SUMIFS($D:$D,$A:$A,$A2369,$B:$B,"&lt;&gt;Patrícia Karla de Sousa Araújo",$B:$B,"&lt;&gt;Lorena Dias de Araujo",$B:$B,"&lt;&gt;Lucas Luiz Romero")*(35/1083),IF(C2369="Técnico II",SUMIFS($D:$D,$A:$A,$A2369,$B:$B,"&lt;&gt;Patrícia Karla de Sousa Araújo",$B:$B,"&lt;&gt;Lorena Dias de Araujo",$B:$B,"&lt;&gt;Lucas Luiz Romero")*(28/1083),IF(C2369="Técnico I",SUMIFS($D:$D,$A:$A,$A2369,$B:$B,"&lt;&gt;Patrícia Karla de Sousa Araújo",$B:$B,"&lt;&gt;Lorena Dias de Araujo",$B:$B,"&lt;&gt;Lucas Luiz Romero")*(23/1083),IF(C2369="JR",SUMIFS($D:$D,$A:$A,$A2369,$B:$B,"&lt;&gt;Patrícia Karla de Sousa Araújo",$B:$B,"&lt;&gt;Lorena Dias de Araujo",$B:$B,"&lt;&gt;Lucas Luiz Romero")*(20/1083),IF(C2369="Estágio",SUMIFS($D:$D,$A:$A,$A2369,$B:$B,"&lt;&gt;Patrícia Karla de Sousa Araújo",$B:$B,"&lt;&gt;Lorena Dias de Araujo",$B:$B,"&lt;&gt;Lucas Luiz Romero")*(10/1083),0)))))),0)</f>
        <v/>
      </c>
      <c r="K2369" s="3">
        <f>I2369-J2369</f>
        <v/>
      </c>
      <c r="L2369" s="3">
        <f>IF(K2369&lt;-5,"CRÍTICO",IF(K2369&lt;0,"ATENÇÃO",IF(K2369&lt;=5,"BOM","EXCELENTE")))</f>
        <v/>
      </c>
      <c r="M2369" s="3" t="n">
        <v>5</v>
      </c>
      <c r="N2369" s="3" t="n">
        <v>78.95</v>
      </c>
      <c r="O2369" s="12" t="n">
        <v>38.98305084745763</v>
      </c>
    </row>
    <row r="2370">
      <c r="A2370" s="10" t="n">
        <v>46076</v>
      </c>
      <c r="B2370" t="inlineStr">
        <is>
          <t>Emilly Kamilly Medeiros Miranda</t>
        </is>
      </c>
      <c r="C2370" s="1" t="inlineStr">
        <is>
          <t>Técnico II</t>
        </is>
      </c>
      <c r="D2370" s="3" t="n">
        <v>22</v>
      </c>
      <c r="E2370" s="3" t="n">
        <v>20</v>
      </c>
      <c r="F2370" s="3" t="n">
        <v>27.02</v>
      </c>
      <c r="G2370" s="3" t="n">
        <v>0</v>
      </c>
      <c r="H2370" s="3" t="n">
        <v>0</v>
      </c>
      <c r="I2370" s="3">
        <f>E2370+G2370+H2370</f>
        <v/>
      </c>
      <c r="J2370" s="3">
        <f>ROUND(MIN(IF(C2370="Técnico III",35,IF(C2370="Técnico II",28,IF(C2370="Técnico I",23,IF(C2370="JR",20,IF(C2370="Estágio",10,0))))),IF(C2370="Técnico III",SUMIFS($D:$D,$A:$A,$A2370,$B:$B,"&lt;&gt;Patrícia Karla de Sousa Araújo",$B:$B,"&lt;&gt;Lorena Dias de Araujo",$B:$B,"&lt;&gt;Lucas Luiz Romero")*(35/1083),IF(C2370="Técnico II",SUMIFS($D:$D,$A:$A,$A2370,$B:$B,"&lt;&gt;Patrícia Karla de Sousa Araújo",$B:$B,"&lt;&gt;Lorena Dias de Araujo",$B:$B,"&lt;&gt;Lucas Luiz Romero")*(28/1083),IF(C2370="Técnico I",SUMIFS($D:$D,$A:$A,$A2370,$B:$B,"&lt;&gt;Patrícia Karla de Sousa Araújo",$B:$B,"&lt;&gt;Lorena Dias de Araujo",$B:$B,"&lt;&gt;Lucas Luiz Romero")*(23/1083),IF(C2370="JR",SUMIFS($D:$D,$A:$A,$A2370,$B:$B,"&lt;&gt;Patrícia Karla de Sousa Araújo",$B:$B,"&lt;&gt;Lorena Dias de Araujo",$B:$B,"&lt;&gt;Lucas Luiz Romero")*(20/1083),IF(C2370="Estágio",SUMIFS($D:$D,$A:$A,$A2370,$B:$B,"&lt;&gt;Patrícia Karla de Sousa Araújo",$B:$B,"&lt;&gt;Lorena Dias de Araujo",$B:$B,"&lt;&gt;Lucas Luiz Romero")*(10/1083),0)))))),0)</f>
        <v/>
      </c>
      <c r="K2370" s="3">
        <f>I2370-J2370</f>
        <v/>
      </c>
      <c r="L2370" s="3">
        <f>IF(K2370&lt;-5,"CRÍTICO",IF(K2370&lt;0,"ATENÇÃO",IF(K2370&lt;=5,"BOM","EXCELENTE")))</f>
        <v/>
      </c>
      <c r="M2370" s="3" t="n">
        <v>16</v>
      </c>
      <c r="N2370" s="3" t="n">
        <v>98.45</v>
      </c>
      <c r="O2370" s="12" t="n">
        <v>29.2817679558011</v>
      </c>
    </row>
    <row r="2371">
      <c r="A2371" s="10" t="n">
        <v>46076</v>
      </c>
      <c r="B2371" t="inlineStr">
        <is>
          <t>Francielson de Oliveira</t>
        </is>
      </c>
      <c r="C2371" s="1" t="inlineStr">
        <is>
          <t>Técnico III</t>
        </is>
      </c>
      <c r="D2371" s="3" t="n">
        <v>30</v>
      </c>
      <c r="E2371" s="3" t="n">
        <v>30</v>
      </c>
      <c r="F2371" s="3" t="n">
        <v>25.07</v>
      </c>
      <c r="G2371" s="3" t="n">
        <v>0</v>
      </c>
      <c r="H2371" s="3" t="n">
        <v>0</v>
      </c>
      <c r="I2371" s="3">
        <f>E2371+G2371+H2371</f>
        <v/>
      </c>
      <c r="J2371" s="3">
        <f>ROUND(MIN(IF(C2371="Técnico III",35,IF(C2371="Técnico II",28,IF(C2371="Técnico I",23,IF(C2371="JR",20,IF(C2371="Estágio",10,0))))),IF(C2371="Técnico III",SUMIFS($D:$D,$A:$A,$A2371,$B:$B,"&lt;&gt;Patrícia Karla de Sousa Araújo",$B:$B,"&lt;&gt;Lorena Dias de Araujo",$B:$B,"&lt;&gt;Lucas Luiz Romero")*(35/1083),IF(C2371="Técnico II",SUMIFS($D:$D,$A:$A,$A2371,$B:$B,"&lt;&gt;Patrícia Karla de Sousa Araújo",$B:$B,"&lt;&gt;Lorena Dias de Araujo",$B:$B,"&lt;&gt;Lucas Luiz Romero")*(28/1083),IF(C2371="Técnico I",SUMIFS($D:$D,$A:$A,$A2371,$B:$B,"&lt;&gt;Patrícia Karla de Sousa Araújo",$B:$B,"&lt;&gt;Lorena Dias de Araujo",$B:$B,"&lt;&gt;Lucas Luiz Romero")*(23/1083),IF(C2371="JR",SUMIFS($D:$D,$A:$A,$A2371,$B:$B,"&lt;&gt;Patrícia Karla de Sousa Araújo",$B:$B,"&lt;&gt;Lorena Dias de Araujo",$B:$B,"&lt;&gt;Lucas Luiz Romero")*(20/1083),IF(C2371="Estágio",SUMIFS($D:$D,$A:$A,$A2371,$B:$B,"&lt;&gt;Patrícia Karla de Sousa Araújo",$B:$B,"&lt;&gt;Lorena Dias de Araujo",$B:$B,"&lt;&gt;Lucas Luiz Romero")*(10/1083),0)))))),0)</f>
        <v/>
      </c>
      <c r="K2371" s="3">
        <f>I2371-J2371</f>
        <v/>
      </c>
      <c r="L2371" s="3">
        <f>IF(K2371&lt;-5,"CRÍTICO",IF(K2371&lt;0,"ATENÇÃO",IF(K2371&lt;=5,"BOM","EXCELENTE")))</f>
        <v/>
      </c>
      <c r="M2371" s="3" t="n">
        <v>29</v>
      </c>
      <c r="N2371" s="3" t="n">
        <v>97.84</v>
      </c>
      <c r="O2371" s="12" t="n">
        <v>26.28205128205128</v>
      </c>
    </row>
    <row r="2372">
      <c r="A2372" s="10" t="n">
        <v>46076</v>
      </c>
      <c r="B2372" t="inlineStr">
        <is>
          <t>Francilene Ferreira de Jesus</t>
        </is>
      </c>
      <c r="C2372" s="1" t="inlineStr">
        <is>
          <t>Técnico II</t>
        </is>
      </c>
      <c r="D2372" s="3" t="n">
        <v>27</v>
      </c>
      <c r="E2372" s="3" t="n">
        <v>25</v>
      </c>
      <c r="F2372" s="3" t="n">
        <v>30.31</v>
      </c>
      <c r="G2372" s="3" t="n">
        <v>0</v>
      </c>
      <c r="H2372" s="3" t="n">
        <v>0</v>
      </c>
      <c r="I2372" s="3">
        <f>E2372+G2372+H2372</f>
        <v/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/>
      </c>
      <c r="K2372" s="3">
        <f>I2372-J2372</f>
        <v/>
      </c>
      <c r="L2372" s="3">
        <f>IF(K2372&lt;-5,"CRÍTICO",IF(K2372&lt;0,"ATENÇÃO",IF(K2372&lt;=5,"BOM","EXCELENTE")))</f>
        <v/>
      </c>
      <c r="M2372" s="3" t="n">
        <v>18</v>
      </c>
      <c r="N2372" s="3" t="n">
        <v>98.5</v>
      </c>
      <c r="O2372" s="12" t="n">
        <v>23.97769516728625</v>
      </c>
    </row>
    <row r="2373">
      <c r="A2373" s="10" t="n">
        <v>46108</v>
      </c>
      <c r="B2373" t="inlineStr">
        <is>
          <t>Gabriel Gomes de Andrade</t>
        </is>
      </c>
      <c r="C2373" s="1" t="inlineStr">
        <is>
          <t>Técnico I</t>
        </is>
      </c>
      <c r="D2373" s="3" t="n">
        <v>32</v>
      </c>
      <c r="E2373" s="3" t="n">
        <v>28</v>
      </c>
      <c r="F2373" s="3" t="n">
        <v>19.07</v>
      </c>
      <c r="G2373" s="3" t="n">
        <v>0</v>
      </c>
      <c r="H2373" s="3" t="n">
        <v>0</v>
      </c>
      <c r="I2373" s="3">
        <f>E2373+G2373+H2373</f>
        <v/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/>
      </c>
      <c r="K2373" s="3">
        <f>I2373-J2373</f>
        <v/>
      </c>
      <c r="L2373" s="3">
        <f>IF(K2373&lt;-5,"CRÍTICO",IF(K2373&lt;0,"ATENÇÃO",IF(K2373&lt;=5,"BOM","EXCELENTE")))</f>
        <v/>
      </c>
      <c r="M2373" s="3" t="n">
        <v>28</v>
      </c>
      <c r="N2373" s="3" t="n">
        <v>99.05</v>
      </c>
      <c r="O2373" s="12" t="n">
        <v>26.62192393736018</v>
      </c>
    </row>
    <row r="2374">
      <c r="A2374" s="10" t="n">
        <v>46076</v>
      </c>
      <c r="B2374" t="inlineStr">
        <is>
          <t>Isabella Borges de Oliveira</t>
        </is>
      </c>
      <c r="C2374" s="1" t="inlineStr">
        <is>
          <t>Técnico II</t>
        </is>
      </c>
      <c r="D2374" s="3" t="n">
        <v>34</v>
      </c>
      <c r="E2374" s="3" t="n">
        <v>33</v>
      </c>
      <c r="F2374" s="3" t="n">
        <v>22.17</v>
      </c>
      <c r="G2374" s="3" t="n">
        <v>0</v>
      </c>
      <c r="H2374" s="3" t="n">
        <v>0</v>
      </c>
      <c r="I2374" s="3">
        <f>E2374+G2374+H2374</f>
        <v/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/>
      </c>
      <c r="K2374" s="3">
        <f>I2374-J2374</f>
        <v/>
      </c>
      <c r="L2374" s="3">
        <f>IF(K2374&lt;-5,"CRÍTICO",IF(K2374&lt;0,"ATENÇÃO",IF(K2374&lt;=5,"BOM","EXCELENTE")))</f>
        <v/>
      </c>
      <c r="M2374" s="3" t="n">
        <v>28</v>
      </c>
      <c r="N2374" s="3" t="n">
        <v>98.53</v>
      </c>
      <c r="O2374" s="12" t="n">
        <v>31.57894736842105</v>
      </c>
    </row>
    <row r="2375">
      <c r="A2375" s="10" t="n">
        <v>46076</v>
      </c>
      <c r="B2375" t="inlineStr">
        <is>
          <t>Janaina Lima dos Reis Urany</t>
        </is>
      </c>
      <c r="C2375" s="1" t="inlineStr">
        <is>
          <t>Técnico III</t>
        </is>
      </c>
      <c r="D2375" s="3" t="n">
        <v>38</v>
      </c>
      <c r="E2375" s="3" t="n">
        <v>36</v>
      </c>
      <c r="F2375" s="3" t="n">
        <v>17.22</v>
      </c>
      <c r="G2375" s="3" t="n">
        <v>0</v>
      </c>
      <c r="H2375" s="3" t="n">
        <v>0</v>
      </c>
      <c r="I2375" s="3">
        <f>E2375+G2375+H2375</f>
        <v/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/>
      </c>
      <c r="K2375" s="3">
        <f>I2375-J2375</f>
        <v/>
      </c>
      <c r="L2375" s="3">
        <f>IF(K2375&lt;-5,"CRÍTICO",IF(K2375&lt;0,"ATENÇÃO",IF(K2375&lt;=5,"BOM","EXCELENTE")))</f>
        <v/>
      </c>
      <c r="M2375" s="3" t="n">
        <v>33</v>
      </c>
      <c r="N2375" s="3" t="n">
        <v>100</v>
      </c>
      <c r="O2375" s="12" t="n">
        <v>25.72214580467676</v>
      </c>
    </row>
    <row r="2376">
      <c r="A2376" s="10" t="n">
        <v>46076</v>
      </c>
      <c r="B2376" t="inlineStr">
        <is>
          <t>Jaqueline Evangelista da Silva Martins</t>
        </is>
      </c>
      <c r="C2376" s="1" t="inlineStr">
        <is>
          <t>Técnico III</t>
        </is>
      </c>
      <c r="D2376" s="3" t="n">
        <v>24</v>
      </c>
      <c r="E2376" s="3" t="n">
        <v>20</v>
      </c>
      <c r="F2376" s="3" t="n">
        <v>10.12</v>
      </c>
      <c r="G2376" s="3" t="n">
        <v>0</v>
      </c>
      <c r="H2376" s="3" t="n">
        <v>0</v>
      </c>
      <c r="I2376" s="3">
        <f>E2376+G2376+H2376</f>
        <v/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/>
      </c>
      <c r="K2376" s="3">
        <f>I2376-J2376</f>
        <v/>
      </c>
      <c r="L2376" s="3">
        <f>IF(K2376&lt;-5,"CRÍTICO",IF(K2376&lt;0,"ATENÇÃO",IF(K2376&lt;=5,"BOM","EXCELENTE")))</f>
        <v/>
      </c>
      <c r="M2376" s="3" t="n">
        <v>16</v>
      </c>
      <c r="N2376" s="3" t="n">
        <v>94.64</v>
      </c>
      <c r="O2376" s="12" t="n">
        <v>27.52941176470588</v>
      </c>
    </row>
    <row r="2377">
      <c r="A2377" s="10" t="n">
        <v>46076</v>
      </c>
      <c r="B2377" t="inlineStr">
        <is>
          <t>Jessica Faria da Silveira</t>
        </is>
      </c>
      <c r="C2377" s="1" t="inlineStr">
        <is>
          <t>Técnico II</t>
        </is>
      </c>
      <c r="D2377" s="3" t="n">
        <v>37</v>
      </c>
      <c r="E2377" s="3" t="n">
        <v>28</v>
      </c>
      <c r="F2377" s="3" t="n">
        <v>15.5</v>
      </c>
      <c r="G2377" s="3" t="n">
        <v>0</v>
      </c>
      <c r="H2377" s="3" t="n">
        <v>0</v>
      </c>
      <c r="I2377" s="3">
        <f>E2377+G2377+H2377</f>
        <v/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/>
      </c>
      <c r="K2377" s="3">
        <f>I2377-J2377</f>
        <v/>
      </c>
      <c r="L2377" s="3">
        <f>IF(K2377&lt;-5,"CRÍTICO",IF(K2377&lt;0,"ATENÇÃO",IF(K2377&lt;=5,"BOM","EXCELENTE")))</f>
        <v/>
      </c>
      <c r="M2377" s="3" t="n">
        <v>23</v>
      </c>
      <c r="N2377" s="3" t="n">
        <v>99.06999999999999</v>
      </c>
      <c r="O2377" s="12" t="n">
        <v>26.3768115942029</v>
      </c>
    </row>
    <row r="2378">
      <c r="A2378" s="10" t="n">
        <v>46076</v>
      </c>
      <c r="B2378" t="inlineStr">
        <is>
          <t>Jéssica Fé Moura</t>
        </is>
      </c>
      <c r="C2378" s="1" t="inlineStr">
        <is>
          <t>Técnico III</t>
        </is>
      </c>
      <c r="D2378" s="3" t="n">
        <v>0</v>
      </c>
      <c r="E2378" s="3" t="n">
        <v>0</v>
      </c>
      <c r="F2378" s="3" t="n">
        <v>0</v>
      </c>
      <c r="G2378" s="3" t="n">
        <v>0</v>
      </c>
      <c r="H2378" s="3" t="n">
        <v>0</v>
      </c>
      <c r="I2378" s="3" t="n">
        <v>0</v>
      </c>
      <c r="J2378" s="3" t="n">
        <v>0</v>
      </c>
      <c r="K2378" s="3" t="n">
        <v>0</v>
      </c>
      <c r="L2378" s="3">
        <f>IF(K2378&lt;-5,"CRÍTICO",IF(K2378&lt;0,"ATENÇÃO",IF(K2378&lt;=5,"BOM","EXCELENTE")))</f>
        <v/>
      </c>
      <c r="M2378" s="3" t="n">
        <v>0</v>
      </c>
      <c r="N2378" s="3" t="n">
        <v>100</v>
      </c>
      <c r="O2378" s="12" t="n">
        <v>0</v>
      </c>
    </row>
    <row r="2379">
      <c r="A2379" s="10" t="n">
        <v>46076</v>
      </c>
      <c r="B2379" t="inlineStr">
        <is>
          <t>Karina Gonçalves Martins</t>
        </is>
      </c>
      <c r="C2379" s="1" t="inlineStr">
        <is>
          <t>JR</t>
        </is>
      </c>
      <c r="D2379" s="3" t="n">
        <v>11</v>
      </c>
      <c r="E2379" s="3" t="n">
        <v>11</v>
      </c>
      <c r="F2379" s="3" t="n">
        <v>30.23</v>
      </c>
      <c r="G2379" s="3" t="n">
        <v>0</v>
      </c>
      <c r="H2379" s="3" t="n">
        <v>0</v>
      </c>
      <c r="I2379" s="3">
        <f>E2379+G2379+H2379</f>
        <v/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/>
      </c>
      <c r="K2379" s="3">
        <f>I2379-J2379</f>
        <v/>
      </c>
      <c r="L2379" s="3">
        <f>IF(K2379&lt;-5,"CRÍTICO",IF(K2379&lt;0,"ATENÇÃO",IF(K2379&lt;=5,"BOM","EXCELENTE")))</f>
        <v/>
      </c>
      <c r="M2379" s="3" t="n">
        <v>9</v>
      </c>
      <c r="N2379" s="3" t="n">
        <v>98.48</v>
      </c>
      <c r="O2379" s="12" t="n">
        <v>27.85388127853881</v>
      </c>
    </row>
    <row r="2380">
      <c r="A2380" s="10" t="n">
        <v>46076</v>
      </c>
      <c r="B2380" t="inlineStr">
        <is>
          <t>Kerollen Cristielly de Jesus Siqueira</t>
        </is>
      </c>
      <c r="C2380" s="1" t="inlineStr">
        <is>
          <t>Técnico III</t>
        </is>
      </c>
      <c r="D2380" s="3" t="n">
        <v>21</v>
      </c>
      <c r="E2380" s="3" t="n">
        <v>18</v>
      </c>
      <c r="F2380" s="3" t="n">
        <v>29.15</v>
      </c>
      <c r="G2380" s="3" t="n">
        <v>0</v>
      </c>
      <c r="H2380" s="3" t="n">
        <v>0</v>
      </c>
      <c r="I2380" s="3">
        <f>E2380+G2380+H2380</f>
        <v/>
      </c>
      <c r="J2380" s="3">
        <f>ROUND(MIN(IF(C2380="Técnico III",35,IF(C2380="Técnico II",28,IF(C2380="Técnico I",23,IF(C2380="JR",20,IF(C2380="Estágio",10,0))))),IF(C2380="Técnico III",SUMIFS($D:$D,$A:$A,$A2380,$B:$B,"&lt;&gt;Patrícia Karla de Sousa Araújo",$B:$B,"&lt;&gt;Lorena Dias de Araujo",$B:$B,"&lt;&gt;Lucas Luiz Romero")*(35/1083),IF(C2380="Técnico II",SUMIFS($D:$D,$A:$A,$A2380,$B:$B,"&lt;&gt;Patrícia Karla de Sousa Araújo",$B:$B,"&lt;&gt;Lorena Dias de Araujo",$B:$B,"&lt;&gt;Lucas Luiz Romero")*(28/1083),IF(C2380="Técnico I",SUMIFS($D:$D,$A:$A,$A2380,$B:$B,"&lt;&gt;Patrícia Karla de Sousa Araújo",$B:$B,"&lt;&gt;Lorena Dias de Araujo",$B:$B,"&lt;&gt;Lucas Luiz Romero")*(23/1083),IF(C2380="JR",SUMIFS($D:$D,$A:$A,$A2380,$B:$B,"&lt;&gt;Patrícia Karla de Sousa Araújo",$B:$B,"&lt;&gt;Lorena Dias de Araujo",$B:$B,"&lt;&gt;Lucas Luiz Romero")*(20/1083),IF(C2380="Estágio",SUMIFS($D:$D,$A:$A,$A2380,$B:$B,"&lt;&gt;Patrícia Karla de Sousa Araújo",$B:$B,"&lt;&gt;Lorena Dias de Araujo",$B:$B,"&lt;&gt;Lucas Luiz Romero")*(10/1083),0)))))),0)</f>
        <v/>
      </c>
      <c r="K2380" s="3">
        <f>I2380-J2380</f>
        <v/>
      </c>
      <c r="L2380" s="3">
        <f>IF(K2380&lt;-5,"CRÍTICO",IF(K2380&lt;0,"ATENÇÃO",IF(K2380&lt;=5,"BOM","EXCELENTE")))</f>
        <v/>
      </c>
      <c r="M2380" s="3" t="n">
        <v>18</v>
      </c>
      <c r="N2380" s="3" t="n">
        <v>95.15000000000001</v>
      </c>
      <c r="O2380" s="12" t="n">
        <v>34.13173652694611</v>
      </c>
    </row>
    <row r="2381">
      <c r="A2381" s="10" t="n">
        <v>46076</v>
      </c>
      <c r="B2381" t="inlineStr">
        <is>
          <t>Leandro de Souza Silva</t>
        </is>
      </c>
      <c r="C2381" s="1" t="inlineStr">
        <is>
          <t>JR</t>
        </is>
      </c>
      <c r="D2381" s="3" t="n">
        <v>0</v>
      </c>
      <c r="E2381" s="3" t="n">
        <v>0</v>
      </c>
      <c r="F2381" s="3" t="n">
        <v>0</v>
      </c>
      <c r="G2381" s="3" t="n">
        <v>0</v>
      </c>
      <c r="H2381" s="3" t="n">
        <v>0</v>
      </c>
      <c r="I2381" s="3" t="n">
        <v>0</v>
      </c>
      <c r="J2381" s="3" t="n">
        <v>0</v>
      </c>
      <c r="K2381" s="3" t="n">
        <v>0</v>
      </c>
      <c r="L2381" s="3">
        <f>IF(K2381&lt;-5,"CRÍTICO",IF(K2381&lt;0,"ATENÇÃO",IF(K2381&lt;=5,"BOM","EXCELENTE")))</f>
        <v/>
      </c>
      <c r="M2381" s="3" t="n">
        <v>0</v>
      </c>
      <c r="N2381" s="3" t="n">
        <v>0</v>
      </c>
      <c r="O2381" s="12" t="n">
        <v>0</v>
      </c>
    </row>
    <row r="2382">
      <c r="A2382" s="10" t="n">
        <v>46076</v>
      </c>
      <c r="B2382" t="inlineStr">
        <is>
          <t>Leandro Oliveira de Sousa</t>
        </is>
      </c>
      <c r="C2382" s="1" t="inlineStr">
        <is>
          <t>Técnico III</t>
        </is>
      </c>
      <c r="D2382" s="3" t="n">
        <v>21</v>
      </c>
      <c r="E2382" s="3" t="n">
        <v>19</v>
      </c>
      <c r="F2382" s="3" t="n">
        <v>24.03</v>
      </c>
      <c r="G2382" s="3" t="n">
        <v>0</v>
      </c>
      <c r="H2382" s="3" t="n">
        <v>0</v>
      </c>
      <c r="I2382" s="3">
        <f>E2382+G2382+H2382</f>
        <v/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/>
      </c>
      <c r="K2382" s="3">
        <f>I2382-J2382</f>
        <v/>
      </c>
      <c r="L2382" s="3">
        <f>IF(K2382&lt;-5,"CRÍTICO",IF(K2382&lt;0,"ATENÇÃO",IF(K2382&lt;=5,"BOM","EXCELENTE")))</f>
        <v/>
      </c>
      <c r="M2382" s="3" t="n">
        <v>17</v>
      </c>
      <c r="N2382" s="3" t="n">
        <v>99.26000000000001</v>
      </c>
      <c r="O2382" s="12" t="n">
        <v>30.84832904884319</v>
      </c>
    </row>
    <row r="2383">
      <c r="A2383" s="10" t="n">
        <v>46076</v>
      </c>
      <c r="B2383" t="inlineStr">
        <is>
          <t>Lizandra Gomes Duarte</t>
        </is>
      </c>
      <c r="C2383" s="1" t="inlineStr">
        <is>
          <t>Técnico II</t>
        </is>
      </c>
      <c r="D2383" s="3" t="n">
        <v>28</v>
      </c>
      <c r="E2383" s="3" t="n">
        <v>27</v>
      </c>
      <c r="F2383" s="3" t="n">
        <v>25.38</v>
      </c>
      <c r="G2383" s="3" t="n">
        <v>0</v>
      </c>
      <c r="H2383" s="3" t="n">
        <v>0</v>
      </c>
      <c r="I2383" s="3">
        <f>E2383+G2383+H2383</f>
        <v/>
      </c>
      <c r="J2383" s="3">
        <f>ROUND(MIN(IF(C2383="Técnico III",35,IF(C2383="Técnico II",28,IF(C2383="Técnico I",23,IF(C2383="JR",20,IF(C2383="Estágio",10,0))))),IF(C2383="Técnico III",SUMIFS($D:$D,$A:$A,$A2383,$B:$B,"&lt;&gt;Patrícia Karla de Sousa Araújo",$B:$B,"&lt;&gt;Lorena Dias de Araujo",$B:$B,"&lt;&gt;Lucas Luiz Romero")*(35/1083),IF(C2383="Técnico II",SUMIFS($D:$D,$A:$A,$A2383,$B:$B,"&lt;&gt;Patrícia Karla de Sousa Araújo",$B:$B,"&lt;&gt;Lorena Dias de Araujo",$B:$B,"&lt;&gt;Lucas Luiz Romero")*(28/1083),IF(C2383="Técnico I",SUMIFS($D:$D,$A:$A,$A2383,$B:$B,"&lt;&gt;Patrícia Karla de Sousa Araújo",$B:$B,"&lt;&gt;Lorena Dias de Araujo",$B:$B,"&lt;&gt;Lucas Luiz Romero")*(23/1083),IF(C2383="JR",SUMIFS($D:$D,$A:$A,$A2383,$B:$B,"&lt;&gt;Patrícia Karla de Sousa Araújo",$B:$B,"&lt;&gt;Lorena Dias de Araujo",$B:$B,"&lt;&gt;Lucas Luiz Romero")*(20/1083),IF(C2383="Estágio",SUMIFS($D:$D,$A:$A,$A2383,$B:$B,"&lt;&gt;Patrícia Karla de Sousa Araújo",$B:$B,"&lt;&gt;Lorena Dias de Araujo",$B:$B,"&lt;&gt;Lucas Luiz Romero")*(10/1083),0)))))),0)</f>
        <v/>
      </c>
      <c r="K2383" s="3">
        <f>I2383-J2383</f>
        <v/>
      </c>
      <c r="L2383" s="3">
        <f>IF(K2383&lt;-5,"CRÍTICO",IF(K2383&lt;0,"ATENÇÃO",IF(K2383&lt;=5,"BOM","EXCELENTE")))</f>
        <v/>
      </c>
      <c r="M2383" s="3" t="n">
        <v>30</v>
      </c>
      <c r="N2383" s="3" t="n">
        <v>97.48</v>
      </c>
      <c r="O2383" s="12" t="n">
        <v>27.76470588235294</v>
      </c>
    </row>
    <row r="2384">
      <c r="A2384" s="10" t="n">
        <v>46076</v>
      </c>
      <c r="B2384" t="inlineStr">
        <is>
          <t>Lorena Dias de Araujo</t>
        </is>
      </c>
      <c r="C2384" s="1" t="inlineStr">
        <is>
          <t>Técnico II</t>
        </is>
      </c>
      <c r="D2384" s="3" t="n">
        <v>26</v>
      </c>
      <c r="E2384" s="3" t="n">
        <v>25</v>
      </c>
      <c r="F2384" s="3" t="n">
        <v>25.15</v>
      </c>
      <c r="G2384" s="3" t="n">
        <v>0</v>
      </c>
      <c r="H2384" s="3" t="n">
        <v>0</v>
      </c>
      <c r="I2384" s="3" t="n">
        <v>0</v>
      </c>
      <c r="J2384" s="3" t="n">
        <v>0</v>
      </c>
      <c r="K2384" s="3" t="n">
        <v>0</v>
      </c>
      <c r="L2384" s="3">
        <f>IF(K2384&lt;-5,"CRÍTICO",IF(K2384&lt;0,"ATENÇÃO",IF(K2384&lt;=5,"BOM","EXCELENTE")))</f>
        <v/>
      </c>
      <c r="M2384" s="3" t="n">
        <v>13</v>
      </c>
      <c r="N2384" s="3" t="n">
        <v>99.34</v>
      </c>
      <c r="O2384" s="12" t="n">
        <v>30.04291845493562</v>
      </c>
    </row>
    <row r="2385">
      <c r="A2385" s="10" t="n">
        <v>46076</v>
      </c>
      <c r="B2385" t="inlineStr">
        <is>
          <t>Lucas Luiz Romero</t>
        </is>
      </c>
      <c r="C2385" s="1" t="inlineStr">
        <is>
          <t>Técnico III</t>
        </is>
      </c>
      <c r="D2385" s="3" t="n">
        <v>0</v>
      </c>
      <c r="E2385" s="3" t="n">
        <v>0</v>
      </c>
      <c r="F2385" s="3" t="n">
        <v>0</v>
      </c>
      <c r="G2385" s="3" t="n">
        <v>0</v>
      </c>
      <c r="H2385" s="3" t="n">
        <v>0</v>
      </c>
      <c r="I2385" s="3" t="n">
        <v>0</v>
      </c>
      <c r="J2385" s="3" t="n">
        <v>0</v>
      </c>
      <c r="K2385" s="3" t="n">
        <v>0</v>
      </c>
      <c r="L2385" s="3">
        <f>IF(K2385&lt;-5,"CRÍTICO",IF(K2385&lt;0,"ATENÇÃO",IF(K2385&lt;=5,"BOM","EXCELENTE")))</f>
        <v/>
      </c>
      <c r="M2385" s="3" t="n">
        <v>0</v>
      </c>
      <c r="N2385" s="3" t="n">
        <v>96.3</v>
      </c>
      <c r="O2385" s="12" t="n">
        <v>24.29378531073446</v>
      </c>
    </row>
    <row r="2386">
      <c r="A2386" s="10" t="n">
        <v>46076</v>
      </c>
      <c r="B2386" t="inlineStr">
        <is>
          <t>Luiz Fernando de Carvalho Junior</t>
        </is>
      </c>
      <c r="C2386" s="1" t="inlineStr">
        <is>
          <t>Técnico I</t>
        </is>
      </c>
      <c r="D2386" s="3" t="n">
        <v>9</v>
      </c>
      <c r="E2386" s="3" t="n">
        <v>9</v>
      </c>
      <c r="F2386" s="3" t="n">
        <v>47.28</v>
      </c>
      <c r="G2386" s="3" t="n">
        <v>0</v>
      </c>
      <c r="H2386" s="3" t="n">
        <v>0</v>
      </c>
      <c r="I2386" s="3">
        <f>E2386+G2386+H2386</f>
        <v/>
      </c>
      <c r="J2386" s="3">
        <f>ROUND(MIN(IF(C2386="Técnico III",35,IF(C2386="Técnico II",28,IF(C2386="Técnico I",23,IF(C2386="JR",20,IF(C2386="Estágio",10,0))))),IF(C2386="Técnico III",SUMIFS($D:$D,$A:$A,$A2386,$B:$B,"&lt;&gt;Patrícia Karla de Sousa Araújo",$B:$B,"&lt;&gt;Lorena Dias de Araujo",$B:$B,"&lt;&gt;Lucas Luiz Romero")*(35/1083),IF(C2386="Técnico II",SUMIFS($D:$D,$A:$A,$A2386,$B:$B,"&lt;&gt;Patrícia Karla de Sousa Araújo",$B:$B,"&lt;&gt;Lorena Dias de Araujo",$B:$B,"&lt;&gt;Lucas Luiz Romero")*(28/1083),IF(C2386="Técnico I",SUMIFS($D:$D,$A:$A,$A2386,$B:$B,"&lt;&gt;Patrícia Karla de Sousa Araújo",$B:$B,"&lt;&gt;Lorena Dias de Araujo",$B:$B,"&lt;&gt;Lucas Luiz Romero")*(23/1083),IF(C2386="JR",SUMIFS($D:$D,$A:$A,$A2386,$B:$B,"&lt;&gt;Patrícia Karla de Sousa Araújo",$B:$B,"&lt;&gt;Lorena Dias de Araujo",$B:$B,"&lt;&gt;Lucas Luiz Romero")*(20/1083),IF(C2386="Estágio",SUMIFS($D:$D,$A:$A,$A2386,$B:$B,"&lt;&gt;Patrícia Karla de Sousa Araújo",$B:$B,"&lt;&gt;Lorena Dias de Araujo",$B:$B,"&lt;&gt;Lucas Luiz Romero")*(10/1083),0)))))),0)</f>
        <v/>
      </c>
      <c r="K2386" s="3">
        <f>I2386-J2386</f>
        <v/>
      </c>
      <c r="L2386" s="3">
        <f>IF(K2386&lt;-5,"CRÍTICO",IF(K2386&lt;0,"ATENÇÃO",IF(K2386&lt;=5,"BOM","EXCELENTE")))</f>
        <v/>
      </c>
      <c r="M2386" s="3" t="n">
        <v>10</v>
      </c>
      <c r="N2386" s="3" t="n">
        <v>100</v>
      </c>
      <c r="O2386" s="12" t="n">
        <v>26.54320987654321</v>
      </c>
    </row>
    <row r="2387">
      <c r="A2387" s="10" t="n">
        <v>46076</v>
      </c>
      <c r="B2387" t="inlineStr">
        <is>
          <t>Maria Eduarda Sousa Costa</t>
        </is>
      </c>
      <c r="C2387" s="1" t="inlineStr">
        <is>
          <t>Estágio</t>
        </is>
      </c>
      <c r="D2387" s="3" t="n">
        <v>10</v>
      </c>
      <c r="E2387" s="3" t="n">
        <v>10</v>
      </c>
      <c r="F2387" s="3" t="n">
        <v>59.09</v>
      </c>
      <c r="G2387" s="3" t="n">
        <v>0</v>
      </c>
      <c r="H2387" s="3" t="n">
        <v>0</v>
      </c>
      <c r="I2387" s="3">
        <f>E2387+G2387+H2387</f>
        <v/>
      </c>
      <c r="J2387" s="3">
        <f>ROUND(MIN(IF(C2387="Técnico III",35,IF(C2387="Técnico II",28,IF(C2387="Técnico I",23,IF(C2387="JR",20,IF(C2387="Estágio",10,0))))),IF(C2387="Técnico III",SUMIFS($D:$D,$A:$A,$A2387,$B:$B,"&lt;&gt;Patrícia Karla de Sousa Araújo",$B:$B,"&lt;&gt;Lorena Dias de Araujo",$B:$B,"&lt;&gt;Lucas Luiz Romero")*(35/1083),IF(C2387="Técnico II",SUMIFS($D:$D,$A:$A,$A2387,$B:$B,"&lt;&gt;Patrícia Karla de Sousa Araújo",$B:$B,"&lt;&gt;Lorena Dias de Araujo",$B:$B,"&lt;&gt;Lucas Luiz Romero")*(28/1083),IF(C2387="Técnico I",SUMIFS($D:$D,$A:$A,$A2387,$B:$B,"&lt;&gt;Patrícia Karla de Sousa Araújo",$B:$B,"&lt;&gt;Lorena Dias de Araujo",$B:$B,"&lt;&gt;Lucas Luiz Romero")*(23/1083),IF(C2387="JR",SUMIFS($D:$D,$A:$A,$A2387,$B:$B,"&lt;&gt;Patrícia Karla de Sousa Araújo",$B:$B,"&lt;&gt;Lorena Dias de Araujo",$B:$B,"&lt;&gt;Lucas Luiz Romero")*(20/1083),IF(C2387="Estágio",SUMIFS($D:$D,$A:$A,$A2387,$B:$B,"&lt;&gt;Patrícia Karla de Sousa Araújo",$B:$B,"&lt;&gt;Lorena Dias de Araujo",$B:$B,"&lt;&gt;Lucas Luiz Romero")*(10/1083),0)))))),0)</f>
        <v/>
      </c>
      <c r="K2387" s="3">
        <f>I2387-J2387</f>
        <v/>
      </c>
      <c r="L2387" s="3">
        <f>IF(K2387&lt;-5,"CRÍTICO",IF(K2387&lt;0,"ATENÇÃO",IF(K2387&lt;=5,"BOM","EXCELENTE")))</f>
        <v/>
      </c>
      <c r="M2387" s="3" t="n">
        <v>6</v>
      </c>
      <c r="N2387" s="3" t="n">
        <v>100</v>
      </c>
      <c r="O2387" s="12" t="n">
        <v>35.48387096774194</v>
      </c>
    </row>
    <row r="2388">
      <c r="A2388" s="10" t="n">
        <v>46076</v>
      </c>
      <c r="B2388" t="inlineStr">
        <is>
          <t>Matheus Farias De Souza</t>
        </is>
      </c>
      <c r="C2388" s="1" t="inlineStr">
        <is>
          <t>Técnico III</t>
        </is>
      </c>
      <c r="D2388" s="3" t="n">
        <v>26</v>
      </c>
      <c r="E2388" s="3" t="n">
        <v>23</v>
      </c>
      <c r="F2388" s="3" t="n">
        <v>22.35</v>
      </c>
      <c r="G2388" s="3" t="n">
        <v>0</v>
      </c>
      <c r="H2388" s="3" t="n">
        <v>0</v>
      </c>
      <c r="I2388" s="3">
        <f>E2388+G2388+H2388</f>
        <v/>
      </c>
      <c r="J2388" s="3">
        <f>ROUND(MIN(IF(C2388="Técnico III",35,IF(C2388="Técnico II",28,IF(C2388="Técnico I",23,IF(C2388="JR",20,IF(C2388="Estágio",10,0))))),IF(C2388="Técnico III",SUMIFS($D:$D,$A:$A,$A2388,$B:$B,"&lt;&gt;Patrícia Karla de Sousa Araújo",$B:$B,"&lt;&gt;Lorena Dias de Araujo",$B:$B,"&lt;&gt;Lucas Luiz Romero")*(35/1083),IF(C2388="Técnico II",SUMIFS($D:$D,$A:$A,$A2388,$B:$B,"&lt;&gt;Patrícia Karla de Sousa Araújo",$B:$B,"&lt;&gt;Lorena Dias de Araujo",$B:$B,"&lt;&gt;Lucas Luiz Romero")*(28/1083),IF(C2388="Técnico I",SUMIFS($D:$D,$A:$A,$A2388,$B:$B,"&lt;&gt;Patrícia Karla de Sousa Araújo",$B:$B,"&lt;&gt;Lorena Dias de Araujo",$B:$B,"&lt;&gt;Lucas Luiz Romero")*(23/1083),IF(C2388="JR",SUMIFS($D:$D,$A:$A,$A2388,$B:$B,"&lt;&gt;Patrícia Karla de Sousa Araújo",$B:$B,"&lt;&gt;Lorena Dias de Araujo",$B:$B,"&lt;&gt;Lucas Luiz Romero")*(20/1083),IF(C2388="Estágio",SUMIFS($D:$D,$A:$A,$A2388,$B:$B,"&lt;&gt;Patrícia Karla de Sousa Araújo",$B:$B,"&lt;&gt;Lorena Dias de Araujo",$B:$B,"&lt;&gt;Lucas Luiz Romero")*(10/1083),0)))))),0)</f>
        <v/>
      </c>
      <c r="K2388" s="3">
        <f>I2388-J2388</f>
        <v/>
      </c>
      <c r="L2388" s="3">
        <f>IF(K2388&lt;-5,"CRÍTICO",IF(K2388&lt;0,"ATENÇÃO",IF(K2388&lt;=5,"BOM","EXCELENTE")))</f>
        <v/>
      </c>
      <c r="M2388" s="3" t="n">
        <v>22</v>
      </c>
      <c r="N2388" s="3" t="n">
        <v>99.27</v>
      </c>
      <c r="O2388" s="12" t="n">
        <v>31.16370808678501</v>
      </c>
    </row>
    <row r="2389">
      <c r="A2389" s="10" t="n">
        <v>46076</v>
      </c>
      <c r="B2389" t="inlineStr">
        <is>
          <t>Maysa Victoria Dias Moura</t>
        </is>
      </c>
      <c r="C2389" s="1" t="inlineStr">
        <is>
          <t>Técnico III</t>
        </is>
      </c>
      <c r="D2389" s="3" t="n">
        <v>30</v>
      </c>
      <c r="E2389" s="3" t="n">
        <v>29</v>
      </c>
      <c r="F2389" s="3" t="n">
        <v>17.01</v>
      </c>
      <c r="G2389" s="3" t="n">
        <v>0</v>
      </c>
      <c r="H2389" s="3" t="n">
        <v>0</v>
      </c>
      <c r="I2389" s="3">
        <f>E2389+G2389+H2389</f>
        <v/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/>
      </c>
      <c r="K2389" s="3">
        <f>I2389-J2389</f>
        <v/>
      </c>
      <c r="L2389" s="3">
        <f>IF(K2389&lt;-5,"CRÍTICO",IF(K2389&lt;0,"ATENÇÃO",IF(K2389&lt;=5,"BOM","EXCELENTE")))</f>
        <v/>
      </c>
      <c r="M2389" s="3" t="n">
        <v>26</v>
      </c>
      <c r="N2389" s="3" t="n">
        <v>94.16</v>
      </c>
      <c r="O2389" s="12" t="n">
        <v>27.03862660944206</v>
      </c>
    </row>
    <row r="2390">
      <c r="A2390" s="10" t="n">
        <v>46076</v>
      </c>
      <c r="B2390" t="inlineStr">
        <is>
          <t>Michelle G Santos</t>
        </is>
      </c>
      <c r="C2390" s="1" t="inlineStr">
        <is>
          <t>Estágio</t>
        </is>
      </c>
      <c r="D2390" s="3" t="n">
        <v>9</v>
      </c>
      <c r="E2390" s="3" t="n">
        <v>9</v>
      </c>
      <c r="F2390" s="3" t="n">
        <v>55.2</v>
      </c>
      <c r="G2390" s="3" t="n">
        <v>0</v>
      </c>
      <c r="H2390" s="3" t="n">
        <v>0</v>
      </c>
      <c r="I2390" s="3">
        <f>E2390+G2390+H2390</f>
        <v/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/>
      </c>
      <c r="K2390" s="3">
        <f>I2390-J2390</f>
        <v/>
      </c>
      <c r="L2390" s="3">
        <f>IF(K2390&lt;-5,"CRÍTICO",IF(K2390&lt;0,"ATENÇÃO",IF(K2390&lt;=5,"BOM","EXCELENTE")))</f>
        <v/>
      </c>
      <c r="M2390" s="3" t="n">
        <v>4</v>
      </c>
      <c r="N2390" s="3" t="n">
        <v>93.75</v>
      </c>
      <c r="O2390" s="12" t="n">
        <v>19.31818181818182</v>
      </c>
    </row>
    <row r="2391">
      <c r="A2391" s="10" t="n">
        <v>46076</v>
      </c>
      <c r="B2391" t="inlineStr">
        <is>
          <t>Milena Sales</t>
        </is>
      </c>
      <c r="C2391" s="1" t="inlineStr">
        <is>
          <t>JR</t>
        </is>
      </c>
      <c r="D2391" s="3" t="n">
        <v>0</v>
      </c>
      <c r="E2391" s="3" t="n">
        <v>0</v>
      </c>
      <c r="F2391" s="3" t="n">
        <v>0</v>
      </c>
      <c r="G2391" s="3" t="n">
        <v>0</v>
      </c>
      <c r="H2391" s="3" t="n">
        <v>0</v>
      </c>
      <c r="I2391" s="3" t="n">
        <v>0</v>
      </c>
      <c r="J2391" s="3" t="n">
        <v>0</v>
      </c>
      <c r="K2391" s="3" t="n">
        <v>0</v>
      </c>
      <c r="L2391" s="3">
        <f>IF(K2391&lt;-5,"CRÍTICO",IF(K2391&lt;0,"ATENÇÃO",IF(K2391&lt;=5,"BOM","EXCELENTE")))</f>
        <v/>
      </c>
      <c r="M2391" s="3" t="n">
        <v>0</v>
      </c>
      <c r="N2391" s="3" t="n">
        <v>0</v>
      </c>
      <c r="O2391" s="12" t="n">
        <v>0</v>
      </c>
    </row>
    <row r="2392">
      <c r="A2392" s="10" t="n">
        <v>46076</v>
      </c>
      <c r="B2392" t="inlineStr">
        <is>
          <t>Patrícia Karla de Sousa Araújo</t>
        </is>
      </c>
      <c r="C2392" s="1" t="inlineStr">
        <is>
          <t>Técnico II</t>
        </is>
      </c>
      <c r="D2392" s="3" t="n">
        <v>0</v>
      </c>
      <c r="E2392" s="3" t="n">
        <v>0</v>
      </c>
      <c r="F2392" s="3" t="n">
        <v>0</v>
      </c>
      <c r="G2392" s="3" t="n">
        <v>0</v>
      </c>
      <c r="H2392" s="3" t="n">
        <v>0</v>
      </c>
      <c r="I2392" s="3" t="n">
        <v>0</v>
      </c>
      <c r="J2392" s="3" t="n">
        <v>0</v>
      </c>
      <c r="K2392" s="3" t="n">
        <v>0</v>
      </c>
      <c r="L2392" s="3">
        <f>IF(K2392&lt;-5,"CRÍTICO",IF(K2392&lt;0,"ATENÇÃO",IF(K2392&lt;=5,"BOM","EXCELENTE")))</f>
        <v/>
      </c>
      <c r="M2392" s="3" t="n">
        <v>0</v>
      </c>
      <c r="N2392" s="3" t="n">
        <v>97.92</v>
      </c>
      <c r="O2392" s="12" t="n">
        <v>32.87671232876712</v>
      </c>
    </row>
    <row r="2393">
      <c r="A2393" s="10" t="n">
        <v>46076</v>
      </c>
      <c r="B2393" t="inlineStr">
        <is>
          <t>Paulo Ricardo Santos</t>
        </is>
      </c>
      <c r="C2393" s="1" t="inlineStr">
        <is>
          <t>JR</t>
        </is>
      </c>
      <c r="D2393" s="3" t="n">
        <v>0</v>
      </c>
      <c r="E2393" s="3" t="n">
        <v>0</v>
      </c>
      <c r="F2393" s="3" t="n">
        <v>0</v>
      </c>
      <c r="G2393" s="3" t="n">
        <v>0</v>
      </c>
      <c r="H2393" s="3" t="n">
        <v>0</v>
      </c>
      <c r="I2393" s="3" t="n">
        <v>0</v>
      </c>
      <c r="J2393" s="3" t="n">
        <v>0</v>
      </c>
      <c r="K2393" s="3" t="n">
        <v>0</v>
      </c>
      <c r="L2393" s="3">
        <f>IF(K2393&lt;-5,"CRÍTICO",IF(K2393&lt;0,"ATENÇÃO",IF(K2393&lt;=5,"BOM","EXCELENTE")))</f>
        <v/>
      </c>
      <c r="M2393" s="3" t="n">
        <v>0</v>
      </c>
      <c r="N2393" s="3" t="n">
        <v>0</v>
      </c>
      <c r="O2393" s="12" t="n">
        <v>0</v>
      </c>
    </row>
    <row r="2394">
      <c r="A2394" s="10" t="n">
        <v>46076</v>
      </c>
      <c r="B2394" t="inlineStr">
        <is>
          <t>Pedro Luiz Mota Sousa</t>
        </is>
      </c>
      <c r="C2394" s="1" t="inlineStr">
        <is>
          <t>JR</t>
        </is>
      </c>
      <c r="D2394" s="3" t="n">
        <v>0</v>
      </c>
      <c r="E2394" s="3" t="n">
        <v>0</v>
      </c>
      <c r="F2394" s="3" t="n">
        <v>0</v>
      </c>
      <c r="G2394" s="3" t="n">
        <v>0</v>
      </c>
      <c r="H2394" s="3" t="n">
        <v>0</v>
      </c>
      <c r="I2394" s="3" t="n">
        <v>0</v>
      </c>
      <c r="J2394" s="3" t="n">
        <v>0</v>
      </c>
      <c r="K2394" s="3" t="n">
        <v>0</v>
      </c>
      <c r="L2394" s="3">
        <f>IF(K2394&lt;-5,"CRÍTICO",IF(K2394&lt;0,"ATENÇÃO",IF(K2394&lt;=5,"BOM","EXCELENTE")))</f>
        <v/>
      </c>
      <c r="M2394" s="3" t="n">
        <v>0</v>
      </c>
      <c r="N2394" s="3" t="n">
        <v>0</v>
      </c>
      <c r="O2394" s="12" t="n">
        <v>0</v>
      </c>
    </row>
    <row r="2395">
      <c r="A2395" s="10" t="n">
        <v>46076</v>
      </c>
      <c r="B2395" t="inlineStr">
        <is>
          <t>Quirino Diogo Leite Torres</t>
        </is>
      </c>
      <c r="C2395" s="1" t="inlineStr">
        <is>
          <t>Estágio</t>
        </is>
      </c>
      <c r="D2395" s="3" t="n">
        <v>0</v>
      </c>
      <c r="E2395" s="3" t="n">
        <v>0</v>
      </c>
      <c r="F2395" s="3" t="n">
        <v>0</v>
      </c>
      <c r="G2395" s="3" t="n">
        <v>0</v>
      </c>
      <c r="H2395" s="3" t="n">
        <v>0</v>
      </c>
      <c r="I2395" s="3" t="n">
        <v>0</v>
      </c>
      <c r="J2395" s="3" t="n">
        <v>0</v>
      </c>
      <c r="K2395" s="3" t="n">
        <v>0</v>
      </c>
      <c r="L2395" s="3">
        <f>IF(K2395&lt;-5,"CRÍTICO",IF(K2395&lt;0,"ATENÇÃO",IF(K2395&lt;=5,"BOM","EXCELENTE")))</f>
        <v/>
      </c>
      <c r="M2395" s="3" t="n">
        <v>0</v>
      </c>
      <c r="N2395" s="3" t="n">
        <v>0</v>
      </c>
      <c r="O2395" s="12" t="n">
        <v>0</v>
      </c>
    </row>
    <row r="2396">
      <c r="A2396" s="10" t="n">
        <v>46076</v>
      </c>
      <c r="B2396" t="inlineStr">
        <is>
          <t>Raane Batista Matos</t>
        </is>
      </c>
      <c r="C2396" s="1" t="inlineStr">
        <is>
          <t>Técnico I</t>
        </is>
      </c>
      <c r="D2396" s="3" t="n">
        <v>0</v>
      </c>
      <c r="E2396" s="3" t="n">
        <v>0</v>
      </c>
      <c r="F2396" s="3" t="n">
        <v>0</v>
      </c>
      <c r="G2396" s="3" t="n">
        <v>0</v>
      </c>
      <c r="H2396" s="3" t="n">
        <v>0</v>
      </c>
      <c r="I2396" s="3" t="n">
        <v>0</v>
      </c>
      <c r="J2396" s="3" t="n">
        <v>0</v>
      </c>
      <c r="K2396" s="3" t="n">
        <v>0</v>
      </c>
      <c r="L2396" s="3">
        <f>IF(K2396&lt;-5,"CRÍTICO",IF(K2396&lt;0,"ATENÇÃO",IF(K2396&lt;=5,"BOM","EXCELENTE")))</f>
        <v/>
      </c>
      <c r="M2396" s="3" t="n">
        <v>0</v>
      </c>
      <c r="N2396" s="3" t="n">
        <v>98.51000000000001</v>
      </c>
      <c r="O2396" s="12" t="n">
        <v>29.71014492753623</v>
      </c>
    </row>
    <row r="2397">
      <c r="A2397" s="10" t="n">
        <v>46076</v>
      </c>
      <c r="B2397" t="inlineStr">
        <is>
          <t>Rafael Gomes de Morais</t>
        </is>
      </c>
      <c r="C2397" s="1" t="inlineStr">
        <is>
          <t>Técnico III</t>
        </is>
      </c>
      <c r="D2397" s="3" t="n">
        <v>32</v>
      </c>
      <c r="E2397" s="3" t="n">
        <v>28</v>
      </c>
      <c r="F2397" s="3" t="n">
        <v>18.55</v>
      </c>
      <c r="G2397" s="3" t="n">
        <v>0</v>
      </c>
      <c r="H2397" s="3" t="n">
        <v>0</v>
      </c>
      <c r="I2397" s="3">
        <f>E2397+G2397+H2397</f>
        <v/>
      </c>
      <c r="J2397" s="3">
        <f>ROUND(MIN(IF(C2397="Técnico III",35,IF(C2397="Técnico II",28,IF(C2397="Técnico I",23,IF(C2397="JR",20,IF(C2397="Estágio",10,0))))),IF(C2397="Técnico III",SUMIFS($D:$D,$A:$A,$A2397,$B:$B,"&lt;&gt;Patrícia Karla de Sousa Araújo",$B:$B,"&lt;&gt;Lorena Dias de Araujo",$B:$B,"&lt;&gt;Lucas Luiz Romero")*(35/1083),IF(C2397="Técnico II",SUMIFS($D:$D,$A:$A,$A2397,$B:$B,"&lt;&gt;Patrícia Karla de Sousa Araújo",$B:$B,"&lt;&gt;Lorena Dias de Araujo",$B:$B,"&lt;&gt;Lucas Luiz Romero")*(28/1083),IF(C2397="Técnico I",SUMIFS($D:$D,$A:$A,$A2397,$B:$B,"&lt;&gt;Patrícia Karla de Sousa Araújo",$B:$B,"&lt;&gt;Lorena Dias de Araujo",$B:$B,"&lt;&gt;Lucas Luiz Romero")*(23/1083),IF(C2397="JR",SUMIFS($D:$D,$A:$A,$A2397,$B:$B,"&lt;&gt;Patrícia Karla de Sousa Araújo",$B:$B,"&lt;&gt;Lorena Dias de Araujo",$B:$B,"&lt;&gt;Lucas Luiz Romero")*(20/1083),IF(C2397="Estágio",SUMIFS($D:$D,$A:$A,$A2397,$B:$B,"&lt;&gt;Patrícia Karla de Sousa Araújo",$B:$B,"&lt;&gt;Lorena Dias de Araujo",$B:$B,"&lt;&gt;Lucas Luiz Romero")*(10/1083),0)))))),0)</f>
        <v/>
      </c>
      <c r="K2397" s="3">
        <f>I2397-J2397</f>
        <v/>
      </c>
      <c r="L2397" s="3">
        <f>IF(K2397&lt;-5,"CRÍTICO",IF(K2397&lt;0,"ATENÇÃO",IF(K2397&lt;=5,"BOM","EXCELENTE")))</f>
        <v/>
      </c>
      <c r="M2397" s="3" t="n">
        <v>22</v>
      </c>
      <c r="N2397" s="3" t="n">
        <v>98.81</v>
      </c>
      <c r="O2397" s="12" t="n">
        <v>30.71297989031079</v>
      </c>
    </row>
    <row r="2398">
      <c r="A2398" s="10" t="n">
        <v>46076</v>
      </c>
      <c r="B2398" t="inlineStr">
        <is>
          <t>Sara Maria Monteiro Lopes</t>
        </is>
      </c>
      <c r="C2398" s="1" t="inlineStr">
        <is>
          <t>Técnico I</t>
        </is>
      </c>
      <c r="D2398" s="3" t="n">
        <v>12</v>
      </c>
      <c r="E2398" s="3" t="n">
        <v>11</v>
      </c>
      <c r="F2398" s="3" t="n">
        <v>36.4</v>
      </c>
      <c r="G2398" s="3" t="n">
        <v>0</v>
      </c>
      <c r="H2398" s="3" t="n">
        <v>0</v>
      </c>
      <c r="I2398" s="3">
        <f>E2398+G2398+H2398</f>
        <v/>
      </c>
      <c r="J2398" s="3">
        <f>ROUND(MIN(IF(C2398="Técnico III",35,IF(C2398="Técnico II",28,IF(C2398="Técnico I",23,IF(C2398="JR",20,IF(C2398="Estágio",10,0))))),IF(C2398="Técnico III",SUMIFS($D:$D,$A:$A,$A2398,$B:$B,"&lt;&gt;Patrícia Karla de Sousa Araújo",$B:$B,"&lt;&gt;Lorena Dias de Araujo",$B:$B,"&lt;&gt;Lucas Luiz Romero")*(35/1083),IF(C2398="Técnico II",SUMIFS($D:$D,$A:$A,$A2398,$B:$B,"&lt;&gt;Patrícia Karla de Sousa Araújo",$B:$B,"&lt;&gt;Lorena Dias de Araujo",$B:$B,"&lt;&gt;Lucas Luiz Romero")*(28/1083),IF(C2398="Técnico I",SUMIFS($D:$D,$A:$A,$A2398,$B:$B,"&lt;&gt;Patrícia Karla de Sousa Araújo",$B:$B,"&lt;&gt;Lorena Dias de Araujo",$B:$B,"&lt;&gt;Lucas Luiz Romero")*(23/1083),IF(C2398="JR",SUMIFS($D:$D,$A:$A,$A2398,$B:$B,"&lt;&gt;Patrícia Karla de Sousa Araújo",$B:$B,"&lt;&gt;Lorena Dias de Araujo",$B:$B,"&lt;&gt;Lucas Luiz Romero")*(20/1083),IF(C2398="Estágio",SUMIFS($D:$D,$A:$A,$A2398,$B:$B,"&lt;&gt;Patrícia Karla de Sousa Araújo",$B:$B,"&lt;&gt;Lorena Dias de Araujo",$B:$B,"&lt;&gt;Lucas Luiz Romero")*(10/1083),0)))))),0)</f>
        <v/>
      </c>
      <c r="K2398" s="3">
        <f>I2398-J2398</f>
        <v/>
      </c>
      <c r="L2398" s="3">
        <f>IF(K2398&lt;-5,"CRÍTICO",IF(K2398&lt;0,"ATENÇÃO",IF(K2398&lt;=5,"BOM","EXCELENTE")))</f>
        <v/>
      </c>
      <c r="M2398" s="3" t="n">
        <v>8</v>
      </c>
      <c r="N2398" s="3" t="n">
        <v>98.48</v>
      </c>
      <c r="O2398" s="12" t="n">
        <v>29.35323383084577</v>
      </c>
    </row>
    <row r="2399">
      <c r="A2399" s="10" t="n">
        <v>46076</v>
      </c>
      <c r="B2399" t="inlineStr">
        <is>
          <t>Sarah Steffanie de Lima Borges</t>
        </is>
      </c>
      <c r="C2399" s="1" t="inlineStr">
        <is>
          <t>Técnico III</t>
        </is>
      </c>
      <c r="D2399" s="3" t="n">
        <v>28</v>
      </c>
      <c r="E2399" s="3" t="n">
        <v>28</v>
      </c>
      <c r="F2399" s="3" t="n">
        <v>22.24</v>
      </c>
      <c r="G2399" s="3" t="n">
        <v>0</v>
      </c>
      <c r="H2399" s="3" t="n">
        <v>0</v>
      </c>
      <c r="I2399" s="3">
        <f>E2399+G2399+H2399</f>
        <v/>
      </c>
      <c r="J2399" s="3">
        <f>ROUND(MIN(IF(C2399="Técnico III",35,IF(C2399="Técnico II",28,IF(C2399="Técnico I",23,IF(C2399="JR",20,IF(C2399="Estágio",10,0))))),IF(C2399="Técnico III",SUMIFS($D:$D,$A:$A,$A2399,$B:$B,"&lt;&gt;Patrícia Karla de Sousa Araújo",$B:$B,"&lt;&gt;Lorena Dias de Araujo",$B:$B,"&lt;&gt;Lucas Luiz Romero")*(35/1083),IF(C2399="Técnico II",SUMIFS($D:$D,$A:$A,$A2399,$B:$B,"&lt;&gt;Patrícia Karla de Sousa Araújo",$B:$B,"&lt;&gt;Lorena Dias de Araujo",$B:$B,"&lt;&gt;Lucas Luiz Romero")*(28/1083),IF(C2399="Técnico I",SUMIFS($D:$D,$A:$A,$A2399,$B:$B,"&lt;&gt;Patrícia Karla de Sousa Araújo",$B:$B,"&lt;&gt;Lorena Dias de Araujo",$B:$B,"&lt;&gt;Lucas Luiz Romero")*(23/1083),IF(C2399="JR",SUMIFS($D:$D,$A:$A,$A2399,$B:$B,"&lt;&gt;Patrícia Karla de Sousa Araújo",$B:$B,"&lt;&gt;Lorena Dias de Araujo",$B:$B,"&lt;&gt;Lucas Luiz Romero")*(20/1083),IF(C2399="Estágio",SUMIFS($D:$D,$A:$A,$A2399,$B:$B,"&lt;&gt;Patrícia Karla de Sousa Araújo",$B:$B,"&lt;&gt;Lorena Dias de Araujo",$B:$B,"&lt;&gt;Lucas Luiz Romero")*(10/1083),0)))))),0)</f>
        <v/>
      </c>
      <c r="K2399" s="3">
        <f>I2399-J2399</f>
        <v/>
      </c>
      <c r="L2399" s="3">
        <f>IF(K2399&lt;-5,"CRÍTICO",IF(K2399&lt;0,"ATENÇÃO",IF(K2399&lt;=5,"BOM","EXCELENTE")))</f>
        <v/>
      </c>
      <c r="M2399" s="3" t="n">
        <v>25</v>
      </c>
      <c r="N2399" s="3" t="n">
        <v>98.56</v>
      </c>
      <c r="O2399" s="12" t="n">
        <v>29.37365010799136</v>
      </c>
    </row>
    <row r="2400">
      <c r="A2400" s="10" t="n">
        <v>46077</v>
      </c>
      <c r="B2400" t="inlineStr">
        <is>
          <t>Alisson de Freitas Silva</t>
        </is>
      </c>
      <c r="C2400" s="1" t="inlineStr">
        <is>
          <t>Técnico II</t>
        </is>
      </c>
      <c r="D2400" s="3" t="n">
        <v>21</v>
      </c>
      <c r="E2400" s="3" t="n">
        <v>19</v>
      </c>
      <c r="F2400" s="3" t="n">
        <v>27.09</v>
      </c>
      <c r="G2400" s="3" t="n">
        <v>0</v>
      </c>
      <c r="H2400" s="3" t="n">
        <v>0</v>
      </c>
      <c r="I2400" s="3">
        <f>E2400+G2400+H2400</f>
        <v/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/>
      </c>
      <c r="K2400" s="3">
        <f>I2400-J2400</f>
        <v/>
      </c>
      <c r="L2400" s="3">
        <f>IF(K2400&lt;-5,"CRÍTICO",IF(K2400&lt;0,"ATENÇÃO",IF(K2400&lt;=5,"BOM","EXCELENTE")))</f>
        <v/>
      </c>
      <c r="M2400" s="3" t="n">
        <v>12</v>
      </c>
      <c r="N2400" s="3" t="n">
        <v>98.31999999999999</v>
      </c>
      <c r="O2400" s="12" t="n">
        <v>30.3030303030303</v>
      </c>
    </row>
    <row r="2401">
      <c r="A2401" s="10" t="n">
        <v>46077</v>
      </c>
      <c r="B2401" t="inlineStr">
        <is>
          <t>Amanda Moura Ferreira</t>
        </is>
      </c>
      <c r="C2401" s="1" t="inlineStr">
        <is>
          <t>Técnico III</t>
        </is>
      </c>
      <c r="D2401" s="3" t="n">
        <v>0</v>
      </c>
      <c r="E2401" s="3" t="n">
        <v>0</v>
      </c>
      <c r="F2401" s="3" t="n">
        <v>0</v>
      </c>
      <c r="G2401" s="3" t="n">
        <v>0</v>
      </c>
      <c r="H2401" s="3" t="n">
        <v>0</v>
      </c>
      <c r="I2401" s="3" t="n">
        <v>0</v>
      </c>
      <c r="J2401" s="3" t="n">
        <v>0</v>
      </c>
      <c r="K2401" s="3" t="n">
        <v>0</v>
      </c>
      <c r="L2401" s="3">
        <f>IF(K2401&lt;-5,"CRÍTICO",IF(K2401&lt;0,"ATENÇÃO",IF(K2401&lt;=5,"BOM","EXCELENTE")))</f>
        <v/>
      </c>
      <c r="M2401" s="3" t="n">
        <v>25</v>
      </c>
      <c r="N2401" s="3" t="n">
        <v>98.68000000000001</v>
      </c>
      <c r="O2401" s="12" t="n">
        <v>26.21951219512195</v>
      </c>
    </row>
    <row r="2402">
      <c r="A2402" s="10" t="n">
        <v>46077</v>
      </c>
      <c r="B2402" t="inlineStr">
        <is>
          <t>Ana Karollyne Souza Faria</t>
        </is>
      </c>
      <c r="C2402" s="1" t="inlineStr">
        <is>
          <t>Técnico I</t>
        </is>
      </c>
      <c r="D2402" s="3" t="n">
        <v>18</v>
      </c>
      <c r="E2402" s="3" t="n">
        <v>17</v>
      </c>
      <c r="F2402" s="3" t="n">
        <v>35.18</v>
      </c>
      <c r="G2402" s="3" t="n">
        <v>0</v>
      </c>
      <c r="H2402" s="3" t="n">
        <v>0</v>
      </c>
      <c r="I2402" s="3">
        <f>E2402+G2402+H2402</f>
        <v/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/>
      </c>
      <c r="K2402" s="3">
        <f>I2402-J2402</f>
        <v/>
      </c>
      <c r="L2402" s="3">
        <f>IF(K2402&lt;-5,"CRÍTICO",IF(K2402&lt;0,"ATENÇÃO",IF(K2402&lt;=5,"BOM","EXCELENTE")))</f>
        <v/>
      </c>
      <c r="M2402" s="3" t="n">
        <v>17</v>
      </c>
      <c r="N2402" s="3" t="n">
        <v>100</v>
      </c>
      <c r="O2402" s="12" t="n">
        <v>31.74224343675418</v>
      </c>
    </row>
    <row r="2403">
      <c r="A2403" s="10" t="n">
        <v>46077</v>
      </c>
      <c r="B2403" t="inlineStr">
        <is>
          <t>Ana Paula Da Luz Silva Aleixo</t>
        </is>
      </c>
      <c r="C2403" s="1" t="inlineStr">
        <is>
          <t>Técnico III</t>
        </is>
      </c>
      <c r="D2403" s="3" t="n">
        <v>18</v>
      </c>
      <c r="E2403" s="3" t="n">
        <v>17</v>
      </c>
      <c r="F2403" s="3" t="n">
        <v>38.44</v>
      </c>
      <c r="G2403" s="3" t="n">
        <v>0</v>
      </c>
      <c r="H2403" s="3" t="n">
        <v>0</v>
      </c>
      <c r="I2403" s="3">
        <f>E2403+G2403+H2403</f>
        <v/>
      </c>
      <c r="J2403" s="3">
        <f>ROUND(MIN(IF(C2403="Técnico III",35,IF(C2403="Técnico II",28,IF(C2403="Técnico I",23,IF(C2403="JR",20,IF(C2403="Estágio",10,0))))),IF(C2403="Técnico III",SUMIFS($D:$D,$A:$A,$A2403,$B:$B,"&lt;&gt;Patrícia Karla de Sousa Araújo",$B:$B,"&lt;&gt;Lorena Dias de Araujo",$B:$B,"&lt;&gt;Lucas Luiz Romero")*(35/1083),IF(C2403="Técnico II",SUMIFS($D:$D,$A:$A,$A2403,$B:$B,"&lt;&gt;Patrícia Karla de Sousa Araújo",$B:$B,"&lt;&gt;Lorena Dias de Araujo",$B:$B,"&lt;&gt;Lucas Luiz Romero")*(28/1083),IF(C2403="Técnico I",SUMIFS($D:$D,$A:$A,$A2403,$B:$B,"&lt;&gt;Patrícia Karla de Sousa Araújo",$B:$B,"&lt;&gt;Lorena Dias de Araujo",$B:$B,"&lt;&gt;Lucas Luiz Romero")*(23/1083),IF(C2403="JR",SUMIFS($D:$D,$A:$A,$A2403,$B:$B,"&lt;&gt;Patrícia Karla de Sousa Araújo",$B:$B,"&lt;&gt;Lorena Dias de Araujo",$B:$B,"&lt;&gt;Lucas Luiz Romero")*(20/1083),IF(C2403="Estágio",SUMIFS($D:$D,$A:$A,$A2403,$B:$B,"&lt;&gt;Patrícia Karla de Sousa Araújo",$B:$B,"&lt;&gt;Lorena Dias de Araujo",$B:$B,"&lt;&gt;Lucas Luiz Romero")*(10/1083),0)))))),0)</f>
        <v/>
      </c>
      <c r="K2403" s="3">
        <f>I2403-J2403</f>
        <v/>
      </c>
      <c r="L2403" s="3">
        <f>IF(K2403&lt;-5,"CRÍTICO",IF(K2403&lt;0,"ATENÇÃO",IF(K2403&lt;=5,"BOM","EXCELENTE")))</f>
        <v/>
      </c>
      <c r="M2403" s="3" t="n">
        <v>16</v>
      </c>
      <c r="N2403" s="3" t="n">
        <v>98.25</v>
      </c>
      <c r="O2403" s="12" t="n">
        <v>25.83518930957684</v>
      </c>
    </row>
    <row r="2404">
      <c r="A2404" s="10" t="n">
        <v>46077</v>
      </c>
      <c r="B2404" t="inlineStr">
        <is>
          <t>Anna Luiza Rezende Tavares</t>
        </is>
      </c>
      <c r="C2404" s="1" t="inlineStr">
        <is>
          <t>Estágio</t>
        </is>
      </c>
      <c r="D2404" s="3" t="n">
        <v>16</v>
      </c>
      <c r="E2404" s="3" t="n">
        <v>15</v>
      </c>
      <c r="F2404" s="3" t="n">
        <v>38.48</v>
      </c>
      <c r="G2404" s="3" t="n">
        <v>0</v>
      </c>
      <c r="H2404" s="3" t="n">
        <v>0</v>
      </c>
      <c r="I2404" s="3">
        <f>E2404+G2404+H2404</f>
        <v/>
      </c>
      <c r="J2404" s="3">
        <f>ROUND(MIN(IF(C2404="Técnico III",35,IF(C2404="Técnico II",28,IF(C2404="Técnico I",23,IF(C2404="JR",20,IF(C2404="Estágio",10,0))))),IF(C2404="Técnico III",SUMIFS($D:$D,$A:$A,$A2404,$B:$B,"&lt;&gt;Patrícia Karla de Sousa Araújo",$B:$B,"&lt;&gt;Lorena Dias de Araujo",$B:$B,"&lt;&gt;Lucas Luiz Romero")*(35/1083),IF(C2404="Técnico II",SUMIFS($D:$D,$A:$A,$A2404,$B:$B,"&lt;&gt;Patrícia Karla de Sousa Araújo",$B:$B,"&lt;&gt;Lorena Dias de Araujo",$B:$B,"&lt;&gt;Lucas Luiz Romero")*(28/1083),IF(C2404="Técnico I",SUMIFS($D:$D,$A:$A,$A2404,$B:$B,"&lt;&gt;Patrícia Karla de Sousa Araújo",$B:$B,"&lt;&gt;Lorena Dias de Araujo",$B:$B,"&lt;&gt;Lucas Luiz Romero")*(23/1083),IF(C2404="JR",SUMIFS($D:$D,$A:$A,$A2404,$B:$B,"&lt;&gt;Patrícia Karla de Sousa Araújo",$B:$B,"&lt;&gt;Lorena Dias de Araujo",$B:$B,"&lt;&gt;Lucas Luiz Romero")*(20/1083),IF(C2404="Estágio",SUMIFS($D:$D,$A:$A,$A2404,$B:$B,"&lt;&gt;Patrícia Karla de Sousa Araújo",$B:$B,"&lt;&gt;Lorena Dias de Araujo",$B:$B,"&lt;&gt;Lucas Luiz Romero")*(10/1083),0)))))),0)</f>
        <v/>
      </c>
      <c r="K2404" s="3">
        <f>I2404-J2404</f>
        <v/>
      </c>
      <c r="L2404" s="3">
        <f>IF(K2404&lt;-5,"CRÍTICO",IF(K2404&lt;0,"ATENÇÃO",IF(K2404&lt;=5,"BOM","EXCELENTE")))</f>
        <v/>
      </c>
      <c r="M2404" s="3" t="n">
        <v>13</v>
      </c>
      <c r="N2404" s="3" t="n">
        <v>97.5</v>
      </c>
      <c r="O2404" s="12" t="n">
        <v>30.07518796992481</v>
      </c>
    </row>
    <row r="2405">
      <c r="A2405" s="10" t="n">
        <v>46077</v>
      </c>
      <c r="B2405" t="inlineStr">
        <is>
          <t>Brenda de Menezes Silva</t>
        </is>
      </c>
      <c r="C2405" s="1" t="inlineStr">
        <is>
          <t>Técnico II</t>
        </is>
      </c>
      <c r="D2405" s="3" t="n">
        <v>19</v>
      </c>
      <c r="E2405" s="3" t="n">
        <v>17</v>
      </c>
      <c r="F2405" s="3" t="n">
        <v>21.57</v>
      </c>
      <c r="G2405" s="3" t="n">
        <v>0</v>
      </c>
      <c r="H2405" s="3" t="n">
        <v>0</v>
      </c>
      <c r="I2405" s="3">
        <f>E2405+G2405+H2405</f>
        <v/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/>
      </c>
      <c r="K2405" s="3">
        <f>I2405-J2405</f>
        <v/>
      </c>
      <c r="L2405" s="3">
        <f>IF(K2405&lt;-5,"CRÍTICO",IF(K2405&lt;0,"ATENÇÃO",IF(K2405&lt;=5,"BOM","EXCELENTE")))</f>
        <v/>
      </c>
      <c r="M2405" s="3" t="n">
        <v>16</v>
      </c>
      <c r="N2405" s="3" t="n">
        <v>100</v>
      </c>
      <c r="O2405" s="12" t="n">
        <v>29.71311475409836</v>
      </c>
    </row>
    <row r="2406">
      <c r="A2406" s="10" t="n">
        <v>46077</v>
      </c>
      <c r="B2406" t="inlineStr">
        <is>
          <t>Carlos Mateus Cassimiro Nunes</t>
        </is>
      </c>
      <c r="C2406" s="1" t="inlineStr">
        <is>
          <t>Técnico II</t>
        </is>
      </c>
      <c r="D2406" s="3" t="n">
        <v>5</v>
      </c>
      <c r="E2406" s="3" t="n">
        <v>5</v>
      </c>
      <c r="F2406" s="3" t="n">
        <v>39.09</v>
      </c>
      <c r="G2406" s="3" t="n">
        <v>0</v>
      </c>
      <c r="H2406" s="3" t="n">
        <v>0</v>
      </c>
      <c r="I2406" s="3">
        <f>E2406+G2406+H2406</f>
        <v/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/>
      </c>
      <c r="K2406" s="3">
        <f>I2406-J2406</f>
        <v/>
      </c>
      <c r="L2406" s="3">
        <f>IF(K2406&lt;-5,"CRÍTICO",IF(K2406&lt;0,"ATENÇÃO",IF(K2406&lt;=5,"BOM","EXCELENTE")))</f>
        <v/>
      </c>
      <c r="M2406" s="3" t="n">
        <v>5</v>
      </c>
      <c r="N2406" s="3" t="n">
        <v>99.22</v>
      </c>
      <c r="O2406" s="12" t="n">
        <v>35.25641025641026</v>
      </c>
    </row>
    <row r="2407">
      <c r="A2407" s="10" t="n">
        <v>46077</v>
      </c>
      <c r="B2407" t="inlineStr">
        <is>
          <t>Claudio de Sousa Velasco Filho</t>
        </is>
      </c>
      <c r="C2407" s="1" t="inlineStr">
        <is>
          <t>Estágio</t>
        </is>
      </c>
      <c r="D2407" s="3" t="n">
        <v>0</v>
      </c>
      <c r="E2407" s="3" t="n">
        <v>0</v>
      </c>
      <c r="F2407" s="3" t="n">
        <v>0</v>
      </c>
      <c r="G2407" s="3" t="n">
        <v>0</v>
      </c>
      <c r="H2407" s="3" t="n">
        <v>0</v>
      </c>
      <c r="I2407" s="3" t="n">
        <v>0</v>
      </c>
      <c r="J2407" s="3" t="n">
        <v>0</v>
      </c>
      <c r="K2407" s="3" t="n">
        <v>0</v>
      </c>
      <c r="L2407" s="3">
        <f>IF(K2407&lt;-5,"CRÍTICO",IF(K2407&lt;0,"ATENÇÃO",IF(K2407&lt;=5,"BOM","EXCELENTE")))</f>
        <v/>
      </c>
      <c r="M2407" s="3" t="n">
        <v>0</v>
      </c>
      <c r="N2407" s="3" t="n">
        <v>0</v>
      </c>
      <c r="O2407" s="12" t="n">
        <v>0</v>
      </c>
    </row>
    <row r="2408">
      <c r="A2408" s="10" t="n">
        <v>46077</v>
      </c>
      <c r="B2408" t="inlineStr">
        <is>
          <t>Clessiane Pereira dos Santos</t>
        </is>
      </c>
      <c r="C2408" s="1" t="inlineStr">
        <is>
          <t>Técnico I</t>
        </is>
      </c>
      <c r="D2408" s="3" t="n">
        <v>27</v>
      </c>
      <c r="E2408" s="3" t="n">
        <v>23</v>
      </c>
      <c r="F2408" s="3" t="n">
        <v>22.39</v>
      </c>
      <c r="G2408" s="3" t="n">
        <v>0</v>
      </c>
      <c r="H2408" s="3" t="n">
        <v>0</v>
      </c>
      <c r="I2408" s="3">
        <f>E2408+G2408+H2408</f>
        <v/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/>
      </c>
      <c r="K2408" s="3">
        <f>I2408-J2408</f>
        <v/>
      </c>
      <c r="L2408" s="3">
        <f>IF(K2408&lt;-5,"CRÍTICO",IF(K2408&lt;0,"ATENÇÃO",IF(K2408&lt;=5,"BOM","EXCELENTE")))</f>
        <v/>
      </c>
      <c r="M2408" s="3" t="n">
        <v>23</v>
      </c>
      <c r="N2408" s="3" t="n">
        <v>98.75</v>
      </c>
      <c r="O2408" s="12" t="n">
        <v>24.32432432432433</v>
      </c>
    </row>
    <row r="2409">
      <c r="A2409" s="10" t="n">
        <v>46077</v>
      </c>
      <c r="B2409" t="inlineStr">
        <is>
          <t>Cristiane Ramos da Silva Rocha</t>
        </is>
      </c>
      <c r="C2409" s="1" t="inlineStr">
        <is>
          <t>Técnico III</t>
        </is>
      </c>
      <c r="D2409" s="3" t="n">
        <v>0</v>
      </c>
      <c r="E2409" s="3" t="n">
        <v>0</v>
      </c>
      <c r="F2409" s="3" t="n">
        <v>0</v>
      </c>
      <c r="G2409" s="3" t="n">
        <v>0</v>
      </c>
      <c r="H2409" s="3" t="n">
        <v>0</v>
      </c>
      <c r="I2409" s="3" t="n">
        <v>0</v>
      </c>
      <c r="J2409" s="3" t="n">
        <v>0</v>
      </c>
      <c r="K2409" s="3" t="n">
        <v>0</v>
      </c>
      <c r="L2409" s="3">
        <f>IF(K2409&lt;-5,"CRÍTICO",IF(K2409&lt;0,"ATENÇÃO",IF(K2409&lt;=5,"BOM","EXCELENTE")))</f>
        <v/>
      </c>
      <c r="M2409" s="3" t="n">
        <v>0</v>
      </c>
      <c r="N2409" s="3" t="n">
        <v>93.48</v>
      </c>
      <c r="O2409" s="12" t="n">
        <v>31.52804642166344</v>
      </c>
    </row>
    <row r="2410">
      <c r="A2410" s="10" t="n">
        <v>46077</v>
      </c>
      <c r="B2410" t="inlineStr">
        <is>
          <t>Damyllis Lorraine de Oliveira Gonçalves</t>
        </is>
      </c>
      <c r="C2410" s="1" t="inlineStr">
        <is>
          <t>Técnico II</t>
        </is>
      </c>
      <c r="D2410" s="3" t="n">
        <v>35</v>
      </c>
      <c r="E2410" s="3" t="n">
        <v>30</v>
      </c>
      <c r="F2410" s="3" t="n">
        <v>20.47</v>
      </c>
      <c r="G2410" s="3" t="n">
        <v>0</v>
      </c>
      <c r="H2410" s="3" t="n">
        <v>0</v>
      </c>
      <c r="I2410" s="3" t="n">
        <v>0</v>
      </c>
      <c r="J2410" s="3" t="n">
        <v>0</v>
      </c>
      <c r="K2410" s="3" t="n">
        <v>0</v>
      </c>
      <c r="L2410" s="3">
        <f>IF(K2410&lt;-5,"CRÍTICO",IF(K2410&lt;0,"ATENÇÃO",IF(K2410&lt;=5,"BOM","EXCELENTE")))</f>
        <v/>
      </c>
      <c r="M2410" s="3" t="n">
        <v>25</v>
      </c>
      <c r="N2410" s="3" t="n">
        <v>99.16</v>
      </c>
      <c r="O2410" s="12" t="n">
        <v>26.13908872901678</v>
      </c>
    </row>
    <row r="2411">
      <c r="A2411" s="10" t="n">
        <v>46077</v>
      </c>
      <c r="B2411" t="inlineStr">
        <is>
          <t>Daniel Gomes da Silva</t>
        </is>
      </c>
      <c r="C2411" s="1" t="inlineStr">
        <is>
          <t>Técnico I</t>
        </is>
      </c>
      <c r="D2411" s="3" t="n">
        <v>18</v>
      </c>
      <c r="E2411" s="3" t="n">
        <v>17</v>
      </c>
      <c r="F2411" s="3" t="n">
        <v>38.31</v>
      </c>
      <c r="G2411" s="3" t="n">
        <v>0</v>
      </c>
      <c r="H2411" s="3" t="n">
        <v>0</v>
      </c>
      <c r="I2411" s="3">
        <f>E2411+G2411+H2411</f>
        <v/>
      </c>
      <c r="J2411" s="3">
        <f>ROUND(MIN(IF(C2411="Técnico III",35,IF(C2411="Técnico II",28,IF(C2411="Técnico I",23,IF(C2411="JR",20,IF(C2411="Estágio",10,0))))),IF(C2411="Técnico III",SUMIFS($D:$D,$A:$A,$A2411,$B:$B,"&lt;&gt;Patrícia Karla de Sousa Araújo",$B:$B,"&lt;&gt;Lorena Dias de Araujo",$B:$B,"&lt;&gt;Lucas Luiz Romero")*(35/1083),IF(C2411="Técnico II",SUMIFS($D:$D,$A:$A,$A2411,$B:$B,"&lt;&gt;Patrícia Karla de Sousa Araújo",$B:$B,"&lt;&gt;Lorena Dias de Araujo",$B:$B,"&lt;&gt;Lucas Luiz Romero")*(28/1083),IF(C2411="Técnico I",SUMIFS($D:$D,$A:$A,$A2411,$B:$B,"&lt;&gt;Patrícia Karla de Sousa Araújo",$B:$B,"&lt;&gt;Lorena Dias de Araujo",$B:$B,"&lt;&gt;Lucas Luiz Romero")*(23/1083),IF(C2411="JR",SUMIFS($D:$D,$A:$A,$A2411,$B:$B,"&lt;&gt;Patrícia Karla de Sousa Araújo",$B:$B,"&lt;&gt;Lorena Dias de Araujo",$B:$B,"&lt;&gt;Lucas Luiz Romero")*(20/1083),IF(C2411="Estágio",SUMIFS($D:$D,$A:$A,$A2411,$B:$B,"&lt;&gt;Patrícia Karla de Sousa Araújo",$B:$B,"&lt;&gt;Lorena Dias de Araujo",$B:$B,"&lt;&gt;Lucas Luiz Romero")*(10/1083),0)))))),0)</f>
        <v/>
      </c>
      <c r="K2411" s="3">
        <f>I2411-J2411</f>
        <v/>
      </c>
      <c r="L2411" s="3">
        <f>IF(K2411&lt;-5,"CRÍTICO",IF(K2411&lt;0,"ATENÇÃO",IF(K2411&lt;=5,"BOM","EXCELENTE")))</f>
        <v/>
      </c>
      <c r="M2411" s="3" t="n">
        <v>11</v>
      </c>
      <c r="N2411" s="3" t="n">
        <v>100</v>
      </c>
      <c r="O2411" s="12" t="n">
        <v>31.08974358974359</v>
      </c>
    </row>
    <row r="2412">
      <c r="A2412" s="10" t="n">
        <v>46077</v>
      </c>
      <c r="B2412" t="inlineStr">
        <is>
          <t>Davylla Rodrigues Freitas Silva</t>
        </is>
      </c>
      <c r="C2412" s="1" t="inlineStr">
        <is>
          <t>Técnico III</t>
        </is>
      </c>
      <c r="D2412" s="3" t="n">
        <v>16</v>
      </c>
      <c r="E2412" s="3" t="n">
        <v>16</v>
      </c>
      <c r="F2412" s="3" t="n">
        <v>50.52</v>
      </c>
      <c r="G2412" s="3" t="n">
        <v>0</v>
      </c>
      <c r="H2412" s="3" t="n">
        <v>0</v>
      </c>
      <c r="I2412" s="3" t="n">
        <v>0</v>
      </c>
      <c r="J2412" s="3" t="n">
        <v>0</v>
      </c>
      <c r="K2412" s="3" t="n">
        <v>0</v>
      </c>
      <c r="L2412" s="3">
        <f>IF(K2412&lt;-5,"CRÍTICO",IF(K2412&lt;0,"ATENÇÃO",IF(K2412&lt;=5,"BOM","EXCELENTE")))</f>
        <v/>
      </c>
      <c r="M2412" s="3" t="n">
        <v>14</v>
      </c>
      <c r="N2412" s="3" t="n">
        <v>98.11</v>
      </c>
      <c r="O2412" s="12" t="n">
        <v>33.03370786516854</v>
      </c>
    </row>
    <row r="2413">
      <c r="A2413" s="10" t="n">
        <v>46077</v>
      </c>
      <c r="B2413" t="inlineStr">
        <is>
          <t>Emilly Caylane Costa</t>
        </is>
      </c>
      <c r="C2413" s="1" t="inlineStr">
        <is>
          <t>Estágio</t>
        </is>
      </c>
      <c r="D2413" s="3" t="n">
        <v>8</v>
      </c>
      <c r="E2413" s="3" t="n">
        <v>8</v>
      </c>
      <c r="F2413" s="3" t="n">
        <v>55.14</v>
      </c>
      <c r="G2413" s="3" t="n">
        <v>0</v>
      </c>
      <c r="H2413" s="3" t="n">
        <v>0</v>
      </c>
      <c r="I2413" s="3">
        <f>E2413+G2413+H2413</f>
        <v/>
      </c>
      <c r="J2413" s="3">
        <f>ROUND(MIN(IF(C2413="Técnico III",35,IF(C2413="Técnico II",28,IF(C2413="Técnico I",23,IF(C2413="JR",20,IF(C2413="Estágio",10,0))))),IF(C2413="Técnico III",SUMIFS($D:$D,$A:$A,$A2413,$B:$B,"&lt;&gt;Patrícia Karla de Sousa Araújo",$B:$B,"&lt;&gt;Lorena Dias de Araujo",$B:$B,"&lt;&gt;Lucas Luiz Romero")*(35/1083),IF(C2413="Técnico II",SUMIFS($D:$D,$A:$A,$A2413,$B:$B,"&lt;&gt;Patrícia Karla de Sousa Araújo",$B:$B,"&lt;&gt;Lorena Dias de Araujo",$B:$B,"&lt;&gt;Lucas Luiz Romero")*(28/1083),IF(C2413="Técnico I",SUMIFS($D:$D,$A:$A,$A2413,$B:$B,"&lt;&gt;Patrícia Karla de Sousa Araújo",$B:$B,"&lt;&gt;Lorena Dias de Araujo",$B:$B,"&lt;&gt;Lucas Luiz Romero")*(23/1083),IF(C2413="JR",SUMIFS($D:$D,$A:$A,$A2413,$B:$B,"&lt;&gt;Patrícia Karla de Sousa Araújo",$B:$B,"&lt;&gt;Lorena Dias de Araujo",$B:$B,"&lt;&gt;Lucas Luiz Romero")*(20/1083),IF(C2413="Estágio",SUMIFS($D:$D,$A:$A,$A2413,$B:$B,"&lt;&gt;Patrícia Karla de Sousa Araújo",$B:$B,"&lt;&gt;Lorena Dias de Araujo",$B:$B,"&lt;&gt;Lucas Luiz Romero")*(10/1083),0)))))),0)</f>
        <v/>
      </c>
      <c r="K2413" s="3">
        <f>I2413-J2413</f>
        <v/>
      </c>
      <c r="L2413" s="3">
        <f>IF(K2413&lt;-5,"CRÍTICO",IF(K2413&lt;0,"ATENÇÃO",IF(K2413&lt;=5,"BOM","EXCELENTE")))</f>
        <v/>
      </c>
      <c r="M2413" s="3" t="n">
        <v>5</v>
      </c>
      <c r="N2413" s="3" t="n">
        <v>78.95</v>
      </c>
      <c r="O2413" s="12" t="n">
        <v>38.98305084745763</v>
      </c>
    </row>
    <row r="2414">
      <c r="A2414" s="10" t="n">
        <v>46077</v>
      </c>
      <c r="B2414" t="inlineStr">
        <is>
          <t>Emilly Kamilly Medeiros Miranda</t>
        </is>
      </c>
      <c r="C2414" s="1" t="inlineStr">
        <is>
          <t>Técnico II</t>
        </is>
      </c>
      <c r="D2414" s="3" t="n">
        <v>13</v>
      </c>
      <c r="E2414" s="3" t="n">
        <v>12</v>
      </c>
      <c r="F2414" s="3" t="n">
        <v>43.46</v>
      </c>
      <c r="G2414" s="3" t="n">
        <v>0</v>
      </c>
      <c r="H2414" s="3" t="n">
        <v>0</v>
      </c>
      <c r="I2414" s="3">
        <f>E2414+G2414+H2414</f>
        <v/>
      </c>
      <c r="J2414" s="3">
        <f>ROUND(MIN(IF(C2414="Técnico III",35,IF(C2414="Técnico II",28,IF(C2414="Técnico I",23,IF(C2414="JR",20,IF(C2414="Estágio",10,0))))),IF(C2414="Técnico III",SUMIFS($D:$D,$A:$A,$A2414,$B:$B,"&lt;&gt;Patrícia Karla de Sousa Araújo",$B:$B,"&lt;&gt;Lorena Dias de Araujo",$B:$B,"&lt;&gt;Lucas Luiz Romero")*(35/1083),IF(C2414="Técnico II",SUMIFS($D:$D,$A:$A,$A2414,$B:$B,"&lt;&gt;Patrícia Karla de Sousa Araújo",$B:$B,"&lt;&gt;Lorena Dias de Araujo",$B:$B,"&lt;&gt;Lucas Luiz Romero")*(28/1083),IF(C2414="Técnico I",SUMIFS($D:$D,$A:$A,$A2414,$B:$B,"&lt;&gt;Patrícia Karla de Sousa Araújo",$B:$B,"&lt;&gt;Lorena Dias de Araujo",$B:$B,"&lt;&gt;Lucas Luiz Romero")*(23/1083),IF(C2414="JR",SUMIFS($D:$D,$A:$A,$A2414,$B:$B,"&lt;&gt;Patrícia Karla de Sousa Araújo",$B:$B,"&lt;&gt;Lorena Dias de Araujo",$B:$B,"&lt;&gt;Lucas Luiz Romero")*(20/1083),IF(C2414="Estágio",SUMIFS($D:$D,$A:$A,$A2414,$B:$B,"&lt;&gt;Patrícia Karla de Sousa Araújo",$B:$B,"&lt;&gt;Lorena Dias de Araujo",$B:$B,"&lt;&gt;Lucas Luiz Romero")*(10/1083),0)))))),0)</f>
        <v/>
      </c>
      <c r="K2414" s="3">
        <f>I2414-J2414</f>
        <v/>
      </c>
      <c r="L2414" s="3">
        <f>IF(K2414&lt;-5,"CRÍTICO",IF(K2414&lt;0,"ATENÇÃO",IF(K2414&lt;=5,"BOM","EXCELENTE")))</f>
        <v/>
      </c>
      <c r="M2414" s="3" t="n">
        <v>13</v>
      </c>
      <c r="N2414" s="3" t="n">
        <v>98.45</v>
      </c>
      <c r="O2414" s="12" t="n">
        <v>29.2817679558011</v>
      </c>
    </row>
    <row r="2415">
      <c r="A2415" s="10" t="n">
        <v>46077</v>
      </c>
      <c r="B2415" t="inlineStr">
        <is>
          <t>Francielson de Oliveira</t>
        </is>
      </c>
      <c r="C2415" s="1" t="inlineStr">
        <is>
          <t>Técnico III</t>
        </is>
      </c>
      <c r="D2415" s="3" t="n">
        <v>27</v>
      </c>
      <c r="E2415" s="3" t="n">
        <v>26</v>
      </c>
      <c r="F2415" s="3" t="n">
        <v>22.26</v>
      </c>
      <c r="G2415" s="3" t="n">
        <v>0</v>
      </c>
      <c r="H2415" s="3" t="n">
        <v>0</v>
      </c>
      <c r="I2415" s="3">
        <f>E2415+G2415+H2415</f>
        <v/>
      </c>
      <c r="J2415" s="3">
        <f>ROUND(MIN(IF(C2415="Técnico III",35,IF(C2415="Técnico II",28,IF(C2415="Técnico I",23,IF(C2415="JR",20,IF(C2415="Estágio",10,0))))),IF(C2415="Técnico III",SUMIFS($D:$D,$A:$A,$A2415,$B:$B,"&lt;&gt;Patrícia Karla de Sousa Araújo",$B:$B,"&lt;&gt;Lorena Dias de Araujo",$B:$B,"&lt;&gt;Lucas Luiz Romero")*(35/1083),IF(C2415="Técnico II",SUMIFS($D:$D,$A:$A,$A2415,$B:$B,"&lt;&gt;Patrícia Karla de Sousa Araújo",$B:$B,"&lt;&gt;Lorena Dias de Araujo",$B:$B,"&lt;&gt;Lucas Luiz Romero")*(28/1083),IF(C2415="Técnico I",SUMIFS($D:$D,$A:$A,$A2415,$B:$B,"&lt;&gt;Patrícia Karla de Sousa Araújo",$B:$B,"&lt;&gt;Lorena Dias de Araujo",$B:$B,"&lt;&gt;Lucas Luiz Romero")*(23/1083),IF(C2415="JR",SUMIFS($D:$D,$A:$A,$A2415,$B:$B,"&lt;&gt;Patrícia Karla de Sousa Araújo",$B:$B,"&lt;&gt;Lorena Dias de Araujo",$B:$B,"&lt;&gt;Lucas Luiz Romero")*(20/1083),IF(C2415="Estágio",SUMIFS($D:$D,$A:$A,$A2415,$B:$B,"&lt;&gt;Patrícia Karla de Sousa Araújo",$B:$B,"&lt;&gt;Lorena Dias de Araujo",$B:$B,"&lt;&gt;Lucas Luiz Romero")*(10/1083),0)))))),0)</f>
        <v/>
      </c>
      <c r="K2415" s="3">
        <f>I2415-J2415</f>
        <v/>
      </c>
      <c r="L2415" s="3">
        <f>IF(K2415&lt;-5,"CRÍTICO",IF(K2415&lt;0,"ATENÇÃO",IF(K2415&lt;=5,"BOM","EXCELENTE")))</f>
        <v/>
      </c>
      <c r="M2415" s="3" t="n">
        <v>26</v>
      </c>
      <c r="N2415" s="3" t="n">
        <v>97.84</v>
      </c>
      <c r="O2415" s="12" t="n">
        <v>26.28205128205128</v>
      </c>
    </row>
    <row r="2416">
      <c r="A2416" s="10" t="n">
        <v>46077</v>
      </c>
      <c r="B2416" t="inlineStr">
        <is>
          <t>Francilene Ferreira de Jesus</t>
        </is>
      </c>
      <c r="C2416" s="1" t="inlineStr">
        <is>
          <t>Técnico II</t>
        </is>
      </c>
      <c r="D2416" s="3" t="n">
        <v>34</v>
      </c>
      <c r="E2416" s="3" t="n">
        <v>30</v>
      </c>
      <c r="F2416" s="3" t="n">
        <v>18.58</v>
      </c>
      <c r="G2416" s="3" t="n">
        <v>0</v>
      </c>
      <c r="H2416" s="3" t="n">
        <v>0</v>
      </c>
      <c r="I2416" s="3">
        <f>E2416+G2416+H2416</f>
        <v/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/>
      </c>
      <c r="K2416" s="3">
        <f>I2416-J2416</f>
        <v/>
      </c>
      <c r="L2416" s="3">
        <f>IF(K2416&lt;-5,"CRÍTICO",IF(K2416&lt;0,"ATENÇÃO",IF(K2416&lt;=5,"BOM","EXCELENTE")))</f>
        <v/>
      </c>
      <c r="M2416" s="3" t="n">
        <v>30</v>
      </c>
      <c r="N2416" s="3" t="n">
        <v>98.5</v>
      </c>
      <c r="O2416" s="12" t="n">
        <v>23.97769516728625</v>
      </c>
    </row>
    <row r="2417">
      <c r="A2417" s="10" t="n">
        <v>46111</v>
      </c>
      <c r="B2417" t="inlineStr">
        <is>
          <t>Gabriel Gomes de Andrade</t>
        </is>
      </c>
      <c r="C2417" s="1" t="inlineStr">
        <is>
          <t>Técnico I</t>
        </is>
      </c>
      <c r="D2417" s="3" t="n">
        <v>26</v>
      </c>
      <c r="E2417" s="3" t="n">
        <v>25</v>
      </c>
      <c r="F2417" s="3" t="n">
        <v>22.36</v>
      </c>
      <c r="G2417" s="3" t="n">
        <v>0</v>
      </c>
      <c r="H2417" s="3" t="n">
        <v>0</v>
      </c>
      <c r="I2417" s="3">
        <f>E2417+G2417+H2417</f>
        <v/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/>
      </c>
      <c r="K2417" s="3">
        <f>I2417-J2417</f>
        <v/>
      </c>
      <c r="L2417" s="3">
        <f>IF(K2417&lt;-5,"CRÍTICO",IF(K2417&lt;0,"ATENÇÃO",IF(K2417&lt;=5,"BOM","EXCELENTE")))</f>
        <v/>
      </c>
      <c r="M2417" s="3" t="n">
        <v>23</v>
      </c>
      <c r="N2417" s="3" t="n">
        <v>99.05</v>
      </c>
      <c r="O2417" s="12" t="n">
        <v>26.62192393736018</v>
      </c>
    </row>
    <row r="2418">
      <c r="A2418" s="10" t="n">
        <v>46077</v>
      </c>
      <c r="B2418" t="inlineStr">
        <is>
          <t>Isabella Borges de Oliveira</t>
        </is>
      </c>
      <c r="C2418" s="1" t="inlineStr">
        <is>
          <t>Técnico II</t>
        </is>
      </c>
      <c r="D2418" s="3" t="n">
        <v>20</v>
      </c>
      <c r="E2418" s="3" t="n">
        <v>19</v>
      </c>
      <c r="F2418" s="3" t="n">
        <v>24</v>
      </c>
      <c r="G2418" s="3" t="n">
        <v>0</v>
      </c>
      <c r="H2418" s="3" t="n">
        <v>0</v>
      </c>
      <c r="I2418" s="3">
        <f>E2418+G2418+H2418</f>
        <v/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/>
      </c>
      <c r="K2418" s="3">
        <f>I2418-J2418</f>
        <v/>
      </c>
      <c r="L2418" s="3">
        <f>IF(K2418&lt;-5,"CRÍTICO",IF(K2418&lt;0,"ATENÇÃO",IF(K2418&lt;=5,"BOM","EXCELENTE")))</f>
        <v/>
      </c>
      <c r="M2418" s="3" t="n">
        <v>18</v>
      </c>
      <c r="N2418" s="3" t="n">
        <v>98.53</v>
      </c>
      <c r="O2418" s="12" t="n">
        <v>31.57894736842105</v>
      </c>
    </row>
    <row r="2419">
      <c r="A2419" s="10" t="n">
        <v>46077</v>
      </c>
      <c r="B2419" t="inlineStr">
        <is>
          <t>Janaina Lima dos Reis Urany</t>
        </is>
      </c>
      <c r="C2419" s="1" t="inlineStr">
        <is>
          <t>Técnico III</t>
        </is>
      </c>
      <c r="D2419" s="3" t="n">
        <v>40</v>
      </c>
      <c r="E2419" s="3" t="n">
        <v>35</v>
      </c>
      <c r="F2419" s="3" t="n">
        <v>17.33</v>
      </c>
      <c r="G2419" s="3" t="n">
        <v>0</v>
      </c>
      <c r="H2419" s="3" t="n">
        <v>0</v>
      </c>
      <c r="I2419" s="3">
        <f>E2419+G2419+H2419</f>
        <v/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/>
      </c>
      <c r="K2419" s="3">
        <f>I2419-J2419</f>
        <v/>
      </c>
      <c r="L2419" s="3">
        <f>IF(K2419&lt;-5,"CRÍTICO",IF(K2419&lt;0,"ATENÇÃO",IF(K2419&lt;=5,"BOM","EXCELENTE")))</f>
        <v/>
      </c>
      <c r="M2419" s="3" t="n">
        <v>35</v>
      </c>
      <c r="N2419" s="3" t="n">
        <v>100</v>
      </c>
      <c r="O2419" s="12" t="n">
        <v>25.72214580467676</v>
      </c>
    </row>
    <row r="2420">
      <c r="A2420" s="10" t="n">
        <v>46077</v>
      </c>
      <c r="B2420" t="inlineStr">
        <is>
          <t>Jaqueline Evangelista da Silva Martins</t>
        </is>
      </c>
      <c r="C2420" s="1" t="inlineStr">
        <is>
          <t>Técnico III</t>
        </is>
      </c>
      <c r="D2420" s="3" t="n">
        <v>26</v>
      </c>
      <c r="E2420" s="3" t="n">
        <v>24</v>
      </c>
      <c r="F2420" s="3" t="n">
        <v>14.08</v>
      </c>
      <c r="G2420" s="3" t="n">
        <v>0</v>
      </c>
      <c r="H2420" s="3" t="n">
        <v>0</v>
      </c>
      <c r="I2420" s="3">
        <f>E2420+G2420+H2420</f>
        <v/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/>
      </c>
      <c r="K2420" s="3">
        <f>I2420-J2420</f>
        <v/>
      </c>
      <c r="L2420" s="3">
        <f>IF(K2420&lt;-5,"CRÍTICO",IF(K2420&lt;0,"ATENÇÃO",IF(K2420&lt;=5,"BOM","EXCELENTE")))</f>
        <v/>
      </c>
      <c r="M2420" s="3" t="n">
        <v>23</v>
      </c>
      <c r="N2420" s="3" t="n">
        <v>94.64</v>
      </c>
      <c r="O2420" s="12" t="n">
        <v>27.52941176470588</v>
      </c>
    </row>
    <row r="2421">
      <c r="A2421" s="10" t="n">
        <v>46077</v>
      </c>
      <c r="B2421" t="inlineStr">
        <is>
          <t>Jessica Faria da Silveira</t>
        </is>
      </c>
      <c r="C2421" s="1" t="inlineStr">
        <is>
          <t>Técnico II</t>
        </is>
      </c>
      <c r="D2421" s="3" t="n">
        <v>17</v>
      </c>
      <c r="E2421" s="3" t="n">
        <v>8</v>
      </c>
      <c r="F2421" s="3" t="n">
        <v>11.53</v>
      </c>
      <c r="G2421" s="3" t="n">
        <v>0</v>
      </c>
      <c r="H2421" s="3" t="n">
        <v>0</v>
      </c>
      <c r="I2421" s="3">
        <f>E2421+G2421+H2421</f>
        <v/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/>
      </c>
      <c r="K2421" s="3">
        <f>I2421-J2421</f>
        <v/>
      </c>
      <c r="L2421" s="3">
        <f>IF(K2421&lt;-5,"CRÍTICO",IF(K2421&lt;0,"ATENÇÃO",IF(K2421&lt;=5,"BOM","EXCELENTE")))</f>
        <v/>
      </c>
      <c r="M2421" s="3" t="n">
        <v>3</v>
      </c>
      <c r="N2421" s="3" t="n">
        <v>99.06999999999999</v>
      </c>
      <c r="O2421" s="12" t="n">
        <v>26.3768115942029</v>
      </c>
    </row>
    <row r="2422">
      <c r="A2422" s="10" t="n">
        <v>46077</v>
      </c>
      <c r="B2422" t="inlineStr">
        <is>
          <t>Jéssica Fé Moura</t>
        </is>
      </c>
      <c r="C2422" s="1" t="inlineStr">
        <is>
          <t>Técnico III</t>
        </is>
      </c>
      <c r="D2422" s="3" t="n">
        <v>0</v>
      </c>
      <c r="E2422" s="3" t="n">
        <v>0</v>
      </c>
      <c r="F2422" s="3" t="n">
        <v>0</v>
      </c>
      <c r="G2422" s="3" t="n">
        <v>0</v>
      </c>
      <c r="H2422" s="3" t="n">
        <v>0</v>
      </c>
      <c r="I2422" s="3" t="n">
        <v>0</v>
      </c>
      <c r="J2422" s="3" t="n">
        <v>0</v>
      </c>
      <c r="K2422" s="3" t="n">
        <v>0</v>
      </c>
      <c r="L2422" s="3">
        <f>IF(K2422&lt;-5,"CRÍTICO",IF(K2422&lt;0,"ATENÇÃO",IF(K2422&lt;=5,"BOM","EXCELENTE")))</f>
        <v/>
      </c>
      <c r="M2422" s="3" t="n">
        <v>0</v>
      </c>
      <c r="N2422" s="3" t="n">
        <v>100</v>
      </c>
      <c r="O2422" s="12" t="n">
        <v>0</v>
      </c>
    </row>
    <row r="2423">
      <c r="A2423" s="10" t="n">
        <v>46077</v>
      </c>
      <c r="B2423" t="inlineStr">
        <is>
          <t>Karina Gonçalves Martins</t>
        </is>
      </c>
      <c r="C2423" s="1" t="inlineStr">
        <is>
          <t>JR</t>
        </is>
      </c>
      <c r="D2423" s="3" t="n">
        <v>15</v>
      </c>
      <c r="E2423" s="3" t="n">
        <v>15</v>
      </c>
      <c r="F2423" s="3" t="n">
        <v>25.08</v>
      </c>
      <c r="G2423" s="3" t="n">
        <v>0</v>
      </c>
      <c r="H2423" s="3" t="n">
        <v>0</v>
      </c>
      <c r="I2423" s="3">
        <f>E2423+G2423+H2423</f>
        <v/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/>
      </c>
      <c r="K2423" s="3">
        <f>I2423-J2423</f>
        <v/>
      </c>
      <c r="L2423" s="3">
        <f>IF(K2423&lt;-5,"CRÍTICO",IF(K2423&lt;0,"ATENÇÃO",IF(K2423&lt;=5,"BOM","EXCELENTE")))</f>
        <v/>
      </c>
      <c r="M2423" s="3" t="n">
        <v>14</v>
      </c>
      <c r="N2423" s="3" t="n">
        <v>98.48</v>
      </c>
      <c r="O2423" s="12" t="n">
        <v>27.85388127853881</v>
      </c>
    </row>
    <row r="2424">
      <c r="A2424" s="10" t="n">
        <v>46077</v>
      </c>
      <c r="B2424" t="inlineStr">
        <is>
          <t>Kerollen Cristielly de Jesus Siqueira</t>
        </is>
      </c>
      <c r="C2424" s="1" t="inlineStr">
        <is>
          <t>Técnico III</t>
        </is>
      </c>
      <c r="D2424" s="3" t="n">
        <v>3</v>
      </c>
      <c r="E2424" s="3" t="n">
        <v>3</v>
      </c>
      <c r="F2424" s="3" t="n">
        <v>47.26</v>
      </c>
      <c r="G2424" s="3" t="n">
        <v>0</v>
      </c>
      <c r="H2424" s="3" t="n">
        <v>0</v>
      </c>
      <c r="I2424" s="3">
        <f>E2424+G2424+H2424</f>
        <v/>
      </c>
      <c r="J2424" s="3">
        <f>ROUND(MIN(IF(C2424="Técnico III",35,IF(C2424="Técnico II",28,IF(C2424="Técnico I",23,IF(C2424="JR",20,IF(C2424="Estágio",10,0))))),IF(C2424="Técnico III",SUMIFS($D:$D,$A:$A,$A2424,$B:$B,"&lt;&gt;Patrícia Karla de Sousa Araújo",$B:$B,"&lt;&gt;Lorena Dias de Araujo",$B:$B,"&lt;&gt;Lucas Luiz Romero")*(35/1083),IF(C2424="Técnico II",SUMIFS($D:$D,$A:$A,$A2424,$B:$B,"&lt;&gt;Patrícia Karla de Sousa Araújo",$B:$B,"&lt;&gt;Lorena Dias de Araujo",$B:$B,"&lt;&gt;Lucas Luiz Romero")*(28/1083),IF(C2424="Técnico I",SUMIFS($D:$D,$A:$A,$A2424,$B:$B,"&lt;&gt;Patrícia Karla de Sousa Araújo",$B:$B,"&lt;&gt;Lorena Dias de Araujo",$B:$B,"&lt;&gt;Lucas Luiz Romero")*(23/1083),IF(C2424="JR",SUMIFS($D:$D,$A:$A,$A2424,$B:$B,"&lt;&gt;Patrícia Karla de Sousa Araújo",$B:$B,"&lt;&gt;Lorena Dias de Araujo",$B:$B,"&lt;&gt;Lucas Luiz Romero")*(20/1083),IF(C2424="Estágio",SUMIFS($D:$D,$A:$A,$A2424,$B:$B,"&lt;&gt;Patrícia Karla de Sousa Araújo",$B:$B,"&lt;&gt;Lorena Dias de Araujo",$B:$B,"&lt;&gt;Lucas Luiz Romero")*(10/1083),0)))))),0)</f>
        <v/>
      </c>
      <c r="K2424" s="3">
        <f>I2424-J2424</f>
        <v/>
      </c>
      <c r="L2424" s="3">
        <f>IF(K2424&lt;-5,"CRÍTICO",IF(K2424&lt;0,"ATENÇÃO",IF(K2424&lt;=5,"BOM","EXCELENTE")))</f>
        <v/>
      </c>
      <c r="M2424" s="3" t="n">
        <v>52</v>
      </c>
      <c r="N2424" s="3" t="n">
        <v>95.15000000000001</v>
      </c>
      <c r="O2424" s="12" t="n">
        <v>34.13173652694611</v>
      </c>
    </row>
    <row r="2425">
      <c r="A2425" s="10" t="n">
        <v>46077</v>
      </c>
      <c r="B2425" t="inlineStr">
        <is>
          <t>Leandro de Souza Silva</t>
        </is>
      </c>
      <c r="C2425" s="1" t="inlineStr">
        <is>
          <t>JR</t>
        </is>
      </c>
      <c r="D2425" s="3" t="n">
        <v>0</v>
      </c>
      <c r="E2425" s="3" t="n">
        <v>0</v>
      </c>
      <c r="F2425" s="3" t="n">
        <v>0</v>
      </c>
      <c r="G2425" s="3" t="n">
        <v>0</v>
      </c>
      <c r="H2425" s="3" t="n">
        <v>0</v>
      </c>
      <c r="I2425" s="3" t="n">
        <v>0</v>
      </c>
      <c r="J2425" s="3" t="n">
        <v>0</v>
      </c>
      <c r="K2425" s="3" t="n">
        <v>0</v>
      </c>
      <c r="L2425" s="3">
        <f>IF(K2425&lt;-5,"CRÍTICO",IF(K2425&lt;0,"ATENÇÃO",IF(K2425&lt;=5,"BOM","EXCELENTE")))</f>
        <v/>
      </c>
      <c r="M2425" s="3" t="n">
        <v>0</v>
      </c>
      <c r="N2425" s="3" t="n">
        <v>0</v>
      </c>
      <c r="O2425" s="12" t="n">
        <v>0</v>
      </c>
    </row>
    <row r="2426">
      <c r="A2426" s="10" t="n">
        <v>46077</v>
      </c>
      <c r="B2426" t="inlineStr">
        <is>
          <t>Leandro Oliveira de Sousa</t>
        </is>
      </c>
      <c r="C2426" s="1" t="inlineStr">
        <is>
          <t>Técnico III</t>
        </is>
      </c>
      <c r="D2426" s="3" t="n">
        <v>21</v>
      </c>
      <c r="E2426" s="3" t="n">
        <v>20</v>
      </c>
      <c r="F2426" s="3" t="n">
        <v>23.43</v>
      </c>
      <c r="G2426" s="3" t="n">
        <v>0</v>
      </c>
      <c r="H2426" s="3" t="n">
        <v>0</v>
      </c>
      <c r="I2426" s="3">
        <f>E2426+G2426+H2426</f>
        <v/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/>
      </c>
      <c r="K2426" s="3">
        <f>I2426-J2426</f>
        <v/>
      </c>
      <c r="L2426" s="3">
        <f>IF(K2426&lt;-5,"CRÍTICO",IF(K2426&lt;0,"ATENÇÃO",IF(K2426&lt;=5,"BOM","EXCELENTE")))</f>
        <v/>
      </c>
      <c r="M2426" s="3" t="n">
        <v>15</v>
      </c>
      <c r="N2426" s="3" t="n">
        <v>99.26000000000001</v>
      </c>
      <c r="O2426" s="12" t="n">
        <v>30.84832904884319</v>
      </c>
    </row>
    <row r="2427">
      <c r="A2427" s="10" t="n">
        <v>46077</v>
      </c>
      <c r="B2427" t="inlineStr">
        <is>
          <t>Lizandra Gomes Duarte</t>
        </is>
      </c>
      <c r="C2427" s="1" t="inlineStr">
        <is>
          <t>Técnico II</t>
        </is>
      </c>
      <c r="D2427" s="3" t="n">
        <v>27</v>
      </c>
      <c r="E2427" s="3" t="n">
        <v>27</v>
      </c>
      <c r="F2427" s="3" t="n">
        <v>29.12</v>
      </c>
      <c r="G2427" s="3" t="n">
        <v>0</v>
      </c>
      <c r="H2427" s="3" t="n">
        <v>0</v>
      </c>
      <c r="I2427" s="3">
        <f>E2427+G2427+H2427</f>
        <v/>
      </c>
      <c r="J2427" s="3">
        <f>ROUND(MIN(IF(C2427="Técnico III",35,IF(C2427="Técnico II",28,IF(C2427="Técnico I",23,IF(C2427="JR",20,IF(C2427="Estágio",10,0))))),IF(C2427="Técnico III",SUMIFS($D:$D,$A:$A,$A2427,$B:$B,"&lt;&gt;Patrícia Karla de Sousa Araújo",$B:$B,"&lt;&gt;Lorena Dias de Araujo",$B:$B,"&lt;&gt;Lucas Luiz Romero")*(35/1083),IF(C2427="Técnico II",SUMIFS($D:$D,$A:$A,$A2427,$B:$B,"&lt;&gt;Patrícia Karla de Sousa Araújo",$B:$B,"&lt;&gt;Lorena Dias de Araujo",$B:$B,"&lt;&gt;Lucas Luiz Romero")*(28/1083),IF(C2427="Técnico I",SUMIFS($D:$D,$A:$A,$A2427,$B:$B,"&lt;&gt;Patrícia Karla de Sousa Araújo",$B:$B,"&lt;&gt;Lorena Dias de Araujo",$B:$B,"&lt;&gt;Lucas Luiz Romero")*(23/1083),IF(C2427="JR",SUMIFS($D:$D,$A:$A,$A2427,$B:$B,"&lt;&gt;Patrícia Karla de Sousa Araújo",$B:$B,"&lt;&gt;Lorena Dias de Araujo",$B:$B,"&lt;&gt;Lucas Luiz Romero")*(20/1083),IF(C2427="Estágio",SUMIFS($D:$D,$A:$A,$A2427,$B:$B,"&lt;&gt;Patrícia Karla de Sousa Araújo",$B:$B,"&lt;&gt;Lorena Dias de Araujo",$B:$B,"&lt;&gt;Lucas Luiz Romero")*(10/1083),0)))))),0)</f>
        <v/>
      </c>
      <c r="K2427" s="3">
        <f>I2427-J2427</f>
        <v/>
      </c>
      <c r="L2427" s="3">
        <f>IF(K2427&lt;-5,"CRÍTICO",IF(K2427&lt;0,"ATENÇÃO",IF(K2427&lt;=5,"BOM","EXCELENTE")))</f>
        <v/>
      </c>
      <c r="M2427" s="3" t="n">
        <v>13</v>
      </c>
      <c r="N2427" s="3" t="n">
        <v>97.48</v>
      </c>
      <c r="O2427" s="12" t="n">
        <v>27.76470588235294</v>
      </c>
    </row>
    <row r="2428">
      <c r="A2428" s="10" t="n">
        <v>46077</v>
      </c>
      <c r="B2428" t="inlineStr">
        <is>
          <t>Lorena Dias de Araujo</t>
        </is>
      </c>
      <c r="C2428" s="1" t="inlineStr">
        <is>
          <t>Técnico II</t>
        </is>
      </c>
      <c r="D2428" s="3" t="n">
        <v>19</v>
      </c>
      <c r="E2428" s="3" t="n">
        <v>19</v>
      </c>
      <c r="F2428" s="3" t="n">
        <v>38.59</v>
      </c>
      <c r="G2428" s="3" t="n">
        <v>0</v>
      </c>
      <c r="H2428" s="3" t="n">
        <v>0</v>
      </c>
      <c r="I2428" s="3" t="n">
        <v>0</v>
      </c>
      <c r="J2428" s="3" t="n">
        <v>0</v>
      </c>
      <c r="K2428" s="3" t="n">
        <v>0</v>
      </c>
      <c r="L2428" s="3">
        <f>IF(K2428&lt;-5,"CRÍTICO",IF(K2428&lt;0,"ATENÇÃO",IF(K2428&lt;=5,"BOM","EXCELENTE")))</f>
        <v/>
      </c>
      <c r="M2428" s="3" t="n">
        <v>18</v>
      </c>
      <c r="N2428" s="3" t="n">
        <v>99.34</v>
      </c>
      <c r="O2428" s="12" t="n">
        <v>30.04291845493562</v>
      </c>
    </row>
    <row r="2429">
      <c r="A2429" s="10" t="n">
        <v>46077</v>
      </c>
      <c r="B2429" t="inlineStr">
        <is>
          <t>Lucas Luiz Romero</t>
        </is>
      </c>
      <c r="C2429" s="1" t="inlineStr">
        <is>
          <t>Técnico III</t>
        </is>
      </c>
      <c r="D2429" s="3" t="n">
        <v>43</v>
      </c>
      <c r="E2429" s="3" t="n">
        <v>37</v>
      </c>
      <c r="F2429" s="3" t="n">
        <v>18.49</v>
      </c>
      <c r="G2429" s="3" t="n">
        <v>0</v>
      </c>
      <c r="H2429" s="3" t="n">
        <v>0</v>
      </c>
      <c r="I2429" s="3">
        <f>E2429+G2429+H2429</f>
        <v/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/>
      </c>
      <c r="K2429" s="3">
        <f>I2429-J2429</f>
        <v/>
      </c>
      <c r="L2429" s="3">
        <f>IF(K2429&lt;-5,"CRÍTICO",IF(K2429&lt;0,"ATENÇÃO",IF(K2429&lt;=5,"BOM","EXCELENTE")))</f>
        <v/>
      </c>
      <c r="M2429" s="3" t="n">
        <v>24</v>
      </c>
      <c r="N2429" s="3" t="n">
        <v>96.3</v>
      </c>
      <c r="O2429" s="12" t="n">
        <v>24.29378531073446</v>
      </c>
    </row>
    <row r="2430">
      <c r="A2430" s="10" t="n">
        <v>46077</v>
      </c>
      <c r="B2430" t="inlineStr">
        <is>
          <t>Luiz Fernando de Carvalho Junior</t>
        </is>
      </c>
      <c r="C2430" s="1" t="inlineStr">
        <is>
          <t>Técnico I</t>
        </is>
      </c>
      <c r="D2430" s="3" t="n">
        <v>16</v>
      </c>
      <c r="E2430" s="3" t="n">
        <v>15</v>
      </c>
      <c r="F2430" s="3" t="n">
        <v>30.59</v>
      </c>
      <c r="G2430" s="3" t="n">
        <v>0</v>
      </c>
      <c r="H2430" s="3" t="n">
        <v>0</v>
      </c>
      <c r="I2430" s="3">
        <f>E2430+G2430+H2430</f>
        <v/>
      </c>
      <c r="J2430" s="3">
        <f>ROUND(MIN(IF(C2430="Técnico III",35,IF(C2430="Técnico II",28,IF(C2430="Técnico I",23,IF(C2430="JR",20,IF(C2430="Estágio",10,0))))),IF(C2430="Técnico III",SUMIFS($D:$D,$A:$A,$A2430,$B:$B,"&lt;&gt;Patrícia Karla de Sousa Araújo",$B:$B,"&lt;&gt;Lorena Dias de Araujo",$B:$B,"&lt;&gt;Lucas Luiz Romero")*(35/1083),IF(C2430="Técnico II",SUMIFS($D:$D,$A:$A,$A2430,$B:$B,"&lt;&gt;Patrícia Karla de Sousa Araújo",$B:$B,"&lt;&gt;Lorena Dias de Araujo",$B:$B,"&lt;&gt;Lucas Luiz Romero")*(28/1083),IF(C2430="Técnico I",SUMIFS($D:$D,$A:$A,$A2430,$B:$B,"&lt;&gt;Patrícia Karla de Sousa Araújo",$B:$B,"&lt;&gt;Lorena Dias de Araujo",$B:$B,"&lt;&gt;Lucas Luiz Romero")*(23/1083),IF(C2430="JR",SUMIFS($D:$D,$A:$A,$A2430,$B:$B,"&lt;&gt;Patrícia Karla de Sousa Araújo",$B:$B,"&lt;&gt;Lorena Dias de Araujo",$B:$B,"&lt;&gt;Lucas Luiz Romero")*(20/1083),IF(C2430="Estágio",SUMIFS($D:$D,$A:$A,$A2430,$B:$B,"&lt;&gt;Patrícia Karla de Sousa Araújo",$B:$B,"&lt;&gt;Lorena Dias de Araujo",$B:$B,"&lt;&gt;Lucas Luiz Romero")*(10/1083),0)))))),0)</f>
        <v/>
      </c>
      <c r="K2430" s="3">
        <f>I2430-J2430</f>
        <v/>
      </c>
      <c r="L2430" s="3">
        <f>IF(K2430&lt;-5,"CRÍTICO",IF(K2430&lt;0,"ATENÇÃO",IF(K2430&lt;=5,"BOM","EXCELENTE")))</f>
        <v/>
      </c>
      <c r="M2430" s="3" t="n">
        <v>13</v>
      </c>
      <c r="N2430" s="3" t="n">
        <v>100</v>
      </c>
      <c r="O2430" s="12" t="n">
        <v>26.54320987654321</v>
      </c>
    </row>
    <row r="2431">
      <c r="A2431" s="10" t="n">
        <v>46077</v>
      </c>
      <c r="B2431" t="inlineStr">
        <is>
          <t>Maria Eduarda Sousa Costa</t>
        </is>
      </c>
      <c r="C2431" s="1" t="inlineStr">
        <is>
          <t>Estágio</t>
        </is>
      </c>
      <c r="D2431" s="3" t="n">
        <v>5</v>
      </c>
      <c r="E2431" s="3" t="n">
        <v>5</v>
      </c>
      <c r="F2431" s="3" t="n">
        <v>72.11</v>
      </c>
      <c r="G2431" s="3" t="n">
        <v>0</v>
      </c>
      <c r="H2431" s="3" t="n">
        <v>0</v>
      </c>
      <c r="I2431" s="3">
        <f>E2431+G2431+H2431</f>
        <v/>
      </c>
      <c r="J2431" s="3">
        <f>ROUND(MIN(IF(C2431="Técnico III",35,IF(C2431="Técnico II",28,IF(C2431="Técnico I",23,IF(C2431="JR",20,IF(C2431="Estágio",10,0))))),IF(C2431="Técnico III",SUMIFS($D:$D,$A:$A,$A2431,$B:$B,"&lt;&gt;Patrícia Karla de Sousa Araújo",$B:$B,"&lt;&gt;Lorena Dias de Araujo",$B:$B,"&lt;&gt;Lucas Luiz Romero")*(35/1083),IF(C2431="Técnico II",SUMIFS($D:$D,$A:$A,$A2431,$B:$B,"&lt;&gt;Patrícia Karla de Sousa Araújo",$B:$B,"&lt;&gt;Lorena Dias de Araujo",$B:$B,"&lt;&gt;Lucas Luiz Romero")*(28/1083),IF(C2431="Técnico I",SUMIFS($D:$D,$A:$A,$A2431,$B:$B,"&lt;&gt;Patrícia Karla de Sousa Araújo",$B:$B,"&lt;&gt;Lorena Dias de Araujo",$B:$B,"&lt;&gt;Lucas Luiz Romero")*(23/1083),IF(C2431="JR",SUMIFS($D:$D,$A:$A,$A2431,$B:$B,"&lt;&gt;Patrícia Karla de Sousa Araújo",$B:$B,"&lt;&gt;Lorena Dias de Araujo",$B:$B,"&lt;&gt;Lucas Luiz Romero")*(20/1083),IF(C2431="Estágio",SUMIFS($D:$D,$A:$A,$A2431,$B:$B,"&lt;&gt;Patrícia Karla de Sousa Araújo",$B:$B,"&lt;&gt;Lorena Dias de Araujo",$B:$B,"&lt;&gt;Lucas Luiz Romero")*(10/1083),0)))))),0)</f>
        <v/>
      </c>
      <c r="K2431" s="3">
        <f>I2431-J2431</f>
        <v/>
      </c>
      <c r="L2431" s="3">
        <f>IF(K2431&lt;-5,"CRÍTICO",IF(K2431&lt;0,"ATENÇÃO",IF(K2431&lt;=5,"BOM","EXCELENTE")))</f>
        <v/>
      </c>
      <c r="M2431" s="3" t="n">
        <v>3</v>
      </c>
      <c r="N2431" s="3" t="n">
        <v>100</v>
      </c>
      <c r="O2431" s="12" t="n">
        <v>35.48387096774194</v>
      </c>
    </row>
    <row r="2432">
      <c r="A2432" s="10" t="n">
        <v>46077</v>
      </c>
      <c r="B2432" t="inlineStr">
        <is>
          <t>Matheus Farias De Souza</t>
        </is>
      </c>
      <c r="C2432" s="1" t="inlineStr">
        <is>
          <t>Técnico III</t>
        </is>
      </c>
      <c r="D2432" s="3" t="n">
        <v>24</v>
      </c>
      <c r="E2432" s="3" t="n">
        <v>22</v>
      </c>
      <c r="F2432" s="3" t="n">
        <v>23.22</v>
      </c>
      <c r="G2432" s="3" t="n">
        <v>0</v>
      </c>
      <c r="H2432" s="3" t="n">
        <v>0</v>
      </c>
      <c r="I2432" s="3">
        <f>E2432+G2432+H2432</f>
        <v/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/>
      </c>
      <c r="K2432" s="3">
        <f>I2432-J2432</f>
        <v/>
      </c>
      <c r="L2432" s="3">
        <f>IF(K2432&lt;-5,"CRÍTICO",IF(K2432&lt;0,"ATENÇÃO",IF(K2432&lt;=5,"BOM","EXCELENTE")))</f>
        <v/>
      </c>
      <c r="M2432" s="3" t="n">
        <v>24</v>
      </c>
      <c r="N2432" s="3" t="n">
        <v>99.27</v>
      </c>
      <c r="O2432" s="12" t="n">
        <v>31.16370808678501</v>
      </c>
    </row>
    <row r="2433">
      <c r="A2433" s="10" t="n">
        <v>46077</v>
      </c>
      <c r="B2433" t="inlineStr">
        <is>
          <t>Maysa Victoria Dias Moura</t>
        </is>
      </c>
      <c r="C2433" s="1" t="inlineStr">
        <is>
          <t>Técnico III</t>
        </is>
      </c>
      <c r="D2433" s="3" t="n">
        <v>33</v>
      </c>
      <c r="E2433" s="3" t="n">
        <v>33</v>
      </c>
      <c r="F2433" s="3" t="n">
        <v>16.58</v>
      </c>
      <c r="G2433" s="3" t="n">
        <v>0</v>
      </c>
      <c r="H2433" s="3" t="n">
        <v>0</v>
      </c>
      <c r="I2433" s="3">
        <f>E2433+G2433+H2433</f>
        <v/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/>
      </c>
      <c r="K2433" s="3">
        <f>I2433-J2433</f>
        <v/>
      </c>
      <c r="L2433" s="3">
        <f>IF(K2433&lt;-5,"CRÍTICO",IF(K2433&lt;0,"ATENÇÃO",IF(K2433&lt;=5,"BOM","EXCELENTE")))</f>
        <v/>
      </c>
      <c r="M2433" s="3" t="n">
        <v>28</v>
      </c>
      <c r="N2433" s="3" t="n">
        <v>94.16</v>
      </c>
      <c r="O2433" s="12" t="n">
        <v>27.03862660944206</v>
      </c>
    </row>
    <row r="2434">
      <c r="A2434" s="10" t="n">
        <v>46077</v>
      </c>
      <c r="B2434" t="inlineStr">
        <is>
          <t>Michelle G Santos</t>
        </is>
      </c>
      <c r="C2434" s="1" t="inlineStr">
        <is>
          <t>Estágio</t>
        </is>
      </c>
      <c r="D2434" s="3" t="n">
        <v>15</v>
      </c>
      <c r="E2434" s="3" t="n">
        <v>14</v>
      </c>
      <c r="F2434" s="3" t="n">
        <v>40.57</v>
      </c>
      <c r="G2434" s="3" t="n">
        <v>0</v>
      </c>
      <c r="H2434" s="3" t="n">
        <v>0</v>
      </c>
      <c r="I2434" s="3">
        <f>E2434+G2434+H2434</f>
        <v/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/>
      </c>
      <c r="K2434" s="3">
        <f>I2434-J2434</f>
        <v/>
      </c>
      <c r="L2434" s="3">
        <f>IF(K2434&lt;-5,"CRÍTICO",IF(K2434&lt;0,"ATENÇÃO",IF(K2434&lt;=5,"BOM","EXCELENTE")))</f>
        <v/>
      </c>
      <c r="M2434" s="3" t="n">
        <v>5</v>
      </c>
      <c r="N2434" s="3" t="n">
        <v>93.75</v>
      </c>
      <c r="O2434" s="12" t="n">
        <v>19.31818181818182</v>
      </c>
    </row>
    <row r="2435">
      <c r="A2435" s="10" t="n">
        <v>46077</v>
      </c>
      <c r="B2435" t="inlineStr">
        <is>
          <t>Milena Sales</t>
        </is>
      </c>
      <c r="C2435" s="1" t="inlineStr">
        <is>
          <t>JR</t>
        </is>
      </c>
      <c r="D2435" s="3" t="n">
        <v>0</v>
      </c>
      <c r="E2435" s="3" t="n">
        <v>0</v>
      </c>
      <c r="F2435" s="3" t="n">
        <v>0</v>
      </c>
      <c r="G2435" s="3" t="n">
        <v>0</v>
      </c>
      <c r="H2435" s="3" t="n">
        <v>0</v>
      </c>
      <c r="I2435" s="3" t="n">
        <v>0</v>
      </c>
      <c r="J2435" s="3" t="n">
        <v>0</v>
      </c>
      <c r="K2435" s="3" t="n">
        <v>0</v>
      </c>
      <c r="L2435" s="3">
        <f>IF(K2435&lt;-5,"CRÍTICO",IF(K2435&lt;0,"ATENÇÃO",IF(K2435&lt;=5,"BOM","EXCELENTE")))</f>
        <v/>
      </c>
      <c r="M2435" s="3" t="n">
        <v>0</v>
      </c>
      <c r="N2435" s="3" t="n">
        <v>0</v>
      </c>
      <c r="O2435" s="12" t="n">
        <v>0</v>
      </c>
    </row>
    <row r="2436">
      <c r="A2436" s="10" t="n">
        <v>46077</v>
      </c>
      <c r="B2436" t="inlineStr">
        <is>
          <t>Patrícia Karla de Sousa Araújo</t>
        </is>
      </c>
      <c r="C2436" s="1" t="inlineStr">
        <is>
          <t>Técnico II</t>
        </is>
      </c>
      <c r="D2436" s="3" t="n">
        <v>0</v>
      </c>
      <c r="E2436" s="3" t="n">
        <v>0</v>
      </c>
      <c r="F2436" s="3" t="n">
        <v>0</v>
      </c>
      <c r="G2436" s="3" t="n">
        <v>0</v>
      </c>
      <c r="H2436" s="3" t="n">
        <v>0</v>
      </c>
      <c r="I2436" s="3" t="n">
        <v>0</v>
      </c>
      <c r="J2436" s="3" t="n">
        <v>0</v>
      </c>
      <c r="K2436" s="3" t="n">
        <v>0</v>
      </c>
      <c r="L2436" s="3">
        <f>IF(K2436&lt;-5,"CRÍTICO",IF(K2436&lt;0,"ATENÇÃO",IF(K2436&lt;=5,"BOM","EXCELENTE")))</f>
        <v/>
      </c>
      <c r="M2436" s="3" t="n">
        <v>0</v>
      </c>
      <c r="N2436" s="3" t="n">
        <v>97.92</v>
      </c>
      <c r="O2436" s="12" t="n">
        <v>32.87671232876712</v>
      </c>
    </row>
    <row r="2437">
      <c r="A2437" s="10" t="n">
        <v>46077</v>
      </c>
      <c r="B2437" t="inlineStr">
        <is>
          <t>Paulo Ricardo Santos</t>
        </is>
      </c>
      <c r="C2437" s="1" t="inlineStr">
        <is>
          <t>JR</t>
        </is>
      </c>
      <c r="D2437" s="3" t="n">
        <v>0</v>
      </c>
      <c r="E2437" s="3" t="n">
        <v>0</v>
      </c>
      <c r="F2437" s="3" t="n">
        <v>0</v>
      </c>
      <c r="G2437" s="3" t="n">
        <v>0</v>
      </c>
      <c r="H2437" s="3" t="n">
        <v>0</v>
      </c>
      <c r="I2437" s="3" t="n">
        <v>0</v>
      </c>
      <c r="J2437" s="3" t="n">
        <v>0</v>
      </c>
      <c r="K2437" s="3" t="n">
        <v>0</v>
      </c>
      <c r="L2437" s="3">
        <f>IF(K2437&lt;-5,"CRÍTICO",IF(K2437&lt;0,"ATENÇÃO",IF(K2437&lt;=5,"BOM","EXCELENTE")))</f>
        <v/>
      </c>
      <c r="M2437" s="3" t="n">
        <v>0</v>
      </c>
      <c r="N2437" s="3" t="n">
        <v>0</v>
      </c>
      <c r="O2437" s="12" t="n">
        <v>0</v>
      </c>
    </row>
    <row r="2438">
      <c r="A2438" s="10" t="n">
        <v>46077</v>
      </c>
      <c r="B2438" t="inlineStr">
        <is>
          <t>Pedro Luiz Mota Sousa</t>
        </is>
      </c>
      <c r="C2438" s="1" t="inlineStr">
        <is>
          <t>JR</t>
        </is>
      </c>
      <c r="D2438" s="3" t="n">
        <v>0</v>
      </c>
      <c r="E2438" s="3" t="n">
        <v>0</v>
      </c>
      <c r="F2438" s="3" t="n">
        <v>0</v>
      </c>
      <c r="G2438" s="3" t="n">
        <v>0</v>
      </c>
      <c r="H2438" s="3" t="n">
        <v>0</v>
      </c>
      <c r="I2438" s="3" t="n">
        <v>0</v>
      </c>
      <c r="J2438" s="3" t="n">
        <v>0</v>
      </c>
      <c r="K2438" s="3" t="n">
        <v>0</v>
      </c>
      <c r="L2438" s="3">
        <f>IF(K2438&lt;-5,"CRÍTICO",IF(K2438&lt;0,"ATENÇÃO",IF(K2438&lt;=5,"BOM","EXCELENTE")))</f>
        <v/>
      </c>
      <c r="M2438" s="3" t="n">
        <v>0</v>
      </c>
      <c r="N2438" s="3" t="n">
        <v>0</v>
      </c>
      <c r="O2438" s="12" t="n">
        <v>0</v>
      </c>
    </row>
    <row r="2439">
      <c r="A2439" s="10" t="n">
        <v>46077</v>
      </c>
      <c r="B2439" t="inlineStr">
        <is>
          <t>Quirino Diogo Leite Torres</t>
        </is>
      </c>
      <c r="C2439" s="1" t="inlineStr">
        <is>
          <t>Estágio</t>
        </is>
      </c>
      <c r="D2439" s="3" t="n">
        <v>0</v>
      </c>
      <c r="E2439" s="3" t="n">
        <v>0</v>
      </c>
      <c r="F2439" s="3" t="n">
        <v>0</v>
      </c>
      <c r="G2439" s="3" t="n">
        <v>0</v>
      </c>
      <c r="H2439" s="3" t="n">
        <v>0</v>
      </c>
      <c r="I2439" s="3" t="n">
        <v>0</v>
      </c>
      <c r="J2439" s="3" t="n">
        <v>0</v>
      </c>
      <c r="K2439" s="3" t="n">
        <v>0</v>
      </c>
      <c r="L2439" s="3">
        <f>IF(K2439&lt;-5,"CRÍTICO",IF(K2439&lt;0,"ATENÇÃO",IF(K2439&lt;=5,"BOM","EXCELENTE")))</f>
        <v/>
      </c>
      <c r="M2439" s="3" t="n">
        <v>0</v>
      </c>
      <c r="N2439" s="3" t="n">
        <v>0</v>
      </c>
      <c r="O2439" s="12" t="n">
        <v>0</v>
      </c>
    </row>
    <row r="2440">
      <c r="A2440" s="10" t="n">
        <v>46077</v>
      </c>
      <c r="B2440" t="inlineStr">
        <is>
          <t>Raane Batista Matos</t>
        </is>
      </c>
      <c r="C2440" s="1" t="inlineStr">
        <is>
          <t>Técnico I</t>
        </is>
      </c>
      <c r="D2440" s="3" t="n">
        <v>0</v>
      </c>
      <c r="E2440" s="3" t="n">
        <v>0</v>
      </c>
      <c r="F2440" s="3" t="n">
        <v>0</v>
      </c>
      <c r="G2440" s="3" t="n">
        <v>0</v>
      </c>
      <c r="H2440" s="3" t="n">
        <v>0</v>
      </c>
      <c r="I2440" s="3" t="n">
        <v>0</v>
      </c>
      <c r="J2440" s="3" t="n">
        <v>0</v>
      </c>
      <c r="K2440" s="3" t="n">
        <v>0</v>
      </c>
      <c r="L2440" s="3">
        <f>IF(K2440&lt;-5,"CRÍTICO",IF(K2440&lt;0,"ATENÇÃO",IF(K2440&lt;=5,"BOM","EXCELENTE")))</f>
        <v/>
      </c>
      <c r="M2440" s="3" t="n">
        <v>0</v>
      </c>
      <c r="N2440" s="3" t="n">
        <v>98.51000000000001</v>
      </c>
      <c r="O2440" s="12" t="n">
        <v>29.71014492753623</v>
      </c>
    </row>
    <row r="2441">
      <c r="A2441" s="10" t="n">
        <v>46077</v>
      </c>
      <c r="B2441" t="inlineStr">
        <is>
          <t>Rafael Gomes de Morais</t>
        </is>
      </c>
      <c r="C2441" s="1" t="inlineStr">
        <is>
          <t>Técnico III</t>
        </is>
      </c>
      <c r="D2441" s="3" t="n">
        <v>38</v>
      </c>
      <c r="E2441" s="3" t="n">
        <v>32</v>
      </c>
      <c r="F2441" s="3" t="n">
        <v>15.07</v>
      </c>
      <c r="G2441" s="3" t="n">
        <v>0</v>
      </c>
      <c r="H2441" s="3" t="n">
        <v>0</v>
      </c>
      <c r="I2441" s="3">
        <f>E2441+G2441+H2441</f>
        <v/>
      </c>
      <c r="J2441" s="3">
        <f>ROUND(MIN(IF(C2441="Técnico III",35,IF(C2441="Técnico II",28,IF(C2441="Técnico I",23,IF(C2441="JR",20,IF(C2441="Estágio",10,0))))),IF(C2441="Técnico III",SUMIFS($D:$D,$A:$A,$A2441,$B:$B,"&lt;&gt;Patrícia Karla de Sousa Araújo",$B:$B,"&lt;&gt;Lorena Dias de Araujo",$B:$B,"&lt;&gt;Lucas Luiz Romero")*(35/1083),IF(C2441="Técnico II",SUMIFS($D:$D,$A:$A,$A2441,$B:$B,"&lt;&gt;Patrícia Karla de Sousa Araújo",$B:$B,"&lt;&gt;Lorena Dias de Araujo",$B:$B,"&lt;&gt;Lucas Luiz Romero")*(28/1083),IF(C2441="Técnico I",SUMIFS($D:$D,$A:$A,$A2441,$B:$B,"&lt;&gt;Patrícia Karla de Sousa Araújo",$B:$B,"&lt;&gt;Lorena Dias de Araujo",$B:$B,"&lt;&gt;Lucas Luiz Romero")*(23/1083),IF(C2441="JR",SUMIFS($D:$D,$A:$A,$A2441,$B:$B,"&lt;&gt;Patrícia Karla de Sousa Araújo",$B:$B,"&lt;&gt;Lorena Dias de Araujo",$B:$B,"&lt;&gt;Lucas Luiz Romero")*(20/1083),IF(C2441="Estágio",SUMIFS($D:$D,$A:$A,$A2441,$B:$B,"&lt;&gt;Patrícia Karla de Sousa Araújo",$B:$B,"&lt;&gt;Lorena Dias de Araujo",$B:$B,"&lt;&gt;Lucas Luiz Romero")*(10/1083),0)))))),0)</f>
        <v/>
      </c>
      <c r="K2441" s="3">
        <f>I2441-J2441</f>
        <v/>
      </c>
      <c r="L2441" s="3">
        <f>IF(K2441&lt;-5,"CRÍTICO",IF(K2441&lt;0,"ATENÇÃO",IF(K2441&lt;=5,"BOM","EXCELENTE")))</f>
        <v/>
      </c>
      <c r="M2441" s="3" t="n">
        <v>27</v>
      </c>
      <c r="N2441" s="3" t="n">
        <v>98.81</v>
      </c>
      <c r="O2441" s="12" t="n">
        <v>30.71297989031079</v>
      </c>
    </row>
    <row r="2442">
      <c r="A2442" s="10" t="n">
        <v>46077</v>
      </c>
      <c r="B2442" t="inlineStr">
        <is>
          <t>Sara Maria Monteiro Lopes</t>
        </is>
      </c>
      <c r="C2442" s="1" t="inlineStr">
        <is>
          <t>Técnico I</t>
        </is>
      </c>
      <c r="D2442" s="3" t="n">
        <v>8</v>
      </c>
      <c r="E2442" s="3" t="n">
        <v>7</v>
      </c>
      <c r="F2442" s="3" t="n">
        <v>47.18</v>
      </c>
      <c r="G2442" s="3" t="n">
        <v>0</v>
      </c>
      <c r="H2442" s="3" t="n">
        <v>0</v>
      </c>
      <c r="I2442" s="3">
        <f>E2442+G2442+H2442</f>
        <v/>
      </c>
      <c r="J2442" s="3">
        <f>ROUND(MIN(IF(C2442="Técnico III",35,IF(C2442="Técnico II",28,IF(C2442="Técnico I",23,IF(C2442="JR",20,IF(C2442="Estágio",10,0))))),IF(C2442="Técnico III",SUMIFS($D:$D,$A:$A,$A2442,$B:$B,"&lt;&gt;Patrícia Karla de Sousa Araújo",$B:$B,"&lt;&gt;Lorena Dias de Araujo",$B:$B,"&lt;&gt;Lucas Luiz Romero")*(35/1083),IF(C2442="Técnico II",SUMIFS($D:$D,$A:$A,$A2442,$B:$B,"&lt;&gt;Patrícia Karla de Sousa Araújo",$B:$B,"&lt;&gt;Lorena Dias de Araujo",$B:$B,"&lt;&gt;Lucas Luiz Romero")*(28/1083),IF(C2442="Técnico I",SUMIFS($D:$D,$A:$A,$A2442,$B:$B,"&lt;&gt;Patrícia Karla de Sousa Araújo",$B:$B,"&lt;&gt;Lorena Dias de Araujo",$B:$B,"&lt;&gt;Lucas Luiz Romero")*(23/1083),IF(C2442="JR",SUMIFS($D:$D,$A:$A,$A2442,$B:$B,"&lt;&gt;Patrícia Karla de Sousa Araújo",$B:$B,"&lt;&gt;Lorena Dias de Araujo",$B:$B,"&lt;&gt;Lucas Luiz Romero")*(20/1083),IF(C2442="Estágio",SUMIFS($D:$D,$A:$A,$A2442,$B:$B,"&lt;&gt;Patrícia Karla de Sousa Araújo",$B:$B,"&lt;&gt;Lorena Dias de Araujo",$B:$B,"&lt;&gt;Lucas Luiz Romero")*(10/1083),0)))))),0)</f>
        <v/>
      </c>
      <c r="K2442" s="3">
        <f>I2442-J2442</f>
        <v/>
      </c>
      <c r="L2442" s="3">
        <f>IF(K2442&lt;-5,"CRÍTICO",IF(K2442&lt;0,"ATENÇÃO",IF(K2442&lt;=5,"BOM","EXCELENTE")))</f>
        <v/>
      </c>
      <c r="M2442" s="3" t="n">
        <v>7</v>
      </c>
      <c r="N2442" s="3" t="n">
        <v>98.48</v>
      </c>
      <c r="O2442" s="12" t="n">
        <v>29.35323383084577</v>
      </c>
    </row>
    <row r="2443">
      <c r="A2443" s="10" t="n">
        <v>46077</v>
      </c>
      <c r="B2443" t="inlineStr">
        <is>
          <t>Sarah Steffanie de Lima Borges</t>
        </is>
      </c>
      <c r="C2443" s="1" t="inlineStr">
        <is>
          <t>Técnico III</t>
        </is>
      </c>
      <c r="D2443" s="3" t="n">
        <v>21</v>
      </c>
      <c r="E2443" s="3" t="n">
        <v>20</v>
      </c>
      <c r="F2443" s="3" t="n">
        <v>28.58</v>
      </c>
      <c r="G2443" s="3" t="n">
        <v>0</v>
      </c>
      <c r="H2443" s="3" t="n">
        <v>0</v>
      </c>
      <c r="I2443" s="3">
        <f>E2443+G2443+H2443</f>
        <v/>
      </c>
      <c r="J2443" s="3">
        <f>ROUND(MIN(IF(C2443="Técnico III",35,IF(C2443="Técnico II",28,IF(C2443="Técnico I",23,IF(C2443="JR",20,IF(C2443="Estágio",10,0))))),IF(C2443="Técnico III",SUMIFS($D:$D,$A:$A,$A2443,$B:$B,"&lt;&gt;Patrícia Karla de Sousa Araújo",$B:$B,"&lt;&gt;Lorena Dias de Araujo",$B:$B,"&lt;&gt;Lucas Luiz Romero")*(35/1083),IF(C2443="Técnico II",SUMIFS($D:$D,$A:$A,$A2443,$B:$B,"&lt;&gt;Patrícia Karla de Sousa Araújo",$B:$B,"&lt;&gt;Lorena Dias de Araujo",$B:$B,"&lt;&gt;Lucas Luiz Romero")*(28/1083),IF(C2443="Técnico I",SUMIFS($D:$D,$A:$A,$A2443,$B:$B,"&lt;&gt;Patrícia Karla de Sousa Araújo",$B:$B,"&lt;&gt;Lorena Dias de Araujo",$B:$B,"&lt;&gt;Lucas Luiz Romero")*(23/1083),IF(C2443="JR",SUMIFS($D:$D,$A:$A,$A2443,$B:$B,"&lt;&gt;Patrícia Karla de Sousa Araújo",$B:$B,"&lt;&gt;Lorena Dias de Araujo",$B:$B,"&lt;&gt;Lucas Luiz Romero")*(20/1083),IF(C2443="Estágio",SUMIFS($D:$D,$A:$A,$A2443,$B:$B,"&lt;&gt;Patrícia Karla de Sousa Araújo",$B:$B,"&lt;&gt;Lorena Dias de Araujo",$B:$B,"&lt;&gt;Lucas Luiz Romero")*(10/1083),0)))))),0)</f>
        <v/>
      </c>
      <c r="K2443" s="3">
        <f>I2443-J2443</f>
        <v/>
      </c>
      <c r="L2443" s="3">
        <f>IF(K2443&lt;-5,"CRÍTICO",IF(K2443&lt;0,"ATENÇÃO",IF(K2443&lt;=5,"BOM","EXCELENTE")))</f>
        <v/>
      </c>
      <c r="M2443" s="3" t="n">
        <v>19</v>
      </c>
      <c r="N2443" s="3" t="n">
        <v>98.56</v>
      </c>
      <c r="O2443" s="12" t="n">
        <v>29.37365010799136</v>
      </c>
    </row>
    <row r="2444">
      <c r="A2444" s="10" t="n">
        <v>46078</v>
      </c>
      <c r="B2444" t="inlineStr">
        <is>
          <t>Alisson de Freitas Silva</t>
        </is>
      </c>
      <c r="C2444" s="1" t="inlineStr">
        <is>
          <t>Técnico II</t>
        </is>
      </c>
      <c r="D2444" s="3" t="n">
        <v>6</v>
      </c>
      <c r="E2444" s="3" t="n">
        <v>6</v>
      </c>
      <c r="F2444" s="3" t="n">
        <v>71.47</v>
      </c>
      <c r="G2444" s="3" t="n">
        <v>0</v>
      </c>
      <c r="H2444" s="3" t="n">
        <v>0</v>
      </c>
      <c r="I2444" s="3">
        <f>E2444+G2444+H2444</f>
        <v/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/>
      </c>
      <c r="K2444" s="3">
        <f>I2444-J2444</f>
        <v/>
      </c>
      <c r="L2444" s="3">
        <f>IF(K2444&lt;-5,"CRÍTICO",IF(K2444&lt;0,"ATENÇÃO",IF(K2444&lt;=5,"BOM","EXCELENTE")))</f>
        <v/>
      </c>
      <c r="M2444" s="3" t="n">
        <v>6</v>
      </c>
      <c r="N2444" s="3" t="n">
        <v>98.31999999999999</v>
      </c>
      <c r="O2444" s="12" t="n">
        <v>30.3030303030303</v>
      </c>
    </row>
    <row r="2445">
      <c r="A2445" s="10" t="n">
        <v>46078</v>
      </c>
      <c r="B2445" t="inlineStr">
        <is>
          <t>Amanda Moura Ferreira</t>
        </is>
      </c>
      <c r="C2445" s="1" t="inlineStr">
        <is>
          <t>Técnico III</t>
        </is>
      </c>
      <c r="D2445" s="3" t="n">
        <v>0</v>
      </c>
      <c r="E2445" s="3" t="n">
        <v>0</v>
      </c>
      <c r="F2445" s="3" t="n">
        <v>0</v>
      </c>
      <c r="G2445" s="3" t="n">
        <v>0</v>
      </c>
      <c r="H2445" s="3" t="n">
        <v>0</v>
      </c>
      <c r="I2445" s="3" t="n">
        <v>0</v>
      </c>
      <c r="J2445" s="3" t="n">
        <v>0</v>
      </c>
      <c r="K2445" s="3" t="n">
        <v>0</v>
      </c>
      <c r="L2445" s="3">
        <f>IF(K2445&lt;-5,"CRÍTICO",IF(K2445&lt;0,"ATENÇÃO",IF(K2445&lt;=5,"BOM","EXCELENTE")))</f>
        <v/>
      </c>
      <c r="M2445" s="3" t="n">
        <v>24</v>
      </c>
      <c r="N2445" s="3" t="n">
        <v>98.68000000000001</v>
      </c>
      <c r="O2445" s="12" t="n">
        <v>26.21951219512195</v>
      </c>
    </row>
    <row r="2446">
      <c r="A2446" s="10" t="n">
        <v>46078</v>
      </c>
      <c r="B2446" t="inlineStr">
        <is>
          <t>Ana Karollyne Souza Faria</t>
        </is>
      </c>
      <c r="C2446" s="1" t="inlineStr">
        <is>
          <t>Técnico I</t>
        </is>
      </c>
      <c r="D2446" s="3" t="n">
        <v>29</v>
      </c>
      <c r="E2446" s="3" t="n">
        <v>27</v>
      </c>
      <c r="F2446" s="3" t="n">
        <v>27.03</v>
      </c>
      <c r="G2446" s="3" t="n">
        <v>0</v>
      </c>
      <c r="H2446" s="3" t="n">
        <v>0</v>
      </c>
      <c r="I2446" s="3">
        <f>E2446+G2446+H2446</f>
        <v/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/>
      </c>
      <c r="K2446" s="3">
        <f>I2446-J2446</f>
        <v/>
      </c>
      <c r="L2446" s="3">
        <f>IF(K2446&lt;-5,"CRÍTICO",IF(K2446&lt;0,"ATENÇÃO",IF(K2446&lt;=5,"BOM","EXCELENTE")))</f>
        <v/>
      </c>
      <c r="M2446" s="3" t="n">
        <v>25</v>
      </c>
      <c r="N2446" s="3" t="n">
        <v>100</v>
      </c>
      <c r="O2446" s="12" t="n">
        <v>31.74224343675418</v>
      </c>
    </row>
    <row r="2447">
      <c r="A2447" s="10" t="n">
        <v>46078</v>
      </c>
      <c r="B2447" t="inlineStr">
        <is>
          <t>Ana Paula Da Luz Silva Aleixo</t>
        </is>
      </c>
      <c r="C2447" s="1" t="inlineStr">
        <is>
          <t>Técnico III</t>
        </is>
      </c>
      <c r="D2447" s="3" t="n">
        <v>18</v>
      </c>
      <c r="E2447" s="3" t="n">
        <v>17</v>
      </c>
      <c r="F2447" s="3" t="n">
        <v>40.31</v>
      </c>
      <c r="G2447" s="3" t="n">
        <v>0</v>
      </c>
      <c r="H2447" s="3" t="n">
        <v>0</v>
      </c>
      <c r="I2447" s="3">
        <f>E2447+G2447+H2447</f>
        <v/>
      </c>
      <c r="J2447" s="3">
        <f>ROUND(MIN(IF(C2447="Técnico III",35,IF(C2447="Técnico II",28,IF(C2447="Técnico I",23,IF(C2447="JR",20,IF(C2447="Estágio",10,0))))),IF(C2447="Técnico III",SUMIFS($D:$D,$A:$A,$A2447,$B:$B,"&lt;&gt;Patrícia Karla de Sousa Araújo",$B:$B,"&lt;&gt;Lorena Dias de Araujo",$B:$B,"&lt;&gt;Lucas Luiz Romero")*(35/1083),IF(C2447="Técnico II",SUMIFS($D:$D,$A:$A,$A2447,$B:$B,"&lt;&gt;Patrícia Karla de Sousa Araújo",$B:$B,"&lt;&gt;Lorena Dias de Araujo",$B:$B,"&lt;&gt;Lucas Luiz Romero")*(28/1083),IF(C2447="Técnico I",SUMIFS($D:$D,$A:$A,$A2447,$B:$B,"&lt;&gt;Patrícia Karla de Sousa Araújo",$B:$B,"&lt;&gt;Lorena Dias de Araujo",$B:$B,"&lt;&gt;Lucas Luiz Romero")*(23/1083),IF(C2447="JR",SUMIFS($D:$D,$A:$A,$A2447,$B:$B,"&lt;&gt;Patrícia Karla de Sousa Araújo",$B:$B,"&lt;&gt;Lorena Dias de Araujo",$B:$B,"&lt;&gt;Lucas Luiz Romero")*(20/1083),IF(C2447="Estágio",SUMIFS($D:$D,$A:$A,$A2447,$B:$B,"&lt;&gt;Patrícia Karla de Sousa Araújo",$B:$B,"&lt;&gt;Lorena Dias de Araujo",$B:$B,"&lt;&gt;Lucas Luiz Romero")*(10/1083),0)))))),0)</f>
        <v/>
      </c>
      <c r="K2447" s="3">
        <f>I2447-J2447</f>
        <v/>
      </c>
      <c r="L2447" s="3">
        <f>IF(K2447&lt;-5,"CRÍTICO",IF(K2447&lt;0,"ATENÇÃO",IF(K2447&lt;=5,"BOM","EXCELENTE")))</f>
        <v/>
      </c>
      <c r="M2447" s="3" t="n">
        <v>13</v>
      </c>
      <c r="N2447" s="3" t="n">
        <v>98.25</v>
      </c>
      <c r="O2447" s="12" t="n">
        <v>25.83518930957684</v>
      </c>
    </row>
    <row r="2448">
      <c r="A2448" s="10" t="n">
        <v>46078</v>
      </c>
      <c r="B2448" t="inlineStr">
        <is>
          <t>Anna Luiza Rezende Tavares</t>
        </is>
      </c>
      <c r="C2448" s="1" t="inlineStr">
        <is>
          <t>Estágio</t>
        </is>
      </c>
      <c r="D2448" s="3" t="n">
        <v>13</v>
      </c>
      <c r="E2448" s="3" t="n">
        <v>12</v>
      </c>
      <c r="F2448" s="3" t="n">
        <v>43.59</v>
      </c>
      <c r="G2448" s="3" t="n">
        <v>0</v>
      </c>
      <c r="H2448" s="3" t="n">
        <v>0</v>
      </c>
      <c r="I2448" s="3">
        <f>E2448+G2448+H2448</f>
        <v/>
      </c>
      <c r="J2448" s="3">
        <f>ROUND(MIN(IF(C2448="Técnico III",35,IF(C2448="Técnico II",28,IF(C2448="Técnico I",23,IF(C2448="JR",20,IF(C2448="Estágio",10,0))))),IF(C2448="Técnico III",SUMIFS($D:$D,$A:$A,$A2448,$B:$B,"&lt;&gt;Patrícia Karla de Sousa Araújo",$B:$B,"&lt;&gt;Lorena Dias de Araujo",$B:$B,"&lt;&gt;Lucas Luiz Romero")*(35/1083),IF(C2448="Técnico II",SUMIFS($D:$D,$A:$A,$A2448,$B:$B,"&lt;&gt;Patrícia Karla de Sousa Araújo",$B:$B,"&lt;&gt;Lorena Dias de Araujo",$B:$B,"&lt;&gt;Lucas Luiz Romero")*(28/1083),IF(C2448="Técnico I",SUMIFS($D:$D,$A:$A,$A2448,$B:$B,"&lt;&gt;Patrícia Karla de Sousa Araújo",$B:$B,"&lt;&gt;Lorena Dias de Araujo",$B:$B,"&lt;&gt;Lucas Luiz Romero")*(23/1083),IF(C2448="JR",SUMIFS($D:$D,$A:$A,$A2448,$B:$B,"&lt;&gt;Patrícia Karla de Sousa Araújo",$B:$B,"&lt;&gt;Lorena Dias de Araujo",$B:$B,"&lt;&gt;Lucas Luiz Romero")*(20/1083),IF(C2448="Estágio",SUMIFS($D:$D,$A:$A,$A2448,$B:$B,"&lt;&gt;Patrícia Karla de Sousa Araújo",$B:$B,"&lt;&gt;Lorena Dias de Araujo",$B:$B,"&lt;&gt;Lucas Luiz Romero")*(10/1083),0)))))),0)</f>
        <v/>
      </c>
      <c r="K2448" s="3">
        <f>I2448-J2448</f>
        <v/>
      </c>
      <c r="L2448" s="3">
        <f>IF(K2448&lt;-5,"CRÍTICO",IF(K2448&lt;0,"ATENÇÃO",IF(K2448&lt;=5,"BOM","EXCELENTE")))</f>
        <v/>
      </c>
      <c r="M2448" s="3" t="n">
        <v>11</v>
      </c>
      <c r="N2448" s="3" t="n">
        <v>97.5</v>
      </c>
      <c r="O2448" s="12" t="n">
        <v>30.07518796992481</v>
      </c>
    </row>
    <row r="2449">
      <c r="A2449" s="10" t="n">
        <v>46078</v>
      </c>
      <c r="B2449" t="inlineStr">
        <is>
          <t>Brenda de Menezes Silva</t>
        </is>
      </c>
      <c r="C2449" s="1" t="inlineStr">
        <is>
          <t>Técnico II</t>
        </is>
      </c>
      <c r="D2449" s="3" t="n">
        <v>34</v>
      </c>
      <c r="E2449" s="3" t="n">
        <v>29</v>
      </c>
      <c r="F2449" s="3" t="n">
        <v>19.19</v>
      </c>
      <c r="G2449" s="3" t="n">
        <v>0</v>
      </c>
      <c r="H2449" s="3" t="n">
        <v>0</v>
      </c>
      <c r="I2449" s="3">
        <f>E2449+G2449+H2449</f>
        <v/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/>
      </c>
      <c r="K2449" s="3">
        <f>I2449-J2449</f>
        <v/>
      </c>
      <c r="L2449" s="3">
        <f>IF(K2449&lt;-5,"CRÍTICO",IF(K2449&lt;0,"ATENÇÃO",IF(K2449&lt;=5,"BOM","EXCELENTE")))</f>
        <v/>
      </c>
      <c r="M2449" s="3" t="n">
        <v>29</v>
      </c>
      <c r="N2449" s="3" t="n">
        <v>100</v>
      </c>
      <c r="O2449" s="12" t="n">
        <v>29.71311475409836</v>
      </c>
    </row>
    <row r="2450">
      <c r="A2450" s="10" t="n">
        <v>46078</v>
      </c>
      <c r="B2450" t="inlineStr">
        <is>
          <t>Carlos Mateus Cassimiro Nunes</t>
        </is>
      </c>
      <c r="C2450" s="1" t="inlineStr">
        <is>
          <t>Técnico II</t>
        </is>
      </c>
      <c r="D2450" s="3" t="n">
        <v>10</v>
      </c>
      <c r="E2450" s="3" t="n">
        <v>10</v>
      </c>
      <c r="F2450" s="3" t="n">
        <v>70.08</v>
      </c>
      <c r="G2450" s="3" t="n">
        <v>0</v>
      </c>
      <c r="H2450" s="3" t="n">
        <v>0</v>
      </c>
      <c r="I2450" s="3">
        <f>E2450+G2450+H2450</f>
        <v/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/>
      </c>
      <c r="K2450" s="3">
        <f>I2450-J2450</f>
        <v/>
      </c>
      <c r="L2450" s="3">
        <f>IF(K2450&lt;-5,"CRÍTICO",IF(K2450&lt;0,"ATENÇÃO",IF(K2450&lt;=5,"BOM","EXCELENTE")))</f>
        <v/>
      </c>
      <c r="M2450" s="3" t="n">
        <v>9</v>
      </c>
      <c r="N2450" s="3" t="n">
        <v>99.22</v>
      </c>
      <c r="O2450" s="12" t="n">
        <v>35.25641025641026</v>
      </c>
    </row>
    <row r="2451">
      <c r="A2451" s="10" t="n">
        <v>46078</v>
      </c>
      <c r="B2451" t="inlineStr">
        <is>
          <t>Claudio de Sousa Velasco Filho</t>
        </is>
      </c>
      <c r="C2451" s="1" t="inlineStr">
        <is>
          <t>Estágio</t>
        </is>
      </c>
      <c r="D2451" s="3" t="n">
        <v>0</v>
      </c>
      <c r="E2451" s="3" t="n">
        <v>0</v>
      </c>
      <c r="F2451" s="3" t="n">
        <v>0</v>
      </c>
      <c r="G2451" s="3" t="n">
        <v>0</v>
      </c>
      <c r="H2451" s="3" t="n">
        <v>0</v>
      </c>
      <c r="I2451" s="3" t="n">
        <v>0</v>
      </c>
      <c r="J2451" s="3" t="n">
        <v>0</v>
      </c>
      <c r="K2451" s="3" t="n">
        <v>0</v>
      </c>
      <c r="L2451" s="3">
        <f>IF(K2451&lt;-5,"CRÍTICO",IF(K2451&lt;0,"ATENÇÃO",IF(K2451&lt;=5,"BOM","EXCELENTE")))</f>
        <v/>
      </c>
      <c r="M2451" s="3" t="n">
        <v>0</v>
      </c>
      <c r="N2451" s="3" t="n">
        <v>0</v>
      </c>
      <c r="O2451" s="12" t="n">
        <v>0</v>
      </c>
    </row>
    <row r="2452">
      <c r="A2452" s="10" t="n">
        <v>46078</v>
      </c>
      <c r="B2452" t="inlineStr">
        <is>
          <t>Clessiane Pereira dos Santos</t>
        </is>
      </c>
      <c r="C2452" s="1" t="inlineStr">
        <is>
          <t>Técnico I</t>
        </is>
      </c>
      <c r="D2452" s="3" t="n">
        <v>16</v>
      </c>
      <c r="E2452" s="3" t="n">
        <v>14</v>
      </c>
      <c r="F2452" s="3" t="n">
        <v>29.15</v>
      </c>
      <c r="G2452" s="3" t="n">
        <v>0</v>
      </c>
      <c r="H2452" s="3" t="n">
        <v>0</v>
      </c>
      <c r="I2452" s="3">
        <f>E2452+G2452+H2452</f>
        <v/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/>
      </c>
      <c r="K2452" s="3">
        <f>I2452-J2452</f>
        <v/>
      </c>
      <c r="L2452" s="3">
        <f>IF(K2452&lt;-5,"CRÍTICO",IF(K2452&lt;0,"ATENÇÃO",IF(K2452&lt;=5,"BOM","EXCELENTE")))</f>
        <v/>
      </c>
      <c r="M2452" s="3" t="n">
        <v>14</v>
      </c>
      <c r="N2452" s="3" t="n">
        <v>98.75</v>
      </c>
      <c r="O2452" s="12" t="n">
        <v>24.32432432432433</v>
      </c>
    </row>
    <row r="2453">
      <c r="A2453" s="10" t="n">
        <v>46078</v>
      </c>
      <c r="B2453" t="inlineStr">
        <is>
          <t>Cristiane Ramos da Silva Rocha</t>
        </is>
      </c>
      <c r="C2453" s="1" t="inlineStr">
        <is>
          <t>Técnico III</t>
        </is>
      </c>
      <c r="D2453" s="3" t="n">
        <v>23</v>
      </c>
      <c r="E2453" s="3" t="n">
        <v>21</v>
      </c>
      <c r="F2453" s="3" t="n">
        <v>26.51</v>
      </c>
      <c r="G2453" s="3" t="n">
        <v>0</v>
      </c>
      <c r="H2453" s="3" t="n">
        <v>0</v>
      </c>
      <c r="I2453" s="3">
        <f>E2453+G2453+H2453</f>
        <v/>
      </c>
      <c r="J2453" s="3">
        <f>ROUND(MIN(IF(C2453="Técnico III",35,IF(C2453="Técnico II",28,IF(C2453="Técnico I",23,IF(C2453="JR",20,IF(C2453="Estágio",10,0))))),IF(C2453="Técnico III",SUMIFS($D:$D,$A:$A,$A2453,$B:$B,"&lt;&gt;Patrícia Karla de Sousa Araújo",$B:$B,"&lt;&gt;Lorena Dias de Araujo",$B:$B,"&lt;&gt;Lucas Luiz Romero")*(35/1083),IF(C2453="Técnico II",SUMIFS($D:$D,$A:$A,$A2453,$B:$B,"&lt;&gt;Patrícia Karla de Sousa Araújo",$B:$B,"&lt;&gt;Lorena Dias de Araujo",$B:$B,"&lt;&gt;Lucas Luiz Romero")*(28/1083),IF(C2453="Técnico I",SUMIFS($D:$D,$A:$A,$A2453,$B:$B,"&lt;&gt;Patrícia Karla de Sousa Araújo",$B:$B,"&lt;&gt;Lorena Dias de Araujo",$B:$B,"&lt;&gt;Lucas Luiz Romero")*(23/1083),IF(C2453="JR",SUMIFS($D:$D,$A:$A,$A2453,$B:$B,"&lt;&gt;Patrícia Karla de Sousa Araújo",$B:$B,"&lt;&gt;Lorena Dias de Araujo",$B:$B,"&lt;&gt;Lucas Luiz Romero")*(20/1083),IF(C2453="Estágio",SUMIFS($D:$D,$A:$A,$A2453,$B:$B,"&lt;&gt;Patrícia Karla de Sousa Araújo",$B:$B,"&lt;&gt;Lorena Dias de Araujo",$B:$B,"&lt;&gt;Lucas Luiz Romero")*(10/1083),0)))))),0)</f>
        <v/>
      </c>
      <c r="K2453" s="3">
        <f>I2453-J2453</f>
        <v/>
      </c>
      <c r="L2453" s="3">
        <f>IF(K2453&lt;-5,"CRÍTICO",IF(K2453&lt;0,"ATENÇÃO",IF(K2453&lt;=5,"BOM","EXCELENTE")))</f>
        <v/>
      </c>
      <c r="M2453" s="3" t="n">
        <v>21</v>
      </c>
      <c r="N2453" s="3" t="n">
        <v>93.48</v>
      </c>
      <c r="O2453" s="12" t="n">
        <v>31.52804642166344</v>
      </c>
    </row>
    <row r="2454">
      <c r="A2454" s="10" t="n">
        <v>46078</v>
      </c>
      <c r="B2454" t="inlineStr">
        <is>
          <t>Damyllis Lorraine de Oliveira Gonçalves</t>
        </is>
      </c>
      <c r="C2454" s="1" t="inlineStr">
        <is>
          <t>Técnico II</t>
        </is>
      </c>
      <c r="D2454" s="3" t="n">
        <v>22</v>
      </c>
      <c r="E2454" s="3" t="n">
        <v>20</v>
      </c>
      <c r="F2454" s="3" t="n">
        <v>35.27</v>
      </c>
      <c r="G2454" s="3" t="n">
        <v>0</v>
      </c>
      <c r="H2454" s="3" t="n">
        <v>0</v>
      </c>
      <c r="I2454" s="3" t="n">
        <v>0</v>
      </c>
      <c r="J2454" s="3" t="n">
        <v>0</v>
      </c>
      <c r="K2454" s="3" t="n">
        <v>0</v>
      </c>
      <c r="L2454" s="3">
        <f>IF(K2454&lt;-5,"CRÍTICO",IF(K2454&lt;0,"ATENÇÃO",IF(K2454&lt;=5,"BOM","EXCELENTE")))</f>
        <v/>
      </c>
      <c r="M2454" s="3" t="n">
        <v>13</v>
      </c>
      <c r="N2454" s="3" t="n">
        <v>99.16</v>
      </c>
      <c r="O2454" s="12" t="n">
        <v>26.13908872901678</v>
      </c>
    </row>
    <row r="2455">
      <c r="A2455" s="10" t="n">
        <v>46078</v>
      </c>
      <c r="B2455" t="inlineStr">
        <is>
          <t>Daniel Gomes da Silva</t>
        </is>
      </c>
      <c r="C2455" s="1" t="inlineStr">
        <is>
          <t>Técnico I</t>
        </is>
      </c>
      <c r="D2455" s="3" t="n">
        <v>14</v>
      </c>
      <c r="E2455" s="3" t="n">
        <v>14</v>
      </c>
      <c r="F2455" s="3" t="n">
        <v>47.07</v>
      </c>
      <c r="G2455" s="3" t="n">
        <v>0</v>
      </c>
      <c r="H2455" s="3" t="n">
        <v>0</v>
      </c>
      <c r="I2455" s="3">
        <f>E2455+G2455+H2455</f>
        <v/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/>
      </c>
      <c r="K2455" s="3">
        <f>I2455-J2455</f>
        <v/>
      </c>
      <c r="L2455" s="3">
        <f>IF(K2455&lt;-5,"CRÍTICO",IF(K2455&lt;0,"ATENÇÃO",IF(K2455&lt;=5,"BOM","EXCELENTE")))</f>
        <v/>
      </c>
      <c r="M2455" s="3" t="n">
        <v>11</v>
      </c>
      <c r="N2455" s="3" t="n">
        <v>100</v>
      </c>
      <c r="O2455" s="12" t="n">
        <v>31.08974358974359</v>
      </c>
    </row>
    <row r="2456">
      <c r="A2456" s="10" t="n">
        <v>46078</v>
      </c>
      <c r="B2456" t="inlineStr">
        <is>
          <t>Davylla Rodrigues Freitas Silva</t>
        </is>
      </c>
      <c r="C2456" s="1" t="inlineStr">
        <is>
          <t>Técnico III</t>
        </is>
      </c>
      <c r="D2456" s="3" t="n">
        <v>15</v>
      </c>
      <c r="E2456" s="3" t="n">
        <v>15</v>
      </c>
      <c r="F2456" s="3" t="n">
        <v>54.14</v>
      </c>
      <c r="G2456" s="3" t="n">
        <v>0</v>
      </c>
      <c r="H2456" s="3" t="n">
        <v>0</v>
      </c>
      <c r="I2456" s="3" t="n">
        <v>0</v>
      </c>
      <c r="J2456" s="3" t="n">
        <v>0</v>
      </c>
      <c r="K2456" s="3" t="n">
        <v>0</v>
      </c>
      <c r="L2456" s="3">
        <f>IF(K2456&lt;-5,"CRÍTICO",IF(K2456&lt;0,"ATENÇÃO",IF(K2456&lt;=5,"BOM","EXCELENTE")))</f>
        <v/>
      </c>
      <c r="M2456" s="3" t="n">
        <v>15</v>
      </c>
      <c r="N2456" s="3" t="n">
        <v>98.11</v>
      </c>
      <c r="O2456" s="12" t="n">
        <v>33.03370786516854</v>
      </c>
    </row>
    <row r="2457">
      <c r="A2457" s="10" t="n">
        <v>46078</v>
      </c>
      <c r="B2457" t="inlineStr">
        <is>
          <t>Emilly Caylane Costa</t>
        </is>
      </c>
      <c r="C2457" s="1" t="inlineStr">
        <is>
          <t>Estágio</t>
        </is>
      </c>
      <c r="D2457" s="3" t="n">
        <v>11</v>
      </c>
      <c r="E2457" s="3" t="n">
        <v>10</v>
      </c>
      <c r="F2457" s="3" t="n">
        <v>35.19</v>
      </c>
      <c r="G2457" s="3" t="n">
        <v>0</v>
      </c>
      <c r="H2457" s="3" t="n">
        <v>0</v>
      </c>
      <c r="I2457" s="3">
        <f>E2457+G2457+H2457</f>
        <v/>
      </c>
      <c r="J2457" s="3">
        <f>ROUND(MIN(IF(C2457="Técnico III",35,IF(C2457="Técnico II",28,IF(C2457="Técnico I",23,IF(C2457="JR",20,IF(C2457="Estágio",10,0))))),IF(C2457="Técnico III",SUMIFS($D:$D,$A:$A,$A2457,$B:$B,"&lt;&gt;Patrícia Karla de Sousa Araújo",$B:$B,"&lt;&gt;Lorena Dias de Araujo",$B:$B,"&lt;&gt;Lucas Luiz Romero")*(35/1083),IF(C2457="Técnico II",SUMIFS($D:$D,$A:$A,$A2457,$B:$B,"&lt;&gt;Patrícia Karla de Sousa Araújo",$B:$B,"&lt;&gt;Lorena Dias de Araujo",$B:$B,"&lt;&gt;Lucas Luiz Romero")*(28/1083),IF(C2457="Técnico I",SUMIFS($D:$D,$A:$A,$A2457,$B:$B,"&lt;&gt;Patrícia Karla de Sousa Araújo",$B:$B,"&lt;&gt;Lorena Dias de Araujo",$B:$B,"&lt;&gt;Lucas Luiz Romero")*(23/1083),IF(C2457="JR",SUMIFS($D:$D,$A:$A,$A2457,$B:$B,"&lt;&gt;Patrícia Karla de Sousa Araújo",$B:$B,"&lt;&gt;Lorena Dias de Araujo",$B:$B,"&lt;&gt;Lucas Luiz Romero")*(20/1083),IF(C2457="Estágio",SUMIFS($D:$D,$A:$A,$A2457,$B:$B,"&lt;&gt;Patrícia Karla de Sousa Araújo",$B:$B,"&lt;&gt;Lorena Dias de Araujo",$B:$B,"&lt;&gt;Lucas Luiz Romero")*(10/1083),0)))))),0)</f>
        <v/>
      </c>
      <c r="K2457" s="3">
        <f>I2457-J2457</f>
        <v/>
      </c>
      <c r="L2457" s="3">
        <f>IF(K2457&lt;-5,"CRÍTICO",IF(K2457&lt;0,"ATENÇÃO",IF(K2457&lt;=5,"BOM","EXCELENTE")))</f>
        <v/>
      </c>
      <c r="M2457" s="3" t="n">
        <v>5</v>
      </c>
      <c r="N2457" s="3" t="n">
        <v>78.95</v>
      </c>
      <c r="O2457" s="12" t="n">
        <v>38.98305084745763</v>
      </c>
    </row>
    <row r="2458">
      <c r="A2458" s="10" t="n">
        <v>46078</v>
      </c>
      <c r="B2458" t="inlineStr">
        <is>
          <t>Emilly Kamilly Medeiros Miranda</t>
        </is>
      </c>
      <c r="C2458" s="1" t="inlineStr">
        <is>
          <t>Técnico II</t>
        </is>
      </c>
      <c r="D2458" s="3" t="n">
        <v>18</v>
      </c>
      <c r="E2458" s="3" t="n">
        <v>17</v>
      </c>
      <c r="F2458" s="3" t="n">
        <v>20.52</v>
      </c>
      <c r="G2458" s="3" t="n">
        <v>0</v>
      </c>
      <c r="H2458" s="3" t="n">
        <v>0</v>
      </c>
      <c r="I2458" s="3">
        <f>E2458+G2458+H2458</f>
        <v/>
      </c>
      <c r="J2458" s="3">
        <f>ROUND(MIN(IF(C2458="Técnico III",35,IF(C2458="Técnico II",28,IF(C2458="Técnico I",23,IF(C2458="JR",20,IF(C2458="Estágio",10,0))))),IF(C2458="Técnico III",SUMIFS($D:$D,$A:$A,$A2458,$B:$B,"&lt;&gt;Patrícia Karla de Sousa Araújo",$B:$B,"&lt;&gt;Lorena Dias de Araujo",$B:$B,"&lt;&gt;Lucas Luiz Romero")*(35/1083),IF(C2458="Técnico II",SUMIFS($D:$D,$A:$A,$A2458,$B:$B,"&lt;&gt;Patrícia Karla de Sousa Araújo",$B:$B,"&lt;&gt;Lorena Dias de Araujo",$B:$B,"&lt;&gt;Lucas Luiz Romero")*(28/1083),IF(C2458="Técnico I",SUMIFS($D:$D,$A:$A,$A2458,$B:$B,"&lt;&gt;Patrícia Karla de Sousa Araújo",$B:$B,"&lt;&gt;Lorena Dias de Araujo",$B:$B,"&lt;&gt;Lucas Luiz Romero")*(23/1083),IF(C2458="JR",SUMIFS($D:$D,$A:$A,$A2458,$B:$B,"&lt;&gt;Patrícia Karla de Sousa Araújo",$B:$B,"&lt;&gt;Lorena Dias de Araujo",$B:$B,"&lt;&gt;Lucas Luiz Romero")*(20/1083),IF(C2458="Estágio",SUMIFS($D:$D,$A:$A,$A2458,$B:$B,"&lt;&gt;Patrícia Karla de Sousa Araújo",$B:$B,"&lt;&gt;Lorena Dias de Araujo",$B:$B,"&lt;&gt;Lucas Luiz Romero")*(10/1083),0)))))),0)</f>
        <v/>
      </c>
      <c r="K2458" s="3">
        <f>I2458-J2458</f>
        <v/>
      </c>
      <c r="L2458" s="3">
        <f>IF(K2458&lt;-5,"CRÍTICO",IF(K2458&lt;0,"ATENÇÃO",IF(K2458&lt;=5,"BOM","EXCELENTE")))</f>
        <v/>
      </c>
      <c r="M2458" s="3" t="n">
        <v>16</v>
      </c>
      <c r="N2458" s="3" t="n">
        <v>98.45</v>
      </c>
      <c r="O2458" s="12" t="n">
        <v>29.2817679558011</v>
      </c>
    </row>
    <row r="2459">
      <c r="A2459" s="10" t="n">
        <v>46078</v>
      </c>
      <c r="B2459" t="inlineStr">
        <is>
          <t>Francielson de Oliveira</t>
        </is>
      </c>
      <c r="C2459" s="1" t="inlineStr">
        <is>
          <t>Técnico III</t>
        </is>
      </c>
      <c r="D2459" s="3" t="n">
        <v>19</v>
      </c>
      <c r="E2459" s="3" t="n">
        <v>18</v>
      </c>
      <c r="F2459" s="3" t="n">
        <v>30.19</v>
      </c>
      <c r="G2459" s="3" t="n">
        <v>0</v>
      </c>
      <c r="H2459" s="3" t="n">
        <v>0</v>
      </c>
      <c r="I2459" s="3">
        <f>E2459+G2459+H2459</f>
        <v/>
      </c>
      <c r="J2459" s="3">
        <f>ROUND(MIN(IF(C2459="Técnico III",35,IF(C2459="Técnico II",28,IF(C2459="Técnico I",23,IF(C2459="JR",20,IF(C2459="Estágio",10,0))))),IF(C2459="Técnico III",SUMIFS($D:$D,$A:$A,$A2459,$B:$B,"&lt;&gt;Patrícia Karla de Sousa Araújo",$B:$B,"&lt;&gt;Lorena Dias de Araujo",$B:$B,"&lt;&gt;Lucas Luiz Romero")*(35/1083),IF(C2459="Técnico II",SUMIFS($D:$D,$A:$A,$A2459,$B:$B,"&lt;&gt;Patrícia Karla de Sousa Araújo",$B:$B,"&lt;&gt;Lorena Dias de Araujo",$B:$B,"&lt;&gt;Lucas Luiz Romero")*(28/1083),IF(C2459="Técnico I",SUMIFS($D:$D,$A:$A,$A2459,$B:$B,"&lt;&gt;Patrícia Karla de Sousa Araújo",$B:$B,"&lt;&gt;Lorena Dias de Araujo",$B:$B,"&lt;&gt;Lucas Luiz Romero")*(23/1083),IF(C2459="JR",SUMIFS($D:$D,$A:$A,$A2459,$B:$B,"&lt;&gt;Patrícia Karla de Sousa Araújo",$B:$B,"&lt;&gt;Lorena Dias de Araujo",$B:$B,"&lt;&gt;Lucas Luiz Romero")*(20/1083),IF(C2459="Estágio",SUMIFS($D:$D,$A:$A,$A2459,$B:$B,"&lt;&gt;Patrícia Karla de Sousa Araújo",$B:$B,"&lt;&gt;Lorena Dias de Araujo",$B:$B,"&lt;&gt;Lucas Luiz Romero")*(10/1083),0)))))),0)</f>
        <v/>
      </c>
      <c r="K2459" s="3">
        <f>I2459-J2459</f>
        <v/>
      </c>
      <c r="L2459" s="3">
        <f>IF(K2459&lt;-5,"CRÍTICO",IF(K2459&lt;0,"ATENÇÃO",IF(K2459&lt;=5,"BOM","EXCELENTE")))</f>
        <v/>
      </c>
      <c r="M2459" s="3" t="n">
        <v>19</v>
      </c>
      <c r="N2459" s="3" t="n">
        <v>97.84</v>
      </c>
      <c r="O2459" s="12" t="n">
        <v>26.28205128205128</v>
      </c>
    </row>
    <row r="2460">
      <c r="A2460" s="10" t="n">
        <v>46078</v>
      </c>
      <c r="B2460" t="inlineStr">
        <is>
          <t>Francilene Ferreira de Jesus</t>
        </is>
      </c>
      <c r="C2460" s="1" t="inlineStr">
        <is>
          <t>Técnico II</t>
        </is>
      </c>
      <c r="D2460" s="3" t="n">
        <v>25</v>
      </c>
      <c r="E2460" s="3" t="n">
        <v>21</v>
      </c>
      <c r="F2460" s="3" t="n">
        <v>32.38</v>
      </c>
      <c r="G2460" s="3" t="n">
        <v>0</v>
      </c>
      <c r="H2460" s="3" t="n">
        <v>0</v>
      </c>
      <c r="I2460" s="3">
        <f>E2460+G2460+H2460</f>
        <v/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/>
      </c>
      <c r="K2460" s="3">
        <f>I2460-J2460</f>
        <v/>
      </c>
      <c r="L2460" s="3">
        <f>IF(K2460&lt;-5,"CRÍTICO",IF(K2460&lt;0,"ATENÇÃO",IF(K2460&lt;=5,"BOM","EXCELENTE")))</f>
        <v/>
      </c>
      <c r="M2460" s="3" t="n">
        <v>20</v>
      </c>
      <c r="N2460" s="3" t="n">
        <v>98.5</v>
      </c>
      <c r="O2460" s="12" t="n">
        <v>23.97769516728625</v>
      </c>
    </row>
    <row r="2461">
      <c r="A2461" s="10" t="n">
        <v>46112</v>
      </c>
      <c r="B2461" t="inlineStr">
        <is>
          <t>Gabriel Gomes de Andrade</t>
        </is>
      </c>
      <c r="C2461" s="1" t="inlineStr">
        <is>
          <t>Técnico I</t>
        </is>
      </c>
      <c r="D2461" s="3" t="n">
        <v>29</v>
      </c>
      <c r="E2461" s="3" t="n">
        <v>27</v>
      </c>
      <c r="F2461" s="3" t="n">
        <v>18.33</v>
      </c>
      <c r="G2461" s="3" t="n">
        <v>0</v>
      </c>
      <c r="H2461" s="3" t="n">
        <v>0</v>
      </c>
      <c r="I2461" s="3">
        <f>E2461+G2461+H2461</f>
        <v/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/>
      </c>
      <c r="K2461" s="3">
        <f>I2461-J2461</f>
        <v/>
      </c>
      <c r="L2461" s="3">
        <f>IF(K2461&lt;-5,"CRÍTICO",IF(K2461&lt;0,"ATENÇÃO",IF(K2461&lt;=5,"BOM","EXCELENTE")))</f>
        <v/>
      </c>
      <c r="M2461" s="3" t="n">
        <v>22</v>
      </c>
      <c r="N2461" s="3" t="n">
        <v>99.05</v>
      </c>
      <c r="O2461" s="12" t="n">
        <v>26.62192393736018</v>
      </c>
    </row>
    <row r="2462">
      <c r="A2462" s="10" t="n">
        <v>46078</v>
      </c>
      <c r="B2462" t="inlineStr">
        <is>
          <t>Isabella Borges de Oliveira</t>
        </is>
      </c>
      <c r="C2462" s="1" t="inlineStr">
        <is>
          <t>Técnico II</t>
        </is>
      </c>
      <c r="D2462" s="3" t="n">
        <v>24</v>
      </c>
      <c r="E2462" s="3" t="n">
        <v>19</v>
      </c>
      <c r="F2462" s="3" t="n">
        <v>32.36</v>
      </c>
      <c r="G2462" s="3" t="n">
        <v>0</v>
      </c>
      <c r="H2462" s="3" t="n">
        <v>0</v>
      </c>
      <c r="I2462" s="3">
        <f>E2462+G2462+H2462</f>
        <v/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/>
      </c>
      <c r="K2462" s="3">
        <f>I2462-J2462</f>
        <v/>
      </c>
      <c r="L2462" s="3">
        <f>IF(K2462&lt;-5,"CRÍTICO",IF(K2462&lt;0,"ATENÇÃO",IF(K2462&lt;=5,"BOM","EXCELENTE")))</f>
        <v/>
      </c>
      <c r="M2462" s="3" t="n">
        <v>18</v>
      </c>
      <c r="N2462" s="3" t="n">
        <v>98.53</v>
      </c>
      <c r="O2462" s="12" t="n">
        <v>31.57894736842105</v>
      </c>
    </row>
    <row r="2463">
      <c r="A2463" s="10" t="n">
        <v>46078</v>
      </c>
      <c r="B2463" t="inlineStr">
        <is>
          <t>Janaina Lima dos Reis Urany</t>
        </is>
      </c>
      <c r="C2463" s="1" t="inlineStr">
        <is>
          <t>Técnico III</t>
        </is>
      </c>
      <c r="D2463" s="3" t="n">
        <v>36</v>
      </c>
      <c r="E2463" s="3" t="n">
        <v>35</v>
      </c>
      <c r="F2463" s="3" t="n">
        <v>17.28</v>
      </c>
      <c r="G2463" s="3" t="n">
        <v>0</v>
      </c>
      <c r="H2463" s="3" t="n">
        <v>0</v>
      </c>
      <c r="I2463" s="3">
        <f>E2463+G2463+H2463</f>
        <v/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/>
      </c>
      <c r="K2463" s="3">
        <f>I2463-J2463</f>
        <v/>
      </c>
      <c r="L2463" s="3">
        <f>IF(K2463&lt;-5,"CRÍTICO",IF(K2463&lt;0,"ATENÇÃO",IF(K2463&lt;=5,"BOM","EXCELENTE")))</f>
        <v/>
      </c>
      <c r="M2463" s="3" t="n">
        <v>32</v>
      </c>
      <c r="N2463" s="3" t="n">
        <v>100</v>
      </c>
      <c r="O2463" s="12" t="n">
        <v>25.72214580467676</v>
      </c>
    </row>
    <row r="2464">
      <c r="A2464" s="10" t="n">
        <v>46078</v>
      </c>
      <c r="B2464" t="inlineStr">
        <is>
          <t>Jaqueline Evangelista da Silva Martins</t>
        </is>
      </c>
      <c r="C2464" s="1" t="inlineStr">
        <is>
          <t>Técnico III</t>
        </is>
      </c>
      <c r="D2464" s="3" t="n">
        <v>21</v>
      </c>
      <c r="E2464" s="3" t="n">
        <v>17</v>
      </c>
      <c r="F2464" s="3" t="n">
        <v>19</v>
      </c>
      <c r="G2464" s="3" t="n">
        <v>0</v>
      </c>
      <c r="H2464" s="3" t="n">
        <v>0</v>
      </c>
      <c r="I2464" s="3">
        <f>E2464+G2464+H2464</f>
        <v/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/>
      </c>
      <c r="K2464" s="3">
        <f>I2464-J2464</f>
        <v/>
      </c>
      <c r="L2464" s="3">
        <f>IF(K2464&lt;-5,"CRÍTICO",IF(K2464&lt;0,"ATENÇÃO",IF(K2464&lt;=5,"BOM","EXCELENTE")))</f>
        <v/>
      </c>
      <c r="M2464" s="3" t="n">
        <v>14</v>
      </c>
      <c r="N2464" s="3" t="n">
        <v>94.64</v>
      </c>
      <c r="O2464" s="12" t="n">
        <v>27.52941176470588</v>
      </c>
    </row>
    <row r="2465">
      <c r="A2465" s="10" t="n">
        <v>46078</v>
      </c>
      <c r="B2465" t="inlineStr">
        <is>
          <t>Jessica Faria da Silveira</t>
        </is>
      </c>
      <c r="C2465" s="1" t="inlineStr">
        <is>
          <t>Técnico II</t>
        </is>
      </c>
      <c r="D2465" s="3" t="n">
        <v>0</v>
      </c>
      <c r="E2465" s="3" t="n">
        <v>0</v>
      </c>
      <c r="F2465" s="3" t="n">
        <v>0</v>
      </c>
      <c r="G2465" s="3" t="n">
        <v>0</v>
      </c>
      <c r="H2465" s="3" t="n">
        <v>0</v>
      </c>
      <c r="I2465" s="3" t="n">
        <v>0</v>
      </c>
      <c r="J2465" s="3" t="n">
        <v>0</v>
      </c>
      <c r="K2465" s="3" t="n">
        <v>0</v>
      </c>
      <c r="L2465" s="3">
        <f>IF(K2465&lt;-5,"CRÍTICO",IF(K2465&lt;0,"ATENÇÃO",IF(K2465&lt;=5,"BOM","EXCELENTE")))</f>
        <v/>
      </c>
      <c r="M2465" s="3" t="n">
        <v>0</v>
      </c>
      <c r="N2465" s="3" t="n">
        <v>99.06999999999999</v>
      </c>
      <c r="O2465" s="12" t="n">
        <v>26.3768115942029</v>
      </c>
    </row>
    <row r="2466">
      <c r="A2466" s="10" t="n">
        <v>46078</v>
      </c>
      <c r="B2466" t="inlineStr">
        <is>
          <t>Jéssica Fé Moura</t>
        </is>
      </c>
      <c r="C2466" s="1" t="inlineStr">
        <is>
          <t>Técnico III</t>
        </is>
      </c>
      <c r="D2466" s="3" t="n">
        <v>0</v>
      </c>
      <c r="E2466" s="3" t="n">
        <v>0</v>
      </c>
      <c r="F2466" s="3" t="n">
        <v>0</v>
      </c>
      <c r="G2466" s="3" t="n">
        <v>0</v>
      </c>
      <c r="H2466" s="3" t="n">
        <v>0</v>
      </c>
      <c r="I2466" s="3" t="n">
        <v>0</v>
      </c>
      <c r="J2466" s="3" t="n">
        <v>0</v>
      </c>
      <c r="K2466" s="3" t="n">
        <v>0</v>
      </c>
      <c r="L2466" s="3">
        <f>IF(K2466&lt;-5,"CRÍTICO",IF(K2466&lt;0,"ATENÇÃO",IF(K2466&lt;=5,"BOM","EXCELENTE")))</f>
        <v/>
      </c>
      <c r="M2466" s="3" t="n">
        <v>0</v>
      </c>
      <c r="N2466" s="3" t="n">
        <v>100</v>
      </c>
      <c r="O2466" s="12" t="n">
        <v>0</v>
      </c>
    </row>
    <row r="2467">
      <c r="A2467" s="10" t="n">
        <v>46078</v>
      </c>
      <c r="B2467" t="inlineStr">
        <is>
          <t>Karina Gonçalves Martins</t>
        </is>
      </c>
      <c r="C2467" s="1" t="inlineStr">
        <is>
          <t>JR</t>
        </is>
      </c>
      <c r="D2467" s="3" t="n">
        <v>13</v>
      </c>
      <c r="E2467" s="3" t="n">
        <v>10</v>
      </c>
      <c r="F2467" s="3" t="n">
        <v>35.19</v>
      </c>
      <c r="G2467" s="3" t="n">
        <v>0</v>
      </c>
      <c r="H2467" s="3" t="n">
        <v>0</v>
      </c>
      <c r="I2467" s="3">
        <f>E2467+G2467+H2467</f>
        <v/>
      </c>
      <c r="J2467" s="3">
        <f>ROUND(MIN(IF(C2467="Técnico III",35,IF(C2467="Técnico II",28,IF(C2467="Técnico I",23,IF(C2467="JR",20,IF(C2467="Estágio",10,0))))),IF(C2467="Técnico III",SUMIFS($D:$D,$A:$A,$A2467,$B:$B,"&lt;&gt;Patrícia Karla de Sousa Araújo",$B:$B,"&lt;&gt;Lorena Dias de Araujo",$B:$B,"&lt;&gt;Lucas Luiz Romero")*(35/1083),IF(C2467="Técnico II",SUMIFS($D:$D,$A:$A,$A2467,$B:$B,"&lt;&gt;Patrícia Karla de Sousa Araújo",$B:$B,"&lt;&gt;Lorena Dias de Araujo",$B:$B,"&lt;&gt;Lucas Luiz Romero")*(28/1083),IF(C2467="Técnico I",SUMIFS($D:$D,$A:$A,$A2467,$B:$B,"&lt;&gt;Patrícia Karla de Sousa Araújo",$B:$B,"&lt;&gt;Lorena Dias de Araujo",$B:$B,"&lt;&gt;Lucas Luiz Romero")*(23/1083),IF(C2467="JR",SUMIFS($D:$D,$A:$A,$A2467,$B:$B,"&lt;&gt;Patrícia Karla de Sousa Araújo",$B:$B,"&lt;&gt;Lorena Dias de Araujo",$B:$B,"&lt;&gt;Lucas Luiz Romero")*(20/1083),IF(C2467="Estágio",SUMIFS($D:$D,$A:$A,$A2467,$B:$B,"&lt;&gt;Patrícia Karla de Sousa Araújo",$B:$B,"&lt;&gt;Lorena Dias de Araujo",$B:$B,"&lt;&gt;Lucas Luiz Romero")*(10/1083),0)))))),0)</f>
        <v/>
      </c>
      <c r="K2467" s="3">
        <f>I2467-J2467</f>
        <v/>
      </c>
      <c r="L2467" s="3">
        <f>IF(K2467&lt;-5,"CRÍTICO",IF(K2467&lt;0,"ATENÇÃO",IF(K2467&lt;=5,"BOM","EXCELENTE")))</f>
        <v/>
      </c>
      <c r="M2467" s="3" t="n">
        <v>8</v>
      </c>
      <c r="N2467" s="3" t="n">
        <v>98.48</v>
      </c>
      <c r="O2467" s="12" t="n">
        <v>27.85388127853881</v>
      </c>
    </row>
    <row r="2468">
      <c r="A2468" s="10" t="n">
        <v>46078</v>
      </c>
      <c r="B2468" t="inlineStr">
        <is>
          <t>Kerollen Cristielly de Jesus Siqueira</t>
        </is>
      </c>
      <c r="C2468" s="1" t="inlineStr">
        <is>
          <t>Técnico III</t>
        </is>
      </c>
      <c r="D2468" s="3" t="n">
        <v>0</v>
      </c>
      <c r="E2468" s="3" t="n">
        <v>0</v>
      </c>
      <c r="F2468" s="3" t="n">
        <v>0</v>
      </c>
      <c r="G2468" s="3" t="n">
        <v>0</v>
      </c>
      <c r="H2468" s="3" t="n">
        <v>0</v>
      </c>
      <c r="I2468" s="3" t="n">
        <v>0</v>
      </c>
      <c r="J2468" s="3" t="n">
        <v>0</v>
      </c>
      <c r="K2468" s="3" t="n">
        <v>0</v>
      </c>
      <c r="L2468" s="3">
        <f>IF(K2468&lt;-5,"CRÍTICO",IF(K2468&lt;0,"ATENÇÃO",IF(K2468&lt;=5,"BOM","EXCELENTE")))</f>
        <v/>
      </c>
      <c r="M2468" s="3" t="n">
        <v>30</v>
      </c>
      <c r="N2468" s="3" t="n">
        <v>95.15000000000001</v>
      </c>
      <c r="O2468" s="12" t="n">
        <v>34.13173652694611</v>
      </c>
    </row>
    <row r="2469">
      <c r="A2469" s="10" t="n">
        <v>46078</v>
      </c>
      <c r="B2469" t="inlineStr">
        <is>
          <t>Leandro de Souza Silva</t>
        </is>
      </c>
      <c r="C2469" s="1" t="inlineStr">
        <is>
          <t>JR</t>
        </is>
      </c>
      <c r="D2469" s="3" t="n">
        <v>0</v>
      </c>
      <c r="E2469" s="3" t="n">
        <v>0</v>
      </c>
      <c r="F2469" s="3" t="n">
        <v>0</v>
      </c>
      <c r="G2469" s="3" t="n">
        <v>0</v>
      </c>
      <c r="H2469" s="3" t="n">
        <v>0</v>
      </c>
      <c r="I2469" s="3" t="n">
        <v>0</v>
      </c>
      <c r="J2469" s="3" t="n">
        <v>0</v>
      </c>
      <c r="K2469" s="3" t="n">
        <v>0</v>
      </c>
      <c r="L2469" s="3">
        <f>IF(K2469&lt;-5,"CRÍTICO",IF(K2469&lt;0,"ATENÇÃO",IF(K2469&lt;=5,"BOM","EXCELENTE")))</f>
        <v/>
      </c>
      <c r="M2469" s="3" t="n">
        <v>0</v>
      </c>
      <c r="N2469" s="3" t="n">
        <v>0</v>
      </c>
      <c r="O2469" s="12" t="n">
        <v>0</v>
      </c>
    </row>
    <row r="2470">
      <c r="A2470" s="10" t="n">
        <v>46078</v>
      </c>
      <c r="B2470" t="inlineStr">
        <is>
          <t>Leandro Oliveira de Sousa</t>
        </is>
      </c>
      <c r="C2470" s="1" t="inlineStr">
        <is>
          <t>Técnico III</t>
        </is>
      </c>
      <c r="D2470" s="3" t="n">
        <v>18</v>
      </c>
      <c r="E2470" s="3" t="n">
        <v>17</v>
      </c>
      <c r="F2470" s="3" t="n">
        <v>25.28</v>
      </c>
      <c r="G2470" s="3" t="n">
        <v>0</v>
      </c>
      <c r="H2470" s="3" t="n">
        <v>0</v>
      </c>
      <c r="I2470" s="3">
        <f>E2470+G2470+H2470</f>
        <v/>
      </c>
      <c r="J2470" s="3">
        <f>ROUND(MIN(IF(C2470="Técnico III",35,IF(C2470="Técnico II",28,IF(C2470="Técnico I",23,IF(C2470="JR",20,IF(C2470="Estágio",10,0))))),IF(C2470="Técnico III",SUMIFS($D:$D,$A:$A,$A2470,$B:$B,"&lt;&gt;Patrícia Karla de Sousa Araújo",$B:$B,"&lt;&gt;Lorena Dias de Araujo",$B:$B,"&lt;&gt;Lucas Luiz Romero")*(35/1083),IF(C2470="Técnico II",SUMIFS($D:$D,$A:$A,$A2470,$B:$B,"&lt;&gt;Patrícia Karla de Sousa Araújo",$B:$B,"&lt;&gt;Lorena Dias de Araujo",$B:$B,"&lt;&gt;Lucas Luiz Romero")*(28/1083),IF(C2470="Técnico I",SUMIFS($D:$D,$A:$A,$A2470,$B:$B,"&lt;&gt;Patrícia Karla de Sousa Araújo",$B:$B,"&lt;&gt;Lorena Dias de Araujo",$B:$B,"&lt;&gt;Lucas Luiz Romero")*(23/1083),IF(C2470="JR",SUMIFS($D:$D,$A:$A,$A2470,$B:$B,"&lt;&gt;Patrícia Karla de Sousa Araújo",$B:$B,"&lt;&gt;Lorena Dias de Araujo",$B:$B,"&lt;&gt;Lucas Luiz Romero")*(20/1083),IF(C2470="Estágio",SUMIFS($D:$D,$A:$A,$A2470,$B:$B,"&lt;&gt;Patrícia Karla de Sousa Araújo",$B:$B,"&lt;&gt;Lorena Dias de Araujo",$B:$B,"&lt;&gt;Lucas Luiz Romero")*(10/1083),0)))))),0)</f>
        <v/>
      </c>
      <c r="K2470" s="3">
        <f>I2470-J2470</f>
        <v/>
      </c>
      <c r="L2470" s="3">
        <f>IF(K2470&lt;-5,"CRÍTICO",IF(K2470&lt;0,"ATENÇÃO",IF(K2470&lt;=5,"BOM","EXCELENTE")))</f>
        <v/>
      </c>
      <c r="M2470" s="3" t="n">
        <v>16</v>
      </c>
      <c r="N2470" s="3" t="n">
        <v>99.26000000000001</v>
      </c>
      <c r="O2470" s="12" t="n">
        <v>30.84832904884319</v>
      </c>
    </row>
    <row r="2471">
      <c r="A2471" s="10" t="n">
        <v>46078</v>
      </c>
      <c r="B2471" t="inlineStr">
        <is>
          <t>Lizandra Gomes Duarte</t>
        </is>
      </c>
      <c r="C2471" s="1" t="inlineStr">
        <is>
          <t>Técnico II</t>
        </is>
      </c>
      <c r="D2471" s="3" t="n">
        <v>31</v>
      </c>
      <c r="E2471" s="3" t="n">
        <v>27</v>
      </c>
      <c r="F2471" s="3" t="n">
        <v>25.11</v>
      </c>
      <c r="G2471" s="3" t="n">
        <v>0</v>
      </c>
      <c r="H2471" s="3" t="n">
        <v>0</v>
      </c>
      <c r="I2471" s="3">
        <f>E2471+G2471+H2471</f>
        <v/>
      </c>
      <c r="J2471" s="3">
        <f>ROUND(MIN(IF(C2471="Técnico III",35,IF(C2471="Técnico II",28,IF(C2471="Técnico I",23,IF(C2471="JR",20,IF(C2471="Estágio",10,0))))),IF(C2471="Técnico III",SUMIFS($D:$D,$A:$A,$A2471,$B:$B,"&lt;&gt;Patrícia Karla de Sousa Araújo",$B:$B,"&lt;&gt;Lorena Dias de Araujo",$B:$B,"&lt;&gt;Lucas Luiz Romero")*(35/1083),IF(C2471="Técnico II",SUMIFS($D:$D,$A:$A,$A2471,$B:$B,"&lt;&gt;Patrícia Karla de Sousa Araújo",$B:$B,"&lt;&gt;Lorena Dias de Araujo",$B:$B,"&lt;&gt;Lucas Luiz Romero")*(28/1083),IF(C2471="Técnico I",SUMIFS($D:$D,$A:$A,$A2471,$B:$B,"&lt;&gt;Patrícia Karla de Sousa Araújo",$B:$B,"&lt;&gt;Lorena Dias de Araujo",$B:$B,"&lt;&gt;Lucas Luiz Romero")*(23/1083),IF(C2471="JR",SUMIFS($D:$D,$A:$A,$A2471,$B:$B,"&lt;&gt;Patrícia Karla de Sousa Araújo",$B:$B,"&lt;&gt;Lorena Dias de Araujo",$B:$B,"&lt;&gt;Lucas Luiz Romero")*(20/1083),IF(C2471="Estágio",SUMIFS($D:$D,$A:$A,$A2471,$B:$B,"&lt;&gt;Patrícia Karla de Sousa Araújo",$B:$B,"&lt;&gt;Lorena Dias de Araujo",$B:$B,"&lt;&gt;Lucas Luiz Romero")*(10/1083),0)))))),0)</f>
        <v/>
      </c>
      <c r="K2471" s="3">
        <f>I2471-J2471</f>
        <v/>
      </c>
      <c r="L2471" s="3">
        <f>IF(K2471&lt;-5,"CRÍTICO",IF(K2471&lt;0,"ATENÇÃO",IF(K2471&lt;=5,"BOM","EXCELENTE")))</f>
        <v/>
      </c>
      <c r="M2471" s="3" t="n">
        <v>26</v>
      </c>
      <c r="N2471" s="3" t="n">
        <v>97.48</v>
      </c>
      <c r="O2471" s="12" t="n">
        <v>27.76470588235294</v>
      </c>
    </row>
    <row r="2472">
      <c r="A2472" s="10" t="n">
        <v>46078</v>
      </c>
      <c r="B2472" t="inlineStr">
        <is>
          <t>Lorena Dias de Araujo</t>
        </is>
      </c>
      <c r="C2472" s="1" t="inlineStr">
        <is>
          <t>Técnico II</t>
        </is>
      </c>
      <c r="D2472" s="3" t="n">
        <v>16</v>
      </c>
      <c r="E2472" s="3" t="n">
        <v>16</v>
      </c>
      <c r="F2472" s="3" t="n">
        <v>43.46</v>
      </c>
      <c r="G2472" s="3" t="n">
        <v>0</v>
      </c>
      <c r="H2472" s="3" t="n">
        <v>0</v>
      </c>
      <c r="I2472" s="3" t="n">
        <v>0</v>
      </c>
      <c r="J2472" s="3" t="n">
        <v>0</v>
      </c>
      <c r="K2472" s="3" t="n">
        <v>0</v>
      </c>
      <c r="L2472" s="3">
        <f>IF(K2472&lt;-5,"CRÍTICO",IF(K2472&lt;0,"ATENÇÃO",IF(K2472&lt;=5,"BOM","EXCELENTE")))</f>
        <v/>
      </c>
      <c r="M2472" s="3" t="n">
        <v>15</v>
      </c>
      <c r="N2472" s="3" t="n">
        <v>99.34</v>
      </c>
      <c r="O2472" s="12" t="n">
        <v>30.04291845493562</v>
      </c>
    </row>
    <row r="2473">
      <c r="A2473" s="10" t="n">
        <v>46078</v>
      </c>
      <c r="B2473" t="inlineStr">
        <is>
          <t>Lucas Luiz Romero</t>
        </is>
      </c>
      <c r="C2473" s="1" t="inlineStr">
        <is>
          <t>Técnico III</t>
        </is>
      </c>
      <c r="D2473" s="3" t="n">
        <v>50</v>
      </c>
      <c r="E2473" s="3" t="n">
        <v>44</v>
      </c>
      <c r="F2473" s="3" t="n">
        <v>13.46</v>
      </c>
      <c r="G2473" s="3" t="n">
        <v>0</v>
      </c>
      <c r="H2473" s="3" t="n">
        <v>0</v>
      </c>
      <c r="I2473" s="3">
        <f>E2473+G2473+H2473</f>
        <v/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/>
      </c>
      <c r="K2473" s="3">
        <f>I2473-J2473</f>
        <v/>
      </c>
      <c r="L2473" s="3">
        <f>IF(K2473&lt;-5,"CRÍTICO",IF(K2473&lt;0,"ATENÇÃO",IF(K2473&lt;=5,"BOM","EXCELENTE")))</f>
        <v/>
      </c>
      <c r="M2473" s="3" t="n">
        <v>25</v>
      </c>
      <c r="N2473" s="3" t="n">
        <v>96.3</v>
      </c>
      <c r="O2473" s="12" t="n">
        <v>24.29378531073446</v>
      </c>
    </row>
    <row r="2474">
      <c r="A2474" s="10" t="n">
        <v>46078</v>
      </c>
      <c r="B2474" t="inlineStr">
        <is>
          <t>Luiz Fernando de Carvalho Junior</t>
        </is>
      </c>
      <c r="C2474" s="1" t="inlineStr">
        <is>
          <t>Técnico I</t>
        </is>
      </c>
      <c r="D2474" s="3" t="n">
        <v>15</v>
      </c>
      <c r="E2474" s="3" t="n">
        <v>15</v>
      </c>
      <c r="F2474" s="3" t="n">
        <v>33.35</v>
      </c>
      <c r="G2474" s="3" t="n">
        <v>0</v>
      </c>
      <c r="H2474" s="3" t="n">
        <v>0</v>
      </c>
      <c r="I2474" s="3">
        <f>E2474+G2474+H2474</f>
        <v/>
      </c>
      <c r="J2474" s="3">
        <f>ROUND(MIN(IF(C2474="Técnico III",35,IF(C2474="Técnico II",28,IF(C2474="Técnico I",23,IF(C2474="JR",20,IF(C2474="Estágio",10,0))))),IF(C2474="Técnico III",SUMIFS($D:$D,$A:$A,$A2474,$B:$B,"&lt;&gt;Patrícia Karla de Sousa Araújo",$B:$B,"&lt;&gt;Lorena Dias de Araujo",$B:$B,"&lt;&gt;Lucas Luiz Romero")*(35/1083),IF(C2474="Técnico II",SUMIFS($D:$D,$A:$A,$A2474,$B:$B,"&lt;&gt;Patrícia Karla de Sousa Araújo",$B:$B,"&lt;&gt;Lorena Dias de Araujo",$B:$B,"&lt;&gt;Lucas Luiz Romero")*(28/1083),IF(C2474="Técnico I",SUMIFS($D:$D,$A:$A,$A2474,$B:$B,"&lt;&gt;Patrícia Karla de Sousa Araújo",$B:$B,"&lt;&gt;Lorena Dias de Araujo",$B:$B,"&lt;&gt;Lucas Luiz Romero")*(23/1083),IF(C2474="JR",SUMIFS($D:$D,$A:$A,$A2474,$B:$B,"&lt;&gt;Patrícia Karla de Sousa Araújo",$B:$B,"&lt;&gt;Lorena Dias de Araujo",$B:$B,"&lt;&gt;Lucas Luiz Romero")*(20/1083),IF(C2474="Estágio",SUMIFS($D:$D,$A:$A,$A2474,$B:$B,"&lt;&gt;Patrícia Karla de Sousa Araújo",$B:$B,"&lt;&gt;Lorena Dias de Araujo",$B:$B,"&lt;&gt;Lucas Luiz Romero")*(10/1083),0)))))),0)</f>
        <v/>
      </c>
      <c r="K2474" s="3">
        <f>I2474-J2474</f>
        <v/>
      </c>
      <c r="L2474" s="3">
        <f>IF(K2474&lt;-5,"CRÍTICO",IF(K2474&lt;0,"ATENÇÃO",IF(K2474&lt;=5,"BOM","EXCELENTE")))</f>
        <v/>
      </c>
      <c r="M2474" s="3" t="n">
        <v>16</v>
      </c>
      <c r="N2474" s="3" t="n">
        <v>100</v>
      </c>
      <c r="O2474" s="12" t="n">
        <v>26.54320987654321</v>
      </c>
    </row>
    <row r="2475">
      <c r="A2475" s="10" t="n">
        <v>46078</v>
      </c>
      <c r="B2475" t="inlineStr">
        <is>
          <t>Maria Eduarda Sousa Costa</t>
        </is>
      </c>
      <c r="C2475" s="1" t="inlineStr">
        <is>
          <t>Estágio</t>
        </is>
      </c>
      <c r="D2475" s="3" t="n">
        <v>7</v>
      </c>
      <c r="E2475" s="3" t="n">
        <v>7</v>
      </c>
      <c r="F2475" s="3" t="n">
        <v>58.35</v>
      </c>
      <c r="G2475" s="3" t="n">
        <v>0</v>
      </c>
      <c r="H2475" s="3" t="n">
        <v>0</v>
      </c>
      <c r="I2475" s="3">
        <f>E2475+G2475+H2475</f>
        <v/>
      </c>
      <c r="J2475" s="3">
        <f>ROUND(MIN(IF(C2475="Técnico III",35,IF(C2475="Técnico II",28,IF(C2475="Técnico I",23,IF(C2475="JR",20,IF(C2475="Estágio",10,0))))),IF(C2475="Técnico III",SUMIFS($D:$D,$A:$A,$A2475,$B:$B,"&lt;&gt;Patrícia Karla de Sousa Araújo",$B:$B,"&lt;&gt;Lorena Dias de Araujo",$B:$B,"&lt;&gt;Lucas Luiz Romero")*(35/1083),IF(C2475="Técnico II",SUMIFS($D:$D,$A:$A,$A2475,$B:$B,"&lt;&gt;Patrícia Karla de Sousa Araújo",$B:$B,"&lt;&gt;Lorena Dias de Araujo",$B:$B,"&lt;&gt;Lucas Luiz Romero")*(28/1083),IF(C2475="Técnico I",SUMIFS($D:$D,$A:$A,$A2475,$B:$B,"&lt;&gt;Patrícia Karla de Sousa Araújo",$B:$B,"&lt;&gt;Lorena Dias de Araujo",$B:$B,"&lt;&gt;Lucas Luiz Romero")*(23/1083),IF(C2475="JR",SUMIFS($D:$D,$A:$A,$A2475,$B:$B,"&lt;&gt;Patrícia Karla de Sousa Araújo",$B:$B,"&lt;&gt;Lorena Dias de Araujo",$B:$B,"&lt;&gt;Lucas Luiz Romero")*(20/1083),IF(C2475="Estágio",SUMIFS($D:$D,$A:$A,$A2475,$B:$B,"&lt;&gt;Patrícia Karla de Sousa Araújo",$B:$B,"&lt;&gt;Lorena Dias de Araujo",$B:$B,"&lt;&gt;Lucas Luiz Romero")*(10/1083),0)))))),0)</f>
        <v/>
      </c>
      <c r="K2475" s="3">
        <f>I2475-J2475</f>
        <v/>
      </c>
      <c r="L2475" s="3">
        <f>IF(K2475&lt;-5,"CRÍTICO",IF(K2475&lt;0,"ATENÇÃO",IF(K2475&lt;=5,"BOM","EXCELENTE")))</f>
        <v/>
      </c>
      <c r="M2475" s="3" t="n">
        <v>6</v>
      </c>
      <c r="N2475" s="3" t="n">
        <v>100</v>
      </c>
      <c r="O2475" s="12" t="n">
        <v>35.48387096774194</v>
      </c>
    </row>
    <row r="2476">
      <c r="A2476" s="10" t="n">
        <v>46078</v>
      </c>
      <c r="B2476" t="inlineStr">
        <is>
          <t>Matheus Farias De Souza</t>
        </is>
      </c>
      <c r="C2476" s="1" t="inlineStr">
        <is>
          <t>Técnico III</t>
        </is>
      </c>
      <c r="D2476" s="3" t="n">
        <v>25</v>
      </c>
      <c r="E2476" s="3" t="n">
        <v>23</v>
      </c>
      <c r="F2476" s="3" t="n">
        <v>25.21</v>
      </c>
      <c r="G2476" s="3" t="n">
        <v>0</v>
      </c>
      <c r="H2476" s="3" t="n">
        <v>0</v>
      </c>
      <c r="I2476" s="3">
        <f>E2476+G2476+H2476</f>
        <v/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/>
      </c>
      <c r="K2476" s="3">
        <f>I2476-J2476</f>
        <v/>
      </c>
      <c r="L2476" s="3">
        <f>IF(K2476&lt;-5,"CRÍTICO",IF(K2476&lt;0,"ATENÇÃO",IF(K2476&lt;=5,"BOM","EXCELENTE")))</f>
        <v/>
      </c>
      <c r="M2476" s="3" t="n">
        <v>22</v>
      </c>
      <c r="N2476" s="3" t="n">
        <v>99.27</v>
      </c>
      <c r="O2476" s="12" t="n">
        <v>31.16370808678501</v>
      </c>
    </row>
    <row r="2477">
      <c r="A2477" s="10" t="n">
        <v>46078</v>
      </c>
      <c r="B2477" t="inlineStr">
        <is>
          <t>Maysa Victoria Dias Moura</t>
        </is>
      </c>
      <c r="C2477" s="1" t="inlineStr">
        <is>
          <t>Técnico III</t>
        </is>
      </c>
      <c r="D2477" s="3" t="n">
        <v>19</v>
      </c>
      <c r="E2477" s="3" t="n">
        <v>18</v>
      </c>
      <c r="F2477" s="3" t="n">
        <v>29.04</v>
      </c>
      <c r="G2477" s="3" t="n">
        <v>0</v>
      </c>
      <c r="H2477" s="3" t="n">
        <v>0</v>
      </c>
      <c r="I2477" s="3">
        <f>E2477+G2477+H2477</f>
        <v/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/>
      </c>
      <c r="K2477" s="3">
        <f>I2477-J2477</f>
        <v/>
      </c>
      <c r="L2477" s="3">
        <f>IF(K2477&lt;-5,"CRÍTICO",IF(K2477&lt;0,"ATENÇÃO",IF(K2477&lt;=5,"BOM","EXCELENTE")))</f>
        <v/>
      </c>
      <c r="M2477" s="3" t="n">
        <v>15</v>
      </c>
      <c r="N2477" s="3" t="n">
        <v>94.16</v>
      </c>
      <c r="O2477" s="12" t="n">
        <v>27.03862660944206</v>
      </c>
    </row>
    <row r="2478">
      <c r="A2478" s="10" t="n">
        <v>46078</v>
      </c>
      <c r="B2478" t="inlineStr">
        <is>
          <t>Michelle G Santos</t>
        </is>
      </c>
      <c r="C2478" s="1" t="inlineStr">
        <is>
          <t>Estágio</t>
        </is>
      </c>
      <c r="D2478" s="3" t="n">
        <v>13</v>
      </c>
      <c r="E2478" s="3" t="n">
        <v>13</v>
      </c>
      <c r="F2478" s="3" t="n">
        <v>37.2</v>
      </c>
      <c r="G2478" s="3" t="n">
        <v>0</v>
      </c>
      <c r="H2478" s="3" t="n">
        <v>0</v>
      </c>
      <c r="I2478" s="3">
        <f>E2478+G2478+H2478</f>
        <v/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/>
      </c>
      <c r="K2478" s="3">
        <f>I2478-J2478</f>
        <v/>
      </c>
      <c r="L2478" s="3">
        <f>IF(K2478&lt;-5,"CRÍTICO",IF(K2478&lt;0,"ATENÇÃO",IF(K2478&lt;=5,"BOM","EXCELENTE")))</f>
        <v/>
      </c>
      <c r="M2478" s="3" t="n">
        <v>4</v>
      </c>
      <c r="N2478" s="3" t="n">
        <v>93.75</v>
      </c>
      <c r="O2478" s="12" t="n">
        <v>19.31818181818182</v>
      </c>
    </row>
    <row r="2479">
      <c r="A2479" s="10" t="n">
        <v>46078</v>
      </c>
      <c r="B2479" t="inlineStr">
        <is>
          <t>Milena Sales</t>
        </is>
      </c>
      <c r="C2479" s="1" t="inlineStr">
        <is>
          <t>JR</t>
        </is>
      </c>
      <c r="D2479" s="3" t="n">
        <v>0</v>
      </c>
      <c r="E2479" s="3" t="n">
        <v>0</v>
      </c>
      <c r="F2479" s="3" t="n">
        <v>0</v>
      </c>
      <c r="G2479" s="3" t="n">
        <v>0</v>
      </c>
      <c r="H2479" s="3" t="n">
        <v>0</v>
      </c>
      <c r="I2479" s="3" t="n">
        <v>0</v>
      </c>
      <c r="J2479" s="3" t="n">
        <v>0</v>
      </c>
      <c r="K2479" s="3" t="n">
        <v>0</v>
      </c>
      <c r="L2479" s="3">
        <f>IF(K2479&lt;-5,"CRÍTICO",IF(K2479&lt;0,"ATENÇÃO",IF(K2479&lt;=5,"BOM","EXCELENTE")))</f>
        <v/>
      </c>
      <c r="M2479" s="3" t="n">
        <v>0</v>
      </c>
      <c r="N2479" s="3" t="n">
        <v>0</v>
      </c>
      <c r="O2479" s="12" t="n">
        <v>0</v>
      </c>
    </row>
    <row r="2480">
      <c r="A2480" s="10" t="n">
        <v>46078</v>
      </c>
      <c r="B2480" t="inlineStr">
        <is>
          <t>Patrícia Karla de Sousa Araújo</t>
        </is>
      </c>
      <c r="C2480" s="1" t="inlineStr">
        <is>
          <t>Técnico II</t>
        </is>
      </c>
      <c r="D2480" s="3" t="n">
        <v>0</v>
      </c>
      <c r="E2480" s="3" t="n">
        <v>0</v>
      </c>
      <c r="F2480" s="3" t="n">
        <v>0</v>
      </c>
      <c r="G2480" s="3" t="n">
        <v>0</v>
      </c>
      <c r="H2480" s="3" t="n">
        <v>0</v>
      </c>
      <c r="I2480" s="3" t="n">
        <v>0</v>
      </c>
      <c r="J2480" s="3" t="n">
        <v>0</v>
      </c>
      <c r="K2480" s="3" t="n">
        <v>0</v>
      </c>
      <c r="L2480" s="3">
        <f>IF(K2480&lt;-5,"CRÍTICO",IF(K2480&lt;0,"ATENÇÃO",IF(K2480&lt;=5,"BOM","EXCELENTE")))</f>
        <v/>
      </c>
      <c r="M2480" s="3" t="n">
        <v>0</v>
      </c>
      <c r="N2480" s="3" t="n">
        <v>97.92</v>
      </c>
      <c r="O2480" s="12" t="n">
        <v>32.87671232876712</v>
      </c>
    </row>
    <row r="2481">
      <c r="A2481" s="10" t="n">
        <v>46078</v>
      </c>
      <c r="B2481" t="inlineStr">
        <is>
          <t>Paulo Ricardo Santos</t>
        </is>
      </c>
      <c r="C2481" s="1" t="inlineStr">
        <is>
          <t>JR</t>
        </is>
      </c>
      <c r="D2481" s="3" t="n">
        <v>0</v>
      </c>
      <c r="E2481" s="3" t="n">
        <v>0</v>
      </c>
      <c r="F2481" s="3" t="n">
        <v>0</v>
      </c>
      <c r="G2481" s="3" t="n">
        <v>0</v>
      </c>
      <c r="H2481" s="3" t="n">
        <v>0</v>
      </c>
      <c r="I2481" s="3" t="n">
        <v>0</v>
      </c>
      <c r="J2481" s="3" t="n">
        <v>0</v>
      </c>
      <c r="K2481" s="3" t="n">
        <v>0</v>
      </c>
      <c r="L2481" s="3">
        <f>IF(K2481&lt;-5,"CRÍTICO",IF(K2481&lt;0,"ATENÇÃO",IF(K2481&lt;=5,"BOM","EXCELENTE")))</f>
        <v/>
      </c>
      <c r="M2481" s="3" t="n">
        <v>0</v>
      </c>
      <c r="N2481" s="3" t="n">
        <v>0</v>
      </c>
      <c r="O2481" s="12" t="n">
        <v>0</v>
      </c>
    </row>
    <row r="2482">
      <c r="A2482" s="10" t="n">
        <v>46078</v>
      </c>
      <c r="B2482" t="inlineStr">
        <is>
          <t>Pedro Luiz Mota Sousa</t>
        </is>
      </c>
      <c r="C2482" s="1" t="inlineStr">
        <is>
          <t>JR</t>
        </is>
      </c>
      <c r="D2482" s="3" t="n">
        <v>0</v>
      </c>
      <c r="E2482" s="3" t="n">
        <v>0</v>
      </c>
      <c r="F2482" s="3" t="n">
        <v>0</v>
      </c>
      <c r="G2482" s="3" t="n">
        <v>0</v>
      </c>
      <c r="H2482" s="3" t="n">
        <v>0</v>
      </c>
      <c r="I2482" s="3" t="n">
        <v>0</v>
      </c>
      <c r="J2482" s="3" t="n">
        <v>0</v>
      </c>
      <c r="K2482" s="3" t="n">
        <v>0</v>
      </c>
      <c r="L2482" s="3">
        <f>IF(K2482&lt;-5,"CRÍTICO",IF(K2482&lt;0,"ATENÇÃO",IF(K2482&lt;=5,"BOM","EXCELENTE")))</f>
        <v/>
      </c>
      <c r="M2482" s="3" t="n">
        <v>0</v>
      </c>
      <c r="N2482" s="3" t="n">
        <v>0</v>
      </c>
      <c r="O2482" s="12" t="n">
        <v>0</v>
      </c>
    </row>
    <row r="2483">
      <c r="A2483" s="10" t="n">
        <v>46078</v>
      </c>
      <c r="B2483" t="inlineStr">
        <is>
          <t>Quirino Diogo Leite Torres</t>
        </is>
      </c>
      <c r="C2483" s="1" t="inlineStr">
        <is>
          <t>Estágio</t>
        </is>
      </c>
      <c r="D2483" s="3" t="n">
        <v>0</v>
      </c>
      <c r="E2483" s="3" t="n">
        <v>0</v>
      </c>
      <c r="F2483" s="3" t="n">
        <v>0</v>
      </c>
      <c r="G2483" s="3" t="n">
        <v>0</v>
      </c>
      <c r="H2483" s="3" t="n">
        <v>0</v>
      </c>
      <c r="I2483" s="3" t="n">
        <v>0</v>
      </c>
      <c r="J2483" s="3" t="n">
        <v>0</v>
      </c>
      <c r="K2483" s="3" t="n">
        <v>0</v>
      </c>
      <c r="L2483" s="3">
        <f>IF(K2483&lt;-5,"CRÍTICO",IF(K2483&lt;0,"ATENÇÃO",IF(K2483&lt;=5,"BOM","EXCELENTE")))</f>
        <v/>
      </c>
      <c r="M2483" s="3" t="n">
        <v>0</v>
      </c>
      <c r="N2483" s="3" t="n">
        <v>0</v>
      </c>
      <c r="O2483" s="12" t="n">
        <v>0</v>
      </c>
    </row>
    <row r="2484">
      <c r="A2484" s="10" t="n">
        <v>46078</v>
      </c>
      <c r="B2484" t="inlineStr">
        <is>
          <t>Raane Batista Matos</t>
        </is>
      </c>
      <c r="C2484" s="1" t="inlineStr">
        <is>
          <t>Técnico I</t>
        </is>
      </c>
      <c r="D2484" s="3" t="n">
        <v>22</v>
      </c>
      <c r="E2484" s="3" t="n">
        <v>21</v>
      </c>
      <c r="F2484" s="3" t="n">
        <v>23.49</v>
      </c>
      <c r="G2484" s="3" t="n">
        <v>0</v>
      </c>
      <c r="H2484" s="3" t="n">
        <v>0</v>
      </c>
      <c r="I2484" s="3">
        <f>E2484+G2484+H2484</f>
        <v/>
      </c>
      <c r="J2484" s="3">
        <f>ROUND(MIN(IF(C2484="Técnico III",35,IF(C2484="Técnico II",28,IF(C2484="Técnico I",23,IF(C2484="JR",20,IF(C2484="Estágio",10,0))))),IF(C2484="Técnico III",SUMIFS($D:$D,$A:$A,$A2484,$B:$B,"&lt;&gt;Patrícia Karla de Sousa Araújo",$B:$B,"&lt;&gt;Lorena Dias de Araujo",$B:$B,"&lt;&gt;Lucas Luiz Romero")*(35/1083),IF(C2484="Técnico II",SUMIFS($D:$D,$A:$A,$A2484,$B:$B,"&lt;&gt;Patrícia Karla de Sousa Araújo",$B:$B,"&lt;&gt;Lorena Dias de Araujo",$B:$B,"&lt;&gt;Lucas Luiz Romero")*(28/1083),IF(C2484="Técnico I",SUMIFS($D:$D,$A:$A,$A2484,$B:$B,"&lt;&gt;Patrícia Karla de Sousa Araújo",$B:$B,"&lt;&gt;Lorena Dias de Araujo",$B:$B,"&lt;&gt;Lucas Luiz Romero")*(23/1083),IF(C2484="JR",SUMIFS($D:$D,$A:$A,$A2484,$B:$B,"&lt;&gt;Patrícia Karla de Sousa Araújo",$B:$B,"&lt;&gt;Lorena Dias de Araujo",$B:$B,"&lt;&gt;Lucas Luiz Romero")*(20/1083),IF(C2484="Estágio",SUMIFS($D:$D,$A:$A,$A2484,$B:$B,"&lt;&gt;Patrícia Karla de Sousa Araújo",$B:$B,"&lt;&gt;Lorena Dias de Araujo",$B:$B,"&lt;&gt;Lucas Luiz Romero")*(10/1083),0)))))),0)</f>
        <v/>
      </c>
      <c r="K2484" s="3">
        <f>I2484-J2484</f>
        <v/>
      </c>
      <c r="L2484" s="3">
        <f>IF(K2484&lt;-5,"CRÍTICO",IF(K2484&lt;0,"ATENÇÃO",IF(K2484&lt;=5,"BOM","EXCELENTE")))</f>
        <v/>
      </c>
      <c r="M2484" s="3" t="n">
        <v>17</v>
      </c>
      <c r="N2484" s="3" t="n">
        <v>98.51000000000001</v>
      </c>
      <c r="O2484" s="12" t="n">
        <v>29.71014492753623</v>
      </c>
    </row>
    <row r="2485">
      <c r="A2485" s="10" t="n">
        <v>46078</v>
      </c>
      <c r="B2485" t="inlineStr">
        <is>
          <t>Rafael Gomes de Morais</t>
        </is>
      </c>
      <c r="C2485" s="1" t="inlineStr">
        <is>
          <t>Técnico III</t>
        </is>
      </c>
      <c r="D2485" s="3" t="n">
        <v>36</v>
      </c>
      <c r="E2485" s="3" t="n">
        <v>33</v>
      </c>
      <c r="F2485" s="3" t="n">
        <v>20.29</v>
      </c>
      <c r="G2485" s="3" t="n">
        <v>0</v>
      </c>
      <c r="H2485" s="3" t="n">
        <v>0</v>
      </c>
      <c r="I2485" s="3">
        <f>E2485+G2485+H2485</f>
        <v/>
      </c>
      <c r="J2485" s="3">
        <f>ROUND(MIN(IF(C2485="Técnico III",35,IF(C2485="Técnico II",28,IF(C2485="Técnico I",23,IF(C2485="JR",20,IF(C2485="Estágio",10,0))))),IF(C2485="Técnico III",SUMIFS($D:$D,$A:$A,$A2485,$B:$B,"&lt;&gt;Patrícia Karla de Sousa Araújo",$B:$B,"&lt;&gt;Lorena Dias de Araujo",$B:$B,"&lt;&gt;Lucas Luiz Romero")*(35/1083),IF(C2485="Técnico II",SUMIFS($D:$D,$A:$A,$A2485,$B:$B,"&lt;&gt;Patrícia Karla de Sousa Araújo",$B:$B,"&lt;&gt;Lorena Dias de Araujo",$B:$B,"&lt;&gt;Lucas Luiz Romero")*(28/1083),IF(C2485="Técnico I",SUMIFS($D:$D,$A:$A,$A2485,$B:$B,"&lt;&gt;Patrícia Karla de Sousa Araújo",$B:$B,"&lt;&gt;Lorena Dias de Araujo",$B:$B,"&lt;&gt;Lucas Luiz Romero")*(23/1083),IF(C2485="JR",SUMIFS($D:$D,$A:$A,$A2485,$B:$B,"&lt;&gt;Patrícia Karla de Sousa Araújo",$B:$B,"&lt;&gt;Lorena Dias de Araujo",$B:$B,"&lt;&gt;Lucas Luiz Romero")*(20/1083),IF(C2485="Estágio",SUMIFS($D:$D,$A:$A,$A2485,$B:$B,"&lt;&gt;Patrícia Karla de Sousa Araújo",$B:$B,"&lt;&gt;Lorena Dias de Araujo",$B:$B,"&lt;&gt;Lucas Luiz Romero")*(10/1083),0)))))),0)</f>
        <v/>
      </c>
      <c r="K2485" s="3">
        <f>I2485-J2485</f>
        <v/>
      </c>
      <c r="L2485" s="3">
        <f>IF(K2485&lt;-5,"CRÍTICO",IF(K2485&lt;0,"ATENÇÃO",IF(K2485&lt;=5,"BOM","EXCELENTE")))</f>
        <v/>
      </c>
      <c r="M2485" s="3" t="n">
        <v>25</v>
      </c>
      <c r="N2485" s="3" t="n">
        <v>98.81</v>
      </c>
      <c r="O2485" s="12" t="n">
        <v>30.71297989031079</v>
      </c>
    </row>
    <row r="2486">
      <c r="A2486" s="10" t="n">
        <v>46078</v>
      </c>
      <c r="B2486" t="inlineStr">
        <is>
          <t>Sara Maria Monteiro Lopes</t>
        </is>
      </c>
      <c r="C2486" s="1" t="inlineStr">
        <is>
          <t>Técnico I</t>
        </is>
      </c>
      <c r="D2486" s="3" t="n">
        <v>12</v>
      </c>
      <c r="E2486" s="3" t="n">
        <v>5</v>
      </c>
      <c r="F2486" s="3" t="n">
        <v>15.23</v>
      </c>
      <c r="G2486" s="3" t="n">
        <v>0</v>
      </c>
      <c r="H2486" s="3" t="n">
        <v>0</v>
      </c>
      <c r="I2486" s="3">
        <f>E2486+G2486+H2486</f>
        <v/>
      </c>
      <c r="J2486" s="3">
        <f>ROUND(MIN(IF(C2486="Técnico III",35,IF(C2486="Técnico II",28,IF(C2486="Técnico I",23,IF(C2486="JR",20,IF(C2486="Estágio",10,0))))),IF(C2486="Técnico III",SUMIFS($D:$D,$A:$A,$A2486,$B:$B,"&lt;&gt;Patrícia Karla de Sousa Araújo",$B:$B,"&lt;&gt;Lorena Dias de Araujo",$B:$B,"&lt;&gt;Lucas Luiz Romero")*(35/1083),IF(C2486="Técnico II",SUMIFS($D:$D,$A:$A,$A2486,$B:$B,"&lt;&gt;Patrícia Karla de Sousa Araújo",$B:$B,"&lt;&gt;Lorena Dias de Araujo",$B:$B,"&lt;&gt;Lucas Luiz Romero")*(28/1083),IF(C2486="Técnico I",SUMIFS($D:$D,$A:$A,$A2486,$B:$B,"&lt;&gt;Patrícia Karla de Sousa Araújo",$B:$B,"&lt;&gt;Lorena Dias de Araujo",$B:$B,"&lt;&gt;Lucas Luiz Romero")*(23/1083),IF(C2486="JR",SUMIFS($D:$D,$A:$A,$A2486,$B:$B,"&lt;&gt;Patrícia Karla de Sousa Araújo",$B:$B,"&lt;&gt;Lorena Dias de Araujo",$B:$B,"&lt;&gt;Lucas Luiz Romero")*(20/1083),IF(C2486="Estágio",SUMIFS($D:$D,$A:$A,$A2486,$B:$B,"&lt;&gt;Patrícia Karla de Sousa Araújo",$B:$B,"&lt;&gt;Lorena Dias de Araujo",$B:$B,"&lt;&gt;Lucas Luiz Romero")*(10/1083),0)))))),0)</f>
        <v/>
      </c>
      <c r="K2486" s="3">
        <f>I2486-J2486</f>
        <v/>
      </c>
      <c r="L2486" s="3">
        <f>IF(K2486&lt;-5,"CRÍTICO",IF(K2486&lt;0,"ATENÇÃO",IF(K2486&lt;=5,"BOM","EXCELENTE")))</f>
        <v/>
      </c>
      <c r="M2486" s="3" t="n">
        <v>10</v>
      </c>
      <c r="N2486" s="3" t="n">
        <v>98.48</v>
      </c>
      <c r="O2486" s="12" t="n">
        <v>29.35323383084577</v>
      </c>
    </row>
    <row r="2487">
      <c r="A2487" s="10" t="n">
        <v>46078</v>
      </c>
      <c r="B2487" t="inlineStr">
        <is>
          <t>Sarah Steffanie de Lima Borges</t>
        </is>
      </c>
      <c r="C2487" s="1" t="inlineStr">
        <is>
          <t>Técnico III</t>
        </is>
      </c>
      <c r="D2487" s="3" t="n">
        <v>27</v>
      </c>
      <c r="E2487" s="3" t="n">
        <v>26</v>
      </c>
      <c r="F2487" s="3" t="n">
        <v>25.24</v>
      </c>
      <c r="G2487" s="3" t="n">
        <v>0</v>
      </c>
      <c r="H2487" s="3" t="n">
        <v>0</v>
      </c>
      <c r="I2487" s="3">
        <f>E2487+G2487+H2487</f>
        <v/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/>
      </c>
      <c r="K2487" s="3">
        <f>I2487-J2487</f>
        <v/>
      </c>
      <c r="L2487" s="3">
        <f>IF(K2487&lt;-5,"CRÍTICO",IF(K2487&lt;0,"ATENÇÃO",IF(K2487&lt;=5,"BOM","EXCELENTE")))</f>
        <v/>
      </c>
      <c r="M2487" s="3" t="n">
        <v>21</v>
      </c>
      <c r="N2487" s="3" t="n">
        <v>98.56</v>
      </c>
      <c r="O2487" s="12" t="n">
        <v>29.37365010799136</v>
      </c>
    </row>
    <row r="2488">
      <c r="A2488" s="10" t="n">
        <v>46079</v>
      </c>
      <c r="B2488" t="inlineStr">
        <is>
          <t>Alisson de Freitas Silva</t>
        </is>
      </c>
      <c r="C2488" s="1" t="inlineStr">
        <is>
          <t>Técnico II</t>
        </is>
      </c>
      <c r="D2488" s="3" t="n">
        <v>20</v>
      </c>
      <c r="E2488" s="3" t="n">
        <v>19</v>
      </c>
      <c r="F2488" s="3" t="n">
        <v>26.4</v>
      </c>
      <c r="G2488" s="3" t="n">
        <v>0</v>
      </c>
      <c r="H2488" s="3" t="n">
        <v>0</v>
      </c>
      <c r="I2488" s="3">
        <f>E2488+G2488+H2488</f>
        <v/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/>
      </c>
      <c r="K2488" s="3">
        <f>I2488-J2488</f>
        <v/>
      </c>
      <c r="L2488" s="3">
        <f>IF(K2488&lt;-5,"CRÍTICO",IF(K2488&lt;0,"ATENÇÃO",IF(K2488&lt;=5,"BOM","EXCELENTE")))</f>
        <v/>
      </c>
      <c r="M2488" s="3" t="n">
        <v>18</v>
      </c>
      <c r="N2488" s="3" t="n">
        <v>98.31999999999999</v>
      </c>
      <c r="O2488" s="12" t="n">
        <v>30.3030303030303</v>
      </c>
    </row>
    <row r="2489">
      <c r="A2489" s="10" t="n">
        <v>46079</v>
      </c>
      <c r="B2489" t="inlineStr">
        <is>
          <t>Amanda Moura Ferreira</t>
        </is>
      </c>
      <c r="C2489" s="1" t="inlineStr">
        <is>
          <t>Técnico III</t>
        </is>
      </c>
      <c r="D2489" s="3" t="n">
        <v>0</v>
      </c>
      <c r="E2489" s="3" t="n">
        <v>0</v>
      </c>
      <c r="F2489" s="3" t="n">
        <v>0</v>
      </c>
      <c r="G2489" s="3" t="n">
        <v>0</v>
      </c>
      <c r="H2489" s="3" t="n">
        <v>0</v>
      </c>
      <c r="I2489" s="3" t="n">
        <v>0</v>
      </c>
      <c r="J2489" s="3" t="n">
        <v>0</v>
      </c>
      <c r="K2489" s="3" t="n">
        <v>0</v>
      </c>
      <c r="L2489" s="3">
        <f>IF(K2489&lt;-5,"CRÍTICO",IF(K2489&lt;0,"ATENÇÃO",IF(K2489&lt;=5,"BOM","EXCELENTE")))</f>
        <v/>
      </c>
      <c r="M2489" s="3" t="n">
        <v>22</v>
      </c>
      <c r="N2489" s="3" t="n">
        <v>98.68000000000001</v>
      </c>
      <c r="O2489" s="12" t="n">
        <v>26.21951219512195</v>
      </c>
    </row>
    <row r="2490">
      <c r="A2490" s="10" t="n">
        <v>46079</v>
      </c>
      <c r="B2490" t="inlineStr">
        <is>
          <t>Ana Karollyne Souza Faria</t>
        </is>
      </c>
      <c r="C2490" s="1" t="inlineStr">
        <is>
          <t>Técnico I</t>
        </is>
      </c>
      <c r="D2490" s="3" t="n">
        <v>25</v>
      </c>
      <c r="E2490" s="3" t="n">
        <v>24</v>
      </c>
      <c r="F2490" s="3" t="n">
        <v>27.07</v>
      </c>
      <c r="G2490" s="3" t="n">
        <v>0</v>
      </c>
      <c r="H2490" s="3" t="n">
        <v>0</v>
      </c>
      <c r="I2490" s="3">
        <f>E2490+G2490+H2490</f>
        <v/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/>
      </c>
      <c r="K2490" s="3">
        <f>I2490-J2490</f>
        <v/>
      </c>
      <c r="L2490" s="3">
        <f>IF(K2490&lt;-5,"CRÍTICO",IF(K2490&lt;0,"ATENÇÃO",IF(K2490&lt;=5,"BOM","EXCELENTE")))</f>
        <v/>
      </c>
      <c r="M2490" s="3" t="n">
        <v>25</v>
      </c>
      <c r="N2490" s="3" t="n">
        <v>100</v>
      </c>
      <c r="O2490" s="12" t="n">
        <v>31.74224343675418</v>
      </c>
    </row>
    <row r="2491">
      <c r="A2491" s="10" t="n">
        <v>46079</v>
      </c>
      <c r="B2491" t="inlineStr">
        <is>
          <t>Ana Paula Da Luz Silva Aleixo</t>
        </is>
      </c>
      <c r="C2491" s="1" t="inlineStr">
        <is>
          <t>Técnico III</t>
        </is>
      </c>
      <c r="D2491" s="3" t="n">
        <v>21</v>
      </c>
      <c r="E2491" s="3" t="n">
        <v>20</v>
      </c>
      <c r="F2491" s="3" t="n">
        <v>31.56</v>
      </c>
      <c r="G2491" s="3" t="n">
        <v>0</v>
      </c>
      <c r="H2491" s="3" t="n">
        <v>0</v>
      </c>
      <c r="I2491" s="3">
        <f>E2491+G2491+H2491</f>
        <v/>
      </c>
      <c r="J2491" s="3">
        <f>ROUND(MIN(IF(C2491="Técnico III",35,IF(C2491="Técnico II",28,IF(C2491="Técnico I",23,IF(C2491="JR",20,IF(C2491="Estágio",10,0))))),IF(C2491="Técnico III",SUMIFS($D:$D,$A:$A,$A2491,$B:$B,"&lt;&gt;Patrícia Karla de Sousa Araújo",$B:$B,"&lt;&gt;Lorena Dias de Araujo",$B:$B,"&lt;&gt;Lucas Luiz Romero")*(35/1083),IF(C2491="Técnico II",SUMIFS($D:$D,$A:$A,$A2491,$B:$B,"&lt;&gt;Patrícia Karla de Sousa Araújo",$B:$B,"&lt;&gt;Lorena Dias de Araujo",$B:$B,"&lt;&gt;Lucas Luiz Romero")*(28/1083),IF(C2491="Técnico I",SUMIFS($D:$D,$A:$A,$A2491,$B:$B,"&lt;&gt;Patrícia Karla de Sousa Araújo",$B:$B,"&lt;&gt;Lorena Dias de Araujo",$B:$B,"&lt;&gt;Lucas Luiz Romero")*(23/1083),IF(C2491="JR",SUMIFS($D:$D,$A:$A,$A2491,$B:$B,"&lt;&gt;Patrícia Karla de Sousa Araújo",$B:$B,"&lt;&gt;Lorena Dias de Araujo",$B:$B,"&lt;&gt;Lucas Luiz Romero")*(20/1083),IF(C2491="Estágio",SUMIFS($D:$D,$A:$A,$A2491,$B:$B,"&lt;&gt;Patrícia Karla de Sousa Araújo",$B:$B,"&lt;&gt;Lorena Dias de Araujo",$B:$B,"&lt;&gt;Lucas Luiz Romero")*(10/1083),0)))))),0)</f>
        <v/>
      </c>
      <c r="K2491" s="3">
        <f>I2491-J2491</f>
        <v/>
      </c>
      <c r="L2491" s="3">
        <f>IF(K2491&lt;-5,"CRÍTICO",IF(K2491&lt;0,"ATENÇÃO",IF(K2491&lt;=5,"BOM","EXCELENTE")))</f>
        <v/>
      </c>
      <c r="M2491" s="3" t="n">
        <v>22</v>
      </c>
      <c r="N2491" s="3" t="n">
        <v>98.25</v>
      </c>
      <c r="O2491" s="12" t="n">
        <v>25.83518930957684</v>
      </c>
    </row>
    <row r="2492">
      <c r="A2492" s="10" t="n">
        <v>46079</v>
      </c>
      <c r="B2492" t="inlineStr">
        <is>
          <t>Anna Luiza Rezende Tavares</t>
        </is>
      </c>
      <c r="C2492" s="1" t="inlineStr">
        <is>
          <t>Estágio</t>
        </is>
      </c>
      <c r="D2492" s="3" t="n">
        <v>11</v>
      </c>
      <c r="E2492" s="3" t="n">
        <v>9</v>
      </c>
      <c r="F2492" s="3" t="n">
        <v>32.06</v>
      </c>
      <c r="G2492" s="3" t="n">
        <v>0</v>
      </c>
      <c r="H2492" s="3" t="n">
        <v>0</v>
      </c>
      <c r="I2492" s="3">
        <f>E2492+G2492+H2492</f>
        <v/>
      </c>
      <c r="J2492" s="3">
        <f>ROUND(MIN(IF(C2492="Técnico III",35,IF(C2492="Técnico II",28,IF(C2492="Técnico I",23,IF(C2492="JR",20,IF(C2492="Estágio",10,0))))),IF(C2492="Técnico III",SUMIFS($D:$D,$A:$A,$A2492,$B:$B,"&lt;&gt;Patrícia Karla de Sousa Araújo",$B:$B,"&lt;&gt;Lorena Dias de Araujo",$B:$B,"&lt;&gt;Lucas Luiz Romero")*(35/1083),IF(C2492="Técnico II",SUMIFS($D:$D,$A:$A,$A2492,$B:$B,"&lt;&gt;Patrícia Karla de Sousa Araújo",$B:$B,"&lt;&gt;Lorena Dias de Araujo",$B:$B,"&lt;&gt;Lucas Luiz Romero")*(28/1083),IF(C2492="Técnico I",SUMIFS($D:$D,$A:$A,$A2492,$B:$B,"&lt;&gt;Patrícia Karla de Sousa Araújo",$B:$B,"&lt;&gt;Lorena Dias de Araujo",$B:$B,"&lt;&gt;Lucas Luiz Romero")*(23/1083),IF(C2492="JR",SUMIFS($D:$D,$A:$A,$A2492,$B:$B,"&lt;&gt;Patrícia Karla de Sousa Araújo",$B:$B,"&lt;&gt;Lorena Dias de Araujo",$B:$B,"&lt;&gt;Lucas Luiz Romero")*(20/1083),IF(C2492="Estágio",SUMIFS($D:$D,$A:$A,$A2492,$B:$B,"&lt;&gt;Patrícia Karla de Sousa Araújo",$B:$B,"&lt;&gt;Lorena Dias de Araujo",$B:$B,"&lt;&gt;Lucas Luiz Romero")*(10/1083),0)))))),0)</f>
        <v/>
      </c>
      <c r="K2492" s="3">
        <f>I2492-J2492</f>
        <v/>
      </c>
      <c r="L2492" s="3">
        <f>IF(K2492&lt;-5,"CRÍTICO",IF(K2492&lt;0,"ATENÇÃO",IF(K2492&lt;=5,"BOM","EXCELENTE")))</f>
        <v/>
      </c>
      <c r="M2492" s="3" t="n">
        <v>11</v>
      </c>
      <c r="N2492" s="3" t="n">
        <v>97.5</v>
      </c>
      <c r="O2492" s="12" t="n">
        <v>30.07518796992481</v>
      </c>
    </row>
    <row r="2493">
      <c r="A2493" s="10" t="n">
        <v>46079</v>
      </c>
      <c r="B2493" t="inlineStr">
        <is>
          <t>Brenda de Menezes Silva</t>
        </is>
      </c>
      <c r="C2493" s="1" t="inlineStr">
        <is>
          <t>Técnico II</t>
        </is>
      </c>
      <c r="D2493" s="3" t="n">
        <v>27</v>
      </c>
      <c r="E2493" s="3" t="n">
        <v>26</v>
      </c>
      <c r="F2493" s="3" t="n">
        <v>20.26</v>
      </c>
      <c r="G2493" s="3" t="n">
        <v>0</v>
      </c>
      <c r="H2493" s="3" t="n">
        <v>0</v>
      </c>
      <c r="I2493" s="3">
        <f>E2493+G2493+H2493</f>
        <v/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/>
      </c>
      <c r="K2493" s="3">
        <f>I2493-J2493</f>
        <v/>
      </c>
      <c r="L2493" s="3">
        <f>IF(K2493&lt;-5,"CRÍTICO",IF(K2493&lt;0,"ATENÇÃO",IF(K2493&lt;=5,"BOM","EXCELENTE")))</f>
        <v/>
      </c>
      <c r="M2493" s="3" t="n">
        <v>23</v>
      </c>
      <c r="N2493" s="3" t="n">
        <v>100</v>
      </c>
      <c r="O2493" s="12" t="n">
        <v>29.71311475409836</v>
      </c>
    </row>
    <row r="2494">
      <c r="A2494" s="10" t="n">
        <v>46079</v>
      </c>
      <c r="B2494" t="inlineStr">
        <is>
          <t>Carlos Mateus Cassimiro Nunes</t>
        </is>
      </c>
      <c r="C2494" s="1" t="inlineStr">
        <is>
          <t>Técnico II</t>
        </is>
      </c>
      <c r="D2494" s="3" t="n">
        <v>11</v>
      </c>
      <c r="E2494" s="3" t="n">
        <v>11</v>
      </c>
      <c r="F2494" s="3" t="n">
        <v>60.37</v>
      </c>
      <c r="G2494" s="3" t="n">
        <v>0</v>
      </c>
      <c r="H2494" s="3" t="n">
        <v>0</v>
      </c>
      <c r="I2494" s="3">
        <f>E2494+G2494+H2494</f>
        <v/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/>
      </c>
      <c r="K2494" s="3">
        <f>I2494-J2494</f>
        <v/>
      </c>
      <c r="L2494" s="3">
        <f>IF(K2494&lt;-5,"CRÍTICO",IF(K2494&lt;0,"ATENÇÃO",IF(K2494&lt;=5,"BOM","EXCELENTE")))</f>
        <v/>
      </c>
      <c r="M2494" s="3" t="n">
        <v>10</v>
      </c>
      <c r="N2494" s="3" t="n">
        <v>99.22</v>
      </c>
      <c r="O2494" s="12" t="n">
        <v>35.25641025641026</v>
      </c>
    </row>
    <row r="2495">
      <c r="A2495" s="10" t="n">
        <v>46079</v>
      </c>
      <c r="B2495" t="inlineStr">
        <is>
          <t>Claudio de Sousa Velasco Filho</t>
        </is>
      </c>
      <c r="C2495" s="1" t="inlineStr">
        <is>
          <t>Estágio</t>
        </is>
      </c>
      <c r="D2495" s="3" t="n">
        <v>0</v>
      </c>
      <c r="E2495" s="3" t="n">
        <v>0</v>
      </c>
      <c r="F2495" s="3" t="n">
        <v>0</v>
      </c>
      <c r="G2495" s="3" t="n">
        <v>0</v>
      </c>
      <c r="H2495" s="3" t="n">
        <v>0</v>
      </c>
      <c r="I2495" s="3" t="n">
        <v>0</v>
      </c>
      <c r="J2495" s="3" t="n">
        <v>0</v>
      </c>
      <c r="K2495" s="3" t="n">
        <v>0</v>
      </c>
      <c r="L2495" s="3">
        <f>IF(K2495&lt;-5,"CRÍTICO",IF(K2495&lt;0,"ATENÇÃO",IF(K2495&lt;=5,"BOM","EXCELENTE")))</f>
        <v/>
      </c>
      <c r="M2495" s="3" t="n">
        <v>0</v>
      </c>
      <c r="N2495" s="3" t="n">
        <v>0</v>
      </c>
      <c r="O2495" s="12" t="n">
        <v>0</v>
      </c>
    </row>
    <row r="2496">
      <c r="A2496" s="10" t="n">
        <v>46079</v>
      </c>
      <c r="B2496" t="inlineStr">
        <is>
          <t>Clessiane Pereira dos Santos</t>
        </is>
      </c>
      <c r="C2496" s="1" t="inlineStr">
        <is>
          <t>Técnico I</t>
        </is>
      </c>
      <c r="D2496" s="3" t="n">
        <v>16</v>
      </c>
      <c r="E2496" s="3" t="n">
        <v>15</v>
      </c>
      <c r="F2496" s="3" t="n">
        <v>40.14</v>
      </c>
      <c r="G2496" s="3" t="n">
        <v>0</v>
      </c>
      <c r="H2496" s="3" t="n">
        <v>0</v>
      </c>
      <c r="I2496" s="3">
        <f>E2496+G2496+H2496</f>
        <v/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/>
      </c>
      <c r="K2496" s="3">
        <f>I2496-J2496</f>
        <v/>
      </c>
      <c r="L2496" s="3">
        <f>IF(K2496&lt;-5,"CRÍTICO",IF(K2496&lt;0,"ATENÇÃO",IF(K2496&lt;=5,"BOM","EXCELENTE")))</f>
        <v/>
      </c>
      <c r="M2496" s="3" t="n">
        <v>13</v>
      </c>
      <c r="N2496" s="3" t="n">
        <v>98.75</v>
      </c>
      <c r="O2496" s="12" t="n">
        <v>24.32432432432433</v>
      </c>
    </row>
    <row r="2497">
      <c r="A2497" s="10" t="n">
        <v>46079</v>
      </c>
      <c r="B2497" t="inlineStr">
        <is>
          <t>Cristiane Ramos da Silva Rocha</t>
        </is>
      </c>
      <c r="C2497" s="1" t="inlineStr">
        <is>
          <t>Técnico III</t>
        </is>
      </c>
      <c r="D2497" s="3" t="n">
        <v>21</v>
      </c>
      <c r="E2497" s="3" t="n">
        <v>21</v>
      </c>
      <c r="F2497" s="3" t="n">
        <v>33.28</v>
      </c>
      <c r="G2497" s="3" t="n">
        <v>0</v>
      </c>
      <c r="H2497" s="3" t="n">
        <v>0</v>
      </c>
      <c r="I2497" s="3">
        <f>E2497+G2497+H2497</f>
        <v/>
      </c>
      <c r="J2497" s="3">
        <f>ROUND(MIN(IF(C2497="Técnico III",35,IF(C2497="Técnico II",28,IF(C2497="Técnico I",23,IF(C2497="JR",20,IF(C2497="Estágio",10,0))))),IF(C2497="Técnico III",SUMIFS($D:$D,$A:$A,$A2497,$B:$B,"&lt;&gt;Patrícia Karla de Sousa Araújo",$B:$B,"&lt;&gt;Lorena Dias de Araujo",$B:$B,"&lt;&gt;Lucas Luiz Romero")*(35/1083),IF(C2497="Técnico II",SUMIFS($D:$D,$A:$A,$A2497,$B:$B,"&lt;&gt;Patrícia Karla de Sousa Araújo",$B:$B,"&lt;&gt;Lorena Dias de Araujo",$B:$B,"&lt;&gt;Lucas Luiz Romero")*(28/1083),IF(C2497="Técnico I",SUMIFS($D:$D,$A:$A,$A2497,$B:$B,"&lt;&gt;Patrícia Karla de Sousa Araújo",$B:$B,"&lt;&gt;Lorena Dias de Araujo",$B:$B,"&lt;&gt;Lucas Luiz Romero")*(23/1083),IF(C2497="JR",SUMIFS($D:$D,$A:$A,$A2497,$B:$B,"&lt;&gt;Patrícia Karla de Sousa Araújo",$B:$B,"&lt;&gt;Lorena Dias de Araujo",$B:$B,"&lt;&gt;Lucas Luiz Romero")*(20/1083),IF(C2497="Estágio",SUMIFS($D:$D,$A:$A,$A2497,$B:$B,"&lt;&gt;Patrícia Karla de Sousa Araújo",$B:$B,"&lt;&gt;Lorena Dias de Araujo",$B:$B,"&lt;&gt;Lucas Luiz Romero")*(10/1083),0)))))),0)</f>
        <v/>
      </c>
      <c r="K2497" s="3">
        <f>I2497-J2497</f>
        <v/>
      </c>
      <c r="L2497" s="3">
        <f>IF(K2497&lt;-5,"CRÍTICO",IF(K2497&lt;0,"ATENÇÃO",IF(K2497&lt;=5,"BOM","EXCELENTE")))</f>
        <v/>
      </c>
      <c r="M2497" s="3" t="n">
        <v>20</v>
      </c>
      <c r="N2497" s="3" t="n">
        <v>93.48</v>
      </c>
      <c r="O2497" s="12" t="n">
        <v>31.52804642166344</v>
      </c>
    </row>
    <row r="2498">
      <c r="A2498" s="10" t="n">
        <v>46079</v>
      </c>
      <c r="B2498" t="inlineStr">
        <is>
          <t>Damyllis Lorraine de Oliveira Gonçalves</t>
        </is>
      </c>
      <c r="C2498" s="1" t="inlineStr">
        <is>
          <t>Técnico II</t>
        </is>
      </c>
      <c r="D2498" s="3" t="n">
        <v>19</v>
      </c>
      <c r="E2498" s="3" t="n">
        <v>17</v>
      </c>
      <c r="F2498" s="3" t="n">
        <v>33.27</v>
      </c>
      <c r="G2498" s="3" t="n">
        <v>0</v>
      </c>
      <c r="H2498" s="3" t="n">
        <v>0</v>
      </c>
      <c r="I2498" s="3" t="n">
        <v>0</v>
      </c>
      <c r="J2498" s="3" t="n">
        <v>0</v>
      </c>
      <c r="K2498" s="3" t="n">
        <v>0</v>
      </c>
      <c r="L2498" s="3">
        <f>IF(K2498&lt;-5,"CRÍTICO",IF(K2498&lt;0,"ATENÇÃO",IF(K2498&lt;=5,"BOM","EXCELENTE")))</f>
        <v/>
      </c>
      <c r="M2498" s="3" t="n">
        <v>14</v>
      </c>
      <c r="N2498" s="3" t="n">
        <v>99.16</v>
      </c>
      <c r="O2498" s="12" t="n">
        <v>26.13908872901678</v>
      </c>
    </row>
    <row r="2499">
      <c r="A2499" s="10" t="n">
        <v>46079</v>
      </c>
      <c r="B2499" t="inlineStr">
        <is>
          <t>Daniel Gomes da Silva</t>
        </is>
      </c>
      <c r="C2499" s="1" t="inlineStr">
        <is>
          <t>Técnico I</t>
        </is>
      </c>
      <c r="D2499" s="3" t="n">
        <v>13</v>
      </c>
      <c r="E2499" s="3" t="n">
        <v>13</v>
      </c>
      <c r="F2499" s="3" t="n">
        <v>51.46</v>
      </c>
      <c r="G2499" s="3" t="n">
        <v>0</v>
      </c>
      <c r="H2499" s="3" t="n">
        <v>0</v>
      </c>
      <c r="I2499" s="3">
        <f>E2499+G2499+H2499</f>
        <v/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/>
      </c>
      <c r="K2499" s="3">
        <f>I2499-J2499</f>
        <v/>
      </c>
      <c r="L2499" s="3">
        <f>IF(K2499&lt;-5,"CRÍTICO",IF(K2499&lt;0,"ATENÇÃO",IF(K2499&lt;=5,"BOM","EXCELENTE")))</f>
        <v/>
      </c>
      <c r="M2499" s="3" t="n">
        <v>8</v>
      </c>
      <c r="N2499" s="3" t="n">
        <v>100</v>
      </c>
      <c r="O2499" s="12" t="n">
        <v>31.08974358974359</v>
      </c>
    </row>
    <row r="2500">
      <c r="A2500" s="10" t="n">
        <v>46079</v>
      </c>
      <c r="B2500" t="inlineStr">
        <is>
          <t>Davylla Rodrigues Freitas Silva</t>
        </is>
      </c>
      <c r="C2500" s="1" t="inlineStr">
        <is>
          <t>Técnico III</t>
        </is>
      </c>
      <c r="D2500" s="3" t="n">
        <v>18</v>
      </c>
      <c r="E2500" s="3" t="n">
        <v>17</v>
      </c>
      <c r="F2500" s="3" t="n">
        <v>40.32</v>
      </c>
      <c r="G2500" s="3" t="n">
        <v>0</v>
      </c>
      <c r="H2500" s="3" t="n">
        <v>0</v>
      </c>
      <c r="I2500" s="3" t="n">
        <v>0</v>
      </c>
      <c r="J2500" s="3" t="n">
        <v>0</v>
      </c>
      <c r="K2500" s="3" t="n">
        <v>0</v>
      </c>
      <c r="L2500" s="3">
        <f>IF(K2500&lt;-5,"CRÍTICO",IF(K2500&lt;0,"ATENÇÃO",IF(K2500&lt;=5,"BOM","EXCELENTE")))</f>
        <v/>
      </c>
      <c r="M2500" s="3" t="n">
        <v>18</v>
      </c>
      <c r="N2500" s="3" t="n">
        <v>98.11</v>
      </c>
      <c r="O2500" s="12" t="n">
        <v>33.03370786516854</v>
      </c>
    </row>
    <row r="2501">
      <c r="A2501" s="10" t="n">
        <v>46079</v>
      </c>
      <c r="B2501" t="inlineStr">
        <is>
          <t>Emilly Caylane Costa</t>
        </is>
      </c>
      <c r="C2501" s="1" t="inlineStr">
        <is>
          <t>Estágio</t>
        </is>
      </c>
      <c r="D2501" s="3" t="n">
        <v>8</v>
      </c>
      <c r="E2501" s="3" t="n">
        <v>8</v>
      </c>
      <c r="F2501" s="3" t="n">
        <v>45.06</v>
      </c>
      <c r="G2501" s="3" t="n">
        <v>0</v>
      </c>
      <c r="H2501" s="3" t="n">
        <v>0</v>
      </c>
      <c r="I2501" s="3">
        <f>E2501+G2501+H2501</f>
        <v/>
      </c>
      <c r="J2501" s="3">
        <f>ROUND(MIN(IF(C2501="Técnico III",35,IF(C2501="Técnico II",28,IF(C2501="Técnico I",23,IF(C2501="JR",20,IF(C2501="Estágio",10,0))))),IF(C2501="Técnico III",SUMIFS($D:$D,$A:$A,$A2501,$B:$B,"&lt;&gt;Patrícia Karla de Sousa Araújo",$B:$B,"&lt;&gt;Lorena Dias de Araujo",$B:$B,"&lt;&gt;Lucas Luiz Romero")*(35/1083),IF(C2501="Técnico II",SUMIFS($D:$D,$A:$A,$A2501,$B:$B,"&lt;&gt;Patrícia Karla de Sousa Araújo",$B:$B,"&lt;&gt;Lorena Dias de Araujo",$B:$B,"&lt;&gt;Lucas Luiz Romero")*(28/1083),IF(C2501="Técnico I",SUMIFS($D:$D,$A:$A,$A2501,$B:$B,"&lt;&gt;Patrícia Karla de Sousa Araújo",$B:$B,"&lt;&gt;Lorena Dias de Araujo",$B:$B,"&lt;&gt;Lucas Luiz Romero")*(23/1083),IF(C2501="JR",SUMIFS($D:$D,$A:$A,$A2501,$B:$B,"&lt;&gt;Patrícia Karla de Sousa Araújo",$B:$B,"&lt;&gt;Lorena Dias de Araujo",$B:$B,"&lt;&gt;Lucas Luiz Romero")*(20/1083),IF(C2501="Estágio",SUMIFS($D:$D,$A:$A,$A2501,$B:$B,"&lt;&gt;Patrícia Karla de Sousa Araújo",$B:$B,"&lt;&gt;Lorena Dias de Araujo",$B:$B,"&lt;&gt;Lucas Luiz Romero")*(10/1083),0)))))),0)</f>
        <v/>
      </c>
      <c r="K2501" s="3">
        <f>I2501-J2501</f>
        <v/>
      </c>
      <c r="L2501" s="3">
        <f>IF(K2501&lt;-5,"CRÍTICO",IF(K2501&lt;0,"ATENÇÃO",IF(K2501&lt;=5,"BOM","EXCELENTE")))</f>
        <v/>
      </c>
      <c r="M2501" s="3" t="n">
        <v>4</v>
      </c>
      <c r="N2501" s="3" t="n">
        <v>78.95</v>
      </c>
      <c r="O2501" s="12" t="n">
        <v>38.98305084745763</v>
      </c>
    </row>
    <row r="2502">
      <c r="A2502" s="10" t="n">
        <v>46079</v>
      </c>
      <c r="B2502" t="inlineStr">
        <is>
          <t>Emilly Kamilly Medeiros Miranda</t>
        </is>
      </c>
      <c r="C2502" s="1" t="inlineStr">
        <is>
          <t>Técnico II</t>
        </is>
      </c>
      <c r="D2502" s="3" t="n">
        <v>23</v>
      </c>
      <c r="E2502" s="3" t="n">
        <v>22</v>
      </c>
      <c r="F2502" s="3" t="n">
        <v>29.14</v>
      </c>
      <c r="G2502" s="3" t="n">
        <v>0</v>
      </c>
      <c r="H2502" s="3" t="n">
        <v>0</v>
      </c>
      <c r="I2502" s="3">
        <f>E2502+G2502+H2502</f>
        <v/>
      </c>
      <c r="J2502" s="3">
        <f>ROUND(MIN(IF(C2502="Técnico III",35,IF(C2502="Técnico II",28,IF(C2502="Técnico I",23,IF(C2502="JR",20,IF(C2502="Estágio",10,0))))),IF(C2502="Técnico III",SUMIFS($D:$D,$A:$A,$A2502,$B:$B,"&lt;&gt;Patrícia Karla de Sousa Araújo",$B:$B,"&lt;&gt;Lorena Dias de Araujo",$B:$B,"&lt;&gt;Lucas Luiz Romero")*(35/1083),IF(C2502="Técnico II",SUMIFS($D:$D,$A:$A,$A2502,$B:$B,"&lt;&gt;Patrícia Karla de Sousa Araújo",$B:$B,"&lt;&gt;Lorena Dias de Araujo",$B:$B,"&lt;&gt;Lucas Luiz Romero")*(28/1083),IF(C2502="Técnico I",SUMIFS($D:$D,$A:$A,$A2502,$B:$B,"&lt;&gt;Patrícia Karla de Sousa Araújo",$B:$B,"&lt;&gt;Lorena Dias de Araujo",$B:$B,"&lt;&gt;Lucas Luiz Romero")*(23/1083),IF(C2502="JR",SUMIFS($D:$D,$A:$A,$A2502,$B:$B,"&lt;&gt;Patrícia Karla de Sousa Araújo",$B:$B,"&lt;&gt;Lorena Dias de Araujo",$B:$B,"&lt;&gt;Lucas Luiz Romero")*(20/1083),IF(C2502="Estágio",SUMIFS($D:$D,$A:$A,$A2502,$B:$B,"&lt;&gt;Patrícia Karla de Sousa Araújo",$B:$B,"&lt;&gt;Lorena Dias de Araujo",$B:$B,"&lt;&gt;Lucas Luiz Romero")*(10/1083),0)))))),0)</f>
        <v/>
      </c>
      <c r="K2502" s="3">
        <f>I2502-J2502</f>
        <v/>
      </c>
      <c r="L2502" s="3">
        <f>IF(K2502&lt;-5,"CRÍTICO",IF(K2502&lt;0,"ATENÇÃO",IF(K2502&lt;=5,"BOM","EXCELENTE")))</f>
        <v/>
      </c>
      <c r="M2502" s="3" t="n">
        <v>20</v>
      </c>
      <c r="N2502" s="3" t="n">
        <v>98.45</v>
      </c>
      <c r="O2502" s="12" t="n">
        <v>29.2817679558011</v>
      </c>
    </row>
    <row r="2503">
      <c r="A2503" s="10" t="n">
        <v>46079</v>
      </c>
      <c r="B2503" t="inlineStr">
        <is>
          <t>Francielson de Oliveira</t>
        </is>
      </c>
      <c r="C2503" s="1" t="inlineStr">
        <is>
          <t>Técnico III</t>
        </is>
      </c>
      <c r="D2503" s="3" t="n">
        <v>22</v>
      </c>
      <c r="E2503" s="3" t="n">
        <v>21</v>
      </c>
      <c r="F2503" s="3" t="n">
        <v>28.42</v>
      </c>
      <c r="G2503" s="3" t="n">
        <v>0</v>
      </c>
      <c r="H2503" s="3" t="n">
        <v>0</v>
      </c>
      <c r="I2503" s="3">
        <f>E2503+G2503+H2503</f>
        <v/>
      </c>
      <c r="J2503" s="3">
        <f>ROUND(MIN(IF(C2503="Técnico III",35,IF(C2503="Técnico II",28,IF(C2503="Técnico I",23,IF(C2503="JR",20,IF(C2503="Estágio",10,0))))),IF(C2503="Técnico III",SUMIFS($D:$D,$A:$A,$A2503,$B:$B,"&lt;&gt;Patrícia Karla de Sousa Araújo",$B:$B,"&lt;&gt;Lorena Dias de Araujo",$B:$B,"&lt;&gt;Lucas Luiz Romero")*(35/1083),IF(C2503="Técnico II",SUMIFS($D:$D,$A:$A,$A2503,$B:$B,"&lt;&gt;Patrícia Karla de Sousa Araújo",$B:$B,"&lt;&gt;Lorena Dias de Araujo",$B:$B,"&lt;&gt;Lucas Luiz Romero")*(28/1083),IF(C2503="Técnico I",SUMIFS($D:$D,$A:$A,$A2503,$B:$B,"&lt;&gt;Patrícia Karla de Sousa Araújo",$B:$B,"&lt;&gt;Lorena Dias de Araujo",$B:$B,"&lt;&gt;Lucas Luiz Romero")*(23/1083),IF(C2503="JR",SUMIFS($D:$D,$A:$A,$A2503,$B:$B,"&lt;&gt;Patrícia Karla de Sousa Araújo",$B:$B,"&lt;&gt;Lorena Dias de Araujo",$B:$B,"&lt;&gt;Lucas Luiz Romero")*(20/1083),IF(C2503="Estágio",SUMIFS($D:$D,$A:$A,$A2503,$B:$B,"&lt;&gt;Patrícia Karla de Sousa Araújo",$B:$B,"&lt;&gt;Lorena Dias de Araujo",$B:$B,"&lt;&gt;Lucas Luiz Romero")*(10/1083),0)))))),0)</f>
        <v/>
      </c>
      <c r="K2503" s="3">
        <f>I2503-J2503</f>
        <v/>
      </c>
      <c r="L2503" s="3">
        <f>IF(K2503&lt;-5,"CRÍTICO",IF(K2503&lt;0,"ATENÇÃO",IF(K2503&lt;=5,"BOM","EXCELENTE")))</f>
        <v/>
      </c>
      <c r="M2503" s="3" t="n">
        <v>20</v>
      </c>
      <c r="N2503" s="3" t="n">
        <v>97.84</v>
      </c>
      <c r="O2503" s="12" t="n">
        <v>26.28205128205128</v>
      </c>
    </row>
    <row r="2504">
      <c r="A2504" s="10" t="n">
        <v>46079</v>
      </c>
      <c r="B2504" t="inlineStr">
        <is>
          <t>Francilene Ferreira de Jesus</t>
        </is>
      </c>
      <c r="C2504" s="1" t="inlineStr">
        <is>
          <t>Técnico II</t>
        </is>
      </c>
      <c r="D2504" s="3" t="n">
        <v>23</v>
      </c>
      <c r="E2504" s="3" t="n">
        <v>22</v>
      </c>
      <c r="F2504" s="3" t="n">
        <v>30.31</v>
      </c>
      <c r="G2504" s="3" t="n">
        <v>0</v>
      </c>
      <c r="H2504" s="3" t="n">
        <v>0</v>
      </c>
      <c r="I2504" s="3">
        <f>E2504+G2504+H2504</f>
        <v/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/>
      </c>
      <c r="K2504" s="3">
        <f>I2504-J2504</f>
        <v/>
      </c>
      <c r="L2504" s="3">
        <f>IF(K2504&lt;-5,"CRÍTICO",IF(K2504&lt;0,"ATENÇÃO",IF(K2504&lt;=5,"BOM","EXCELENTE")))</f>
        <v/>
      </c>
      <c r="M2504" s="3" t="n">
        <v>19</v>
      </c>
      <c r="N2504" s="3" t="n">
        <v>98.5</v>
      </c>
      <c r="O2504" s="12" t="n">
        <v>23.97769516728625</v>
      </c>
    </row>
    <row r="2505">
      <c r="A2505" s="10" t="n">
        <v>46113</v>
      </c>
      <c r="B2505" t="inlineStr">
        <is>
          <t>Gabriel Gomes de Andrade</t>
        </is>
      </c>
      <c r="C2505" s="1" t="inlineStr">
        <is>
          <t>Técnico I</t>
        </is>
      </c>
      <c r="D2505" s="3" t="n">
        <v>25</v>
      </c>
      <c r="E2505" s="3" t="n">
        <v>25</v>
      </c>
      <c r="F2505" s="3" t="n">
        <v>20.4</v>
      </c>
      <c r="G2505" s="3" t="n">
        <v>0</v>
      </c>
      <c r="H2505" s="3" t="n">
        <v>0</v>
      </c>
      <c r="I2505" s="3">
        <f>E2505+G2505+H2505</f>
        <v/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/>
      </c>
      <c r="K2505" s="3">
        <f>I2505-J2505</f>
        <v/>
      </c>
      <c r="L2505" s="3">
        <f>IF(K2505&lt;-5,"CRÍTICO",IF(K2505&lt;0,"ATENÇÃO",IF(K2505&lt;=5,"OPORTUNO","MUITO BOM")))</f>
        <v/>
      </c>
      <c r="M2505" s="3" t="n">
        <v>23</v>
      </c>
      <c r="N2505" s="3" t="n">
        <v>99.28</v>
      </c>
      <c r="O2505" s="12" t="n">
        <v>27.68924302788844</v>
      </c>
    </row>
    <row r="2506">
      <c r="A2506" s="10" t="n">
        <v>46079</v>
      </c>
      <c r="B2506" t="inlineStr">
        <is>
          <t>Isabella Borges de Oliveira</t>
        </is>
      </c>
      <c r="C2506" s="1" t="inlineStr">
        <is>
          <t>Técnico II</t>
        </is>
      </c>
      <c r="D2506" s="3" t="n">
        <v>29</v>
      </c>
      <c r="E2506" s="3" t="n">
        <v>26</v>
      </c>
      <c r="F2506" s="3" t="n">
        <v>23.29</v>
      </c>
      <c r="G2506" s="3" t="n">
        <v>0</v>
      </c>
      <c r="H2506" s="3" t="n">
        <v>0</v>
      </c>
      <c r="I2506" s="3">
        <f>E2506+G2506+H2506</f>
        <v/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/>
      </c>
      <c r="K2506" s="3">
        <f>I2506-J2506</f>
        <v/>
      </c>
      <c r="L2506" s="3">
        <f>IF(K2506&lt;-5,"CRÍTICO",IF(K2506&lt;0,"ATENÇÃO",IF(K2506&lt;=5,"BOM","EXCELENTE")))</f>
        <v/>
      </c>
      <c r="M2506" s="3" t="n">
        <v>23</v>
      </c>
      <c r="N2506" s="3" t="n">
        <v>98.53</v>
      </c>
      <c r="O2506" s="12" t="n">
        <v>31.57894736842105</v>
      </c>
    </row>
    <row r="2507">
      <c r="A2507" s="10" t="n">
        <v>46079</v>
      </c>
      <c r="B2507" t="inlineStr">
        <is>
          <t>Janaina Lima dos Reis Urany</t>
        </is>
      </c>
      <c r="C2507" s="1" t="inlineStr">
        <is>
          <t>Técnico III</t>
        </is>
      </c>
      <c r="D2507" s="3" t="n">
        <v>45</v>
      </c>
      <c r="E2507" s="3" t="n">
        <v>43</v>
      </c>
      <c r="F2507" s="3" t="n">
        <v>17</v>
      </c>
      <c r="G2507" s="3" t="n">
        <v>0</v>
      </c>
      <c r="H2507" s="3" t="n">
        <v>0</v>
      </c>
      <c r="I2507" s="3">
        <f>E2507+G2507+H2507</f>
        <v/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/>
      </c>
      <c r="K2507" s="3">
        <f>I2507-J2507</f>
        <v/>
      </c>
      <c r="L2507" s="3">
        <f>IF(K2507&lt;-5,"CRÍTICO",IF(K2507&lt;0,"ATENÇÃO",IF(K2507&lt;=5,"BOM","EXCELENTE")))</f>
        <v/>
      </c>
      <c r="M2507" s="3" t="n">
        <v>44</v>
      </c>
      <c r="N2507" s="3" t="n">
        <v>100</v>
      </c>
      <c r="O2507" s="12" t="n">
        <v>25.72214580467676</v>
      </c>
    </row>
    <row r="2508">
      <c r="A2508" s="10" t="n">
        <v>46079</v>
      </c>
      <c r="B2508" t="inlineStr">
        <is>
          <t>Jaqueline Evangelista da Silva Martins</t>
        </is>
      </c>
      <c r="C2508" s="1" t="inlineStr">
        <is>
          <t>Técnico III</t>
        </is>
      </c>
      <c r="D2508" s="3" t="n">
        <v>20</v>
      </c>
      <c r="E2508" s="3" t="n">
        <v>18</v>
      </c>
      <c r="F2508" s="3" t="n">
        <v>17.25</v>
      </c>
      <c r="G2508" s="3" t="n">
        <v>0</v>
      </c>
      <c r="H2508" s="3" t="n">
        <v>0</v>
      </c>
      <c r="I2508" s="3">
        <f>E2508+G2508+H2508</f>
        <v/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/>
      </c>
      <c r="K2508" s="3">
        <f>I2508-J2508</f>
        <v/>
      </c>
      <c r="L2508" s="3">
        <f>IF(K2508&lt;-5,"CRÍTICO",IF(K2508&lt;0,"ATENÇÃO",IF(K2508&lt;=5,"BOM","EXCELENTE")))</f>
        <v/>
      </c>
      <c r="M2508" s="3" t="n">
        <v>15</v>
      </c>
      <c r="N2508" s="3" t="n">
        <v>94.64</v>
      </c>
      <c r="O2508" s="12" t="n">
        <v>27.52941176470588</v>
      </c>
    </row>
    <row r="2509">
      <c r="A2509" s="10" t="n">
        <v>46079</v>
      </c>
      <c r="B2509" t="inlineStr">
        <is>
          <t>Jessica Faria da Silveira</t>
        </is>
      </c>
      <c r="C2509" s="1" t="inlineStr">
        <is>
          <t>Técnico II</t>
        </is>
      </c>
      <c r="D2509" s="3" t="n">
        <v>12</v>
      </c>
      <c r="E2509" s="3" t="n">
        <v>12</v>
      </c>
      <c r="F2509" s="3" t="n">
        <v>43.28</v>
      </c>
      <c r="G2509" s="3" t="n">
        <v>0</v>
      </c>
      <c r="H2509" s="3" t="n">
        <v>0</v>
      </c>
      <c r="I2509" s="3">
        <f>E2509+G2509+H2509</f>
        <v/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/>
      </c>
      <c r="K2509" s="3">
        <f>I2509-J2509</f>
        <v/>
      </c>
      <c r="L2509" s="3">
        <f>IF(K2509&lt;-5,"CRÍTICO",IF(K2509&lt;0,"ATENÇÃO",IF(K2509&lt;=5,"BOM","EXCELENTE")))</f>
        <v/>
      </c>
      <c r="M2509" s="3" t="n">
        <v>11</v>
      </c>
      <c r="N2509" s="3" t="n">
        <v>99.06999999999999</v>
      </c>
      <c r="O2509" s="12" t="n">
        <v>26.3768115942029</v>
      </c>
    </row>
    <row r="2510">
      <c r="A2510" s="10" t="n">
        <v>46079</v>
      </c>
      <c r="B2510" t="inlineStr">
        <is>
          <t>Jéssica Fé Moura</t>
        </is>
      </c>
      <c r="C2510" s="1" t="inlineStr">
        <is>
          <t>Técnico III</t>
        </is>
      </c>
      <c r="D2510" s="3" t="n">
        <v>0</v>
      </c>
      <c r="E2510" s="3" t="n">
        <v>0</v>
      </c>
      <c r="F2510" s="3" t="n">
        <v>0</v>
      </c>
      <c r="G2510" s="3" t="n">
        <v>0</v>
      </c>
      <c r="H2510" s="3" t="n">
        <v>0</v>
      </c>
      <c r="I2510" s="3" t="n">
        <v>0</v>
      </c>
      <c r="J2510" s="3" t="n">
        <v>0</v>
      </c>
      <c r="K2510" s="3" t="n">
        <v>0</v>
      </c>
      <c r="L2510" s="3">
        <f>IF(K2510&lt;-5,"CRÍTICO",IF(K2510&lt;0,"ATENÇÃO",IF(K2510&lt;=5,"BOM","EXCELENTE")))</f>
        <v/>
      </c>
      <c r="M2510" s="3" t="n">
        <v>0</v>
      </c>
      <c r="N2510" s="3" t="n">
        <v>100</v>
      </c>
      <c r="O2510" s="12" t="n">
        <v>0</v>
      </c>
    </row>
    <row r="2511">
      <c r="A2511" s="10" t="n">
        <v>46079</v>
      </c>
      <c r="B2511" t="inlineStr">
        <is>
          <t>Karina Gonçalves Martins</t>
        </is>
      </c>
      <c r="C2511" s="1" t="inlineStr">
        <is>
          <t>JR</t>
        </is>
      </c>
      <c r="D2511" s="3" t="n">
        <v>19</v>
      </c>
      <c r="E2511" s="3" t="n">
        <v>17</v>
      </c>
      <c r="F2511" s="3" t="n">
        <v>25.03</v>
      </c>
      <c r="G2511" s="3" t="n">
        <v>0</v>
      </c>
      <c r="H2511" s="3" t="n">
        <v>0</v>
      </c>
      <c r="I2511" s="3">
        <f>E2511+G2511+H2511</f>
        <v/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/>
      </c>
      <c r="K2511" s="3">
        <f>I2511-J2511</f>
        <v/>
      </c>
      <c r="L2511" s="3">
        <f>IF(K2511&lt;-5,"CRÍTICO",IF(K2511&lt;0,"ATENÇÃO",IF(K2511&lt;=5,"BOM","EXCELENTE")))</f>
        <v/>
      </c>
      <c r="M2511" s="3" t="n">
        <v>19</v>
      </c>
      <c r="N2511" s="3" t="n">
        <v>98.48</v>
      </c>
      <c r="O2511" s="12" t="n">
        <v>27.85388127853881</v>
      </c>
    </row>
    <row r="2512">
      <c r="A2512" s="10" t="n">
        <v>46079</v>
      </c>
      <c r="B2512" t="inlineStr">
        <is>
          <t>Kerollen Cristielly de Jesus Siqueira</t>
        </is>
      </c>
      <c r="C2512" s="1" t="inlineStr">
        <is>
          <t>Técnico III</t>
        </is>
      </c>
      <c r="D2512" s="3" t="n">
        <v>0</v>
      </c>
      <c r="E2512" s="3" t="n">
        <v>0</v>
      </c>
      <c r="F2512" s="3" t="n">
        <v>0</v>
      </c>
      <c r="G2512" s="3" t="n">
        <v>0</v>
      </c>
      <c r="H2512" s="3" t="n">
        <v>0</v>
      </c>
      <c r="I2512" s="3" t="n">
        <v>0</v>
      </c>
      <c r="J2512" s="3" t="n">
        <v>0</v>
      </c>
      <c r="K2512" s="3" t="n">
        <v>0</v>
      </c>
      <c r="L2512" s="3">
        <f>IF(K2512&lt;-5,"CRÍTICO",IF(K2512&lt;0,"ATENÇÃO",IF(K2512&lt;=5,"BOM","EXCELENTE")))</f>
        <v/>
      </c>
      <c r="M2512" s="3" t="n">
        <v>6</v>
      </c>
      <c r="N2512" s="3" t="n">
        <v>95.15000000000001</v>
      </c>
      <c r="O2512" s="12" t="n">
        <v>34.13173652694611</v>
      </c>
    </row>
    <row r="2513">
      <c r="A2513" s="10" t="n">
        <v>46079</v>
      </c>
      <c r="B2513" t="inlineStr">
        <is>
          <t>Leandro de Souza Silva</t>
        </is>
      </c>
      <c r="C2513" s="1" t="inlineStr">
        <is>
          <t>JR</t>
        </is>
      </c>
      <c r="D2513" s="3" t="n">
        <v>0</v>
      </c>
      <c r="E2513" s="3" t="n">
        <v>0</v>
      </c>
      <c r="F2513" s="3" t="n">
        <v>0</v>
      </c>
      <c r="G2513" s="3" t="n">
        <v>0</v>
      </c>
      <c r="H2513" s="3" t="n">
        <v>0</v>
      </c>
      <c r="I2513" s="3" t="n">
        <v>0</v>
      </c>
      <c r="J2513" s="3" t="n">
        <v>0</v>
      </c>
      <c r="K2513" s="3" t="n">
        <v>0</v>
      </c>
      <c r="L2513" s="3">
        <f>IF(K2513&lt;-5,"CRÍTICO",IF(K2513&lt;0,"ATENÇÃO",IF(K2513&lt;=5,"BOM","EXCELENTE")))</f>
        <v/>
      </c>
      <c r="M2513" s="3" t="n">
        <v>0</v>
      </c>
      <c r="N2513" s="3" t="n">
        <v>0</v>
      </c>
      <c r="O2513" s="12" t="n">
        <v>0</v>
      </c>
    </row>
    <row r="2514">
      <c r="A2514" s="10" t="n">
        <v>46079</v>
      </c>
      <c r="B2514" t="inlineStr">
        <is>
          <t>Leandro Oliveira de Sousa</t>
        </is>
      </c>
      <c r="C2514" s="1" t="inlineStr">
        <is>
          <t>Técnico III</t>
        </is>
      </c>
      <c r="D2514" s="3" t="n">
        <v>24</v>
      </c>
      <c r="E2514" s="3" t="n">
        <v>24</v>
      </c>
      <c r="F2514" s="3" t="n">
        <v>24.02</v>
      </c>
      <c r="G2514" s="3" t="n">
        <v>0</v>
      </c>
      <c r="H2514" s="3" t="n">
        <v>0</v>
      </c>
      <c r="I2514" s="3">
        <f>E2514+G2514+H2514</f>
        <v/>
      </c>
      <c r="J2514" s="3">
        <f>ROUND(MIN(IF(C2514="Técnico III",35,IF(C2514="Técnico II",28,IF(C2514="Técnico I",23,IF(C2514="JR",20,IF(C2514="Estágio",10,0))))),IF(C2514="Técnico III",SUMIFS($D:$D,$A:$A,$A2514,$B:$B,"&lt;&gt;Patrícia Karla de Sousa Araújo",$B:$B,"&lt;&gt;Lorena Dias de Araujo",$B:$B,"&lt;&gt;Lucas Luiz Romero")*(35/1083),IF(C2514="Técnico II",SUMIFS($D:$D,$A:$A,$A2514,$B:$B,"&lt;&gt;Patrícia Karla de Sousa Araújo",$B:$B,"&lt;&gt;Lorena Dias de Araujo",$B:$B,"&lt;&gt;Lucas Luiz Romero")*(28/1083),IF(C2514="Técnico I",SUMIFS($D:$D,$A:$A,$A2514,$B:$B,"&lt;&gt;Patrícia Karla de Sousa Araújo",$B:$B,"&lt;&gt;Lorena Dias de Araujo",$B:$B,"&lt;&gt;Lucas Luiz Romero")*(23/1083),IF(C2514="JR",SUMIFS($D:$D,$A:$A,$A2514,$B:$B,"&lt;&gt;Patrícia Karla de Sousa Araújo",$B:$B,"&lt;&gt;Lorena Dias de Araujo",$B:$B,"&lt;&gt;Lucas Luiz Romero")*(20/1083),IF(C2514="Estágio",SUMIFS($D:$D,$A:$A,$A2514,$B:$B,"&lt;&gt;Patrícia Karla de Sousa Araújo",$B:$B,"&lt;&gt;Lorena Dias de Araujo",$B:$B,"&lt;&gt;Lucas Luiz Romero")*(10/1083),0)))))),0)</f>
        <v/>
      </c>
      <c r="K2514" s="3">
        <f>I2514-J2514</f>
        <v/>
      </c>
      <c r="L2514" s="3">
        <f>IF(K2514&lt;-5,"CRÍTICO",IF(K2514&lt;0,"ATENÇÃO",IF(K2514&lt;=5,"BOM","EXCELENTE")))</f>
        <v/>
      </c>
      <c r="M2514" s="3" t="n">
        <v>23</v>
      </c>
      <c r="N2514" s="3" t="n">
        <v>99.26000000000001</v>
      </c>
      <c r="O2514" s="12" t="n">
        <v>30.84832904884319</v>
      </c>
    </row>
    <row r="2515">
      <c r="A2515" s="10" t="n">
        <v>46079</v>
      </c>
      <c r="B2515" t="inlineStr">
        <is>
          <t>Lizandra Gomes Duarte</t>
        </is>
      </c>
      <c r="C2515" s="1" t="inlineStr">
        <is>
          <t>Técnico II</t>
        </is>
      </c>
      <c r="D2515" s="3" t="n">
        <v>25</v>
      </c>
      <c r="E2515" s="3" t="n">
        <v>22</v>
      </c>
      <c r="F2515" s="3" t="n">
        <v>30.15</v>
      </c>
      <c r="G2515" s="3" t="n">
        <v>0</v>
      </c>
      <c r="H2515" s="3" t="n">
        <v>0</v>
      </c>
      <c r="I2515" s="3">
        <f>E2515+G2515+H2515</f>
        <v/>
      </c>
      <c r="J2515" s="3">
        <f>ROUND(MIN(IF(C2515="Técnico III",35,IF(C2515="Técnico II",28,IF(C2515="Técnico I",23,IF(C2515="JR",20,IF(C2515="Estágio",10,0))))),IF(C2515="Técnico III",SUMIFS($D:$D,$A:$A,$A2515,$B:$B,"&lt;&gt;Patrícia Karla de Sousa Araújo",$B:$B,"&lt;&gt;Lorena Dias de Araujo",$B:$B,"&lt;&gt;Lucas Luiz Romero")*(35/1083),IF(C2515="Técnico II",SUMIFS($D:$D,$A:$A,$A2515,$B:$B,"&lt;&gt;Patrícia Karla de Sousa Araújo",$B:$B,"&lt;&gt;Lorena Dias de Araujo",$B:$B,"&lt;&gt;Lucas Luiz Romero")*(28/1083),IF(C2515="Técnico I",SUMIFS($D:$D,$A:$A,$A2515,$B:$B,"&lt;&gt;Patrícia Karla de Sousa Araújo",$B:$B,"&lt;&gt;Lorena Dias de Araujo",$B:$B,"&lt;&gt;Lucas Luiz Romero")*(23/1083),IF(C2515="JR",SUMIFS($D:$D,$A:$A,$A2515,$B:$B,"&lt;&gt;Patrícia Karla de Sousa Araújo",$B:$B,"&lt;&gt;Lorena Dias de Araujo",$B:$B,"&lt;&gt;Lucas Luiz Romero")*(20/1083),IF(C2515="Estágio",SUMIFS($D:$D,$A:$A,$A2515,$B:$B,"&lt;&gt;Patrícia Karla de Sousa Araújo",$B:$B,"&lt;&gt;Lorena Dias de Araujo",$B:$B,"&lt;&gt;Lucas Luiz Romero")*(10/1083),0)))))),0)</f>
        <v/>
      </c>
      <c r="K2515" s="3">
        <f>I2515-J2515</f>
        <v/>
      </c>
      <c r="L2515" s="3">
        <f>IF(K2515&lt;-5,"CRÍTICO",IF(K2515&lt;0,"ATENÇÃO",IF(K2515&lt;=5,"BOM","EXCELENTE")))</f>
        <v/>
      </c>
      <c r="M2515" s="3" t="n">
        <v>19</v>
      </c>
      <c r="N2515" s="3" t="n">
        <v>97.48</v>
      </c>
      <c r="O2515" s="12" t="n">
        <v>27.76470588235294</v>
      </c>
    </row>
    <row r="2516">
      <c r="A2516" s="10" t="n">
        <v>46079</v>
      </c>
      <c r="B2516" t="inlineStr">
        <is>
          <t>Lorena Dias de Araujo</t>
        </is>
      </c>
      <c r="C2516" s="1" t="inlineStr">
        <is>
          <t>Técnico II</t>
        </is>
      </c>
      <c r="D2516" s="3" t="n">
        <v>20</v>
      </c>
      <c r="E2516" s="3" t="n">
        <v>19</v>
      </c>
      <c r="F2516" s="3" t="n">
        <v>30.22</v>
      </c>
      <c r="G2516" s="3" t="n">
        <v>0</v>
      </c>
      <c r="H2516" s="3" t="n">
        <v>0</v>
      </c>
      <c r="I2516" s="3" t="n">
        <v>0</v>
      </c>
      <c r="J2516" s="3" t="n">
        <v>0</v>
      </c>
      <c r="K2516" s="3" t="n">
        <v>0</v>
      </c>
      <c r="L2516" s="3">
        <f>IF(K2516&lt;-5,"CRÍTICO",IF(K2516&lt;0,"ATENÇÃO",IF(K2516&lt;=5,"BOM","EXCELENTE")))</f>
        <v/>
      </c>
      <c r="M2516" s="3" t="n">
        <v>22</v>
      </c>
      <c r="N2516" s="3" t="n">
        <v>99.34</v>
      </c>
      <c r="O2516" s="12" t="n">
        <v>30.04291845493562</v>
      </c>
    </row>
    <row r="2517">
      <c r="A2517" s="10" t="n">
        <v>46079</v>
      </c>
      <c r="B2517" t="inlineStr">
        <is>
          <t>Lucas Luiz Romero</t>
        </is>
      </c>
      <c r="C2517" s="1" t="inlineStr">
        <is>
          <t>Técnico III</t>
        </is>
      </c>
      <c r="D2517" s="3" t="n">
        <v>42</v>
      </c>
      <c r="E2517" s="3" t="n">
        <v>35</v>
      </c>
      <c r="F2517" s="3" t="n">
        <v>16.45</v>
      </c>
      <c r="G2517" s="3" t="n">
        <v>0</v>
      </c>
      <c r="H2517" s="3" t="n">
        <v>0</v>
      </c>
      <c r="I2517" s="3">
        <f>E2517+G2517+H2517</f>
        <v/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/>
      </c>
      <c r="K2517" s="3">
        <f>I2517-J2517</f>
        <v/>
      </c>
      <c r="L2517" s="3">
        <f>IF(K2517&lt;-5,"CRÍTICO",IF(K2517&lt;0,"ATENÇÃO",IF(K2517&lt;=5,"BOM","EXCELENTE")))</f>
        <v/>
      </c>
      <c r="M2517" s="3" t="n">
        <v>18</v>
      </c>
      <c r="N2517" s="3" t="n">
        <v>96.3</v>
      </c>
      <c r="O2517" s="12" t="n">
        <v>24.29378531073446</v>
      </c>
    </row>
    <row r="2518">
      <c r="A2518" s="10" t="n">
        <v>46079</v>
      </c>
      <c r="B2518" t="inlineStr">
        <is>
          <t>Luiz Fernando de Carvalho Junior</t>
        </is>
      </c>
      <c r="C2518" s="1" t="inlineStr">
        <is>
          <t>Técnico I</t>
        </is>
      </c>
      <c r="D2518" s="3" t="n">
        <v>14</v>
      </c>
      <c r="E2518" s="3" t="n">
        <v>14</v>
      </c>
      <c r="F2518" s="3" t="n">
        <v>38.36</v>
      </c>
      <c r="G2518" s="3" t="n">
        <v>0</v>
      </c>
      <c r="H2518" s="3" t="n">
        <v>0</v>
      </c>
      <c r="I2518" s="3">
        <f>E2518+G2518+H2518</f>
        <v/>
      </c>
      <c r="J2518" s="3">
        <f>ROUND(MIN(IF(C2518="Técnico III",35,IF(C2518="Técnico II",28,IF(C2518="Técnico I",23,IF(C2518="JR",20,IF(C2518="Estágio",10,0))))),IF(C2518="Técnico III",SUMIFS($D:$D,$A:$A,$A2518,$B:$B,"&lt;&gt;Patrícia Karla de Sousa Araújo",$B:$B,"&lt;&gt;Lorena Dias de Araujo",$B:$B,"&lt;&gt;Lucas Luiz Romero")*(35/1083),IF(C2518="Técnico II",SUMIFS($D:$D,$A:$A,$A2518,$B:$B,"&lt;&gt;Patrícia Karla de Sousa Araújo",$B:$B,"&lt;&gt;Lorena Dias de Araujo",$B:$B,"&lt;&gt;Lucas Luiz Romero")*(28/1083),IF(C2518="Técnico I",SUMIFS($D:$D,$A:$A,$A2518,$B:$B,"&lt;&gt;Patrícia Karla de Sousa Araújo",$B:$B,"&lt;&gt;Lorena Dias de Araujo",$B:$B,"&lt;&gt;Lucas Luiz Romero")*(23/1083),IF(C2518="JR",SUMIFS($D:$D,$A:$A,$A2518,$B:$B,"&lt;&gt;Patrícia Karla de Sousa Araújo",$B:$B,"&lt;&gt;Lorena Dias de Araujo",$B:$B,"&lt;&gt;Lucas Luiz Romero")*(20/1083),IF(C2518="Estágio",SUMIFS($D:$D,$A:$A,$A2518,$B:$B,"&lt;&gt;Patrícia Karla de Sousa Araújo",$B:$B,"&lt;&gt;Lorena Dias de Araujo",$B:$B,"&lt;&gt;Lucas Luiz Romero")*(10/1083),0)))))),0)</f>
        <v/>
      </c>
      <c r="K2518" s="3">
        <f>I2518-J2518</f>
        <v/>
      </c>
      <c r="L2518" s="3">
        <f>IF(K2518&lt;-5,"CRÍTICO",IF(K2518&lt;0,"ATENÇÃO",IF(K2518&lt;=5,"BOM","EXCELENTE")))</f>
        <v/>
      </c>
      <c r="M2518" s="3" t="n">
        <v>12</v>
      </c>
      <c r="N2518" s="3" t="n">
        <v>100</v>
      </c>
      <c r="O2518" s="12" t="n">
        <v>26.54320987654321</v>
      </c>
    </row>
    <row r="2519">
      <c r="A2519" s="10" t="n">
        <v>46079</v>
      </c>
      <c r="B2519" t="inlineStr">
        <is>
          <t>Maria Eduarda Sousa Costa</t>
        </is>
      </c>
      <c r="C2519" s="1" t="inlineStr">
        <is>
          <t>Estágio</t>
        </is>
      </c>
      <c r="D2519" s="3" t="n">
        <v>2</v>
      </c>
      <c r="E2519" s="3" t="n">
        <v>2</v>
      </c>
      <c r="F2519" s="3" t="n">
        <v>64.09999999999999</v>
      </c>
      <c r="G2519" s="3" t="n">
        <v>0</v>
      </c>
      <c r="H2519" s="3" t="n">
        <v>0</v>
      </c>
      <c r="I2519" s="3">
        <f>E2519+G2519+H2519</f>
        <v/>
      </c>
      <c r="J2519" s="3">
        <f>ROUND(MIN(IF(C2519="Técnico III",35,IF(C2519="Técnico II",28,IF(C2519="Técnico I",23,IF(C2519="JR",20,IF(C2519="Estágio",10,0))))),IF(C2519="Técnico III",SUMIFS($D:$D,$A:$A,$A2519,$B:$B,"&lt;&gt;Patrícia Karla de Sousa Araújo",$B:$B,"&lt;&gt;Lorena Dias de Araujo",$B:$B,"&lt;&gt;Lucas Luiz Romero")*(35/1083),IF(C2519="Técnico II",SUMIFS($D:$D,$A:$A,$A2519,$B:$B,"&lt;&gt;Patrícia Karla de Sousa Araújo",$B:$B,"&lt;&gt;Lorena Dias de Araujo",$B:$B,"&lt;&gt;Lucas Luiz Romero")*(28/1083),IF(C2519="Técnico I",SUMIFS($D:$D,$A:$A,$A2519,$B:$B,"&lt;&gt;Patrícia Karla de Sousa Araújo",$B:$B,"&lt;&gt;Lorena Dias de Araujo",$B:$B,"&lt;&gt;Lucas Luiz Romero")*(23/1083),IF(C2519="JR",SUMIFS($D:$D,$A:$A,$A2519,$B:$B,"&lt;&gt;Patrícia Karla de Sousa Araújo",$B:$B,"&lt;&gt;Lorena Dias de Araujo",$B:$B,"&lt;&gt;Lucas Luiz Romero")*(20/1083),IF(C2519="Estágio",SUMIFS($D:$D,$A:$A,$A2519,$B:$B,"&lt;&gt;Patrícia Karla de Sousa Araújo",$B:$B,"&lt;&gt;Lorena Dias de Araujo",$B:$B,"&lt;&gt;Lucas Luiz Romero")*(10/1083),0)))))),0)</f>
        <v/>
      </c>
      <c r="K2519" s="3">
        <f>I2519-J2519</f>
        <v/>
      </c>
      <c r="L2519" s="3">
        <f>IF(K2519&lt;-5,"CRÍTICO",IF(K2519&lt;0,"ATENÇÃO",IF(K2519&lt;=5,"BOM","EXCELENTE")))</f>
        <v/>
      </c>
      <c r="M2519" s="3" t="n">
        <v>2</v>
      </c>
      <c r="N2519" s="3" t="n">
        <v>100</v>
      </c>
      <c r="O2519" s="12" t="n">
        <v>35.48387096774194</v>
      </c>
    </row>
    <row r="2520">
      <c r="A2520" s="10" t="n">
        <v>46079</v>
      </c>
      <c r="B2520" t="inlineStr">
        <is>
          <t>Matheus Farias De Souza</t>
        </is>
      </c>
      <c r="C2520" s="1" t="inlineStr">
        <is>
          <t>Técnico III</t>
        </is>
      </c>
      <c r="D2520" s="3" t="n">
        <v>26</v>
      </c>
      <c r="E2520" s="3" t="n">
        <v>26</v>
      </c>
      <c r="F2520" s="3" t="n">
        <v>30.05</v>
      </c>
      <c r="G2520" s="3" t="n">
        <v>0</v>
      </c>
      <c r="H2520" s="3" t="n">
        <v>0</v>
      </c>
      <c r="I2520" s="3">
        <f>E2520+G2520+H2520</f>
        <v/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/>
      </c>
      <c r="K2520" s="3">
        <f>I2520-J2520</f>
        <v/>
      </c>
      <c r="L2520" s="3">
        <f>IF(K2520&lt;-5,"CRÍTICO",IF(K2520&lt;0,"ATENÇÃO",IF(K2520&lt;=5,"BOM","EXCELENTE")))</f>
        <v/>
      </c>
      <c r="M2520" s="3" t="n">
        <v>25</v>
      </c>
      <c r="N2520" s="3" t="n">
        <v>99.27</v>
      </c>
      <c r="O2520" s="12" t="n">
        <v>31.16370808678501</v>
      </c>
    </row>
    <row r="2521">
      <c r="A2521" s="10" t="n">
        <v>46079</v>
      </c>
      <c r="B2521" t="inlineStr">
        <is>
          <t>Maysa Victoria Dias Moura</t>
        </is>
      </c>
      <c r="C2521" s="1" t="inlineStr">
        <is>
          <t>Técnico III</t>
        </is>
      </c>
      <c r="D2521" s="3" t="n">
        <v>31</v>
      </c>
      <c r="E2521" s="3" t="n">
        <v>28</v>
      </c>
      <c r="F2521" s="3" t="n">
        <v>20.56</v>
      </c>
      <c r="G2521" s="3" t="n">
        <v>0</v>
      </c>
      <c r="H2521" s="3" t="n">
        <v>0</v>
      </c>
      <c r="I2521" s="3">
        <f>E2521+G2521+H2521</f>
        <v/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/>
      </c>
      <c r="K2521" s="3">
        <f>I2521-J2521</f>
        <v/>
      </c>
      <c r="L2521" s="3">
        <f>IF(K2521&lt;-5,"CRÍTICO",IF(K2521&lt;0,"ATENÇÃO",IF(K2521&lt;=5,"BOM","EXCELENTE")))</f>
        <v/>
      </c>
      <c r="M2521" s="3" t="n">
        <v>26</v>
      </c>
      <c r="N2521" s="3" t="n">
        <v>94.16</v>
      </c>
      <c r="O2521" s="12" t="n">
        <v>27.03862660944206</v>
      </c>
    </row>
    <row r="2522">
      <c r="A2522" s="10" t="n">
        <v>46079</v>
      </c>
      <c r="B2522" t="inlineStr">
        <is>
          <t>Michelle G Santos</t>
        </is>
      </c>
      <c r="C2522" s="1" t="inlineStr">
        <is>
          <t>Estágio</t>
        </is>
      </c>
      <c r="D2522" s="3" t="n">
        <v>8</v>
      </c>
      <c r="E2522" s="3" t="n">
        <v>7</v>
      </c>
      <c r="F2522" s="3" t="n">
        <v>80.13</v>
      </c>
      <c r="G2522" s="3" t="n">
        <v>0</v>
      </c>
      <c r="H2522" s="3" t="n">
        <v>0</v>
      </c>
      <c r="I2522" s="3">
        <f>E2522+G2522+H2522</f>
        <v/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/>
      </c>
      <c r="K2522" s="3">
        <f>I2522-J2522</f>
        <v/>
      </c>
      <c r="L2522" s="3">
        <f>IF(K2522&lt;-5,"CRÍTICO",IF(K2522&lt;0,"ATENÇÃO",IF(K2522&lt;=5,"BOM","EXCELENTE")))</f>
        <v/>
      </c>
      <c r="M2522" s="3" t="n">
        <v>3</v>
      </c>
      <c r="N2522" s="3" t="n">
        <v>93.75</v>
      </c>
      <c r="O2522" s="12" t="n">
        <v>19.31818181818182</v>
      </c>
    </row>
    <row r="2523">
      <c r="A2523" s="10" t="n">
        <v>46079</v>
      </c>
      <c r="B2523" t="inlineStr">
        <is>
          <t>Milena Sales</t>
        </is>
      </c>
      <c r="C2523" s="1" t="inlineStr">
        <is>
          <t>JR</t>
        </is>
      </c>
      <c r="D2523" s="3" t="n">
        <v>0</v>
      </c>
      <c r="E2523" s="3" t="n">
        <v>0</v>
      </c>
      <c r="F2523" s="3" t="n">
        <v>0</v>
      </c>
      <c r="G2523" s="3" t="n">
        <v>0</v>
      </c>
      <c r="H2523" s="3" t="n">
        <v>0</v>
      </c>
      <c r="I2523" s="3" t="n">
        <v>0</v>
      </c>
      <c r="J2523" s="3" t="n">
        <v>0</v>
      </c>
      <c r="K2523" s="3" t="n">
        <v>0</v>
      </c>
      <c r="L2523" s="3">
        <f>IF(K2523&lt;-5,"CRÍTICO",IF(K2523&lt;0,"ATENÇÃO",IF(K2523&lt;=5,"BOM","EXCELENTE")))</f>
        <v/>
      </c>
      <c r="M2523" s="3" t="n">
        <v>0</v>
      </c>
      <c r="N2523" s="3" t="n">
        <v>0</v>
      </c>
      <c r="O2523" s="12" t="n">
        <v>0</v>
      </c>
    </row>
    <row r="2524">
      <c r="A2524" s="10" t="n">
        <v>46079</v>
      </c>
      <c r="B2524" t="inlineStr">
        <is>
          <t>Patrícia Karla de Sousa Araújo</t>
        </is>
      </c>
      <c r="C2524" s="1" t="inlineStr">
        <is>
          <t>Técnico II</t>
        </is>
      </c>
      <c r="D2524" s="3" t="n">
        <v>0</v>
      </c>
      <c r="E2524" s="3" t="n">
        <v>0</v>
      </c>
      <c r="F2524" s="3" t="n">
        <v>0</v>
      </c>
      <c r="G2524" s="3" t="n">
        <v>0</v>
      </c>
      <c r="H2524" s="3" t="n">
        <v>0</v>
      </c>
      <c r="I2524" s="3" t="n">
        <v>0</v>
      </c>
      <c r="J2524" s="3" t="n">
        <v>0</v>
      </c>
      <c r="K2524" s="3" t="n">
        <v>0</v>
      </c>
      <c r="L2524" s="3">
        <f>IF(K2524&lt;-5,"CRÍTICO",IF(K2524&lt;0,"ATENÇÃO",IF(K2524&lt;=5,"BOM","EXCELENTE")))</f>
        <v/>
      </c>
      <c r="M2524" s="3" t="n">
        <v>0</v>
      </c>
      <c r="N2524" s="3" t="n">
        <v>97.92</v>
      </c>
      <c r="O2524" s="12" t="n">
        <v>32.87671232876712</v>
      </c>
    </row>
    <row r="2525">
      <c r="A2525" s="10" t="n">
        <v>46079</v>
      </c>
      <c r="B2525" t="inlineStr">
        <is>
          <t>Paulo Ricardo Santos</t>
        </is>
      </c>
      <c r="C2525" s="1" t="inlineStr">
        <is>
          <t>JR</t>
        </is>
      </c>
      <c r="D2525" s="3" t="n">
        <v>0</v>
      </c>
      <c r="E2525" s="3" t="n">
        <v>0</v>
      </c>
      <c r="F2525" s="3" t="n">
        <v>0</v>
      </c>
      <c r="G2525" s="3" t="n">
        <v>0</v>
      </c>
      <c r="H2525" s="3" t="n">
        <v>0</v>
      </c>
      <c r="I2525" s="3" t="n">
        <v>0</v>
      </c>
      <c r="J2525" s="3" t="n">
        <v>0</v>
      </c>
      <c r="K2525" s="3" t="n">
        <v>0</v>
      </c>
      <c r="L2525" s="3">
        <f>IF(K2525&lt;-5,"CRÍTICO",IF(K2525&lt;0,"ATENÇÃO",IF(K2525&lt;=5,"BOM","EXCELENTE")))</f>
        <v/>
      </c>
      <c r="M2525" s="3" t="n">
        <v>0</v>
      </c>
      <c r="N2525" s="3" t="n">
        <v>0</v>
      </c>
      <c r="O2525" s="12" t="n">
        <v>0</v>
      </c>
    </row>
    <row r="2526">
      <c r="A2526" s="10" t="n">
        <v>46079</v>
      </c>
      <c r="B2526" t="inlineStr">
        <is>
          <t>Pedro Luiz Mota Sousa</t>
        </is>
      </c>
      <c r="C2526" s="1" t="inlineStr">
        <is>
          <t>JR</t>
        </is>
      </c>
      <c r="D2526" s="3" t="n">
        <v>0</v>
      </c>
      <c r="E2526" s="3" t="n">
        <v>0</v>
      </c>
      <c r="F2526" s="3" t="n">
        <v>0</v>
      </c>
      <c r="G2526" s="3" t="n">
        <v>0</v>
      </c>
      <c r="H2526" s="3" t="n">
        <v>0</v>
      </c>
      <c r="I2526" s="3" t="n">
        <v>0</v>
      </c>
      <c r="J2526" s="3" t="n">
        <v>0</v>
      </c>
      <c r="K2526" s="3" t="n">
        <v>0</v>
      </c>
      <c r="L2526" s="3">
        <f>IF(K2526&lt;-5,"CRÍTICO",IF(K2526&lt;0,"ATENÇÃO",IF(K2526&lt;=5,"BOM","EXCELENTE")))</f>
        <v/>
      </c>
      <c r="M2526" s="3" t="n">
        <v>0</v>
      </c>
      <c r="N2526" s="3" t="n">
        <v>0</v>
      </c>
      <c r="O2526" s="12" t="n">
        <v>0</v>
      </c>
    </row>
    <row r="2527">
      <c r="A2527" s="10" t="n">
        <v>46079</v>
      </c>
      <c r="B2527" t="inlineStr">
        <is>
          <t>Quirino Diogo Leite Torres</t>
        </is>
      </c>
      <c r="C2527" s="1" t="inlineStr">
        <is>
          <t>Estágio</t>
        </is>
      </c>
      <c r="D2527" s="3" t="n">
        <v>0</v>
      </c>
      <c r="E2527" s="3" t="n">
        <v>0</v>
      </c>
      <c r="F2527" s="3" t="n">
        <v>0</v>
      </c>
      <c r="G2527" s="3" t="n">
        <v>0</v>
      </c>
      <c r="H2527" s="3" t="n">
        <v>0</v>
      </c>
      <c r="I2527" s="3" t="n">
        <v>0</v>
      </c>
      <c r="J2527" s="3" t="n">
        <v>0</v>
      </c>
      <c r="K2527" s="3" t="n">
        <v>0</v>
      </c>
      <c r="L2527" s="3">
        <f>IF(K2527&lt;-5,"CRÍTICO",IF(K2527&lt;0,"ATENÇÃO",IF(K2527&lt;=5,"BOM","EXCELENTE")))</f>
        <v/>
      </c>
      <c r="M2527" s="3" t="n">
        <v>0</v>
      </c>
      <c r="N2527" s="3" t="n">
        <v>0</v>
      </c>
      <c r="O2527" s="12" t="n">
        <v>0</v>
      </c>
    </row>
    <row r="2528">
      <c r="A2528" s="10" t="n">
        <v>46079</v>
      </c>
      <c r="B2528" t="inlineStr">
        <is>
          <t>Raane Batista Matos</t>
        </is>
      </c>
      <c r="C2528" s="1" t="inlineStr">
        <is>
          <t>Técnico I</t>
        </is>
      </c>
      <c r="D2528" s="3" t="n">
        <v>17</v>
      </c>
      <c r="E2528" s="3" t="n">
        <v>17</v>
      </c>
      <c r="F2528" s="3" t="n">
        <v>44.16</v>
      </c>
      <c r="G2528" s="3" t="n">
        <v>0</v>
      </c>
      <c r="H2528" s="3" t="n">
        <v>0</v>
      </c>
      <c r="I2528" s="3">
        <f>E2528+G2528+H2528</f>
        <v/>
      </c>
      <c r="J2528" s="3">
        <f>ROUND(MIN(IF(C2528="Técnico III",35,IF(C2528="Técnico II",28,IF(C2528="Técnico I",23,IF(C2528="JR",20,IF(C2528="Estágio",10,0))))),IF(C2528="Técnico III",SUMIFS($D:$D,$A:$A,$A2528,$B:$B,"&lt;&gt;Patrícia Karla de Sousa Araújo",$B:$B,"&lt;&gt;Lorena Dias de Araujo",$B:$B,"&lt;&gt;Lucas Luiz Romero")*(35/1083),IF(C2528="Técnico II",SUMIFS($D:$D,$A:$A,$A2528,$B:$B,"&lt;&gt;Patrícia Karla de Sousa Araújo",$B:$B,"&lt;&gt;Lorena Dias de Araujo",$B:$B,"&lt;&gt;Lucas Luiz Romero")*(28/1083),IF(C2528="Técnico I",SUMIFS($D:$D,$A:$A,$A2528,$B:$B,"&lt;&gt;Patrícia Karla de Sousa Araújo",$B:$B,"&lt;&gt;Lorena Dias de Araujo",$B:$B,"&lt;&gt;Lucas Luiz Romero")*(23/1083),IF(C2528="JR",SUMIFS($D:$D,$A:$A,$A2528,$B:$B,"&lt;&gt;Patrícia Karla de Sousa Araújo",$B:$B,"&lt;&gt;Lorena Dias de Araujo",$B:$B,"&lt;&gt;Lucas Luiz Romero")*(20/1083),IF(C2528="Estágio",SUMIFS($D:$D,$A:$A,$A2528,$B:$B,"&lt;&gt;Patrícia Karla de Sousa Araújo",$B:$B,"&lt;&gt;Lorena Dias de Araujo",$B:$B,"&lt;&gt;Lucas Luiz Romero")*(10/1083),0)))))),0)</f>
        <v/>
      </c>
      <c r="K2528" s="3">
        <f>I2528-J2528</f>
        <v/>
      </c>
      <c r="L2528" s="3">
        <f>IF(K2528&lt;-5,"CRÍTICO",IF(K2528&lt;0,"ATENÇÃO",IF(K2528&lt;=5,"BOM","EXCELENTE")))</f>
        <v/>
      </c>
      <c r="M2528" s="3" t="n">
        <v>15</v>
      </c>
      <c r="N2528" s="3" t="n">
        <v>98.51000000000001</v>
      </c>
      <c r="O2528" s="12" t="n">
        <v>29.71014492753623</v>
      </c>
    </row>
    <row r="2529">
      <c r="A2529" s="10" t="n">
        <v>46079</v>
      </c>
      <c r="B2529" t="inlineStr">
        <is>
          <t>Rafael Gomes de Morais</t>
        </is>
      </c>
      <c r="C2529" s="1" t="inlineStr">
        <is>
          <t>Técnico III</t>
        </is>
      </c>
      <c r="D2529" s="3" t="n">
        <v>32</v>
      </c>
      <c r="E2529" s="3" t="n">
        <v>29</v>
      </c>
      <c r="F2529" s="3" t="n">
        <v>17.34</v>
      </c>
      <c r="G2529" s="3" t="n">
        <v>0</v>
      </c>
      <c r="H2529" s="3" t="n">
        <v>0</v>
      </c>
      <c r="I2529" s="3">
        <f>E2529+G2529+H2529</f>
        <v/>
      </c>
      <c r="J2529" s="3">
        <f>ROUND(MIN(IF(C2529="Técnico III",35,IF(C2529="Técnico II",28,IF(C2529="Técnico I",23,IF(C2529="JR",20,IF(C2529="Estágio",10,0))))),IF(C2529="Técnico III",SUMIFS($D:$D,$A:$A,$A2529,$B:$B,"&lt;&gt;Patrícia Karla de Sousa Araújo",$B:$B,"&lt;&gt;Lorena Dias de Araujo",$B:$B,"&lt;&gt;Lucas Luiz Romero")*(35/1083),IF(C2529="Técnico II",SUMIFS($D:$D,$A:$A,$A2529,$B:$B,"&lt;&gt;Patrícia Karla de Sousa Araújo",$B:$B,"&lt;&gt;Lorena Dias de Araujo",$B:$B,"&lt;&gt;Lucas Luiz Romero")*(28/1083),IF(C2529="Técnico I",SUMIFS($D:$D,$A:$A,$A2529,$B:$B,"&lt;&gt;Patrícia Karla de Sousa Araújo",$B:$B,"&lt;&gt;Lorena Dias de Araujo",$B:$B,"&lt;&gt;Lucas Luiz Romero")*(23/1083),IF(C2529="JR",SUMIFS($D:$D,$A:$A,$A2529,$B:$B,"&lt;&gt;Patrícia Karla de Sousa Araújo",$B:$B,"&lt;&gt;Lorena Dias de Araujo",$B:$B,"&lt;&gt;Lucas Luiz Romero")*(20/1083),IF(C2529="Estágio",SUMIFS($D:$D,$A:$A,$A2529,$B:$B,"&lt;&gt;Patrícia Karla de Sousa Araújo",$B:$B,"&lt;&gt;Lorena Dias de Araujo",$B:$B,"&lt;&gt;Lucas Luiz Romero")*(10/1083),0)))))),0)</f>
        <v/>
      </c>
      <c r="K2529" s="3">
        <f>I2529-J2529</f>
        <v/>
      </c>
      <c r="L2529" s="3">
        <f>IF(K2529&lt;-5,"CRÍTICO",IF(K2529&lt;0,"ATENÇÃO",IF(K2529&lt;=5,"BOM","EXCELENTE")))</f>
        <v/>
      </c>
      <c r="M2529" s="3" t="n">
        <v>29</v>
      </c>
      <c r="N2529" s="3" t="n">
        <v>98.81</v>
      </c>
      <c r="O2529" s="12" t="n">
        <v>30.71297989031079</v>
      </c>
    </row>
    <row r="2530">
      <c r="A2530" s="10" t="n">
        <v>46079</v>
      </c>
      <c r="B2530" t="inlineStr">
        <is>
          <t>Sara Maria Monteiro Lopes</t>
        </is>
      </c>
      <c r="C2530" s="1" t="inlineStr">
        <is>
          <t>Técnico I</t>
        </is>
      </c>
      <c r="D2530" s="3" t="n">
        <v>11</v>
      </c>
      <c r="E2530" s="3" t="n">
        <v>11</v>
      </c>
      <c r="F2530" s="3" t="n">
        <v>30.3</v>
      </c>
      <c r="G2530" s="3" t="n">
        <v>0</v>
      </c>
      <c r="H2530" s="3" t="n">
        <v>0</v>
      </c>
      <c r="I2530" s="3">
        <f>E2530+G2530+H2530</f>
        <v/>
      </c>
      <c r="J2530" s="3">
        <f>ROUND(MIN(IF(C2530="Técnico III",35,IF(C2530="Técnico II",28,IF(C2530="Técnico I",23,IF(C2530="JR",20,IF(C2530="Estágio",10,0))))),IF(C2530="Técnico III",SUMIFS($D:$D,$A:$A,$A2530,$B:$B,"&lt;&gt;Patrícia Karla de Sousa Araújo",$B:$B,"&lt;&gt;Lorena Dias de Araujo",$B:$B,"&lt;&gt;Lucas Luiz Romero")*(35/1083),IF(C2530="Técnico II",SUMIFS($D:$D,$A:$A,$A2530,$B:$B,"&lt;&gt;Patrícia Karla de Sousa Araújo",$B:$B,"&lt;&gt;Lorena Dias de Araujo",$B:$B,"&lt;&gt;Lucas Luiz Romero")*(28/1083),IF(C2530="Técnico I",SUMIFS($D:$D,$A:$A,$A2530,$B:$B,"&lt;&gt;Patrícia Karla de Sousa Araújo",$B:$B,"&lt;&gt;Lorena Dias de Araujo",$B:$B,"&lt;&gt;Lucas Luiz Romero")*(23/1083),IF(C2530="JR",SUMIFS($D:$D,$A:$A,$A2530,$B:$B,"&lt;&gt;Patrícia Karla de Sousa Araújo",$B:$B,"&lt;&gt;Lorena Dias de Araujo",$B:$B,"&lt;&gt;Lucas Luiz Romero")*(20/1083),IF(C2530="Estágio",SUMIFS($D:$D,$A:$A,$A2530,$B:$B,"&lt;&gt;Patrícia Karla de Sousa Araújo",$B:$B,"&lt;&gt;Lorena Dias de Araujo",$B:$B,"&lt;&gt;Lucas Luiz Romero")*(10/1083),0)))))),0)</f>
        <v/>
      </c>
      <c r="K2530" s="3">
        <f>I2530-J2530</f>
        <v/>
      </c>
      <c r="L2530" s="3">
        <f>IF(K2530&lt;-5,"CRÍTICO",IF(K2530&lt;0,"ATENÇÃO",IF(K2530&lt;=5,"BOM","EXCELENTE")))</f>
        <v/>
      </c>
      <c r="M2530" s="3" t="n">
        <v>11</v>
      </c>
      <c r="N2530" s="3" t="n">
        <v>98.48</v>
      </c>
      <c r="O2530" s="12" t="n">
        <v>29.35323383084577</v>
      </c>
    </row>
    <row r="2531">
      <c r="A2531" s="10" t="n">
        <v>46079</v>
      </c>
      <c r="B2531" t="inlineStr">
        <is>
          <t>Sarah Steffanie de Lima Borges</t>
        </is>
      </c>
      <c r="C2531" s="1" t="inlineStr">
        <is>
          <t>Técnico III</t>
        </is>
      </c>
      <c r="D2531" s="3" t="n">
        <v>23</v>
      </c>
      <c r="E2531" s="3" t="n">
        <v>20</v>
      </c>
      <c r="F2531" s="3" t="n">
        <v>26.44</v>
      </c>
      <c r="G2531" s="3" t="n">
        <v>0</v>
      </c>
      <c r="H2531" s="3" t="n">
        <v>0</v>
      </c>
      <c r="I2531" s="3">
        <f>E2531+G2531+H2531</f>
        <v/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/>
      </c>
      <c r="K2531" s="3">
        <f>I2531-J2531</f>
        <v/>
      </c>
      <c r="L2531" s="3">
        <f>IF(K2531&lt;-5,"CRÍTICO",IF(K2531&lt;0,"ATENÇÃO",IF(K2531&lt;=5,"BOM","EXCELENTE")))</f>
        <v/>
      </c>
      <c r="M2531" s="3" t="n">
        <v>16</v>
      </c>
      <c r="N2531" s="3" t="n">
        <v>98.56</v>
      </c>
      <c r="O2531" s="12" t="n">
        <v>29.37365010799136</v>
      </c>
    </row>
    <row r="2532">
      <c r="A2532" s="10" t="n">
        <v>46080</v>
      </c>
      <c r="B2532" t="inlineStr">
        <is>
          <t>Alisson de Freitas Silva</t>
        </is>
      </c>
      <c r="C2532" s="1" t="inlineStr">
        <is>
          <t>Técnico II</t>
        </is>
      </c>
      <c r="D2532" s="3" t="n">
        <v>28</v>
      </c>
      <c r="E2532" s="3" t="n">
        <v>26</v>
      </c>
      <c r="F2532" s="3" t="n">
        <v>18.4</v>
      </c>
      <c r="G2532" s="3" t="n">
        <v>0</v>
      </c>
      <c r="H2532" s="3" t="n">
        <v>0</v>
      </c>
      <c r="I2532" s="3">
        <f>E2532+G2532+H2532</f>
        <v/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/>
      </c>
      <c r="K2532" s="3">
        <f>I2532-J2532</f>
        <v/>
      </c>
      <c r="L2532" s="3">
        <f>IF(K2532&lt;-5,"CRÍTICO",IF(K2532&lt;0,"ATENÇÃO",IF(K2532&lt;=5,"BOM","EXCELENTE")))</f>
        <v/>
      </c>
      <c r="M2532" s="3" t="n">
        <v>21</v>
      </c>
      <c r="N2532" s="3" t="n">
        <v>98.31999999999999</v>
      </c>
      <c r="O2532" s="12" t="n">
        <v>30.3030303030303</v>
      </c>
    </row>
    <row r="2533">
      <c r="A2533" s="10" t="n">
        <v>46080</v>
      </c>
      <c r="B2533" t="inlineStr">
        <is>
          <t>Amanda Moura Ferreira</t>
        </is>
      </c>
      <c r="C2533" s="1" t="inlineStr">
        <is>
          <t>Técnico III</t>
        </is>
      </c>
      <c r="D2533" s="3" t="n">
        <v>0</v>
      </c>
      <c r="E2533" s="3" t="n">
        <v>0</v>
      </c>
      <c r="F2533" s="3" t="n">
        <v>0</v>
      </c>
      <c r="G2533" s="3" t="n">
        <v>0</v>
      </c>
      <c r="H2533" s="3" t="n">
        <v>0</v>
      </c>
      <c r="I2533" s="3" t="n">
        <v>0</v>
      </c>
      <c r="J2533" s="3" t="n">
        <v>0</v>
      </c>
      <c r="K2533" s="3" t="n">
        <v>0</v>
      </c>
      <c r="L2533" s="3">
        <f>IF(K2533&lt;-5,"CRÍTICO",IF(K2533&lt;0,"ATENÇÃO",IF(K2533&lt;=5,"BOM","EXCELENTE")))</f>
        <v/>
      </c>
      <c r="M2533" s="3" t="n">
        <v>22</v>
      </c>
      <c r="N2533" s="3" t="n">
        <v>98.68000000000001</v>
      </c>
      <c r="O2533" s="12" t="n">
        <v>26.21951219512195</v>
      </c>
    </row>
    <row r="2534">
      <c r="A2534" s="10" t="n">
        <v>46080</v>
      </c>
      <c r="B2534" t="inlineStr">
        <is>
          <t>Ana Karollyne Souza Faria</t>
        </is>
      </c>
      <c r="C2534" s="1" t="inlineStr">
        <is>
          <t>Técnico I</t>
        </is>
      </c>
      <c r="D2534" s="3" t="n">
        <v>23</v>
      </c>
      <c r="E2534" s="3" t="n">
        <v>20</v>
      </c>
      <c r="F2534" s="3" t="n">
        <v>21.55</v>
      </c>
      <c r="G2534" s="3" t="n">
        <v>0</v>
      </c>
      <c r="H2534" s="3" t="n">
        <v>0</v>
      </c>
      <c r="I2534" s="3">
        <f>E2534+G2534+H2534</f>
        <v/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/>
      </c>
      <c r="K2534" s="3">
        <f>I2534-J2534</f>
        <v/>
      </c>
      <c r="L2534" s="3">
        <f>IF(K2534&lt;-5,"CRÍTICO",IF(K2534&lt;0,"ATENÇÃO",IF(K2534&lt;=5,"BOM","EXCELENTE")))</f>
        <v/>
      </c>
      <c r="M2534" s="3" t="n">
        <v>21</v>
      </c>
      <c r="N2534" s="3" t="n">
        <v>100</v>
      </c>
      <c r="O2534" s="12" t="n">
        <v>31.74224343675418</v>
      </c>
    </row>
    <row r="2535">
      <c r="A2535" s="10" t="n">
        <v>46080</v>
      </c>
      <c r="B2535" t="inlineStr">
        <is>
          <t>Ana Paula Da Luz Silva Aleixo</t>
        </is>
      </c>
      <c r="C2535" s="1" t="inlineStr">
        <is>
          <t>Técnico III</t>
        </is>
      </c>
      <c r="D2535" s="3" t="n">
        <v>21</v>
      </c>
      <c r="E2535" s="3" t="n">
        <v>19</v>
      </c>
      <c r="F2535" s="3" t="n">
        <v>30.51</v>
      </c>
      <c r="G2535" s="3" t="n">
        <v>0</v>
      </c>
      <c r="H2535" s="3" t="n">
        <v>0</v>
      </c>
      <c r="I2535" s="3">
        <f>E2535+G2535+H2535</f>
        <v/>
      </c>
      <c r="J2535" s="3">
        <f>ROUND(MIN(IF(C2535="Técnico III",35,IF(C2535="Técnico II",28,IF(C2535="Técnico I",23,IF(C2535="JR",20,IF(C2535="Estágio",10,0))))),IF(C2535="Técnico III",SUMIFS($D:$D,$A:$A,$A2535,$B:$B,"&lt;&gt;Patrícia Karla de Sousa Araújo",$B:$B,"&lt;&gt;Lorena Dias de Araujo",$B:$B,"&lt;&gt;Lucas Luiz Romero")*(35/1083),IF(C2535="Técnico II",SUMIFS($D:$D,$A:$A,$A2535,$B:$B,"&lt;&gt;Patrícia Karla de Sousa Araújo",$B:$B,"&lt;&gt;Lorena Dias de Araujo",$B:$B,"&lt;&gt;Lucas Luiz Romero")*(28/1083),IF(C2535="Técnico I",SUMIFS($D:$D,$A:$A,$A2535,$B:$B,"&lt;&gt;Patrícia Karla de Sousa Araújo",$B:$B,"&lt;&gt;Lorena Dias de Araujo",$B:$B,"&lt;&gt;Lucas Luiz Romero")*(23/1083),IF(C2535="JR",SUMIFS($D:$D,$A:$A,$A2535,$B:$B,"&lt;&gt;Patrícia Karla de Sousa Araújo",$B:$B,"&lt;&gt;Lorena Dias de Araujo",$B:$B,"&lt;&gt;Lucas Luiz Romero")*(20/1083),IF(C2535="Estágio",SUMIFS($D:$D,$A:$A,$A2535,$B:$B,"&lt;&gt;Patrícia Karla de Sousa Araújo",$B:$B,"&lt;&gt;Lorena Dias de Araujo",$B:$B,"&lt;&gt;Lucas Luiz Romero")*(10/1083),0)))))),0)</f>
        <v/>
      </c>
      <c r="K2535" s="3">
        <f>I2535-J2535</f>
        <v/>
      </c>
      <c r="L2535" s="3">
        <f>IF(K2535&lt;-5,"CRÍTICO",IF(K2535&lt;0,"ATENÇÃO",IF(K2535&lt;=5,"BOM","EXCELENTE")))</f>
        <v/>
      </c>
      <c r="M2535" s="3" t="n">
        <v>15</v>
      </c>
      <c r="N2535" s="3" t="n">
        <v>98.25</v>
      </c>
      <c r="O2535" s="12" t="n">
        <v>25.83518930957684</v>
      </c>
    </row>
    <row r="2536">
      <c r="A2536" s="10" t="n">
        <v>46080</v>
      </c>
      <c r="B2536" t="inlineStr">
        <is>
          <t>Anna Luiza Rezende Tavares</t>
        </is>
      </c>
      <c r="C2536" s="1" t="inlineStr">
        <is>
          <t>Estágio</t>
        </is>
      </c>
      <c r="D2536" s="3" t="n">
        <v>12</v>
      </c>
      <c r="E2536" s="3" t="n">
        <v>11</v>
      </c>
      <c r="F2536" s="3" t="n">
        <v>40.06</v>
      </c>
      <c r="G2536" s="3" t="n">
        <v>0</v>
      </c>
      <c r="H2536" s="3" t="n">
        <v>0</v>
      </c>
      <c r="I2536" s="3">
        <f>E2536+G2536+H2536</f>
        <v/>
      </c>
      <c r="J2536" s="3">
        <f>ROUND(MIN(IF(C2536="Técnico III",35,IF(C2536="Técnico II",28,IF(C2536="Técnico I",23,IF(C2536="JR",20,IF(C2536="Estágio",10,0))))),IF(C2536="Técnico III",SUMIFS($D:$D,$A:$A,$A2536,$B:$B,"&lt;&gt;Patrícia Karla de Sousa Araújo",$B:$B,"&lt;&gt;Lorena Dias de Araujo",$B:$B,"&lt;&gt;Lucas Luiz Romero")*(35/1083),IF(C2536="Técnico II",SUMIFS($D:$D,$A:$A,$A2536,$B:$B,"&lt;&gt;Patrícia Karla de Sousa Araújo",$B:$B,"&lt;&gt;Lorena Dias de Araujo",$B:$B,"&lt;&gt;Lucas Luiz Romero")*(28/1083),IF(C2536="Técnico I",SUMIFS($D:$D,$A:$A,$A2536,$B:$B,"&lt;&gt;Patrícia Karla de Sousa Araújo",$B:$B,"&lt;&gt;Lorena Dias de Araujo",$B:$B,"&lt;&gt;Lucas Luiz Romero")*(23/1083),IF(C2536="JR",SUMIFS($D:$D,$A:$A,$A2536,$B:$B,"&lt;&gt;Patrícia Karla de Sousa Araújo",$B:$B,"&lt;&gt;Lorena Dias de Araujo",$B:$B,"&lt;&gt;Lucas Luiz Romero")*(20/1083),IF(C2536="Estágio",SUMIFS($D:$D,$A:$A,$A2536,$B:$B,"&lt;&gt;Patrícia Karla de Sousa Araújo",$B:$B,"&lt;&gt;Lorena Dias de Araujo",$B:$B,"&lt;&gt;Lucas Luiz Romero")*(10/1083),0)))))),0)</f>
        <v/>
      </c>
      <c r="K2536" s="3">
        <f>I2536-J2536</f>
        <v/>
      </c>
      <c r="L2536" s="3">
        <f>IF(K2536&lt;-5,"CRÍTICO",IF(K2536&lt;0,"ATENÇÃO",IF(K2536&lt;=5,"BOM","EXCELENTE")))</f>
        <v/>
      </c>
      <c r="M2536" s="3" t="n">
        <v>10</v>
      </c>
      <c r="N2536" s="3" t="n">
        <v>97.5</v>
      </c>
      <c r="O2536" s="12" t="n">
        <v>30.07518796992481</v>
      </c>
    </row>
    <row r="2537">
      <c r="A2537" s="10" t="n">
        <v>46080</v>
      </c>
      <c r="B2537" t="inlineStr">
        <is>
          <t>Brenda de Menezes Silva</t>
        </is>
      </c>
      <c r="C2537" s="1" t="inlineStr">
        <is>
          <t>Técnico II</t>
        </is>
      </c>
      <c r="D2537" s="3" t="n">
        <v>35</v>
      </c>
      <c r="E2537" s="3" t="n">
        <v>32</v>
      </c>
      <c r="F2537" s="3" t="n">
        <v>20.32</v>
      </c>
      <c r="G2537" s="3" t="n">
        <v>0</v>
      </c>
      <c r="H2537" s="3" t="n">
        <v>0</v>
      </c>
      <c r="I2537" s="3">
        <f>E2537+G2537+H2537</f>
        <v/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/>
      </c>
      <c r="K2537" s="3">
        <f>I2537-J2537</f>
        <v/>
      </c>
      <c r="L2537" s="3">
        <f>IF(K2537&lt;-5,"CRÍTICO",IF(K2537&lt;0,"ATENÇÃO",IF(K2537&lt;=5,"BOM","EXCELENTE")))</f>
        <v/>
      </c>
      <c r="M2537" s="3" t="n">
        <v>28</v>
      </c>
      <c r="N2537" s="3" t="n">
        <v>100</v>
      </c>
      <c r="O2537" s="12" t="n">
        <v>29.71311475409836</v>
      </c>
    </row>
    <row r="2538">
      <c r="A2538" s="10" t="n">
        <v>46080</v>
      </c>
      <c r="B2538" t="inlineStr">
        <is>
          <t>Carlos Mateus Cassimiro Nunes</t>
        </is>
      </c>
      <c r="C2538" s="1" t="inlineStr">
        <is>
          <t>Técnico II</t>
        </is>
      </c>
      <c r="D2538" s="3" t="n">
        <v>7</v>
      </c>
      <c r="E2538" s="3" t="n">
        <v>7</v>
      </c>
      <c r="F2538" s="3" t="n">
        <v>55.26</v>
      </c>
      <c r="G2538" s="3" t="n">
        <v>0</v>
      </c>
      <c r="H2538" s="3" t="n">
        <v>0</v>
      </c>
      <c r="I2538" s="3">
        <f>E2538+G2538+H2538</f>
        <v/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/>
      </c>
      <c r="K2538" s="3">
        <f>I2538-J2538</f>
        <v/>
      </c>
      <c r="L2538" s="3">
        <f>IF(K2538&lt;-5,"CRÍTICO",IF(K2538&lt;0,"ATENÇÃO",IF(K2538&lt;=5,"BOM","EXCELENTE")))</f>
        <v/>
      </c>
      <c r="M2538" s="3" t="n">
        <v>7</v>
      </c>
      <c r="N2538" s="3" t="n">
        <v>99.22</v>
      </c>
      <c r="O2538" s="12" t="n">
        <v>35.25641025641026</v>
      </c>
    </row>
    <row r="2539">
      <c r="A2539" s="10" t="n">
        <v>46080</v>
      </c>
      <c r="B2539" t="inlineStr">
        <is>
          <t>Claudio de Sousa Velasco Filho</t>
        </is>
      </c>
      <c r="C2539" s="1" t="inlineStr">
        <is>
          <t>Estágio</t>
        </is>
      </c>
      <c r="D2539" s="3" t="n">
        <v>0</v>
      </c>
      <c r="E2539" s="3" t="n">
        <v>0</v>
      </c>
      <c r="F2539" s="3" t="n">
        <v>0</v>
      </c>
      <c r="G2539" s="3" t="n">
        <v>0</v>
      </c>
      <c r="H2539" s="3" t="n">
        <v>0</v>
      </c>
      <c r="I2539" s="3" t="n">
        <v>0</v>
      </c>
      <c r="J2539" s="3" t="n">
        <v>0</v>
      </c>
      <c r="K2539" s="3" t="n">
        <v>0</v>
      </c>
      <c r="L2539" s="3">
        <f>IF(K2539&lt;-5,"CRÍTICO",IF(K2539&lt;0,"ATENÇÃO",IF(K2539&lt;=5,"BOM","EXCELENTE")))</f>
        <v/>
      </c>
      <c r="M2539" s="3" t="n">
        <v>0</v>
      </c>
      <c r="N2539" s="3" t="n">
        <v>0</v>
      </c>
      <c r="O2539" s="12" t="n">
        <v>0</v>
      </c>
    </row>
    <row r="2540">
      <c r="A2540" s="10" t="n">
        <v>46080</v>
      </c>
      <c r="B2540" t="inlineStr">
        <is>
          <t>Clessiane Pereira dos Santos</t>
        </is>
      </c>
      <c r="C2540" s="1" t="inlineStr">
        <is>
          <t>Técnico I</t>
        </is>
      </c>
      <c r="D2540" s="3" t="n">
        <v>15</v>
      </c>
      <c r="E2540" s="3" t="n">
        <v>13</v>
      </c>
      <c r="F2540" s="3" t="n">
        <v>40.32</v>
      </c>
      <c r="G2540" s="3" t="n">
        <v>0</v>
      </c>
      <c r="H2540" s="3" t="n">
        <v>0</v>
      </c>
      <c r="I2540" s="3">
        <f>E2540+G2540+H2540</f>
        <v/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/>
      </c>
      <c r="K2540" s="3">
        <f>I2540-J2540</f>
        <v/>
      </c>
      <c r="L2540" s="3">
        <f>IF(K2540&lt;-5,"CRÍTICO",IF(K2540&lt;0,"ATENÇÃO",IF(K2540&lt;=5,"BOM","EXCELENTE")))</f>
        <v/>
      </c>
      <c r="M2540" s="3" t="n">
        <v>12</v>
      </c>
      <c r="N2540" s="3" t="n">
        <v>98.75</v>
      </c>
      <c r="O2540" s="12" t="n">
        <v>24.32432432432433</v>
      </c>
    </row>
    <row r="2541">
      <c r="A2541" s="10" t="n">
        <v>46080</v>
      </c>
      <c r="B2541" t="inlineStr">
        <is>
          <t>Cristiane Ramos da Silva Rocha</t>
        </is>
      </c>
      <c r="C2541" s="1" t="inlineStr">
        <is>
          <t>Técnico III</t>
        </is>
      </c>
      <c r="D2541" s="3" t="n">
        <v>27</v>
      </c>
      <c r="E2541" s="3" t="n">
        <v>27</v>
      </c>
      <c r="F2541" s="3" t="n">
        <v>28.56</v>
      </c>
      <c r="G2541" s="3" t="n">
        <v>0</v>
      </c>
      <c r="H2541" s="3" t="n">
        <v>0</v>
      </c>
      <c r="I2541" s="3">
        <f>E2541+G2541+H2541</f>
        <v/>
      </c>
      <c r="J2541" s="3">
        <f>ROUND(MIN(IF(C2541="Técnico III",35,IF(C2541="Técnico II",28,IF(C2541="Técnico I",23,IF(C2541="JR",20,IF(C2541="Estágio",10,0))))),IF(C2541="Técnico III",SUMIFS($D:$D,$A:$A,$A2541,$B:$B,"&lt;&gt;Patrícia Karla de Sousa Araújo",$B:$B,"&lt;&gt;Lorena Dias de Araujo",$B:$B,"&lt;&gt;Lucas Luiz Romero")*(35/1083),IF(C2541="Técnico II",SUMIFS($D:$D,$A:$A,$A2541,$B:$B,"&lt;&gt;Patrícia Karla de Sousa Araújo",$B:$B,"&lt;&gt;Lorena Dias de Araujo",$B:$B,"&lt;&gt;Lucas Luiz Romero")*(28/1083),IF(C2541="Técnico I",SUMIFS($D:$D,$A:$A,$A2541,$B:$B,"&lt;&gt;Patrícia Karla de Sousa Araújo",$B:$B,"&lt;&gt;Lorena Dias de Araujo",$B:$B,"&lt;&gt;Lucas Luiz Romero")*(23/1083),IF(C2541="JR",SUMIFS($D:$D,$A:$A,$A2541,$B:$B,"&lt;&gt;Patrícia Karla de Sousa Araújo",$B:$B,"&lt;&gt;Lorena Dias de Araujo",$B:$B,"&lt;&gt;Lucas Luiz Romero")*(20/1083),IF(C2541="Estágio",SUMIFS($D:$D,$A:$A,$A2541,$B:$B,"&lt;&gt;Patrícia Karla de Sousa Araújo",$B:$B,"&lt;&gt;Lorena Dias de Araujo",$B:$B,"&lt;&gt;Lucas Luiz Romero")*(10/1083),0)))))),0)</f>
        <v/>
      </c>
      <c r="K2541" s="3">
        <f>I2541-J2541</f>
        <v/>
      </c>
      <c r="L2541" s="3">
        <f>IF(K2541&lt;-5,"CRÍTICO",IF(K2541&lt;0,"ATENÇÃO",IF(K2541&lt;=5,"BOM","EXCELENTE")))</f>
        <v/>
      </c>
      <c r="M2541" s="3" t="n">
        <v>26</v>
      </c>
      <c r="N2541" s="3" t="n">
        <v>93.48</v>
      </c>
      <c r="O2541" s="12" t="n">
        <v>31.52804642166344</v>
      </c>
    </row>
    <row r="2542">
      <c r="A2542" s="10" t="n">
        <v>46080</v>
      </c>
      <c r="B2542" t="inlineStr">
        <is>
          <t>Damyllis Lorraine de Oliveira Gonçalves</t>
        </is>
      </c>
      <c r="C2542" s="1" t="inlineStr">
        <is>
          <t>Técnico II</t>
        </is>
      </c>
      <c r="D2542" s="3" t="n">
        <v>25</v>
      </c>
      <c r="E2542" s="3" t="n">
        <v>22</v>
      </c>
      <c r="F2542" s="3" t="n">
        <v>25.34</v>
      </c>
      <c r="G2542" s="3" t="n">
        <v>0</v>
      </c>
      <c r="H2542" s="3" t="n">
        <v>0</v>
      </c>
      <c r="I2542" s="3" t="n">
        <v>0</v>
      </c>
      <c r="J2542" s="3" t="n">
        <v>0</v>
      </c>
      <c r="K2542" s="3" t="n">
        <v>0</v>
      </c>
      <c r="L2542" s="3">
        <f>IF(K2542&lt;-5,"CRÍTICO",IF(K2542&lt;0,"ATENÇÃO",IF(K2542&lt;=5,"BOM","EXCELENTE")))</f>
        <v/>
      </c>
      <c r="M2542" s="3" t="n">
        <v>19</v>
      </c>
      <c r="N2542" s="3" t="n">
        <v>99.16</v>
      </c>
      <c r="O2542" s="12" t="n">
        <v>26.13908872901678</v>
      </c>
    </row>
    <row r="2543">
      <c r="A2543" s="10" t="n">
        <v>46080</v>
      </c>
      <c r="B2543" t="inlineStr">
        <is>
          <t>Daniel Gomes da Silva</t>
        </is>
      </c>
      <c r="C2543" s="1" t="inlineStr">
        <is>
          <t>Técnico I</t>
        </is>
      </c>
      <c r="D2543" s="3" t="n">
        <v>7</v>
      </c>
      <c r="E2543" s="3" t="n">
        <v>7</v>
      </c>
      <c r="F2543" s="3" t="n">
        <v>168.22</v>
      </c>
      <c r="G2543" s="3" t="n">
        <v>0</v>
      </c>
      <c r="H2543" s="3" t="n">
        <v>0</v>
      </c>
      <c r="I2543" s="3">
        <f>E2543+G2543+H2543</f>
        <v/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/>
      </c>
      <c r="K2543" s="3">
        <f>I2543-J2543</f>
        <v/>
      </c>
      <c r="L2543" s="3">
        <f>IF(K2543&lt;-5,"CRÍTICO",IF(K2543&lt;0,"ATENÇÃO",IF(K2543&lt;=5,"BOM","EXCELENTE")))</f>
        <v/>
      </c>
      <c r="M2543" s="3" t="n">
        <v>3</v>
      </c>
      <c r="N2543" s="3" t="n">
        <v>100</v>
      </c>
      <c r="O2543" s="12" t="n">
        <v>31.08974358974359</v>
      </c>
    </row>
    <row r="2544">
      <c r="A2544" s="10" t="n">
        <v>46080</v>
      </c>
      <c r="B2544" t="inlineStr">
        <is>
          <t>Davylla Rodrigues Freitas Silva</t>
        </is>
      </c>
      <c r="C2544" s="1" t="inlineStr">
        <is>
          <t>Técnico III</t>
        </is>
      </c>
      <c r="D2544" s="3" t="n">
        <v>15</v>
      </c>
      <c r="E2544" s="3" t="n">
        <v>15</v>
      </c>
      <c r="F2544" s="3" t="n">
        <v>47.01</v>
      </c>
      <c r="G2544" s="3" t="n">
        <v>0</v>
      </c>
      <c r="H2544" s="3" t="n">
        <v>0</v>
      </c>
      <c r="I2544" s="3" t="n">
        <v>0</v>
      </c>
      <c r="J2544" s="3" t="n">
        <v>0</v>
      </c>
      <c r="K2544" s="3" t="n">
        <v>0</v>
      </c>
      <c r="L2544" s="3">
        <f>IF(K2544&lt;-5,"CRÍTICO",IF(K2544&lt;0,"ATENÇÃO",IF(K2544&lt;=5,"BOM","EXCELENTE")))</f>
        <v/>
      </c>
      <c r="M2544" s="3" t="n">
        <v>13</v>
      </c>
      <c r="N2544" s="3" t="n">
        <v>98.11</v>
      </c>
      <c r="O2544" s="12" t="n">
        <v>33.03370786516854</v>
      </c>
    </row>
    <row r="2545">
      <c r="A2545" s="10" t="n">
        <v>46080</v>
      </c>
      <c r="B2545" t="inlineStr">
        <is>
          <t>Emilly Caylane Costa</t>
        </is>
      </c>
      <c r="C2545" s="1" t="inlineStr">
        <is>
          <t>Estágio</t>
        </is>
      </c>
      <c r="D2545" s="3" t="n">
        <v>8</v>
      </c>
      <c r="E2545" s="3" t="n">
        <v>8</v>
      </c>
      <c r="F2545" s="3" t="n">
        <v>48.23</v>
      </c>
      <c r="G2545" s="3" t="n">
        <v>0</v>
      </c>
      <c r="H2545" s="3" t="n">
        <v>0</v>
      </c>
      <c r="I2545" s="3">
        <f>E2545+G2545+H2545</f>
        <v/>
      </c>
      <c r="J2545" s="3">
        <f>ROUND(MIN(IF(C2545="Técnico III",35,IF(C2545="Técnico II",28,IF(C2545="Técnico I",23,IF(C2545="JR",20,IF(C2545="Estágio",10,0))))),IF(C2545="Técnico III",SUMIFS($D:$D,$A:$A,$A2545,$B:$B,"&lt;&gt;Patrícia Karla de Sousa Araújo",$B:$B,"&lt;&gt;Lorena Dias de Araujo",$B:$B,"&lt;&gt;Lucas Luiz Romero")*(35/1083),IF(C2545="Técnico II",SUMIFS($D:$D,$A:$A,$A2545,$B:$B,"&lt;&gt;Patrícia Karla de Sousa Araújo",$B:$B,"&lt;&gt;Lorena Dias de Araujo",$B:$B,"&lt;&gt;Lucas Luiz Romero")*(28/1083),IF(C2545="Técnico I",SUMIFS($D:$D,$A:$A,$A2545,$B:$B,"&lt;&gt;Patrícia Karla de Sousa Araújo",$B:$B,"&lt;&gt;Lorena Dias de Araujo",$B:$B,"&lt;&gt;Lucas Luiz Romero")*(23/1083),IF(C2545="JR",SUMIFS($D:$D,$A:$A,$A2545,$B:$B,"&lt;&gt;Patrícia Karla de Sousa Araújo",$B:$B,"&lt;&gt;Lorena Dias de Araujo",$B:$B,"&lt;&gt;Lucas Luiz Romero")*(20/1083),IF(C2545="Estágio",SUMIFS($D:$D,$A:$A,$A2545,$B:$B,"&lt;&gt;Patrícia Karla de Sousa Araújo",$B:$B,"&lt;&gt;Lorena Dias de Araujo",$B:$B,"&lt;&gt;Lucas Luiz Romero")*(10/1083),0)))))),0)</f>
        <v/>
      </c>
      <c r="K2545" s="3">
        <f>I2545-J2545</f>
        <v/>
      </c>
      <c r="L2545" s="3">
        <f>IF(K2545&lt;-5,"CRÍTICO",IF(K2545&lt;0,"ATENÇÃO",IF(K2545&lt;=5,"BOM","EXCELENTE")))</f>
        <v/>
      </c>
      <c r="M2545" s="3" t="n">
        <v>5</v>
      </c>
      <c r="N2545" s="3" t="n">
        <v>78.95</v>
      </c>
      <c r="O2545" s="12" t="n">
        <v>38.98305084745763</v>
      </c>
    </row>
    <row r="2546">
      <c r="A2546" s="10" t="n">
        <v>46080</v>
      </c>
      <c r="B2546" t="inlineStr">
        <is>
          <t>Emilly Kamilly Medeiros Miranda</t>
        </is>
      </c>
      <c r="C2546" s="1" t="inlineStr">
        <is>
          <t>Técnico II</t>
        </is>
      </c>
      <c r="D2546" s="3" t="n">
        <v>14</v>
      </c>
      <c r="E2546" s="3" t="n">
        <v>13</v>
      </c>
      <c r="F2546" s="3" t="n">
        <v>48.35</v>
      </c>
      <c r="G2546" s="3" t="n">
        <v>0</v>
      </c>
      <c r="H2546" s="3" t="n">
        <v>0</v>
      </c>
      <c r="I2546" s="3">
        <f>E2546+G2546+H2546</f>
        <v/>
      </c>
      <c r="J2546" s="3">
        <f>ROUND(MIN(IF(C2546="Técnico III",35,IF(C2546="Técnico II",28,IF(C2546="Técnico I",23,IF(C2546="JR",20,IF(C2546="Estágio",10,0))))),IF(C2546="Técnico III",SUMIFS($D:$D,$A:$A,$A2546,$B:$B,"&lt;&gt;Patrícia Karla de Sousa Araújo",$B:$B,"&lt;&gt;Lorena Dias de Araujo",$B:$B,"&lt;&gt;Lucas Luiz Romero")*(35/1083),IF(C2546="Técnico II",SUMIFS($D:$D,$A:$A,$A2546,$B:$B,"&lt;&gt;Patrícia Karla de Sousa Araújo",$B:$B,"&lt;&gt;Lorena Dias de Araujo",$B:$B,"&lt;&gt;Lucas Luiz Romero")*(28/1083),IF(C2546="Técnico I",SUMIFS($D:$D,$A:$A,$A2546,$B:$B,"&lt;&gt;Patrícia Karla de Sousa Araújo",$B:$B,"&lt;&gt;Lorena Dias de Araujo",$B:$B,"&lt;&gt;Lucas Luiz Romero")*(23/1083),IF(C2546="JR",SUMIFS($D:$D,$A:$A,$A2546,$B:$B,"&lt;&gt;Patrícia Karla de Sousa Araújo",$B:$B,"&lt;&gt;Lorena Dias de Araujo",$B:$B,"&lt;&gt;Lucas Luiz Romero")*(20/1083),IF(C2546="Estágio",SUMIFS($D:$D,$A:$A,$A2546,$B:$B,"&lt;&gt;Patrícia Karla de Sousa Araújo",$B:$B,"&lt;&gt;Lorena Dias de Araujo",$B:$B,"&lt;&gt;Lucas Luiz Romero")*(10/1083),0)))))),0)</f>
        <v/>
      </c>
      <c r="K2546" s="3">
        <f>I2546-J2546</f>
        <v/>
      </c>
      <c r="L2546" s="3">
        <f>IF(K2546&lt;-5,"CRÍTICO",IF(K2546&lt;0,"ATENÇÃO",IF(K2546&lt;=5,"BOM","EXCELENTE")))</f>
        <v/>
      </c>
      <c r="M2546" s="3" t="n">
        <v>13</v>
      </c>
      <c r="N2546" s="3" t="n">
        <v>98.45</v>
      </c>
      <c r="O2546" s="12" t="n">
        <v>29.2817679558011</v>
      </c>
    </row>
    <row r="2547">
      <c r="A2547" s="10" t="n">
        <v>46080</v>
      </c>
      <c r="B2547" t="inlineStr">
        <is>
          <t>Francielson de Oliveira</t>
        </is>
      </c>
      <c r="C2547" s="1" t="inlineStr">
        <is>
          <t>Técnico III</t>
        </is>
      </c>
      <c r="D2547" s="3" t="n">
        <v>24</v>
      </c>
      <c r="E2547" s="3" t="n">
        <v>24</v>
      </c>
      <c r="F2547" s="3" t="n">
        <v>22.14</v>
      </c>
      <c r="G2547" s="3" t="n">
        <v>0</v>
      </c>
      <c r="H2547" s="3" t="n">
        <v>0</v>
      </c>
      <c r="I2547" s="3">
        <f>E2547+G2547+H2547</f>
        <v/>
      </c>
      <c r="J2547" s="3">
        <f>ROUND(MIN(IF(C2547="Técnico III",35,IF(C2547="Técnico II",28,IF(C2547="Técnico I",23,IF(C2547="JR",20,IF(C2547="Estágio",10,0))))),IF(C2547="Técnico III",SUMIFS($D:$D,$A:$A,$A2547,$B:$B,"&lt;&gt;Patrícia Karla de Sousa Araújo",$B:$B,"&lt;&gt;Lorena Dias de Araujo",$B:$B,"&lt;&gt;Lucas Luiz Romero")*(35/1083),IF(C2547="Técnico II",SUMIFS($D:$D,$A:$A,$A2547,$B:$B,"&lt;&gt;Patrícia Karla de Sousa Araújo",$B:$B,"&lt;&gt;Lorena Dias de Araujo",$B:$B,"&lt;&gt;Lucas Luiz Romero")*(28/1083),IF(C2547="Técnico I",SUMIFS($D:$D,$A:$A,$A2547,$B:$B,"&lt;&gt;Patrícia Karla de Sousa Araújo",$B:$B,"&lt;&gt;Lorena Dias de Araujo",$B:$B,"&lt;&gt;Lucas Luiz Romero")*(23/1083),IF(C2547="JR",SUMIFS($D:$D,$A:$A,$A2547,$B:$B,"&lt;&gt;Patrícia Karla de Sousa Araújo",$B:$B,"&lt;&gt;Lorena Dias de Araujo",$B:$B,"&lt;&gt;Lucas Luiz Romero")*(20/1083),IF(C2547="Estágio",SUMIFS($D:$D,$A:$A,$A2547,$B:$B,"&lt;&gt;Patrícia Karla de Sousa Araújo",$B:$B,"&lt;&gt;Lorena Dias de Araujo",$B:$B,"&lt;&gt;Lucas Luiz Romero")*(10/1083),0)))))),0)</f>
        <v/>
      </c>
      <c r="K2547" s="3">
        <f>I2547-J2547</f>
        <v/>
      </c>
      <c r="L2547" s="3">
        <f>IF(K2547&lt;-5,"CRÍTICO",IF(K2547&lt;0,"ATENÇÃO",IF(K2547&lt;=5,"BOM","EXCELENTE")))</f>
        <v/>
      </c>
      <c r="M2547" s="3" t="n">
        <v>24</v>
      </c>
      <c r="N2547" s="3" t="n">
        <v>97.84</v>
      </c>
      <c r="O2547" s="12" t="n">
        <v>26.28205128205128</v>
      </c>
    </row>
    <row r="2548">
      <c r="A2548" s="10" t="n">
        <v>46080</v>
      </c>
      <c r="B2548" t="inlineStr">
        <is>
          <t>Francilene Ferreira de Jesus</t>
        </is>
      </c>
      <c r="C2548" s="1" t="inlineStr">
        <is>
          <t>Técnico II</t>
        </is>
      </c>
      <c r="D2548" s="3" t="n">
        <v>22</v>
      </c>
      <c r="E2548" s="3" t="n">
        <v>19</v>
      </c>
      <c r="F2548" s="3" t="n">
        <v>35.34</v>
      </c>
      <c r="G2548" s="3" t="n">
        <v>0</v>
      </c>
      <c r="H2548" s="3" t="n">
        <v>0</v>
      </c>
      <c r="I2548" s="3">
        <f>E2548+G2548+H2548</f>
        <v/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/>
      </c>
      <c r="K2548" s="3">
        <f>I2548-J2548</f>
        <v/>
      </c>
      <c r="L2548" s="3">
        <f>IF(K2548&lt;-5,"CRÍTICO",IF(K2548&lt;0,"ATENÇÃO",IF(K2548&lt;=5,"BOM","EXCELENTE")))</f>
        <v/>
      </c>
      <c r="M2548" s="3" t="n">
        <v>18</v>
      </c>
      <c r="N2548" s="3" t="n">
        <v>98.5</v>
      </c>
      <c r="O2548" s="12" t="n">
        <v>23.97769516728625</v>
      </c>
    </row>
    <row r="2549">
      <c r="A2549" s="10" t="n">
        <v>46114</v>
      </c>
      <c r="B2549" t="inlineStr">
        <is>
          <t>Gabriel Gomes de Andrade</t>
        </is>
      </c>
      <c r="C2549" s="1" t="inlineStr">
        <is>
          <t>Técnico I</t>
        </is>
      </c>
      <c r="D2549" s="3" t="n">
        <v>33</v>
      </c>
      <c r="E2549" s="3" t="n">
        <v>31</v>
      </c>
      <c r="F2549" s="3" t="n">
        <v>15.33</v>
      </c>
      <c r="G2549" s="3" t="n">
        <v>0</v>
      </c>
      <c r="H2549" s="3" t="n">
        <v>0</v>
      </c>
      <c r="I2549" s="3">
        <f>E2549+G2549+H2549</f>
        <v/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/>
      </c>
      <c r="K2549" s="3">
        <f>I2549-J2549</f>
        <v/>
      </c>
      <c r="L2549" s="3">
        <f>IF(K2549&lt;-5,"CRÍTICO",IF(K2549&lt;0,"ATENÇÃO",IF(K2549&lt;=5,"OPORTUNO","MUITO BOM")))</f>
        <v/>
      </c>
      <c r="M2549" s="3" t="n">
        <v>32</v>
      </c>
      <c r="N2549" s="3" t="n">
        <v>99.28</v>
      </c>
      <c r="O2549" s="12" t="n">
        <v>27.68924302788844</v>
      </c>
    </row>
    <row r="2550">
      <c r="A2550" s="10" t="n">
        <v>46080</v>
      </c>
      <c r="B2550" t="inlineStr">
        <is>
          <t>Isabella Borges de Oliveira</t>
        </is>
      </c>
      <c r="C2550" s="1" t="inlineStr">
        <is>
          <t>Técnico II</t>
        </is>
      </c>
      <c r="D2550" s="3" t="n">
        <v>21</v>
      </c>
      <c r="E2550" s="3" t="n">
        <v>21</v>
      </c>
      <c r="F2550" s="3" t="n">
        <v>28.56</v>
      </c>
      <c r="G2550" s="3" t="n">
        <v>0</v>
      </c>
      <c r="H2550" s="3" t="n">
        <v>0</v>
      </c>
      <c r="I2550" s="3">
        <f>E2550+G2550+H2550</f>
        <v/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/>
      </c>
      <c r="K2550" s="3">
        <f>I2550-J2550</f>
        <v/>
      </c>
      <c r="L2550" s="3">
        <f>IF(K2550&lt;-5,"CRÍTICO",IF(K2550&lt;0,"ATENÇÃO",IF(K2550&lt;=5,"BOM","EXCELENTE")))</f>
        <v/>
      </c>
      <c r="M2550" s="3" t="n">
        <v>19</v>
      </c>
      <c r="N2550" s="3" t="n">
        <v>98.53</v>
      </c>
      <c r="O2550" s="12" t="n">
        <v>31.57894736842105</v>
      </c>
    </row>
    <row r="2551">
      <c r="A2551" s="10" t="n">
        <v>46080</v>
      </c>
      <c r="B2551" t="inlineStr">
        <is>
          <t>Janaina Lima dos Reis Urany</t>
        </is>
      </c>
      <c r="C2551" s="1" t="inlineStr">
        <is>
          <t>Técnico III</t>
        </is>
      </c>
      <c r="D2551" s="3" t="n">
        <v>28</v>
      </c>
      <c r="E2551" s="3" t="n">
        <v>23</v>
      </c>
      <c r="F2551" s="3" t="n">
        <v>27.08</v>
      </c>
      <c r="G2551" s="3" t="n">
        <v>0</v>
      </c>
      <c r="H2551" s="3" t="n">
        <v>0</v>
      </c>
      <c r="I2551" s="3">
        <f>E2551+G2551+H2551</f>
        <v/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/>
      </c>
      <c r="K2551" s="3">
        <f>I2551-J2551</f>
        <v/>
      </c>
      <c r="L2551" s="3">
        <f>IF(K2551&lt;-5,"CRÍTICO",IF(K2551&lt;0,"ATENÇÃO",IF(K2551&lt;=5,"BOM","EXCELENTE")))</f>
        <v/>
      </c>
      <c r="M2551" s="3" t="n">
        <v>24</v>
      </c>
      <c r="N2551" s="3" t="n">
        <v>100</v>
      </c>
      <c r="O2551" s="12" t="n">
        <v>25.72214580467676</v>
      </c>
    </row>
    <row r="2552">
      <c r="A2552" s="10" t="n">
        <v>46080</v>
      </c>
      <c r="B2552" t="inlineStr">
        <is>
          <t>Jaqueline Evangelista da Silva Martins</t>
        </is>
      </c>
      <c r="C2552" s="1" t="inlineStr">
        <is>
          <t>Técnico III</t>
        </is>
      </c>
      <c r="D2552" s="3" t="n">
        <v>3</v>
      </c>
      <c r="E2552" s="3" t="n">
        <v>3</v>
      </c>
      <c r="F2552" s="3" t="n">
        <v>67.34</v>
      </c>
      <c r="G2552" s="3" t="n">
        <v>0</v>
      </c>
      <c r="H2552" s="3" t="n">
        <v>0</v>
      </c>
      <c r="I2552" s="3">
        <f>E2552+G2552+H2552</f>
        <v/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/>
      </c>
      <c r="K2552" s="3">
        <f>I2552-J2552</f>
        <v/>
      </c>
      <c r="L2552" s="3">
        <f>IF(K2552&lt;-5,"CRÍTICO",IF(K2552&lt;0,"ATENÇÃO",IF(K2552&lt;=5,"BOM","EXCELENTE")))</f>
        <v/>
      </c>
      <c r="M2552" s="3" t="n">
        <v>2</v>
      </c>
      <c r="N2552" s="3" t="n">
        <v>94.64</v>
      </c>
      <c r="O2552" s="12" t="n">
        <v>27.52941176470588</v>
      </c>
    </row>
    <row r="2553">
      <c r="A2553" s="10" t="n">
        <v>46080</v>
      </c>
      <c r="B2553" t="inlineStr">
        <is>
          <t>Jessica Faria da Silveira</t>
        </is>
      </c>
      <c r="C2553" s="1" t="inlineStr">
        <is>
          <t>Técnico II</t>
        </is>
      </c>
      <c r="D2553" s="3" t="n">
        <v>15</v>
      </c>
      <c r="E2553" s="3" t="n">
        <v>15</v>
      </c>
      <c r="F2553" s="3" t="n">
        <v>33.32</v>
      </c>
      <c r="G2553" s="3" t="n">
        <v>0</v>
      </c>
      <c r="H2553" s="3" t="n">
        <v>0</v>
      </c>
      <c r="I2553" s="3">
        <f>E2553+G2553+H2553</f>
        <v/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/>
      </c>
      <c r="K2553" s="3">
        <f>I2553-J2553</f>
        <v/>
      </c>
      <c r="L2553" s="3">
        <f>IF(K2553&lt;-5,"CRÍTICO",IF(K2553&lt;0,"ATENÇÃO",IF(K2553&lt;=5,"BOM","EXCELENTE")))</f>
        <v/>
      </c>
      <c r="M2553" s="3" t="n">
        <v>14</v>
      </c>
      <c r="N2553" s="3" t="n">
        <v>99.06999999999999</v>
      </c>
      <c r="O2553" s="12" t="n">
        <v>26.3768115942029</v>
      </c>
    </row>
    <row r="2554">
      <c r="A2554" s="10" t="n">
        <v>46080</v>
      </c>
      <c r="B2554" t="inlineStr">
        <is>
          <t>Jéssica Fé Moura</t>
        </is>
      </c>
      <c r="C2554" s="1" t="inlineStr">
        <is>
          <t>Técnico III</t>
        </is>
      </c>
      <c r="D2554" s="3" t="n">
        <v>0</v>
      </c>
      <c r="E2554" s="3" t="n">
        <v>0</v>
      </c>
      <c r="F2554" s="3" t="n">
        <v>0</v>
      </c>
      <c r="G2554" s="3" t="n">
        <v>0</v>
      </c>
      <c r="H2554" s="3" t="n">
        <v>0</v>
      </c>
      <c r="I2554" s="3" t="n">
        <v>0</v>
      </c>
      <c r="J2554" s="3" t="n">
        <v>0</v>
      </c>
      <c r="K2554" s="3" t="n">
        <v>0</v>
      </c>
      <c r="L2554" s="3">
        <f>IF(K2554&lt;-5,"CRÍTICO",IF(K2554&lt;0,"ATENÇÃO",IF(K2554&lt;=5,"BOM","EXCELENTE")))</f>
        <v/>
      </c>
      <c r="M2554" s="3" t="n">
        <v>0</v>
      </c>
      <c r="N2554" s="3" t="n">
        <v>100</v>
      </c>
      <c r="O2554" s="12" t="n">
        <v>0</v>
      </c>
    </row>
    <row r="2555">
      <c r="A2555" s="10" t="n">
        <v>46080</v>
      </c>
      <c r="B2555" t="inlineStr">
        <is>
          <t>Karina Gonçalves Martins</t>
        </is>
      </c>
      <c r="C2555" s="1" t="inlineStr">
        <is>
          <t>JR</t>
        </is>
      </c>
      <c r="D2555" s="3" t="n">
        <v>9</v>
      </c>
      <c r="E2555" s="3" t="n">
        <v>8</v>
      </c>
      <c r="F2555" s="3" t="n">
        <v>38.58</v>
      </c>
      <c r="G2555" s="3" t="n">
        <v>0</v>
      </c>
      <c r="H2555" s="3" t="n">
        <v>0</v>
      </c>
      <c r="I2555" s="3">
        <f>E2555+G2555+H2555</f>
        <v/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/>
      </c>
      <c r="K2555" s="3">
        <f>I2555-J2555</f>
        <v/>
      </c>
      <c r="L2555" s="3">
        <f>IF(K2555&lt;-5,"CRÍTICO",IF(K2555&lt;0,"ATENÇÃO",IF(K2555&lt;=5,"BOM","EXCELENTE")))</f>
        <v/>
      </c>
      <c r="M2555" s="3" t="n">
        <v>9</v>
      </c>
      <c r="N2555" s="3" t="n">
        <v>98.48</v>
      </c>
      <c r="O2555" s="12" t="n">
        <v>27.85388127853881</v>
      </c>
    </row>
    <row r="2556">
      <c r="A2556" s="10" t="n">
        <v>46080</v>
      </c>
      <c r="B2556" t="inlineStr">
        <is>
          <t>Kerollen Cristielly de Jesus Siqueira</t>
        </is>
      </c>
      <c r="C2556" s="1" t="inlineStr">
        <is>
          <t>Técnico III</t>
        </is>
      </c>
      <c r="D2556" s="3" t="n">
        <v>0</v>
      </c>
      <c r="E2556" s="3" t="n">
        <v>0</v>
      </c>
      <c r="F2556" s="3" t="n">
        <v>0</v>
      </c>
      <c r="G2556" s="3" t="n">
        <v>0</v>
      </c>
      <c r="H2556" s="3" t="n">
        <v>0</v>
      </c>
      <c r="I2556" s="3" t="n">
        <v>0</v>
      </c>
      <c r="J2556" s="3" t="n">
        <v>0</v>
      </c>
      <c r="K2556" s="3" t="n">
        <v>0</v>
      </c>
      <c r="L2556" s="3">
        <f>IF(K2556&lt;-5,"CRÍTICO",IF(K2556&lt;0,"ATENÇÃO",IF(K2556&lt;=5,"BOM","EXCELENTE")))</f>
        <v/>
      </c>
      <c r="M2556" s="3" t="n">
        <v>21</v>
      </c>
      <c r="N2556" s="3" t="n">
        <v>95.15000000000001</v>
      </c>
      <c r="O2556" s="12" t="n">
        <v>34.13173652694611</v>
      </c>
    </row>
    <row r="2557">
      <c r="A2557" s="10" t="n">
        <v>46080</v>
      </c>
      <c r="B2557" t="inlineStr">
        <is>
          <t>Leandro de Souza Silva</t>
        </is>
      </c>
      <c r="C2557" s="1" t="inlineStr">
        <is>
          <t>JR</t>
        </is>
      </c>
      <c r="D2557" s="3" t="n">
        <v>0</v>
      </c>
      <c r="E2557" s="3" t="n">
        <v>0</v>
      </c>
      <c r="F2557" s="3" t="n">
        <v>0</v>
      </c>
      <c r="G2557" s="3" t="n">
        <v>0</v>
      </c>
      <c r="H2557" s="3" t="n">
        <v>0</v>
      </c>
      <c r="I2557" s="3" t="n">
        <v>0</v>
      </c>
      <c r="J2557" s="3" t="n">
        <v>0</v>
      </c>
      <c r="K2557" s="3" t="n">
        <v>0</v>
      </c>
      <c r="L2557" s="3">
        <f>IF(K2557&lt;-5,"CRÍTICO",IF(K2557&lt;0,"ATENÇÃO",IF(K2557&lt;=5,"BOM","EXCELENTE")))</f>
        <v/>
      </c>
      <c r="M2557" s="3" t="n">
        <v>0</v>
      </c>
      <c r="N2557" s="3" t="n">
        <v>0</v>
      </c>
      <c r="O2557" s="12" t="n">
        <v>0</v>
      </c>
    </row>
    <row r="2558">
      <c r="A2558" s="10" t="n">
        <v>46080</v>
      </c>
      <c r="B2558" t="inlineStr">
        <is>
          <t>Leandro Oliveira de Sousa</t>
        </is>
      </c>
      <c r="C2558" s="1" t="inlineStr">
        <is>
          <t>Técnico III</t>
        </is>
      </c>
      <c r="D2558" s="3" t="n">
        <v>16</v>
      </c>
      <c r="E2558" s="3" t="n">
        <v>16</v>
      </c>
      <c r="F2558" s="3" t="n">
        <v>45.36</v>
      </c>
      <c r="G2558" s="3" t="n">
        <v>0</v>
      </c>
      <c r="H2558" s="3" t="n">
        <v>0</v>
      </c>
      <c r="I2558" s="3">
        <f>E2558+G2558+H2558</f>
        <v/>
      </c>
      <c r="J2558" s="3">
        <f>ROUND(MIN(IF(C2558="Técnico III",35,IF(C2558="Técnico II",28,IF(C2558="Técnico I",23,IF(C2558="JR",20,IF(C2558="Estágio",10,0))))),IF(C2558="Técnico III",SUMIFS($D:$D,$A:$A,$A2558,$B:$B,"&lt;&gt;Patrícia Karla de Sousa Araújo",$B:$B,"&lt;&gt;Lorena Dias de Araujo",$B:$B,"&lt;&gt;Lucas Luiz Romero")*(35/1083),IF(C2558="Técnico II",SUMIFS($D:$D,$A:$A,$A2558,$B:$B,"&lt;&gt;Patrícia Karla de Sousa Araújo",$B:$B,"&lt;&gt;Lorena Dias de Araujo",$B:$B,"&lt;&gt;Lucas Luiz Romero")*(28/1083),IF(C2558="Técnico I",SUMIFS($D:$D,$A:$A,$A2558,$B:$B,"&lt;&gt;Patrícia Karla de Sousa Araújo",$B:$B,"&lt;&gt;Lorena Dias de Araujo",$B:$B,"&lt;&gt;Lucas Luiz Romero")*(23/1083),IF(C2558="JR",SUMIFS($D:$D,$A:$A,$A2558,$B:$B,"&lt;&gt;Patrícia Karla de Sousa Araújo",$B:$B,"&lt;&gt;Lorena Dias de Araujo",$B:$B,"&lt;&gt;Lucas Luiz Romero")*(20/1083),IF(C2558="Estágio",SUMIFS($D:$D,$A:$A,$A2558,$B:$B,"&lt;&gt;Patrícia Karla de Sousa Araújo",$B:$B,"&lt;&gt;Lorena Dias de Araujo",$B:$B,"&lt;&gt;Lucas Luiz Romero")*(10/1083),0)))))),0)</f>
        <v/>
      </c>
      <c r="K2558" s="3">
        <f>I2558-J2558</f>
        <v/>
      </c>
      <c r="L2558" s="3">
        <f>IF(K2558&lt;-5,"CRÍTICO",IF(K2558&lt;0,"ATENÇÃO",IF(K2558&lt;=5,"BOM","EXCELENTE")))</f>
        <v/>
      </c>
      <c r="M2558" s="3" t="n">
        <v>13</v>
      </c>
      <c r="N2558" s="3" t="n">
        <v>99.26000000000001</v>
      </c>
      <c r="O2558" s="12" t="n">
        <v>30.84832904884319</v>
      </c>
    </row>
    <row r="2559">
      <c r="A2559" s="10" t="n">
        <v>46080</v>
      </c>
      <c r="B2559" t="inlineStr">
        <is>
          <t>Lizandra Gomes Duarte</t>
        </is>
      </c>
      <c r="C2559" s="1" t="inlineStr">
        <is>
          <t>Técnico II</t>
        </is>
      </c>
      <c r="D2559" s="3" t="n">
        <v>32</v>
      </c>
      <c r="E2559" s="3" t="n">
        <v>30</v>
      </c>
      <c r="F2559" s="3" t="n">
        <v>23.44</v>
      </c>
      <c r="G2559" s="3" t="n">
        <v>0</v>
      </c>
      <c r="H2559" s="3" t="n">
        <v>0</v>
      </c>
      <c r="I2559" s="3">
        <f>E2559+G2559+H2559</f>
        <v/>
      </c>
      <c r="J2559" s="3">
        <f>ROUND(MIN(IF(C2559="Técnico III",35,IF(C2559="Técnico II",28,IF(C2559="Técnico I",23,IF(C2559="JR",20,IF(C2559="Estágio",10,0))))),IF(C2559="Técnico III",SUMIFS($D:$D,$A:$A,$A2559,$B:$B,"&lt;&gt;Patrícia Karla de Sousa Araújo",$B:$B,"&lt;&gt;Lorena Dias de Araujo",$B:$B,"&lt;&gt;Lucas Luiz Romero")*(35/1083),IF(C2559="Técnico II",SUMIFS($D:$D,$A:$A,$A2559,$B:$B,"&lt;&gt;Patrícia Karla de Sousa Araújo",$B:$B,"&lt;&gt;Lorena Dias de Araujo",$B:$B,"&lt;&gt;Lucas Luiz Romero")*(28/1083),IF(C2559="Técnico I",SUMIFS($D:$D,$A:$A,$A2559,$B:$B,"&lt;&gt;Patrícia Karla de Sousa Araújo",$B:$B,"&lt;&gt;Lorena Dias de Araujo",$B:$B,"&lt;&gt;Lucas Luiz Romero")*(23/1083),IF(C2559="JR",SUMIFS($D:$D,$A:$A,$A2559,$B:$B,"&lt;&gt;Patrícia Karla de Sousa Araújo",$B:$B,"&lt;&gt;Lorena Dias de Araujo",$B:$B,"&lt;&gt;Lucas Luiz Romero")*(20/1083),IF(C2559="Estágio",SUMIFS($D:$D,$A:$A,$A2559,$B:$B,"&lt;&gt;Patrícia Karla de Sousa Araújo",$B:$B,"&lt;&gt;Lorena Dias de Araujo",$B:$B,"&lt;&gt;Lucas Luiz Romero")*(10/1083),0)))))),0)</f>
        <v/>
      </c>
      <c r="K2559" s="3">
        <f>I2559-J2559</f>
        <v/>
      </c>
      <c r="L2559" s="3">
        <f>IF(K2559&lt;-5,"CRÍTICO",IF(K2559&lt;0,"ATENÇÃO",IF(K2559&lt;=5,"BOM","EXCELENTE")))</f>
        <v/>
      </c>
      <c r="M2559" s="3" t="n">
        <v>20</v>
      </c>
      <c r="N2559" s="3" t="n">
        <v>97.48</v>
      </c>
      <c r="O2559" s="12" t="n">
        <v>27.76470588235294</v>
      </c>
    </row>
    <row r="2560">
      <c r="A2560" s="10" t="n">
        <v>46080</v>
      </c>
      <c r="B2560" t="inlineStr">
        <is>
          <t>Lorena Dias de Araujo</t>
        </is>
      </c>
      <c r="C2560" s="1" t="inlineStr">
        <is>
          <t>Técnico II</t>
        </is>
      </c>
      <c r="D2560" s="3" t="n">
        <v>28</v>
      </c>
      <c r="E2560" s="3" t="n">
        <v>24</v>
      </c>
      <c r="F2560" s="3" t="n">
        <v>25.3</v>
      </c>
      <c r="G2560" s="3" t="n">
        <v>0</v>
      </c>
      <c r="H2560" s="3" t="n">
        <v>0</v>
      </c>
      <c r="I2560" s="3" t="n">
        <v>0</v>
      </c>
      <c r="J2560" s="3" t="n">
        <v>0</v>
      </c>
      <c r="K2560" s="3" t="n">
        <v>0</v>
      </c>
      <c r="L2560" s="3">
        <f>IF(K2560&lt;-5,"CRÍTICO",IF(K2560&lt;0,"ATENÇÃO",IF(K2560&lt;=5,"BOM","EXCELENTE")))</f>
        <v/>
      </c>
      <c r="M2560" s="3" t="n">
        <v>21</v>
      </c>
      <c r="N2560" s="3" t="n">
        <v>99.34</v>
      </c>
      <c r="O2560" s="12" t="n">
        <v>30.04291845493562</v>
      </c>
    </row>
    <row r="2561">
      <c r="A2561" s="10" t="n">
        <v>46080</v>
      </c>
      <c r="B2561" t="inlineStr">
        <is>
          <t>Lucas Luiz Romero</t>
        </is>
      </c>
      <c r="C2561" s="1" t="inlineStr">
        <is>
          <t>Técnico III</t>
        </is>
      </c>
      <c r="D2561" s="3" t="n">
        <v>23</v>
      </c>
      <c r="E2561" s="3" t="n">
        <v>21</v>
      </c>
      <c r="F2561" s="3" t="n">
        <v>18.41</v>
      </c>
      <c r="G2561" s="3" t="n">
        <v>0</v>
      </c>
      <c r="H2561" s="3" t="n">
        <v>0</v>
      </c>
      <c r="I2561" s="3">
        <f>E2561+G2561+H2561</f>
        <v/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/>
      </c>
      <c r="K2561" s="3">
        <f>I2561-J2561</f>
        <v/>
      </c>
      <c r="L2561" s="3">
        <f>IF(K2561&lt;-5,"CRÍTICO",IF(K2561&lt;0,"ATENÇÃO",IF(K2561&lt;=5,"BOM","EXCELENTE")))</f>
        <v/>
      </c>
      <c r="M2561" s="3" t="n">
        <v>12</v>
      </c>
      <c r="N2561" s="3" t="n">
        <v>96.3</v>
      </c>
      <c r="O2561" s="12" t="n">
        <v>24.29378531073446</v>
      </c>
    </row>
    <row r="2562">
      <c r="A2562" s="10" t="n">
        <v>46080</v>
      </c>
      <c r="B2562" t="inlineStr">
        <is>
          <t>Luiz Fernando de Carvalho Junior</t>
        </is>
      </c>
      <c r="C2562" s="1" t="inlineStr">
        <is>
          <t>Técnico I</t>
        </is>
      </c>
      <c r="D2562" s="3" t="n">
        <v>13</v>
      </c>
      <c r="E2562" s="3" t="n">
        <v>13</v>
      </c>
      <c r="F2562" s="3" t="n">
        <v>55.19</v>
      </c>
      <c r="G2562" s="3" t="n">
        <v>0</v>
      </c>
      <c r="H2562" s="3" t="n">
        <v>0</v>
      </c>
      <c r="I2562" s="3">
        <f>E2562+G2562+H2562</f>
        <v/>
      </c>
      <c r="J2562" s="3">
        <f>ROUND(MIN(IF(C2562="Técnico III",35,IF(C2562="Técnico II",28,IF(C2562="Técnico I",23,IF(C2562="JR",20,IF(C2562="Estágio",10,0))))),IF(C2562="Técnico III",SUMIFS($D:$D,$A:$A,$A2562,$B:$B,"&lt;&gt;Patrícia Karla de Sousa Araújo",$B:$B,"&lt;&gt;Lorena Dias de Araujo",$B:$B,"&lt;&gt;Lucas Luiz Romero")*(35/1083),IF(C2562="Técnico II",SUMIFS($D:$D,$A:$A,$A2562,$B:$B,"&lt;&gt;Patrícia Karla de Sousa Araújo",$B:$B,"&lt;&gt;Lorena Dias de Araujo",$B:$B,"&lt;&gt;Lucas Luiz Romero")*(28/1083),IF(C2562="Técnico I",SUMIFS($D:$D,$A:$A,$A2562,$B:$B,"&lt;&gt;Patrícia Karla de Sousa Araújo",$B:$B,"&lt;&gt;Lorena Dias de Araujo",$B:$B,"&lt;&gt;Lucas Luiz Romero")*(23/1083),IF(C2562="JR",SUMIFS($D:$D,$A:$A,$A2562,$B:$B,"&lt;&gt;Patrícia Karla de Sousa Araújo",$B:$B,"&lt;&gt;Lorena Dias de Araujo",$B:$B,"&lt;&gt;Lucas Luiz Romero")*(20/1083),IF(C2562="Estágio",SUMIFS($D:$D,$A:$A,$A2562,$B:$B,"&lt;&gt;Patrícia Karla de Sousa Araújo",$B:$B,"&lt;&gt;Lorena Dias de Araujo",$B:$B,"&lt;&gt;Lucas Luiz Romero")*(10/1083),0)))))),0)</f>
        <v/>
      </c>
      <c r="K2562" s="3">
        <f>I2562-J2562</f>
        <v/>
      </c>
      <c r="L2562" s="3">
        <f>IF(K2562&lt;-5,"CRÍTICO",IF(K2562&lt;0,"ATENÇÃO",IF(K2562&lt;=5,"BOM","EXCELENTE")))</f>
        <v/>
      </c>
      <c r="M2562" s="3" t="n">
        <v>12</v>
      </c>
      <c r="N2562" s="3" t="n">
        <v>100</v>
      </c>
      <c r="O2562" s="12" t="n">
        <v>26.54320987654321</v>
      </c>
    </row>
    <row r="2563">
      <c r="A2563" s="10" t="n">
        <v>46080</v>
      </c>
      <c r="B2563" t="inlineStr">
        <is>
          <t>Maria Eduarda Sousa Costa</t>
        </is>
      </c>
      <c r="C2563" s="1" t="inlineStr">
        <is>
          <t>Estágio</t>
        </is>
      </c>
      <c r="D2563" s="3" t="n">
        <v>14</v>
      </c>
      <c r="E2563" s="3" t="n">
        <v>14</v>
      </c>
      <c r="F2563" s="3" t="n">
        <v>53.33</v>
      </c>
      <c r="G2563" s="3" t="n">
        <v>0</v>
      </c>
      <c r="H2563" s="3" t="n">
        <v>0</v>
      </c>
      <c r="I2563" s="3">
        <f>E2563+G2563+H2563</f>
        <v/>
      </c>
      <c r="J2563" s="3">
        <f>ROUND(MIN(IF(C2563="Técnico III",35,IF(C2563="Técnico II",28,IF(C2563="Técnico I",23,IF(C2563="JR",20,IF(C2563="Estágio",10,0))))),IF(C2563="Técnico III",SUMIFS($D:$D,$A:$A,$A2563,$B:$B,"&lt;&gt;Patrícia Karla de Sousa Araújo",$B:$B,"&lt;&gt;Lorena Dias de Araujo",$B:$B,"&lt;&gt;Lucas Luiz Romero")*(35/1083),IF(C2563="Técnico II",SUMIFS($D:$D,$A:$A,$A2563,$B:$B,"&lt;&gt;Patrícia Karla de Sousa Araújo",$B:$B,"&lt;&gt;Lorena Dias de Araujo",$B:$B,"&lt;&gt;Lucas Luiz Romero")*(28/1083),IF(C2563="Técnico I",SUMIFS($D:$D,$A:$A,$A2563,$B:$B,"&lt;&gt;Patrícia Karla de Sousa Araújo",$B:$B,"&lt;&gt;Lorena Dias de Araujo",$B:$B,"&lt;&gt;Lucas Luiz Romero")*(23/1083),IF(C2563="JR",SUMIFS($D:$D,$A:$A,$A2563,$B:$B,"&lt;&gt;Patrícia Karla de Sousa Araújo",$B:$B,"&lt;&gt;Lorena Dias de Araujo",$B:$B,"&lt;&gt;Lucas Luiz Romero")*(20/1083),IF(C2563="Estágio",SUMIFS($D:$D,$A:$A,$A2563,$B:$B,"&lt;&gt;Patrícia Karla de Sousa Araújo",$B:$B,"&lt;&gt;Lorena Dias de Araujo",$B:$B,"&lt;&gt;Lucas Luiz Romero")*(10/1083),0)))))),0)</f>
        <v/>
      </c>
      <c r="K2563" s="3">
        <f>I2563-J2563</f>
        <v/>
      </c>
      <c r="L2563" s="3">
        <f>IF(K2563&lt;-5,"CRÍTICO",IF(K2563&lt;0,"ATENÇÃO",IF(K2563&lt;=5,"BOM","EXCELENTE")))</f>
        <v/>
      </c>
      <c r="M2563" s="3" t="n">
        <v>8</v>
      </c>
      <c r="N2563" s="3" t="n">
        <v>100</v>
      </c>
      <c r="O2563" s="12" t="n">
        <v>35.48387096774194</v>
      </c>
    </row>
    <row r="2564">
      <c r="A2564" s="10" t="n">
        <v>46080</v>
      </c>
      <c r="B2564" t="inlineStr">
        <is>
          <t>Matheus Farias De Souza</t>
        </is>
      </c>
      <c r="C2564" s="1" t="inlineStr">
        <is>
          <t>Técnico III</t>
        </is>
      </c>
      <c r="D2564" s="3" t="n">
        <v>20</v>
      </c>
      <c r="E2564" s="3" t="n">
        <v>20</v>
      </c>
      <c r="F2564" s="3" t="n">
        <v>35.56</v>
      </c>
      <c r="G2564" s="3" t="n">
        <v>0</v>
      </c>
      <c r="H2564" s="3" t="n">
        <v>0</v>
      </c>
      <c r="I2564" s="3">
        <f>E2564+G2564+H2564</f>
        <v/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/>
      </c>
      <c r="K2564" s="3">
        <f>I2564-J2564</f>
        <v/>
      </c>
      <c r="L2564" s="3">
        <f>IF(K2564&lt;-5,"CRÍTICO",IF(K2564&lt;0,"ATENÇÃO",IF(K2564&lt;=5,"BOM","EXCELENTE")))</f>
        <v/>
      </c>
      <c r="M2564" s="3" t="n">
        <v>18</v>
      </c>
      <c r="N2564" s="3" t="n">
        <v>99.27</v>
      </c>
      <c r="O2564" s="12" t="n">
        <v>31.16370808678501</v>
      </c>
    </row>
    <row r="2565">
      <c r="A2565" s="10" t="n">
        <v>46080</v>
      </c>
      <c r="B2565" t="inlineStr">
        <is>
          <t>Maysa Victoria Dias Moura</t>
        </is>
      </c>
      <c r="C2565" s="1" t="inlineStr">
        <is>
          <t>Técnico III</t>
        </is>
      </c>
      <c r="D2565" s="3" t="n">
        <v>28</v>
      </c>
      <c r="E2565" s="3" t="n">
        <v>23</v>
      </c>
      <c r="F2565" s="3" t="n">
        <v>25.26</v>
      </c>
      <c r="G2565" s="3" t="n">
        <v>0</v>
      </c>
      <c r="H2565" s="3" t="n">
        <v>0</v>
      </c>
      <c r="I2565" s="3">
        <f>E2565+G2565+H2565</f>
        <v/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/>
      </c>
      <c r="K2565" s="3">
        <f>I2565-J2565</f>
        <v/>
      </c>
      <c r="L2565" s="3">
        <f>IF(K2565&lt;-5,"CRÍTICO",IF(K2565&lt;0,"ATENÇÃO",IF(K2565&lt;=5,"BOM","EXCELENTE")))</f>
        <v/>
      </c>
      <c r="M2565" s="3" t="n">
        <v>21</v>
      </c>
      <c r="N2565" s="3" t="n">
        <v>94.16</v>
      </c>
      <c r="O2565" s="12" t="n">
        <v>27.03862660944206</v>
      </c>
    </row>
    <row r="2566">
      <c r="A2566" s="10" t="n">
        <v>46080</v>
      </c>
      <c r="B2566" t="inlineStr">
        <is>
          <t>Michelle G Santos</t>
        </is>
      </c>
      <c r="C2566" s="1" t="inlineStr">
        <is>
          <t>Estágio</t>
        </is>
      </c>
      <c r="D2566" s="3" t="n">
        <v>14</v>
      </c>
      <c r="E2566" s="3" t="n">
        <v>14</v>
      </c>
      <c r="F2566" s="3" t="n">
        <v>43.59</v>
      </c>
      <c r="G2566" s="3" t="n">
        <v>0</v>
      </c>
      <c r="H2566" s="3" t="n">
        <v>0</v>
      </c>
      <c r="I2566" s="3">
        <f>E2566+G2566+H2566</f>
        <v/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/>
      </c>
      <c r="K2566" s="3">
        <f>I2566-J2566</f>
        <v/>
      </c>
      <c r="L2566" s="3">
        <f>IF(K2566&lt;-5,"CRÍTICO",IF(K2566&lt;0,"ATENÇÃO",IF(K2566&lt;=5,"BOM","EXCELENTE")))</f>
        <v/>
      </c>
      <c r="M2566" s="3" t="n">
        <v>7</v>
      </c>
      <c r="N2566" s="3" t="n">
        <v>93.75</v>
      </c>
      <c r="O2566" s="12" t="n">
        <v>19.31818181818182</v>
      </c>
    </row>
    <row r="2567">
      <c r="A2567" s="10" t="n">
        <v>46080</v>
      </c>
      <c r="B2567" t="inlineStr">
        <is>
          <t>Milena Sales</t>
        </is>
      </c>
      <c r="C2567" s="1" t="inlineStr">
        <is>
          <t>JR</t>
        </is>
      </c>
      <c r="D2567" s="3" t="n">
        <v>0</v>
      </c>
      <c r="E2567" s="3" t="n">
        <v>0</v>
      </c>
      <c r="F2567" s="3" t="n">
        <v>0</v>
      </c>
      <c r="G2567" s="3" t="n">
        <v>0</v>
      </c>
      <c r="H2567" s="3" t="n">
        <v>0</v>
      </c>
      <c r="I2567" s="3" t="n">
        <v>0</v>
      </c>
      <c r="J2567" s="3" t="n">
        <v>0</v>
      </c>
      <c r="K2567" s="3" t="n">
        <v>0</v>
      </c>
      <c r="L2567" s="3">
        <f>IF(K2567&lt;-5,"CRÍTICO",IF(K2567&lt;0,"ATENÇÃO",IF(K2567&lt;=5,"BOM","EXCELENTE")))</f>
        <v/>
      </c>
      <c r="M2567" s="3" t="n">
        <v>0</v>
      </c>
      <c r="N2567" s="3" t="n">
        <v>0</v>
      </c>
      <c r="O2567" s="12" t="n">
        <v>0</v>
      </c>
    </row>
    <row r="2568">
      <c r="A2568" s="10" t="n">
        <v>46080</v>
      </c>
      <c r="B2568" t="inlineStr">
        <is>
          <t>Patrícia Karla de Sousa Araújo</t>
        </is>
      </c>
      <c r="C2568" s="1" t="inlineStr">
        <is>
          <t>Técnico II</t>
        </is>
      </c>
      <c r="D2568" s="3" t="n">
        <v>0</v>
      </c>
      <c r="E2568" s="3" t="n">
        <v>0</v>
      </c>
      <c r="F2568" s="3" t="n">
        <v>0</v>
      </c>
      <c r="G2568" s="3" t="n">
        <v>0</v>
      </c>
      <c r="H2568" s="3" t="n">
        <v>0</v>
      </c>
      <c r="I2568" s="3" t="n">
        <v>0</v>
      </c>
      <c r="J2568" s="3" t="n">
        <v>0</v>
      </c>
      <c r="K2568" s="3" t="n">
        <v>0</v>
      </c>
      <c r="L2568" s="3">
        <f>IF(K2568&lt;-5,"CRÍTICO",IF(K2568&lt;0,"ATENÇÃO",IF(K2568&lt;=5,"BOM","EXCELENTE")))</f>
        <v/>
      </c>
      <c r="M2568" s="3" t="n">
        <v>0</v>
      </c>
      <c r="N2568" s="3" t="n">
        <v>97.92</v>
      </c>
      <c r="O2568" s="12" t="n">
        <v>32.87671232876712</v>
      </c>
    </row>
    <row r="2569">
      <c r="A2569" s="10" t="n">
        <v>46080</v>
      </c>
      <c r="B2569" t="inlineStr">
        <is>
          <t>Paulo Ricardo Santos</t>
        </is>
      </c>
      <c r="C2569" s="1" t="inlineStr">
        <is>
          <t>JR</t>
        </is>
      </c>
      <c r="D2569" s="3" t="n">
        <v>0</v>
      </c>
      <c r="E2569" s="3" t="n">
        <v>0</v>
      </c>
      <c r="F2569" s="3" t="n">
        <v>0</v>
      </c>
      <c r="G2569" s="3" t="n">
        <v>0</v>
      </c>
      <c r="H2569" s="3" t="n">
        <v>0</v>
      </c>
      <c r="I2569" s="3" t="n">
        <v>0</v>
      </c>
      <c r="J2569" s="3" t="n">
        <v>0</v>
      </c>
      <c r="K2569" s="3" t="n">
        <v>0</v>
      </c>
      <c r="L2569" s="3">
        <f>IF(K2569&lt;-5,"CRÍTICO",IF(K2569&lt;0,"ATENÇÃO",IF(K2569&lt;=5,"BOM","EXCELENTE")))</f>
        <v/>
      </c>
      <c r="M2569" s="3" t="n">
        <v>0</v>
      </c>
      <c r="N2569" s="3" t="n">
        <v>0</v>
      </c>
      <c r="O2569" s="12" t="n">
        <v>0</v>
      </c>
    </row>
    <row r="2570">
      <c r="A2570" s="10" t="n">
        <v>46080</v>
      </c>
      <c r="B2570" t="inlineStr">
        <is>
          <t>Pedro Luiz Mota Sousa</t>
        </is>
      </c>
      <c r="C2570" s="1" t="inlineStr">
        <is>
          <t>JR</t>
        </is>
      </c>
      <c r="D2570" s="3" t="n">
        <v>0</v>
      </c>
      <c r="E2570" s="3" t="n">
        <v>0</v>
      </c>
      <c r="F2570" s="3" t="n">
        <v>0</v>
      </c>
      <c r="G2570" s="3" t="n">
        <v>0</v>
      </c>
      <c r="H2570" s="3" t="n">
        <v>0</v>
      </c>
      <c r="I2570" s="3" t="n">
        <v>0</v>
      </c>
      <c r="J2570" s="3" t="n">
        <v>0</v>
      </c>
      <c r="K2570" s="3" t="n">
        <v>0</v>
      </c>
      <c r="L2570" s="3">
        <f>IF(K2570&lt;-5,"CRÍTICO",IF(K2570&lt;0,"ATENÇÃO",IF(K2570&lt;=5,"BOM","EXCELENTE")))</f>
        <v/>
      </c>
      <c r="M2570" s="3" t="n">
        <v>0</v>
      </c>
      <c r="N2570" s="3" t="n">
        <v>0</v>
      </c>
      <c r="O2570" s="12" t="n">
        <v>0</v>
      </c>
    </row>
    <row r="2571">
      <c r="A2571" s="10" t="n">
        <v>46080</v>
      </c>
      <c r="B2571" t="inlineStr">
        <is>
          <t>Quirino Diogo Leite Torres</t>
        </is>
      </c>
      <c r="C2571" s="1" t="inlineStr">
        <is>
          <t>Estágio</t>
        </is>
      </c>
      <c r="D2571" s="3" t="n">
        <v>0</v>
      </c>
      <c r="E2571" s="3" t="n">
        <v>0</v>
      </c>
      <c r="F2571" s="3" t="n">
        <v>0</v>
      </c>
      <c r="G2571" s="3" t="n">
        <v>0</v>
      </c>
      <c r="H2571" s="3" t="n">
        <v>0</v>
      </c>
      <c r="I2571" s="3" t="n">
        <v>0</v>
      </c>
      <c r="J2571" s="3" t="n">
        <v>0</v>
      </c>
      <c r="K2571" s="3" t="n">
        <v>0</v>
      </c>
      <c r="L2571" s="3">
        <f>IF(K2571&lt;-5,"CRÍTICO",IF(K2571&lt;0,"ATENÇÃO",IF(K2571&lt;=5,"BOM","EXCELENTE")))</f>
        <v/>
      </c>
      <c r="M2571" s="3" t="n">
        <v>0</v>
      </c>
      <c r="N2571" s="3" t="n">
        <v>0</v>
      </c>
      <c r="O2571" s="12" t="n">
        <v>0</v>
      </c>
    </row>
    <row r="2572">
      <c r="A2572" s="10" t="n">
        <v>46080</v>
      </c>
      <c r="B2572" t="inlineStr">
        <is>
          <t>Raane Batista Matos</t>
        </is>
      </c>
      <c r="C2572" s="1" t="inlineStr">
        <is>
          <t>Técnico I</t>
        </is>
      </c>
      <c r="D2572" s="3" t="n">
        <v>22</v>
      </c>
      <c r="E2572" s="3" t="n">
        <v>22</v>
      </c>
      <c r="F2572" s="3" t="n">
        <v>33.55</v>
      </c>
      <c r="G2572" s="3" t="n">
        <v>0</v>
      </c>
      <c r="H2572" s="3" t="n">
        <v>0</v>
      </c>
      <c r="I2572" s="3">
        <f>E2572+G2572+H2572</f>
        <v/>
      </c>
      <c r="J2572" s="3">
        <f>ROUND(MIN(IF(C2572="Técnico III",35,IF(C2572="Técnico II",28,IF(C2572="Técnico I",23,IF(C2572="JR",20,IF(C2572="Estágio",10,0))))),IF(C2572="Técnico III",SUMIFS($D:$D,$A:$A,$A2572,$B:$B,"&lt;&gt;Patrícia Karla de Sousa Araújo",$B:$B,"&lt;&gt;Lorena Dias de Araujo",$B:$B,"&lt;&gt;Lucas Luiz Romero")*(35/1083),IF(C2572="Técnico II",SUMIFS($D:$D,$A:$A,$A2572,$B:$B,"&lt;&gt;Patrícia Karla de Sousa Araújo",$B:$B,"&lt;&gt;Lorena Dias de Araujo",$B:$B,"&lt;&gt;Lucas Luiz Romero")*(28/1083),IF(C2572="Técnico I",SUMIFS($D:$D,$A:$A,$A2572,$B:$B,"&lt;&gt;Patrícia Karla de Sousa Araújo",$B:$B,"&lt;&gt;Lorena Dias de Araujo",$B:$B,"&lt;&gt;Lucas Luiz Romero")*(23/1083),IF(C2572="JR",SUMIFS($D:$D,$A:$A,$A2572,$B:$B,"&lt;&gt;Patrícia Karla de Sousa Araújo",$B:$B,"&lt;&gt;Lorena Dias de Araujo",$B:$B,"&lt;&gt;Lucas Luiz Romero")*(20/1083),IF(C2572="Estágio",SUMIFS($D:$D,$A:$A,$A2572,$B:$B,"&lt;&gt;Patrícia Karla de Sousa Araújo",$B:$B,"&lt;&gt;Lorena Dias de Araujo",$B:$B,"&lt;&gt;Lucas Luiz Romero")*(10/1083),0)))))),0)</f>
        <v/>
      </c>
      <c r="K2572" s="3">
        <f>I2572-J2572</f>
        <v/>
      </c>
      <c r="L2572" s="3">
        <f>IF(K2572&lt;-5,"CRÍTICO",IF(K2572&lt;0,"ATENÇÃO",IF(K2572&lt;=5,"BOM","EXCELENTE")))</f>
        <v/>
      </c>
      <c r="M2572" s="3" t="n">
        <v>20</v>
      </c>
      <c r="N2572" s="3" t="n">
        <v>98.51000000000001</v>
      </c>
      <c r="O2572" s="12" t="n">
        <v>29.71014492753623</v>
      </c>
    </row>
    <row r="2573">
      <c r="A2573" s="10" t="n">
        <v>46080</v>
      </c>
      <c r="B2573" t="inlineStr">
        <is>
          <t>Rafael Gomes de Morais</t>
        </is>
      </c>
      <c r="C2573" s="1" t="inlineStr">
        <is>
          <t>Técnico III</t>
        </is>
      </c>
      <c r="D2573" s="3" t="n">
        <v>36</v>
      </c>
      <c r="E2573" s="3" t="n">
        <v>28</v>
      </c>
      <c r="F2573" s="3" t="n">
        <v>17.28</v>
      </c>
      <c r="G2573" s="3" t="n">
        <v>0</v>
      </c>
      <c r="H2573" s="3" t="n">
        <v>0</v>
      </c>
      <c r="I2573" s="3">
        <f>E2573+G2573+H2573</f>
        <v/>
      </c>
      <c r="J2573" s="3">
        <f>ROUND(MIN(IF(C2573="Técnico III",35,IF(C2573="Técnico II",28,IF(C2573="Técnico I",23,IF(C2573="JR",20,IF(C2573="Estágio",10,0))))),IF(C2573="Técnico III",SUMIFS($D:$D,$A:$A,$A2573,$B:$B,"&lt;&gt;Patrícia Karla de Sousa Araújo",$B:$B,"&lt;&gt;Lorena Dias de Araujo",$B:$B,"&lt;&gt;Lucas Luiz Romero")*(35/1083),IF(C2573="Técnico II",SUMIFS($D:$D,$A:$A,$A2573,$B:$B,"&lt;&gt;Patrícia Karla de Sousa Araújo",$B:$B,"&lt;&gt;Lorena Dias de Araujo",$B:$B,"&lt;&gt;Lucas Luiz Romero")*(28/1083),IF(C2573="Técnico I",SUMIFS($D:$D,$A:$A,$A2573,$B:$B,"&lt;&gt;Patrícia Karla de Sousa Araújo",$B:$B,"&lt;&gt;Lorena Dias de Araujo",$B:$B,"&lt;&gt;Lucas Luiz Romero")*(23/1083),IF(C2573="JR",SUMIFS($D:$D,$A:$A,$A2573,$B:$B,"&lt;&gt;Patrícia Karla de Sousa Araújo",$B:$B,"&lt;&gt;Lorena Dias de Araujo",$B:$B,"&lt;&gt;Lucas Luiz Romero")*(20/1083),IF(C2573="Estágio",SUMIFS($D:$D,$A:$A,$A2573,$B:$B,"&lt;&gt;Patrícia Karla de Sousa Araújo",$B:$B,"&lt;&gt;Lorena Dias de Araujo",$B:$B,"&lt;&gt;Lucas Luiz Romero")*(10/1083),0)))))),0)</f>
        <v/>
      </c>
      <c r="K2573" s="3">
        <f>I2573-J2573</f>
        <v/>
      </c>
      <c r="L2573" s="3">
        <f>IF(K2573&lt;-5,"CRÍTICO",IF(K2573&lt;0,"ATENÇÃO",IF(K2573&lt;=5,"BOM","EXCELENTE")))</f>
        <v/>
      </c>
      <c r="M2573" s="3" t="n">
        <v>23</v>
      </c>
      <c r="N2573" s="3" t="n">
        <v>98.81</v>
      </c>
      <c r="O2573" s="12" t="n">
        <v>30.71297989031079</v>
      </c>
    </row>
    <row r="2574">
      <c r="A2574" s="10" t="n">
        <v>46080</v>
      </c>
      <c r="B2574" t="inlineStr">
        <is>
          <t>Sara Maria Monteiro Lopes</t>
        </is>
      </c>
      <c r="C2574" s="1" t="inlineStr">
        <is>
          <t>Técnico I</t>
        </is>
      </c>
      <c r="D2574" s="3" t="n">
        <v>11</v>
      </c>
      <c r="E2574" s="3" t="n">
        <v>10</v>
      </c>
      <c r="F2574" s="3" t="n">
        <v>42.3</v>
      </c>
      <c r="G2574" s="3" t="n">
        <v>0</v>
      </c>
      <c r="H2574" s="3" t="n">
        <v>0</v>
      </c>
      <c r="I2574" s="3">
        <f>E2574+G2574+H2574</f>
        <v/>
      </c>
      <c r="J2574" s="3">
        <f>ROUND(MIN(IF(C2574="Técnico III",35,IF(C2574="Técnico II",28,IF(C2574="Técnico I",23,IF(C2574="JR",20,IF(C2574="Estágio",10,0))))),IF(C2574="Técnico III",SUMIFS($D:$D,$A:$A,$A2574,$B:$B,"&lt;&gt;Patrícia Karla de Sousa Araújo",$B:$B,"&lt;&gt;Lorena Dias de Araujo",$B:$B,"&lt;&gt;Lucas Luiz Romero")*(35/1083),IF(C2574="Técnico II",SUMIFS($D:$D,$A:$A,$A2574,$B:$B,"&lt;&gt;Patrícia Karla de Sousa Araújo",$B:$B,"&lt;&gt;Lorena Dias de Araujo",$B:$B,"&lt;&gt;Lucas Luiz Romero")*(28/1083),IF(C2574="Técnico I",SUMIFS($D:$D,$A:$A,$A2574,$B:$B,"&lt;&gt;Patrícia Karla de Sousa Araújo",$B:$B,"&lt;&gt;Lorena Dias de Araujo",$B:$B,"&lt;&gt;Lucas Luiz Romero")*(23/1083),IF(C2574="JR",SUMIFS($D:$D,$A:$A,$A2574,$B:$B,"&lt;&gt;Patrícia Karla de Sousa Araújo",$B:$B,"&lt;&gt;Lorena Dias de Araujo",$B:$B,"&lt;&gt;Lucas Luiz Romero")*(20/1083),IF(C2574="Estágio",SUMIFS($D:$D,$A:$A,$A2574,$B:$B,"&lt;&gt;Patrícia Karla de Sousa Araújo",$B:$B,"&lt;&gt;Lorena Dias de Araujo",$B:$B,"&lt;&gt;Lucas Luiz Romero")*(10/1083),0)))))),0)</f>
        <v/>
      </c>
      <c r="K2574" s="3">
        <f>I2574-J2574</f>
        <v/>
      </c>
      <c r="L2574" s="3">
        <f>IF(K2574&lt;-5,"CRÍTICO",IF(K2574&lt;0,"ATENÇÃO",IF(K2574&lt;=5,"BOM","EXCELENTE")))</f>
        <v/>
      </c>
      <c r="M2574" s="3" t="n">
        <v>9</v>
      </c>
      <c r="N2574" s="3" t="n">
        <v>98.48</v>
      </c>
      <c r="O2574" s="12" t="n">
        <v>29.35323383084577</v>
      </c>
    </row>
    <row r="2575">
      <c r="A2575" s="10" t="n">
        <v>46080</v>
      </c>
      <c r="B2575" t="inlineStr">
        <is>
          <t>Sarah Steffanie de Lima Borges</t>
        </is>
      </c>
      <c r="C2575" s="1" t="inlineStr">
        <is>
          <t>Técnico III</t>
        </is>
      </c>
      <c r="D2575" s="3" t="n">
        <v>21</v>
      </c>
      <c r="E2575" s="3" t="n">
        <v>17</v>
      </c>
      <c r="F2575" s="3" t="n">
        <v>22.13</v>
      </c>
      <c r="G2575" s="3" t="n">
        <v>0</v>
      </c>
      <c r="H2575" s="3" t="n">
        <v>0</v>
      </c>
      <c r="I2575" s="3">
        <f>E2575+G2575+H2575</f>
        <v/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/>
      </c>
      <c r="K2575" s="3">
        <f>I2575-J2575</f>
        <v/>
      </c>
      <c r="L2575" s="3">
        <f>IF(K2575&lt;-5,"CRÍTICO",IF(K2575&lt;0,"ATENÇÃO",IF(K2575&lt;=5,"BOM","EXCELENTE")))</f>
        <v/>
      </c>
      <c r="M2575" s="3" t="n">
        <v>17</v>
      </c>
      <c r="N2575" s="3" t="n">
        <v>98.56</v>
      </c>
      <c r="O2575" s="12" t="n">
        <v>29.37365010799136</v>
      </c>
    </row>
    <row r="2576">
      <c r="A2576" s="10" t="n">
        <v>46083</v>
      </c>
      <c r="B2576" t="inlineStr">
        <is>
          <t>Alisson de Freitas Silva</t>
        </is>
      </c>
      <c r="C2576" s="1" t="inlineStr">
        <is>
          <t>Técnico II</t>
        </is>
      </c>
      <c r="D2576" s="3" t="n">
        <v>34</v>
      </c>
      <c r="E2576" s="3" t="n">
        <v>30</v>
      </c>
      <c r="F2576" s="3" t="n">
        <v>20.19</v>
      </c>
      <c r="G2576" s="3" t="n">
        <v>0</v>
      </c>
      <c r="H2576" s="3" t="n">
        <v>0</v>
      </c>
      <c r="I2576" s="3">
        <f>E2576+G2576+H2576</f>
        <v/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/>
      </c>
      <c r="K2576" s="3">
        <f>I2576-J2576</f>
        <v/>
      </c>
      <c r="L2576" s="3">
        <f>IF(K2576&lt;-5,"CRÍTICO",IF(K2576&lt;0,"ATENÇÃO",IF(K2576&lt;=5,"BOM","EXCELENTE")))</f>
        <v/>
      </c>
      <c r="M2576" s="3" t="n">
        <v>22</v>
      </c>
      <c r="N2576" s="3" t="n">
        <v>94.29000000000001</v>
      </c>
      <c r="O2576" s="12" t="n">
        <v>25.64766839378239</v>
      </c>
    </row>
    <row r="2577">
      <c r="A2577" s="10" t="n">
        <v>46083</v>
      </c>
      <c r="B2577" t="inlineStr">
        <is>
          <t>Amanda Moura Ferreira</t>
        </is>
      </c>
      <c r="C2577" s="1" t="inlineStr">
        <is>
          <t>Técnico III</t>
        </is>
      </c>
      <c r="D2577" s="3" t="n">
        <v>0</v>
      </c>
      <c r="E2577" s="3" t="n">
        <v>0</v>
      </c>
      <c r="F2577" s="3" t="n">
        <v>0</v>
      </c>
      <c r="G2577" s="3" t="n">
        <v>0</v>
      </c>
      <c r="H2577" s="3" t="n">
        <v>0</v>
      </c>
      <c r="I2577" s="3" t="n">
        <v>0</v>
      </c>
      <c r="J2577" s="3" t="n">
        <v>0</v>
      </c>
      <c r="K2577" s="3" t="n">
        <v>0</v>
      </c>
      <c r="L2577" s="3">
        <f>IF(K2577&lt;-5,"CRÍTICO",IF(K2577&lt;0,"ATENÇÃO",IF(K2577&lt;=5,"BOM","EXCELENTE")))</f>
        <v/>
      </c>
      <c r="M2577" s="3" t="n">
        <v>23</v>
      </c>
      <c r="N2577" s="3" t="n">
        <v>98.26000000000001</v>
      </c>
      <c r="O2577" s="12" t="n">
        <v>26.66666666666667</v>
      </c>
    </row>
    <row r="2578">
      <c r="A2578" s="10" t="n">
        <v>46083</v>
      </c>
      <c r="B2578" t="inlineStr">
        <is>
          <t>Ana Karollyne Souza Faria</t>
        </is>
      </c>
      <c r="C2578" s="1" t="inlineStr">
        <is>
          <t>Técnico I</t>
        </is>
      </c>
      <c r="D2578" s="3" t="n">
        <v>24</v>
      </c>
      <c r="E2578" s="3" t="n">
        <v>20</v>
      </c>
      <c r="F2578" s="3" t="n">
        <v>18.27</v>
      </c>
      <c r="G2578" s="3" t="n">
        <v>0</v>
      </c>
      <c r="H2578" s="3" t="n">
        <v>0</v>
      </c>
      <c r="I2578" s="3">
        <f>E2578+G2578+H2578</f>
        <v/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/>
      </c>
      <c r="K2578" s="3">
        <f>I2578-J2578</f>
        <v/>
      </c>
      <c r="L2578" s="3">
        <f>IF(K2578&lt;-5,"CRÍTICO",IF(K2578&lt;0,"ATENÇÃO",IF(K2578&lt;=5,"BOM","EXCELENTE")))</f>
        <v/>
      </c>
      <c r="M2578" s="3" t="n">
        <v>21</v>
      </c>
      <c r="N2578" s="3" t="n">
        <v>98.2</v>
      </c>
      <c r="O2578" s="12" t="n">
        <v>23.37962962962963</v>
      </c>
    </row>
    <row r="2579">
      <c r="A2579" s="10" t="n">
        <v>46083</v>
      </c>
      <c r="B2579" t="inlineStr">
        <is>
          <t>Ana Paula Da Luz Silva Aleixo</t>
        </is>
      </c>
      <c r="C2579" s="1" t="inlineStr">
        <is>
          <t>Técnico III</t>
        </is>
      </c>
      <c r="D2579" s="3" t="n">
        <v>24</v>
      </c>
      <c r="E2579" s="3" t="n">
        <v>24</v>
      </c>
      <c r="F2579" s="3" t="n">
        <v>30.47</v>
      </c>
      <c r="G2579" s="3" t="n">
        <v>0</v>
      </c>
      <c r="H2579" s="3" t="n">
        <v>0</v>
      </c>
      <c r="I2579" s="3">
        <f>E2579+G2579+H2579</f>
        <v/>
      </c>
      <c r="J2579" s="3">
        <f>ROUND(MIN(IF(C2579="Técnico III",35,IF(C2579="Técnico II",28,IF(C2579="Técnico I",23,IF(C2579="JR",20,IF(C2579="Estágio",10,0))))),IF(C2579="Técnico III",SUMIFS($D:$D,$A:$A,$A2579,$B:$B,"&lt;&gt;Patrícia Karla de Sousa Araújo",$B:$B,"&lt;&gt;Lorena Dias de Araujo",$B:$B,"&lt;&gt;Lucas Luiz Romero")*(35/1083),IF(C2579="Técnico II",SUMIFS($D:$D,$A:$A,$A2579,$B:$B,"&lt;&gt;Patrícia Karla de Sousa Araújo",$B:$B,"&lt;&gt;Lorena Dias de Araujo",$B:$B,"&lt;&gt;Lucas Luiz Romero")*(28/1083),IF(C2579="Técnico I",SUMIFS($D:$D,$A:$A,$A2579,$B:$B,"&lt;&gt;Patrícia Karla de Sousa Araújo",$B:$B,"&lt;&gt;Lorena Dias de Araujo",$B:$B,"&lt;&gt;Lucas Luiz Romero")*(23/1083),IF(C2579="JR",SUMIFS($D:$D,$A:$A,$A2579,$B:$B,"&lt;&gt;Patrícia Karla de Sousa Araújo",$B:$B,"&lt;&gt;Lorena Dias de Araujo",$B:$B,"&lt;&gt;Lucas Luiz Romero")*(20/1083),IF(C2579="Estágio",SUMIFS($D:$D,$A:$A,$A2579,$B:$B,"&lt;&gt;Patrícia Karla de Sousa Araújo",$B:$B,"&lt;&gt;Lorena Dias de Araujo",$B:$B,"&lt;&gt;Lucas Luiz Romero")*(10/1083),0)))))),0)</f>
        <v/>
      </c>
      <c r="K2579" s="3">
        <f>I2579-J2579</f>
        <v/>
      </c>
      <c r="L2579" s="3">
        <f>IF(K2579&lt;-5,"CRÍTICO",IF(K2579&lt;0,"ATENÇÃO",IF(K2579&lt;=5,"BOM","EXCELENTE")))</f>
        <v/>
      </c>
      <c r="M2579" s="3" t="n">
        <v>19</v>
      </c>
      <c r="N2579" s="3" t="n">
        <v>97.3</v>
      </c>
      <c r="O2579" s="12" t="n">
        <v>23.84769539078156</v>
      </c>
    </row>
    <row r="2580">
      <c r="A2580" s="10" t="n">
        <v>46083</v>
      </c>
      <c r="B2580" t="inlineStr">
        <is>
          <t>Anna Luiza Rezende Tavares</t>
        </is>
      </c>
      <c r="C2580" s="1" t="inlineStr">
        <is>
          <t>Estágio</t>
        </is>
      </c>
      <c r="D2580" s="3" t="n">
        <v>0</v>
      </c>
      <c r="E2580" s="3" t="n">
        <v>0</v>
      </c>
      <c r="F2580" s="3" t="n">
        <v>0</v>
      </c>
      <c r="G2580" s="3" t="n">
        <v>0</v>
      </c>
      <c r="H2580" s="3" t="n">
        <v>0</v>
      </c>
      <c r="I2580" s="3" t="n">
        <v>0</v>
      </c>
      <c r="J2580" s="3" t="n">
        <v>0</v>
      </c>
      <c r="K2580" s="3" t="n">
        <v>0</v>
      </c>
      <c r="L2580" s="3">
        <f>IF(K2580&lt;-5,"CRÍTICO",IF(K2580&lt;0,"ATENÇÃO",IF(K2580&lt;=5,"BOM","EXCELENTE")))</f>
        <v/>
      </c>
      <c r="M2580" s="3" t="n">
        <v>0</v>
      </c>
      <c r="N2580" s="3" t="n">
        <v>100</v>
      </c>
      <c r="O2580" s="12" t="n">
        <v>25.26881720430108</v>
      </c>
    </row>
    <row r="2581">
      <c r="A2581" s="10" t="n">
        <v>46083</v>
      </c>
      <c r="B2581" t="inlineStr">
        <is>
          <t>Brenda de Menezes Silva</t>
        </is>
      </c>
      <c r="C2581" s="1" t="inlineStr">
        <is>
          <t>Técnico II</t>
        </is>
      </c>
      <c r="D2581" s="3" t="n">
        <v>55</v>
      </c>
      <c r="E2581" s="3" t="n">
        <v>48</v>
      </c>
      <c r="F2581" s="3" t="n">
        <v>12.31</v>
      </c>
      <c r="G2581" s="3" t="n">
        <v>0</v>
      </c>
      <c r="H2581" s="3" t="n">
        <v>0</v>
      </c>
      <c r="I2581" s="3">
        <f>E2581+G2581+H2581</f>
        <v/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/>
      </c>
      <c r="K2581" s="3">
        <f>I2581-J2581</f>
        <v/>
      </c>
      <c r="L2581" s="3">
        <f>IF(K2581&lt;-5,"CRÍTICO",IF(K2581&lt;0,"ATENÇÃO",IF(K2581&lt;=5,"BOM","EXCELENTE")))</f>
        <v/>
      </c>
      <c r="M2581" s="3" t="n">
        <v>47</v>
      </c>
      <c r="N2581" s="3" t="n">
        <v>99.31999999999999</v>
      </c>
      <c r="O2581" s="12" t="n">
        <v>22.82282282282282</v>
      </c>
    </row>
    <row r="2582">
      <c r="A2582" s="10" t="n">
        <v>46083</v>
      </c>
      <c r="B2582" t="inlineStr">
        <is>
          <t>Carlos Mateus Cassimiro Nunes</t>
        </is>
      </c>
      <c r="C2582" s="1" t="inlineStr">
        <is>
          <t>Técnico II</t>
        </is>
      </c>
      <c r="D2582" s="3" t="n">
        <v>20</v>
      </c>
      <c r="E2582" s="3" t="n">
        <v>20</v>
      </c>
      <c r="F2582" s="3" t="n">
        <v>32.09</v>
      </c>
      <c r="G2582" s="3" t="n">
        <v>0</v>
      </c>
      <c r="H2582" s="3" t="n">
        <v>0</v>
      </c>
      <c r="I2582" s="3">
        <f>E2582+G2582+H2582</f>
        <v/>
      </c>
      <c r="J2582" s="3">
        <f>ROUND(MIN(IF(C2582="Técnico III",35,IF(C2582="Técnico II",28,IF(C2582="Técnico I",23,IF(C2582="JR",20,IF(C2582="Estágio",10,0))))),IF(C2582="Técnico III",SUMIFS($D:$D,$A:$A,$A2582,$B:$B,"&lt;&gt;Patrícia Karla de Sousa Araújo",$B:$B,"&lt;&gt;Lorena Dias de Araujo",$B:$B,"&lt;&gt;Lucas Luiz Romero")*(35/1083),IF(C2582="Técnico II",SUMIFS($D:$D,$A:$A,$A2582,$B:$B,"&lt;&gt;Patrícia Karla de Sousa Araújo",$B:$B,"&lt;&gt;Lorena Dias de Araujo",$B:$B,"&lt;&gt;Lucas Luiz Romero")*(28/1083),IF(C2582="Técnico I",SUMIFS($D:$D,$A:$A,$A2582,$B:$B,"&lt;&gt;Patrícia Karla de Sousa Araújo",$B:$B,"&lt;&gt;Lorena Dias de Araujo",$B:$B,"&lt;&gt;Lucas Luiz Romero")*(23/1083),IF(C2582="JR",SUMIFS($D:$D,$A:$A,$A2582,$B:$B,"&lt;&gt;Patrícia Karla de Sousa Araújo",$B:$B,"&lt;&gt;Lorena Dias de Araujo",$B:$B,"&lt;&gt;Lucas Luiz Romero")*(20/1083),IF(C2582="Estágio",SUMIFS($D:$D,$A:$A,$A2582,$B:$B,"&lt;&gt;Patrícia Karla de Sousa Araújo",$B:$B,"&lt;&gt;Lorena Dias de Araujo",$B:$B,"&lt;&gt;Lucas Luiz Romero")*(10/1083),0)))))),0)</f>
        <v/>
      </c>
      <c r="K2582" s="3">
        <f>I2582-J2582</f>
        <v/>
      </c>
      <c r="L2582" s="3">
        <f>IF(K2582&lt;-5,"CRÍTICO",IF(K2582&lt;0,"ATENÇÃO",IF(K2582&lt;=5,"BOM","EXCELENTE")))</f>
        <v/>
      </c>
      <c r="M2582" s="3" t="n">
        <v>19</v>
      </c>
      <c r="N2582" s="3" t="n">
        <v>100</v>
      </c>
      <c r="O2582" s="12" t="n">
        <v>27.96610169491525</v>
      </c>
    </row>
    <row r="2583">
      <c r="A2583" s="10" t="n">
        <v>46083</v>
      </c>
      <c r="B2583" t="inlineStr">
        <is>
          <t>Claudio de Sousa Velasco Filho</t>
        </is>
      </c>
      <c r="C2583" s="1" t="inlineStr">
        <is>
          <t>Estágio</t>
        </is>
      </c>
      <c r="D2583" s="3" t="n">
        <v>0</v>
      </c>
      <c r="E2583" s="3" t="n">
        <v>0</v>
      </c>
      <c r="F2583" s="3" t="n">
        <v>0</v>
      </c>
      <c r="G2583" s="3" t="n">
        <v>0</v>
      </c>
      <c r="H2583" s="3" t="n">
        <v>0</v>
      </c>
      <c r="I2583" s="3" t="n">
        <v>0</v>
      </c>
      <c r="J2583" s="3" t="n">
        <v>0</v>
      </c>
      <c r="K2583" s="3" t="n">
        <v>0</v>
      </c>
      <c r="L2583" s="3">
        <f>IF(K2583&lt;-5,"CRÍTICO",IF(K2583&lt;0,"ATENÇÃO",IF(K2583&lt;=5,"BOM","EXCELENTE")))</f>
        <v/>
      </c>
      <c r="M2583" s="3" t="n">
        <v>0</v>
      </c>
      <c r="N2583" s="3" t="n">
        <v>100</v>
      </c>
      <c r="O2583" s="12" t="n">
        <v>30.43478260869566</v>
      </c>
    </row>
    <row r="2584">
      <c r="A2584" s="10" t="n">
        <v>46083</v>
      </c>
      <c r="B2584" t="inlineStr">
        <is>
          <t>Clessiane Pereira dos Santos</t>
        </is>
      </c>
      <c r="C2584" s="1" t="inlineStr">
        <is>
          <t>Técnico I</t>
        </is>
      </c>
      <c r="D2584" s="3" t="n">
        <v>21</v>
      </c>
      <c r="E2584" s="3" t="n">
        <v>21</v>
      </c>
      <c r="F2584" s="3" t="n">
        <v>28.49</v>
      </c>
      <c r="G2584" s="3" t="n">
        <v>0</v>
      </c>
      <c r="H2584" s="3" t="n">
        <v>0</v>
      </c>
      <c r="I2584" s="3">
        <f>E2584+G2584+H2584</f>
        <v/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/>
      </c>
      <c r="K2584" s="3">
        <f>I2584-J2584</f>
        <v/>
      </c>
      <c r="L2584" s="3">
        <f>IF(K2584&lt;-5,"CRÍTICO",IF(K2584&lt;0,"ATENÇÃO",IF(K2584&lt;=5,"BOM","EXCELENTE")))</f>
        <v/>
      </c>
      <c r="M2584" s="3" t="n">
        <v>21</v>
      </c>
      <c r="N2584" s="3" t="n">
        <v>96.51000000000001</v>
      </c>
      <c r="O2584" s="12" t="n">
        <v>22.80285035629454</v>
      </c>
    </row>
    <row r="2585">
      <c r="A2585" s="10" t="n">
        <v>46083</v>
      </c>
      <c r="B2585" t="inlineStr">
        <is>
          <t>Cristiane Ramos da Silva Rocha</t>
        </is>
      </c>
      <c r="C2585" s="1" t="inlineStr">
        <is>
          <t>Técnico III</t>
        </is>
      </c>
      <c r="D2585" s="3" t="n">
        <v>39</v>
      </c>
      <c r="E2585" s="3" t="n">
        <v>37</v>
      </c>
      <c r="F2585" s="3" t="n">
        <v>12.26</v>
      </c>
      <c r="G2585" s="3" t="n">
        <v>0</v>
      </c>
      <c r="H2585" s="3" t="n">
        <v>0</v>
      </c>
      <c r="I2585" s="3">
        <f>E2585+G2585+H2585</f>
        <v/>
      </c>
      <c r="J2585" s="3">
        <f>ROUND(MIN(IF(C2585="Técnico III",35,IF(C2585="Técnico II",28,IF(C2585="Técnico I",23,IF(C2585="JR",20,IF(C2585="Estágio",10,0))))),IF(C2585="Técnico III",SUMIFS($D:$D,$A:$A,$A2585,$B:$B,"&lt;&gt;Patrícia Karla de Sousa Araújo",$B:$B,"&lt;&gt;Lorena Dias de Araujo",$B:$B,"&lt;&gt;Lucas Luiz Romero")*(35/1083),IF(C2585="Técnico II",SUMIFS($D:$D,$A:$A,$A2585,$B:$B,"&lt;&gt;Patrícia Karla de Sousa Araújo",$B:$B,"&lt;&gt;Lorena Dias de Araujo",$B:$B,"&lt;&gt;Lucas Luiz Romero")*(28/1083),IF(C2585="Técnico I",SUMIFS($D:$D,$A:$A,$A2585,$B:$B,"&lt;&gt;Patrícia Karla de Sousa Araújo",$B:$B,"&lt;&gt;Lorena Dias de Araujo",$B:$B,"&lt;&gt;Lucas Luiz Romero")*(23/1083),IF(C2585="JR",SUMIFS($D:$D,$A:$A,$A2585,$B:$B,"&lt;&gt;Patrícia Karla de Sousa Araújo",$B:$B,"&lt;&gt;Lorena Dias de Araujo",$B:$B,"&lt;&gt;Lucas Luiz Romero")*(20/1083),IF(C2585="Estágio",SUMIFS($D:$D,$A:$A,$A2585,$B:$B,"&lt;&gt;Patrícia Karla de Sousa Araújo",$B:$B,"&lt;&gt;Lorena Dias de Araujo",$B:$B,"&lt;&gt;Lucas Luiz Romero")*(10/1083),0)))))),0)</f>
        <v/>
      </c>
      <c r="K2585" s="3">
        <f>I2585-J2585</f>
        <v/>
      </c>
      <c r="L2585" s="3">
        <f>IF(K2585&lt;-5,"CRÍTICO",IF(K2585&lt;0,"ATENÇÃO",IF(K2585&lt;=5,"BOM","EXCELENTE")))</f>
        <v/>
      </c>
      <c r="M2585" s="3" t="n">
        <v>32</v>
      </c>
      <c r="N2585" s="3" t="n">
        <v>92.68000000000001</v>
      </c>
      <c r="O2585" s="12" t="n">
        <v>27.77777777777778</v>
      </c>
    </row>
    <row r="2586">
      <c r="A2586" s="10" t="n">
        <v>46083</v>
      </c>
      <c r="B2586" t="inlineStr">
        <is>
          <t>Damyllis Lorraine de Oliveira Gonçalves</t>
        </is>
      </c>
      <c r="C2586" s="1" t="inlineStr">
        <is>
          <t>Técnico II</t>
        </is>
      </c>
      <c r="D2586" s="3" t="n">
        <v>31</v>
      </c>
      <c r="E2586" s="3" t="n">
        <v>31</v>
      </c>
      <c r="F2586" s="3" t="n">
        <v>23.24</v>
      </c>
      <c r="G2586" s="3" t="n">
        <v>0</v>
      </c>
      <c r="H2586" s="3" t="n">
        <v>0</v>
      </c>
      <c r="I2586" s="3" t="n">
        <v>0</v>
      </c>
      <c r="J2586" s="3" t="n">
        <v>0</v>
      </c>
      <c r="K2586" s="3" t="n">
        <v>0</v>
      </c>
      <c r="L2586" s="3">
        <f>IF(K2586&lt;-5,"CRÍTICO",IF(K2586&lt;0,"ATENÇÃO",IF(K2586&lt;=5,"BOM","EXCELENTE")))</f>
        <v/>
      </c>
      <c r="M2586" s="3" t="n">
        <v>23</v>
      </c>
      <c r="N2586" s="3" t="n">
        <v>99.03</v>
      </c>
      <c r="O2586" s="12" t="n">
        <v>23.99150743099788</v>
      </c>
    </row>
    <row r="2587">
      <c r="A2587" s="10" t="n">
        <v>46083</v>
      </c>
      <c r="B2587" t="inlineStr">
        <is>
          <t>Daniel Gomes da Silva</t>
        </is>
      </c>
      <c r="C2587" s="1" t="inlineStr">
        <is>
          <t>Técnico I</t>
        </is>
      </c>
      <c r="D2587" s="3" t="n">
        <v>7</v>
      </c>
      <c r="E2587" s="3" t="n">
        <v>6</v>
      </c>
      <c r="F2587" s="3" t="n">
        <v>37.37</v>
      </c>
      <c r="G2587" s="3" t="n">
        <v>0</v>
      </c>
      <c r="H2587" s="3" t="n">
        <v>0</v>
      </c>
      <c r="I2587" s="3">
        <f>E2587+G2587+H2587</f>
        <v/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/>
      </c>
      <c r="K2587" s="3">
        <f>I2587-J2587</f>
        <v/>
      </c>
      <c r="L2587" s="3">
        <f>IF(K2587&lt;-5,"CRÍTICO",IF(K2587&lt;0,"ATENÇÃO",IF(K2587&lt;=5,"BOM","EXCELENTE")))</f>
        <v/>
      </c>
      <c r="M2587" s="3" t="n">
        <v>3</v>
      </c>
      <c r="N2587" s="3" t="n">
        <v>98.41</v>
      </c>
      <c r="O2587" s="12" t="n">
        <v>28.13852813852814</v>
      </c>
    </row>
    <row r="2588">
      <c r="A2588" s="10" t="n">
        <v>46083</v>
      </c>
      <c r="B2588" t="inlineStr">
        <is>
          <t>Davylla Rodrigues Freitas Silva</t>
        </is>
      </c>
      <c r="C2588" s="1" t="inlineStr">
        <is>
          <t>Técnico III</t>
        </is>
      </c>
      <c r="D2588" s="3" t="n">
        <v>30</v>
      </c>
      <c r="E2588" s="3" t="n">
        <v>30</v>
      </c>
      <c r="F2588" s="3" t="n">
        <v>26.58</v>
      </c>
      <c r="G2588" s="3" t="n">
        <v>0</v>
      </c>
      <c r="H2588" s="3" t="n">
        <v>0</v>
      </c>
      <c r="I2588" s="3" t="n">
        <v>0</v>
      </c>
      <c r="J2588" s="3" t="n">
        <v>0</v>
      </c>
      <c r="K2588" s="3" t="n">
        <v>0</v>
      </c>
      <c r="L2588" s="3">
        <f>IF(K2588&lt;-5,"CRÍTICO",IF(K2588&lt;0,"ATENÇÃO",IF(K2588&lt;=5,"BOM","EXCELENTE")))</f>
        <v/>
      </c>
      <c r="M2588" s="3" t="n">
        <v>29</v>
      </c>
      <c r="N2588" s="3" t="n">
        <v>98.73</v>
      </c>
      <c r="O2588" s="12" t="n">
        <v>29.14285714285714</v>
      </c>
    </row>
    <row r="2589">
      <c r="A2589" s="10" t="n">
        <v>46083</v>
      </c>
      <c r="B2589" t="inlineStr">
        <is>
          <t>Emilly Caylane Costa</t>
        </is>
      </c>
      <c r="C2589" s="1" t="inlineStr">
        <is>
          <t>Estágio</t>
        </is>
      </c>
      <c r="D2589" s="3" t="n">
        <v>8</v>
      </c>
      <c r="E2589" s="3" t="n">
        <v>8</v>
      </c>
      <c r="F2589" s="3" t="n">
        <v>46.54</v>
      </c>
      <c r="G2589" s="3" t="n">
        <v>0</v>
      </c>
      <c r="H2589" s="3" t="n">
        <v>0</v>
      </c>
      <c r="I2589" s="3">
        <f>E2589+G2589+H2589</f>
        <v/>
      </c>
      <c r="J2589" s="3">
        <f>ROUND(MIN(IF(C2589="Técnico III",35,IF(C2589="Técnico II",28,IF(C2589="Técnico I",23,IF(C2589="JR",20,IF(C2589="Estágio",10,0))))),IF(C2589="Técnico III",SUMIFS($D:$D,$A:$A,$A2589,$B:$B,"&lt;&gt;Patrícia Karla de Sousa Araújo",$B:$B,"&lt;&gt;Lorena Dias de Araujo",$B:$B,"&lt;&gt;Lucas Luiz Romero")*(35/1083),IF(C2589="Técnico II",SUMIFS($D:$D,$A:$A,$A2589,$B:$B,"&lt;&gt;Patrícia Karla de Sousa Araújo",$B:$B,"&lt;&gt;Lorena Dias de Araujo",$B:$B,"&lt;&gt;Lucas Luiz Romero")*(28/1083),IF(C2589="Técnico I",SUMIFS($D:$D,$A:$A,$A2589,$B:$B,"&lt;&gt;Patrícia Karla de Sousa Araújo",$B:$B,"&lt;&gt;Lorena Dias de Araujo",$B:$B,"&lt;&gt;Lucas Luiz Romero")*(23/1083),IF(C2589="JR",SUMIFS($D:$D,$A:$A,$A2589,$B:$B,"&lt;&gt;Patrícia Karla de Sousa Araújo",$B:$B,"&lt;&gt;Lorena Dias de Araujo",$B:$B,"&lt;&gt;Lucas Luiz Romero")*(20/1083),IF(C2589="Estágio",SUMIFS($D:$D,$A:$A,$A2589,$B:$B,"&lt;&gt;Patrícia Karla de Sousa Araújo",$B:$B,"&lt;&gt;Lorena Dias de Araujo",$B:$B,"&lt;&gt;Lucas Luiz Romero")*(10/1083),0)))))),0)</f>
        <v/>
      </c>
      <c r="K2589" s="3">
        <f>I2589-J2589</f>
        <v/>
      </c>
      <c r="L2589" s="3">
        <f>IF(K2589&lt;-5,"CRÍTICO",IF(K2589&lt;0,"ATENÇÃO",IF(K2589&lt;=5,"BOM","EXCELENTE")))</f>
        <v/>
      </c>
      <c r="M2589" s="3" t="n">
        <v>7</v>
      </c>
      <c r="N2589" s="3" t="n">
        <v>90.48</v>
      </c>
      <c r="O2589" s="12" t="n">
        <v>20.68965517241379</v>
      </c>
    </row>
    <row r="2590">
      <c r="A2590" s="10" t="n">
        <v>46083</v>
      </c>
      <c r="B2590" t="inlineStr">
        <is>
          <t>Emilly Kamilly Medeiros Miranda</t>
        </is>
      </c>
      <c r="C2590" s="1" t="inlineStr">
        <is>
          <t>Técnico II</t>
        </is>
      </c>
      <c r="D2590" s="3" t="n">
        <v>38</v>
      </c>
      <c r="E2590" s="3" t="n">
        <v>38</v>
      </c>
      <c r="F2590" s="3" t="n">
        <v>17.39</v>
      </c>
      <c r="G2590" s="3" t="n">
        <v>0</v>
      </c>
      <c r="H2590" s="3" t="n">
        <v>0</v>
      </c>
      <c r="I2590" s="3">
        <f>E2590+G2590+H2590</f>
        <v/>
      </c>
      <c r="J2590" s="3">
        <f>ROUND(MIN(IF(C2590="Técnico III",35,IF(C2590="Técnico II",28,IF(C2590="Técnico I",23,IF(C2590="JR",20,IF(C2590="Estágio",10,0))))),IF(C2590="Técnico III",SUMIFS($D:$D,$A:$A,$A2590,$B:$B,"&lt;&gt;Patrícia Karla de Sousa Araújo",$B:$B,"&lt;&gt;Lorena Dias de Araujo",$B:$B,"&lt;&gt;Lucas Luiz Romero")*(35/1083),IF(C2590="Técnico II",SUMIFS($D:$D,$A:$A,$A2590,$B:$B,"&lt;&gt;Patrícia Karla de Sousa Araújo",$B:$B,"&lt;&gt;Lorena Dias de Araujo",$B:$B,"&lt;&gt;Lucas Luiz Romero")*(28/1083),IF(C2590="Técnico I",SUMIFS($D:$D,$A:$A,$A2590,$B:$B,"&lt;&gt;Patrícia Karla de Sousa Araújo",$B:$B,"&lt;&gt;Lorena Dias de Araujo",$B:$B,"&lt;&gt;Lucas Luiz Romero")*(23/1083),IF(C2590="JR",SUMIFS($D:$D,$A:$A,$A2590,$B:$B,"&lt;&gt;Patrícia Karla de Sousa Araújo",$B:$B,"&lt;&gt;Lorena Dias de Araujo",$B:$B,"&lt;&gt;Lucas Luiz Romero")*(20/1083),IF(C2590="Estágio",SUMIFS($D:$D,$A:$A,$A2590,$B:$B,"&lt;&gt;Patrícia Karla de Sousa Araújo",$B:$B,"&lt;&gt;Lorena Dias de Araujo",$B:$B,"&lt;&gt;Lucas Luiz Romero")*(10/1083),0)))))),0)</f>
        <v/>
      </c>
      <c r="K2590" s="3">
        <f>I2590-J2590</f>
        <v/>
      </c>
      <c r="L2590" s="3">
        <f>IF(K2590&lt;-5,"CRÍTICO",IF(K2590&lt;0,"ATENÇÃO",IF(K2590&lt;=5,"BOM","EXCELENTE")))</f>
        <v/>
      </c>
      <c r="M2590" s="3" t="n">
        <v>37</v>
      </c>
      <c r="N2590" s="3" t="n">
        <v>98.06</v>
      </c>
      <c r="O2590" s="12" t="n">
        <v>24.78991596638656</v>
      </c>
    </row>
    <row r="2591">
      <c r="A2591" s="10" t="n">
        <v>46083</v>
      </c>
      <c r="B2591" t="inlineStr">
        <is>
          <t>Francielson de Oliveira</t>
        </is>
      </c>
      <c r="C2591" s="1" t="inlineStr">
        <is>
          <t>Técnico III</t>
        </is>
      </c>
      <c r="D2591" s="3" t="n">
        <v>30</v>
      </c>
      <c r="E2591" s="3" t="n">
        <v>29</v>
      </c>
      <c r="F2591" s="3" t="n">
        <v>18.58</v>
      </c>
      <c r="G2591" s="3" t="n">
        <v>0</v>
      </c>
      <c r="H2591" s="3" t="n">
        <v>0</v>
      </c>
      <c r="I2591" s="3">
        <f>E2591+G2591+H2591</f>
        <v/>
      </c>
      <c r="J2591" s="3">
        <f>ROUND(MIN(IF(C2591="Técnico III",35,IF(C2591="Técnico II",28,IF(C2591="Técnico I",23,IF(C2591="JR",20,IF(C2591="Estágio",10,0))))),IF(C2591="Técnico III",SUMIFS($D:$D,$A:$A,$A2591,$B:$B,"&lt;&gt;Patrícia Karla de Sousa Araújo",$B:$B,"&lt;&gt;Lorena Dias de Araujo",$B:$B,"&lt;&gt;Lucas Luiz Romero")*(35/1083),IF(C2591="Técnico II",SUMIFS($D:$D,$A:$A,$A2591,$B:$B,"&lt;&gt;Patrícia Karla de Sousa Araújo",$B:$B,"&lt;&gt;Lorena Dias de Araujo",$B:$B,"&lt;&gt;Lucas Luiz Romero")*(28/1083),IF(C2591="Técnico I",SUMIFS($D:$D,$A:$A,$A2591,$B:$B,"&lt;&gt;Patrícia Karla de Sousa Araújo",$B:$B,"&lt;&gt;Lorena Dias de Araujo",$B:$B,"&lt;&gt;Lucas Luiz Romero")*(23/1083),IF(C2591="JR",SUMIFS($D:$D,$A:$A,$A2591,$B:$B,"&lt;&gt;Patrícia Karla de Sousa Araújo",$B:$B,"&lt;&gt;Lorena Dias de Araujo",$B:$B,"&lt;&gt;Lucas Luiz Romero")*(20/1083),IF(C2591="Estágio",SUMIFS($D:$D,$A:$A,$A2591,$B:$B,"&lt;&gt;Patrícia Karla de Sousa Araújo",$B:$B,"&lt;&gt;Lorena Dias de Araujo",$B:$B,"&lt;&gt;Lucas Luiz Romero")*(10/1083),0)))))),0)</f>
        <v/>
      </c>
      <c r="K2591" s="3">
        <f>I2591-J2591</f>
        <v/>
      </c>
      <c r="L2591" s="3">
        <f>IF(K2591&lt;-5,"CRÍTICO",IF(K2591&lt;0,"ATENÇÃO",IF(K2591&lt;=5,"BOM","EXCELENTE")))</f>
        <v/>
      </c>
      <c r="M2591" s="3" t="n">
        <v>30</v>
      </c>
      <c r="N2591" s="3" t="n">
        <v>97.78</v>
      </c>
      <c r="O2591" s="12" t="n">
        <v>25.49407114624506</v>
      </c>
    </row>
    <row r="2592">
      <c r="A2592" s="10" t="n">
        <v>46083</v>
      </c>
      <c r="B2592" t="inlineStr">
        <is>
          <t>Francilene Ferreira de Jesus</t>
        </is>
      </c>
      <c r="C2592" s="1" t="inlineStr">
        <is>
          <t>Técnico II</t>
        </is>
      </c>
      <c r="D2592" s="3" t="n">
        <v>25</v>
      </c>
      <c r="E2592" s="3" t="n">
        <v>25</v>
      </c>
      <c r="F2592" s="3" t="n">
        <v>33.47</v>
      </c>
      <c r="G2592" s="3" t="n">
        <v>0</v>
      </c>
      <c r="H2592" s="3" t="n">
        <v>0</v>
      </c>
      <c r="I2592" s="3">
        <f>E2592+G2592+H2592</f>
        <v/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/>
      </c>
      <c r="K2592" s="3">
        <f>I2592-J2592</f>
        <v/>
      </c>
      <c r="L2592" s="3">
        <f>IF(K2592&lt;-5,"CRÍTICO",IF(K2592&lt;0,"ATENÇÃO",IF(K2592&lt;=5,"BOM","EXCELENTE")))</f>
        <v/>
      </c>
      <c r="M2592" s="3" t="n">
        <v>24</v>
      </c>
      <c r="N2592" s="3" t="n">
        <v>98.02</v>
      </c>
      <c r="O2592" s="12" t="n">
        <v>23.48484848484848</v>
      </c>
    </row>
    <row r="2593">
      <c r="A2593" s="10" t="n">
        <v>46115</v>
      </c>
      <c r="B2593" t="inlineStr">
        <is>
          <t>Gabriel Gomes de Andrade</t>
        </is>
      </c>
      <c r="C2593" s="1" t="inlineStr">
        <is>
          <t>Técnico I</t>
        </is>
      </c>
      <c r="D2593" s="3" t="n">
        <v>0</v>
      </c>
      <c r="E2593" s="3" t="n">
        <v>0</v>
      </c>
      <c r="F2593" s="3" t="n">
        <v>0</v>
      </c>
      <c r="G2593" s="3" t="n">
        <v>0</v>
      </c>
      <c r="H2593" s="3" t="n">
        <v>0</v>
      </c>
      <c r="I2593" s="3" t="n">
        <v>0</v>
      </c>
      <c r="J2593" s="3" t="n">
        <v>0</v>
      </c>
      <c r="K2593" s="3" t="n">
        <v>0</v>
      </c>
      <c r="L2593" s="3">
        <f>IF(K2593&lt;-5,"CRÍTICO",IF(K2593&lt;0,"ATENÇÃO",IF(K2593&lt;=5,"OPORTUNO","MUITO BOM")))</f>
        <v/>
      </c>
      <c r="M2593" s="3" t="n">
        <v>0</v>
      </c>
      <c r="N2593" s="3" t="n">
        <v>99.28</v>
      </c>
      <c r="O2593" s="12" t="n">
        <v>27.68924302788844</v>
      </c>
    </row>
    <row r="2594">
      <c r="A2594" s="10" t="n">
        <v>46083</v>
      </c>
      <c r="B2594" t="inlineStr">
        <is>
          <t>Isabella Borges de Oliveira</t>
        </is>
      </c>
      <c r="C2594" s="1" t="inlineStr">
        <is>
          <t>Técnico II</t>
        </is>
      </c>
      <c r="D2594" s="3" t="n">
        <v>21</v>
      </c>
      <c r="E2594" s="3" t="n">
        <v>20</v>
      </c>
      <c r="F2594" s="3" t="n">
        <v>28.58</v>
      </c>
      <c r="G2594" s="3" t="n">
        <v>0</v>
      </c>
      <c r="H2594" s="3" t="n">
        <v>0</v>
      </c>
      <c r="I2594" s="3">
        <f>E2594+G2594+H2594</f>
        <v/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/>
      </c>
      <c r="K2594" s="3">
        <f>I2594-J2594</f>
        <v/>
      </c>
      <c r="L2594" s="3">
        <f>IF(K2594&lt;-5,"CRÍTICO",IF(K2594&lt;0,"ATENÇÃO",IF(K2594&lt;=5,"BOM","EXCELENTE")))</f>
        <v/>
      </c>
      <c r="M2594" s="3" t="n">
        <v>18</v>
      </c>
      <c r="N2594" s="3" t="n">
        <v>100</v>
      </c>
      <c r="O2594" s="12" t="n">
        <v>27.04918032786885</v>
      </c>
    </row>
    <row r="2595">
      <c r="A2595" s="10" t="n">
        <v>46083</v>
      </c>
      <c r="B2595" t="inlineStr">
        <is>
          <t>Janaina Lima dos Reis Urany</t>
        </is>
      </c>
      <c r="C2595" s="1" t="inlineStr">
        <is>
          <t>Técnico III</t>
        </is>
      </c>
      <c r="D2595" s="3" t="n">
        <v>42</v>
      </c>
      <c r="E2595" s="3" t="n">
        <v>35</v>
      </c>
      <c r="F2595" s="3" t="n">
        <v>15.13</v>
      </c>
      <c r="G2595" s="3" t="n">
        <v>0</v>
      </c>
      <c r="H2595" s="3" t="n">
        <v>0</v>
      </c>
      <c r="I2595" s="3">
        <f>E2595+G2595+H2595</f>
        <v/>
      </c>
      <c r="J2595" s="3">
        <f>ROUND(MIN(IF(C2595="Técnico III",35,IF(C2595="Técnico II",28,IF(C2595="Técnico I",23,IF(C2595="JR",20,IF(C2595="Estágio",10,0))))),IF(C2595="Técnico III",SUMIFS($D:$D,$A:$A,$A2595,$B:$B,"&lt;&gt;Patrícia Karla de Sousa Araújo",$B:$B,"&lt;&gt;Lorena Dias de Araujo",$B:$B,"&lt;&gt;Lucas Luiz Romero")*(35/1083),IF(C2595="Técnico II",SUMIFS($D:$D,$A:$A,$A2595,$B:$B,"&lt;&gt;Patrícia Karla de Sousa Araújo",$B:$B,"&lt;&gt;Lorena Dias de Araujo",$B:$B,"&lt;&gt;Lucas Luiz Romero")*(28/1083),IF(C2595="Técnico I",SUMIFS($D:$D,$A:$A,$A2595,$B:$B,"&lt;&gt;Patrícia Karla de Sousa Araújo",$B:$B,"&lt;&gt;Lorena Dias de Araujo",$B:$B,"&lt;&gt;Lucas Luiz Romero")*(23/1083),IF(C2595="JR",SUMIFS($D:$D,$A:$A,$A2595,$B:$B,"&lt;&gt;Patrícia Karla de Sousa Araújo",$B:$B,"&lt;&gt;Lorena Dias de Araujo",$B:$B,"&lt;&gt;Lucas Luiz Romero")*(20/1083),IF(C2595="Estágio",SUMIFS($D:$D,$A:$A,$A2595,$B:$B,"&lt;&gt;Patrícia Karla de Sousa Araújo",$B:$B,"&lt;&gt;Lorena Dias de Araujo",$B:$B,"&lt;&gt;Lucas Luiz Romero")*(10/1083),0)))))),0)</f>
        <v/>
      </c>
      <c r="K2595" s="3">
        <f>I2595-J2595</f>
        <v/>
      </c>
      <c r="L2595" s="3">
        <f>IF(K2595&lt;-5,"CRÍTICO",IF(K2595&lt;0,"ATENÇÃO",IF(K2595&lt;=5,"BOM","EXCELENTE")))</f>
        <v/>
      </c>
      <c r="M2595" s="3" t="n">
        <v>40</v>
      </c>
      <c r="N2595" s="3" t="n">
        <v>97.83</v>
      </c>
      <c r="O2595" s="12" t="n">
        <v>26.31578947368421</v>
      </c>
    </row>
    <row r="2596">
      <c r="A2596" s="10" t="n">
        <v>46083</v>
      </c>
      <c r="B2596" t="inlineStr">
        <is>
          <t>Jaqueline Evangelista da Silva Martins</t>
        </is>
      </c>
      <c r="C2596" s="1" t="inlineStr">
        <is>
          <t>Técnico III</t>
        </is>
      </c>
      <c r="D2596" s="3" t="n">
        <v>13</v>
      </c>
      <c r="E2596" s="3" t="n">
        <v>12</v>
      </c>
      <c r="F2596" s="3" t="n">
        <v>10.52</v>
      </c>
      <c r="G2596" s="3" t="n">
        <v>0</v>
      </c>
      <c r="H2596" s="3" t="n">
        <v>0</v>
      </c>
      <c r="I2596" s="3">
        <f>E2596+G2596+H2596</f>
        <v/>
      </c>
      <c r="J2596" s="3">
        <f>ROUND(MIN(IF(C2596="Técnico III",35,IF(C2596="Técnico II",28,IF(C2596="Técnico I",23,IF(C2596="JR",20,IF(C2596="Estágio",10,0))))),IF(C2596="Técnico III",SUMIFS($D:$D,$A:$A,$A2596,$B:$B,"&lt;&gt;Patrícia Karla de Sousa Araújo",$B:$B,"&lt;&gt;Lorena Dias de Araujo",$B:$B,"&lt;&gt;Lucas Luiz Romero")*(35/1083),IF(C2596="Técnico II",SUMIFS($D:$D,$A:$A,$A2596,$B:$B,"&lt;&gt;Patrícia Karla de Sousa Araújo",$B:$B,"&lt;&gt;Lorena Dias de Araujo",$B:$B,"&lt;&gt;Lucas Luiz Romero")*(28/1083),IF(C2596="Técnico I",SUMIFS($D:$D,$A:$A,$A2596,$B:$B,"&lt;&gt;Patrícia Karla de Sousa Araújo",$B:$B,"&lt;&gt;Lorena Dias de Araujo",$B:$B,"&lt;&gt;Lucas Luiz Romero")*(23/1083),IF(C2596="JR",SUMIFS($D:$D,$A:$A,$A2596,$B:$B,"&lt;&gt;Patrícia Karla de Sousa Araújo",$B:$B,"&lt;&gt;Lorena Dias de Araujo",$B:$B,"&lt;&gt;Lucas Luiz Romero")*(20/1083),IF(C2596="Estágio",SUMIFS($D:$D,$A:$A,$A2596,$B:$B,"&lt;&gt;Patrícia Karla de Sousa Araújo",$B:$B,"&lt;&gt;Lorena Dias de Araujo",$B:$B,"&lt;&gt;Lucas Luiz Romero")*(10/1083),0)))))),0)</f>
        <v/>
      </c>
      <c r="K2596" s="3">
        <f>I2596-J2596</f>
        <v/>
      </c>
      <c r="L2596" s="3">
        <f>IF(K2596&lt;-5,"CRÍTICO",IF(K2596&lt;0,"ATENÇÃO",IF(K2596&lt;=5,"BOM","EXCELENTE")))</f>
        <v/>
      </c>
      <c r="M2596" s="3" t="n">
        <v>12</v>
      </c>
      <c r="N2596" s="3" t="n">
        <v>100</v>
      </c>
      <c r="O2596" s="12" t="n">
        <v>26.70157068062827</v>
      </c>
    </row>
    <row r="2597">
      <c r="A2597" s="10" t="n">
        <v>46083</v>
      </c>
      <c r="B2597" t="inlineStr">
        <is>
          <t>Jessica Faria da Silveira</t>
        </is>
      </c>
      <c r="C2597" s="1" t="inlineStr">
        <is>
          <t>Técnico II</t>
        </is>
      </c>
      <c r="D2597" s="3" t="n">
        <v>24</v>
      </c>
      <c r="E2597" s="3" t="n">
        <v>19</v>
      </c>
      <c r="F2597" s="3" t="n">
        <v>27.34</v>
      </c>
      <c r="G2597" s="3" t="n">
        <v>0</v>
      </c>
      <c r="H2597" s="3" t="n">
        <v>0</v>
      </c>
      <c r="I2597" s="3">
        <f>E2597+G2597+H2597</f>
        <v/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/>
      </c>
      <c r="K2597" s="3">
        <f>I2597-J2597</f>
        <v/>
      </c>
      <c r="L2597" s="3">
        <f>IF(K2597&lt;-5,"CRÍTICO",IF(K2597&lt;0,"ATENÇÃO",IF(K2597&lt;=5,"BOM","EXCELENTE")))</f>
        <v/>
      </c>
      <c r="M2597" s="3" t="n">
        <v>18</v>
      </c>
      <c r="N2597" s="3" t="n">
        <v>97.47</v>
      </c>
      <c r="O2597" s="12" t="n">
        <v>22.88732394366197</v>
      </c>
    </row>
    <row r="2598">
      <c r="A2598" s="10" t="n">
        <v>46083</v>
      </c>
      <c r="B2598" t="inlineStr">
        <is>
          <t>Jéssica Fé Moura</t>
        </is>
      </c>
      <c r="C2598" s="1" t="inlineStr">
        <is>
          <t>Técnico III</t>
        </is>
      </c>
      <c r="D2598" s="3" t="n">
        <v>0</v>
      </c>
      <c r="E2598" s="3" t="n">
        <v>0</v>
      </c>
      <c r="F2598" s="3" t="n">
        <v>0</v>
      </c>
      <c r="G2598" s="3" t="n">
        <v>0</v>
      </c>
      <c r="H2598" s="3" t="n">
        <v>0</v>
      </c>
      <c r="I2598" s="3" t="n">
        <v>0</v>
      </c>
      <c r="J2598" s="3" t="n">
        <v>0</v>
      </c>
      <c r="K2598" s="3" t="n">
        <v>0</v>
      </c>
      <c r="L2598" s="3">
        <f>IF(K2598&lt;-5,"CRÍTICO",IF(K2598&lt;0,"ATENÇÃO",IF(K2598&lt;=5,"BOM","EXCELENTE")))</f>
        <v/>
      </c>
      <c r="M2598" s="3" t="n">
        <v>0</v>
      </c>
      <c r="N2598" s="3" t="n">
        <v>0</v>
      </c>
      <c r="O2598" s="12" t="n">
        <v>0</v>
      </c>
    </row>
    <row r="2599">
      <c r="A2599" s="10" t="n">
        <v>46083</v>
      </c>
      <c r="B2599" t="inlineStr">
        <is>
          <t>Karina Gonçalves Martins</t>
        </is>
      </c>
      <c r="C2599" s="1" t="inlineStr">
        <is>
          <t>JR</t>
        </is>
      </c>
      <c r="D2599" s="3" t="n">
        <v>17</v>
      </c>
      <c r="E2599" s="3" t="n">
        <v>17</v>
      </c>
      <c r="F2599" s="3" t="n">
        <v>20.52</v>
      </c>
      <c r="G2599" s="3" t="n">
        <v>0</v>
      </c>
      <c r="H2599" s="3" t="n">
        <v>0</v>
      </c>
      <c r="I2599" s="3">
        <f>E2599+G2599+H2599</f>
        <v/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/>
      </c>
      <c r="K2599" s="3">
        <f>I2599-J2599</f>
        <v/>
      </c>
      <c r="L2599" s="3">
        <f>IF(K2599&lt;-5,"CRÍTICO",IF(K2599&lt;0,"ATENÇÃO",IF(K2599&lt;=5,"BOM","EXCELENTE")))</f>
        <v/>
      </c>
      <c r="M2599" s="3" t="n">
        <v>18</v>
      </c>
      <c r="N2599" s="3" t="n">
        <v>98.31</v>
      </c>
      <c r="O2599" s="12" t="n">
        <v>24.92012779552715</v>
      </c>
    </row>
    <row r="2600">
      <c r="A2600" s="10" t="n">
        <v>46083</v>
      </c>
      <c r="B2600" t="inlineStr">
        <is>
          <t>Kerollen Cristielly de Jesus Siqueira</t>
        </is>
      </c>
      <c r="C2600" s="1" t="inlineStr">
        <is>
          <t>Técnico III</t>
        </is>
      </c>
      <c r="D2600" s="3" t="n">
        <v>21</v>
      </c>
      <c r="E2600" s="3" t="n">
        <v>20</v>
      </c>
      <c r="F2600" s="3" t="n">
        <v>26.43</v>
      </c>
      <c r="G2600" s="3" t="n">
        <v>0</v>
      </c>
      <c r="H2600" s="3" t="n">
        <v>0</v>
      </c>
      <c r="I2600" s="3">
        <f>E2600+G2600+H2600</f>
        <v/>
      </c>
      <c r="J2600" s="3">
        <f>ROUND(MIN(IF(C2600="Técnico III",35,IF(C2600="Técnico II",28,IF(C2600="Técnico I",23,IF(C2600="JR",20,IF(C2600="Estágio",10,0))))),IF(C2600="Técnico III",SUMIFS($D:$D,$A:$A,$A2600,$B:$B,"&lt;&gt;Patrícia Karla de Sousa Araújo",$B:$B,"&lt;&gt;Lorena Dias de Araujo",$B:$B,"&lt;&gt;Lucas Luiz Romero")*(35/1083),IF(C2600="Técnico II",SUMIFS($D:$D,$A:$A,$A2600,$B:$B,"&lt;&gt;Patrícia Karla de Sousa Araújo",$B:$B,"&lt;&gt;Lorena Dias de Araujo",$B:$B,"&lt;&gt;Lucas Luiz Romero")*(28/1083),IF(C2600="Técnico I",SUMIFS($D:$D,$A:$A,$A2600,$B:$B,"&lt;&gt;Patrícia Karla de Sousa Araújo",$B:$B,"&lt;&gt;Lorena Dias de Araujo",$B:$B,"&lt;&gt;Lucas Luiz Romero")*(23/1083),IF(C2600="JR",SUMIFS($D:$D,$A:$A,$A2600,$B:$B,"&lt;&gt;Patrícia Karla de Sousa Araújo",$B:$B,"&lt;&gt;Lorena Dias de Araujo",$B:$B,"&lt;&gt;Lucas Luiz Romero")*(20/1083),IF(C2600="Estágio",SUMIFS($D:$D,$A:$A,$A2600,$B:$B,"&lt;&gt;Patrícia Karla de Sousa Araújo",$B:$B,"&lt;&gt;Lorena Dias de Araujo",$B:$B,"&lt;&gt;Lucas Luiz Romero")*(10/1083),0)))))),0)</f>
        <v/>
      </c>
      <c r="K2600" s="3">
        <f>I2600-J2600</f>
        <v/>
      </c>
      <c r="L2600" s="3">
        <f>IF(K2600&lt;-5,"CRÍTICO",IF(K2600&lt;0,"ATENÇÃO",IF(K2600&lt;=5,"BOM","EXCELENTE")))</f>
        <v/>
      </c>
      <c r="M2600" s="3" t="n">
        <v>18</v>
      </c>
      <c r="N2600" s="3" t="n">
        <v>96.81</v>
      </c>
      <c r="O2600" s="12" t="n">
        <v>32.36514522821577</v>
      </c>
    </row>
    <row r="2601">
      <c r="A2601" s="10" t="n">
        <v>46083</v>
      </c>
      <c r="B2601" t="inlineStr">
        <is>
          <t>Leandro de Souza Silva</t>
        </is>
      </c>
      <c r="C2601" s="1" t="inlineStr">
        <is>
          <t>JR</t>
        </is>
      </c>
      <c r="D2601" s="3" t="n">
        <v>0</v>
      </c>
      <c r="E2601" s="3" t="n">
        <v>0</v>
      </c>
      <c r="F2601" s="3" t="n">
        <v>0</v>
      </c>
      <c r="G2601" s="3" t="n">
        <v>0</v>
      </c>
      <c r="H2601" s="3" t="n">
        <v>0</v>
      </c>
      <c r="I2601" s="3" t="n">
        <v>0</v>
      </c>
      <c r="J2601" s="3" t="n">
        <v>0</v>
      </c>
      <c r="K2601" s="3" t="n">
        <v>0</v>
      </c>
      <c r="L2601" s="3">
        <f>IF(K2601&lt;-5,"CRÍTICO",IF(K2601&lt;0,"ATENÇÃO",IF(K2601&lt;=5,"BOM","EXCELENTE")))</f>
        <v/>
      </c>
      <c r="M2601" s="3" t="n">
        <v>0</v>
      </c>
      <c r="N2601" s="3" t="n">
        <v>100</v>
      </c>
      <c r="O2601" s="12" t="n">
        <v>26.47058823529412</v>
      </c>
    </row>
    <row r="2602">
      <c r="A2602" s="10" t="n">
        <v>46083</v>
      </c>
      <c r="B2602" t="inlineStr">
        <is>
          <t>Leandro Oliveira de Sousa</t>
        </is>
      </c>
      <c r="C2602" s="1" t="inlineStr">
        <is>
          <t>Técnico III</t>
        </is>
      </c>
      <c r="D2602" s="3" t="n">
        <v>22</v>
      </c>
      <c r="E2602" s="3" t="n">
        <v>22</v>
      </c>
      <c r="F2602" s="3" t="n">
        <v>24.17</v>
      </c>
      <c r="G2602" s="3" t="n">
        <v>0</v>
      </c>
      <c r="H2602" s="3" t="n">
        <v>0</v>
      </c>
      <c r="I2602" s="3">
        <f>E2602+G2602+H2602</f>
        <v/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/>
      </c>
      <c r="K2602" s="3">
        <f>I2602-J2602</f>
        <v/>
      </c>
      <c r="L2602" s="3">
        <f>IF(K2602&lt;-5,"CRÍTICO",IF(K2602&lt;0,"ATENÇÃO",IF(K2602&lt;=5,"BOM","EXCELENTE")))</f>
        <v/>
      </c>
      <c r="M2602" s="3" t="n">
        <v>21</v>
      </c>
      <c r="N2602" s="3" t="n">
        <v>100</v>
      </c>
      <c r="O2602" s="12" t="n">
        <v>28.49002849002849</v>
      </c>
    </row>
    <row r="2603">
      <c r="A2603" s="10" t="n">
        <v>46083</v>
      </c>
      <c r="B2603" t="inlineStr">
        <is>
          <t>Lizandra Gomes Duarte</t>
        </is>
      </c>
      <c r="C2603" s="1" t="inlineStr">
        <is>
          <t>Técnico II</t>
        </is>
      </c>
      <c r="D2603" s="3" t="n">
        <v>26</v>
      </c>
      <c r="E2603" s="3" t="n">
        <v>25</v>
      </c>
      <c r="F2603" s="3" t="n">
        <v>30.24</v>
      </c>
      <c r="G2603" s="3" t="n">
        <v>0</v>
      </c>
      <c r="H2603" s="3" t="n">
        <v>0</v>
      </c>
      <c r="I2603" s="3">
        <f>E2603+G2603+H2603</f>
        <v/>
      </c>
      <c r="J2603" s="3">
        <f>ROUND(MIN(IF(C2603="Técnico III",35,IF(C2603="Técnico II",28,IF(C2603="Técnico I",23,IF(C2603="JR",20,IF(C2603="Estágio",10,0))))),IF(C2603="Técnico III",SUMIFS($D:$D,$A:$A,$A2603,$B:$B,"&lt;&gt;Patrícia Karla de Sousa Araújo",$B:$B,"&lt;&gt;Lorena Dias de Araujo",$B:$B,"&lt;&gt;Lucas Luiz Romero")*(35/1083),IF(C2603="Técnico II",SUMIFS($D:$D,$A:$A,$A2603,$B:$B,"&lt;&gt;Patrícia Karla de Sousa Araújo",$B:$B,"&lt;&gt;Lorena Dias de Araujo",$B:$B,"&lt;&gt;Lucas Luiz Romero")*(28/1083),IF(C2603="Técnico I",SUMIFS($D:$D,$A:$A,$A2603,$B:$B,"&lt;&gt;Patrícia Karla de Sousa Araújo",$B:$B,"&lt;&gt;Lorena Dias de Araujo",$B:$B,"&lt;&gt;Lucas Luiz Romero")*(23/1083),IF(C2603="JR",SUMIFS($D:$D,$A:$A,$A2603,$B:$B,"&lt;&gt;Patrícia Karla de Sousa Araújo",$B:$B,"&lt;&gt;Lorena Dias de Araujo",$B:$B,"&lt;&gt;Lucas Luiz Romero")*(20/1083),IF(C2603="Estágio",SUMIFS($D:$D,$A:$A,$A2603,$B:$B,"&lt;&gt;Patrícia Karla de Sousa Araújo",$B:$B,"&lt;&gt;Lorena Dias de Araujo",$B:$B,"&lt;&gt;Lucas Luiz Romero")*(10/1083),0)))))),0)</f>
        <v/>
      </c>
      <c r="K2603" s="3">
        <f>I2603-J2603</f>
        <v/>
      </c>
      <c r="L2603" s="3">
        <f>IF(K2603&lt;-5,"CRÍTICO",IF(K2603&lt;0,"ATENÇÃO",IF(K2603&lt;=5,"BOM","EXCELENTE")))</f>
        <v/>
      </c>
      <c r="M2603" s="3" t="n">
        <v>14</v>
      </c>
      <c r="N2603" s="3" t="n">
        <v>99.14</v>
      </c>
      <c r="O2603" s="12" t="n">
        <v>27.2289156626506</v>
      </c>
    </row>
    <row r="2604">
      <c r="A2604" s="10" t="n">
        <v>46083</v>
      </c>
      <c r="B2604" t="inlineStr">
        <is>
          <t>Lorena Dias de Araujo</t>
        </is>
      </c>
      <c r="C2604" s="1" t="inlineStr">
        <is>
          <t>Técnico II</t>
        </is>
      </c>
      <c r="D2604" s="3" t="n">
        <v>32</v>
      </c>
      <c r="E2604" s="3" t="n">
        <v>30</v>
      </c>
      <c r="F2604" s="3" t="n">
        <v>18.48</v>
      </c>
      <c r="G2604" s="3" t="n">
        <v>0</v>
      </c>
      <c r="H2604" s="3" t="n">
        <v>0</v>
      </c>
      <c r="I2604" s="3" t="n">
        <v>0</v>
      </c>
      <c r="J2604" s="3" t="n">
        <v>0</v>
      </c>
      <c r="K2604" s="3" t="n">
        <v>0</v>
      </c>
      <c r="L2604" s="3">
        <f>IF(K2604&lt;-5,"CRÍTICO",IF(K2604&lt;0,"ATENÇÃO",IF(K2604&lt;=5,"BOM","EXCELENTE")))</f>
        <v/>
      </c>
      <c r="M2604" s="3" t="n">
        <v>27</v>
      </c>
      <c r="N2604" s="3" t="n">
        <v>97.52</v>
      </c>
      <c r="O2604" s="12" t="n">
        <v>28.2051282051282</v>
      </c>
    </row>
    <row r="2605">
      <c r="A2605" s="10" t="n">
        <v>46083</v>
      </c>
      <c r="B2605" t="inlineStr">
        <is>
          <t>Lucas Luiz Romero</t>
        </is>
      </c>
      <c r="C2605" s="1" t="inlineStr">
        <is>
          <t>Técnico III</t>
        </is>
      </c>
      <c r="D2605" s="3" t="n">
        <v>33</v>
      </c>
      <c r="E2605" s="3" t="n">
        <v>28</v>
      </c>
      <c r="F2605" s="3" t="n">
        <v>15.49</v>
      </c>
      <c r="G2605" s="3" t="n">
        <v>0</v>
      </c>
      <c r="H2605" s="3" t="n">
        <v>0</v>
      </c>
      <c r="I2605" s="3">
        <f>E2605+G2605+H2605</f>
        <v/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/>
      </c>
      <c r="K2605" s="3">
        <f>I2605-J2605</f>
        <v/>
      </c>
      <c r="L2605" s="3">
        <f>IF(K2605&lt;-5,"CRÍTICO",IF(K2605&lt;0,"ATENÇÃO",IF(K2605&lt;=5,"BOM","EXCELENTE")))</f>
        <v/>
      </c>
      <c r="M2605" s="3" t="n">
        <v>22</v>
      </c>
      <c r="N2605" s="3" t="n">
        <v>90</v>
      </c>
      <c r="O2605" s="12" t="n">
        <v>24.18604651162791</v>
      </c>
    </row>
    <row r="2606">
      <c r="A2606" s="10" t="n">
        <v>46083</v>
      </c>
      <c r="B2606" t="inlineStr">
        <is>
          <t>Luiz Fernando de Carvalho Junior</t>
        </is>
      </c>
      <c r="C2606" s="1" t="inlineStr">
        <is>
          <t>Técnico I</t>
        </is>
      </c>
      <c r="D2606" s="3" t="n">
        <v>30</v>
      </c>
      <c r="E2606" s="3" t="n">
        <v>28</v>
      </c>
      <c r="F2606" s="3" t="n">
        <v>18.29</v>
      </c>
      <c r="G2606" s="3" t="n">
        <v>0</v>
      </c>
      <c r="H2606" s="3" t="n">
        <v>0</v>
      </c>
      <c r="I2606" s="3">
        <f>E2606+G2606+H2606</f>
        <v/>
      </c>
      <c r="J2606" s="3">
        <f>ROUND(MIN(IF(C2606="Técnico III",35,IF(C2606="Técnico II",28,IF(C2606="Técnico I",23,IF(C2606="JR",20,IF(C2606="Estágio",10,0))))),IF(C2606="Técnico III",SUMIFS($D:$D,$A:$A,$A2606,$B:$B,"&lt;&gt;Patrícia Karla de Sousa Araújo",$B:$B,"&lt;&gt;Lorena Dias de Araujo",$B:$B,"&lt;&gt;Lucas Luiz Romero")*(35/1083),IF(C2606="Técnico II",SUMIFS($D:$D,$A:$A,$A2606,$B:$B,"&lt;&gt;Patrícia Karla de Sousa Araújo",$B:$B,"&lt;&gt;Lorena Dias de Araujo",$B:$B,"&lt;&gt;Lucas Luiz Romero")*(28/1083),IF(C2606="Técnico I",SUMIFS($D:$D,$A:$A,$A2606,$B:$B,"&lt;&gt;Patrícia Karla de Sousa Araújo",$B:$B,"&lt;&gt;Lorena Dias de Araujo",$B:$B,"&lt;&gt;Lucas Luiz Romero")*(23/1083),IF(C2606="JR",SUMIFS($D:$D,$A:$A,$A2606,$B:$B,"&lt;&gt;Patrícia Karla de Sousa Araújo",$B:$B,"&lt;&gt;Lorena Dias de Araujo",$B:$B,"&lt;&gt;Lucas Luiz Romero")*(20/1083),IF(C2606="Estágio",SUMIFS($D:$D,$A:$A,$A2606,$B:$B,"&lt;&gt;Patrícia Karla de Sousa Araújo",$B:$B,"&lt;&gt;Lorena Dias de Araujo",$B:$B,"&lt;&gt;Lucas Luiz Romero")*(10/1083),0)))))),0)</f>
        <v/>
      </c>
      <c r="K2606" s="3">
        <f>I2606-J2606</f>
        <v/>
      </c>
      <c r="L2606" s="3">
        <f>IF(K2606&lt;-5,"CRÍTICO",IF(K2606&lt;0,"ATENÇÃO",IF(K2606&lt;=5,"BOM","EXCELENTE")))</f>
        <v/>
      </c>
      <c r="M2606" s="3" t="n">
        <v>25</v>
      </c>
      <c r="N2606" s="3" t="n">
        <v>98.90000000000001</v>
      </c>
      <c r="O2606" s="12" t="n">
        <v>26.7639902676399</v>
      </c>
    </row>
    <row r="2607">
      <c r="A2607" s="10" t="n">
        <v>46083</v>
      </c>
      <c r="B2607" t="inlineStr">
        <is>
          <t>Maria Eduarda Sousa Costa</t>
        </is>
      </c>
      <c r="C2607" s="1" t="inlineStr">
        <is>
          <t>Estágio</t>
        </is>
      </c>
      <c r="D2607" s="3" t="n">
        <v>15</v>
      </c>
      <c r="E2607" s="3" t="n">
        <v>14</v>
      </c>
      <c r="F2607" s="3" t="n">
        <v>23.32</v>
      </c>
      <c r="G2607" s="3" t="n">
        <v>0</v>
      </c>
      <c r="H2607" s="3" t="n">
        <v>0</v>
      </c>
      <c r="I2607" s="3">
        <f>E2607+G2607+H2607</f>
        <v/>
      </c>
      <c r="J2607" s="3">
        <f>ROUND(MIN(IF(C2607="Técnico III",35,IF(C2607="Técnico II",28,IF(C2607="Técnico I",23,IF(C2607="JR",20,IF(C2607="Estágio",10,0))))),IF(C2607="Técnico III",SUMIFS($D:$D,$A:$A,$A2607,$B:$B,"&lt;&gt;Patrícia Karla de Sousa Araújo",$B:$B,"&lt;&gt;Lorena Dias de Araujo",$B:$B,"&lt;&gt;Lucas Luiz Romero")*(35/1083),IF(C2607="Técnico II",SUMIFS($D:$D,$A:$A,$A2607,$B:$B,"&lt;&gt;Patrícia Karla de Sousa Araújo",$B:$B,"&lt;&gt;Lorena Dias de Araujo",$B:$B,"&lt;&gt;Lucas Luiz Romero")*(28/1083),IF(C2607="Técnico I",SUMIFS($D:$D,$A:$A,$A2607,$B:$B,"&lt;&gt;Patrícia Karla de Sousa Araújo",$B:$B,"&lt;&gt;Lorena Dias de Araujo",$B:$B,"&lt;&gt;Lucas Luiz Romero")*(23/1083),IF(C2607="JR",SUMIFS($D:$D,$A:$A,$A2607,$B:$B,"&lt;&gt;Patrícia Karla de Sousa Araújo",$B:$B,"&lt;&gt;Lorena Dias de Araujo",$B:$B,"&lt;&gt;Lucas Luiz Romero")*(20/1083),IF(C2607="Estágio",SUMIFS($D:$D,$A:$A,$A2607,$B:$B,"&lt;&gt;Patrícia Karla de Sousa Araújo",$B:$B,"&lt;&gt;Lorena Dias de Araujo",$B:$B,"&lt;&gt;Lucas Luiz Romero")*(10/1083),0)))))),0)</f>
        <v/>
      </c>
      <c r="K2607" s="3">
        <f>I2607-J2607</f>
        <v/>
      </c>
      <c r="L2607" s="3">
        <f>IF(K2607&lt;-5,"CRÍTICO",IF(K2607&lt;0,"ATENÇÃO",IF(K2607&lt;=5,"BOM","EXCELENTE")))</f>
        <v/>
      </c>
      <c r="M2607" s="3" t="n">
        <v>11</v>
      </c>
      <c r="N2607" s="3" t="n">
        <v>88.89</v>
      </c>
      <c r="O2607" s="12" t="n">
        <v>25.26315789473684</v>
      </c>
    </row>
    <row r="2608">
      <c r="A2608" s="10" t="n">
        <v>46101</v>
      </c>
      <c r="B2608" t="inlineStr">
        <is>
          <t>Matheus Farias De Souza</t>
        </is>
      </c>
      <c r="C2608" s="1" t="inlineStr">
        <is>
          <t>Técnico III</t>
        </is>
      </c>
      <c r="D2608" s="3" t="n">
        <v>42</v>
      </c>
      <c r="E2608" s="3" t="n">
        <v>40</v>
      </c>
      <c r="F2608" s="3" t="n">
        <v>13.39</v>
      </c>
      <c r="G2608" s="3" t="n">
        <v>0</v>
      </c>
      <c r="H2608" s="3" t="n">
        <v>0</v>
      </c>
      <c r="I2608" s="3">
        <f>E2608+G2608+H2608</f>
        <v/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/>
      </c>
      <c r="K2608" s="3">
        <f>I2608-J2608</f>
        <v/>
      </c>
      <c r="L2608" s="3">
        <f>IF(K2608&lt;-5,"CRÍTICO",IF(K2608&lt;0,"ATENÇÃO",IF(K2608&lt;=5,"OPORTUNO","MUITO BOM")))</f>
        <v/>
      </c>
      <c r="M2608" s="3" t="n">
        <v>32</v>
      </c>
      <c r="N2608" s="3" t="n">
        <v>98.86</v>
      </c>
      <c r="O2608" s="12" t="n">
        <v>28.95927601809955</v>
      </c>
    </row>
    <row r="2609">
      <c r="A2609" s="10" t="n">
        <v>46083</v>
      </c>
      <c r="B2609" t="inlineStr">
        <is>
          <t>Maysa Victoria Dias Moura</t>
        </is>
      </c>
      <c r="C2609" s="1" t="inlineStr">
        <is>
          <t>Técnico III</t>
        </is>
      </c>
      <c r="D2609" s="3" t="n">
        <v>33</v>
      </c>
      <c r="E2609" s="3" t="n">
        <v>32</v>
      </c>
      <c r="F2609" s="3" t="n">
        <v>15.17</v>
      </c>
      <c r="G2609" s="3" t="n">
        <v>0</v>
      </c>
      <c r="H2609" s="3" t="n">
        <v>0</v>
      </c>
      <c r="I2609" s="3">
        <f>E2609+G2609+H2609</f>
        <v/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/>
      </c>
      <c r="K2609" s="3">
        <f>I2609-J2609</f>
        <v/>
      </c>
      <c r="L2609" s="3">
        <f>IF(K2609&lt;-5,"CRÍTICO",IF(K2609&lt;0,"ATENÇÃO",IF(K2609&lt;=5,"BOM","EXCELENTE")))</f>
        <v/>
      </c>
      <c r="M2609" s="3" t="n">
        <v>30</v>
      </c>
      <c r="N2609" s="3" t="n">
        <v>98.06</v>
      </c>
      <c r="O2609" s="12" t="n">
        <v>22.40566037735849</v>
      </c>
    </row>
    <row r="2610">
      <c r="A2610" s="10" t="n">
        <v>46111</v>
      </c>
      <c r="B2610" t="inlineStr">
        <is>
          <t>Michelle G Santos</t>
        </is>
      </c>
      <c r="C2610" s="1" t="inlineStr">
        <is>
          <t>Estágio</t>
        </is>
      </c>
      <c r="D2610" s="3" t="n">
        <v>17</v>
      </c>
      <c r="E2610" s="3" t="n">
        <v>17</v>
      </c>
      <c r="F2610" s="3" t="n">
        <v>30.36</v>
      </c>
      <c r="G2610" s="3" t="n">
        <v>0</v>
      </c>
      <c r="H2610" s="3" t="n">
        <v>0</v>
      </c>
      <c r="I2610" s="3">
        <f>E2610+G2610+H2610</f>
        <v/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/>
      </c>
      <c r="K2610" s="3">
        <f>I2610-J2610</f>
        <v/>
      </c>
      <c r="L2610" s="3">
        <f>IF(K2610&lt;-5,"CRÍTICO",IF(K2610&lt;0,"ATENÇÃO",IF(K2610&lt;=5,"OPORTUNO","MUITO BOM")))</f>
        <v/>
      </c>
      <c r="M2610" s="3" t="n">
        <v>8</v>
      </c>
      <c r="N2610" s="3" t="n">
        <v>95.83</v>
      </c>
      <c r="O2610" s="12" t="n">
        <v>25.77319587628866</v>
      </c>
    </row>
    <row r="2611">
      <c r="A2611" s="10" t="n">
        <v>46083</v>
      </c>
      <c r="B2611" t="inlineStr">
        <is>
          <t>Milena Sales</t>
        </is>
      </c>
      <c r="C2611" s="1" t="inlineStr">
        <is>
          <t>JR</t>
        </is>
      </c>
      <c r="D2611" s="3" t="n">
        <v>0</v>
      </c>
      <c r="E2611" s="3" t="n">
        <v>0</v>
      </c>
      <c r="F2611" s="3" t="n">
        <v>0</v>
      </c>
      <c r="G2611" s="3" t="n">
        <v>0</v>
      </c>
      <c r="H2611" s="3" t="n">
        <v>0</v>
      </c>
      <c r="I2611" s="3" t="n">
        <v>0</v>
      </c>
      <c r="J2611" s="3" t="n">
        <v>0</v>
      </c>
      <c r="K2611" s="3" t="n">
        <v>0</v>
      </c>
      <c r="L2611" s="3">
        <f>IF(K2611&lt;-5,"CRÍTICO",IF(K2611&lt;0,"ATENÇÃO",IF(K2611&lt;=5,"BOM","EXCELENTE")))</f>
        <v/>
      </c>
      <c r="M2611" s="3" t="n">
        <v>0</v>
      </c>
      <c r="N2611" s="3" t="n">
        <v>100</v>
      </c>
      <c r="O2611" s="12" t="n">
        <v>15.38461538461539</v>
      </c>
    </row>
    <row r="2612">
      <c r="A2612" s="10" t="n">
        <v>46083</v>
      </c>
      <c r="B2612" t="inlineStr">
        <is>
          <t>Patrícia Karla de Sousa Araújo</t>
        </is>
      </c>
      <c r="C2612" s="1" t="inlineStr">
        <is>
          <t>Técnico II</t>
        </is>
      </c>
      <c r="D2612" s="3" t="n">
        <v>18</v>
      </c>
      <c r="E2612" s="3" t="n">
        <v>18</v>
      </c>
      <c r="F2612" s="3" t="n">
        <v>30.04</v>
      </c>
      <c r="G2612" s="3" t="n">
        <v>0</v>
      </c>
      <c r="H2612" s="3" t="n">
        <v>0</v>
      </c>
      <c r="I2612" s="3">
        <f>E2612+G2612+H2612</f>
        <v/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/>
      </c>
      <c r="K2612" s="3">
        <f>I2612-J2612</f>
        <v/>
      </c>
      <c r="L2612" s="3">
        <f>IF(K2612&lt;-5,"CRÍTICO",IF(K2612&lt;0,"ATENÇÃO",IF(K2612&lt;=5,"BOM","EXCELENTE")))</f>
        <v/>
      </c>
      <c r="M2612" s="3" t="n">
        <v>16</v>
      </c>
      <c r="N2612" s="3" t="n">
        <v>100</v>
      </c>
      <c r="O2612" s="12" t="n">
        <v>27.51479289940828</v>
      </c>
    </row>
    <row r="2613">
      <c r="A2613" s="10" t="n">
        <v>46083</v>
      </c>
      <c r="B2613" t="inlineStr">
        <is>
          <t>Paulo Ricardo Santos</t>
        </is>
      </c>
      <c r="C2613" s="1" t="inlineStr">
        <is>
          <t>JR</t>
        </is>
      </c>
      <c r="D2613" s="3" t="n">
        <v>0</v>
      </c>
      <c r="E2613" s="3" t="n">
        <v>0</v>
      </c>
      <c r="F2613" s="3" t="n">
        <v>0</v>
      </c>
      <c r="G2613" s="3" t="n">
        <v>0</v>
      </c>
      <c r="H2613" s="3" t="n">
        <v>0</v>
      </c>
      <c r="I2613" s="3" t="n">
        <v>0</v>
      </c>
      <c r="J2613" s="3" t="n">
        <v>0</v>
      </c>
      <c r="K2613" s="3" t="n">
        <v>0</v>
      </c>
      <c r="L2613" s="3">
        <f>IF(K2613&lt;-5,"CRÍTICO",IF(K2613&lt;0,"ATENÇÃO",IF(K2613&lt;=5,"BOM","EXCELENTE")))</f>
        <v/>
      </c>
      <c r="M2613" s="3" t="n">
        <v>0</v>
      </c>
      <c r="N2613" s="3" t="n">
        <v>100</v>
      </c>
      <c r="O2613" s="12" t="n">
        <v>24.87562189054727</v>
      </c>
    </row>
    <row r="2614">
      <c r="A2614" s="10" t="n">
        <v>46083</v>
      </c>
      <c r="B2614" t="inlineStr">
        <is>
          <t>Pedro Luiz Mota Sousa</t>
        </is>
      </c>
      <c r="C2614" s="1" t="inlineStr">
        <is>
          <t>JR</t>
        </is>
      </c>
      <c r="D2614" s="3" t="n">
        <v>0</v>
      </c>
      <c r="E2614" s="3" t="n">
        <v>0</v>
      </c>
      <c r="F2614" s="3" t="n">
        <v>0</v>
      </c>
      <c r="G2614" s="3" t="n">
        <v>0</v>
      </c>
      <c r="H2614" s="3" t="n">
        <v>0</v>
      </c>
      <c r="I2614" s="3" t="n">
        <v>0</v>
      </c>
      <c r="J2614" s="3" t="n">
        <v>0</v>
      </c>
      <c r="K2614" s="3" t="n">
        <v>0</v>
      </c>
      <c r="L2614" s="3">
        <f>IF(K2614&lt;-5,"CRÍTICO",IF(K2614&lt;0,"ATENÇÃO",IF(K2614&lt;=5,"BOM","EXCELENTE")))</f>
        <v/>
      </c>
      <c r="M2614" s="3" t="n">
        <v>0</v>
      </c>
      <c r="N2614" s="3" t="n">
        <v>100</v>
      </c>
      <c r="O2614" s="12" t="n">
        <v>28.10810810810811</v>
      </c>
    </row>
    <row r="2615">
      <c r="A2615" s="10" t="n">
        <v>46111</v>
      </c>
      <c r="B2615" t="inlineStr">
        <is>
          <t>Quirino Diogo Leite Torres</t>
        </is>
      </c>
      <c r="C2615" s="1" t="inlineStr">
        <is>
          <t>Estágio</t>
        </is>
      </c>
      <c r="D2615" s="3" t="n">
        <v>4</v>
      </c>
      <c r="E2615" s="3" t="n">
        <v>4</v>
      </c>
      <c r="F2615" s="3" t="n">
        <v>24.03</v>
      </c>
      <c r="G2615" s="3" t="n">
        <v>0</v>
      </c>
      <c r="H2615" s="3" t="n">
        <v>0</v>
      </c>
      <c r="I2615" s="3">
        <f>E2615+G2615+H2615</f>
        <v/>
      </c>
      <c r="J2615" s="3">
        <f>ROUND(MIN(IF(C2615="Técnico III",35,IF(C2615="Técnico II",28,IF(C2615="Técnico I",23,IF(C2615="JR",20,IF(C2615="Estágio",10,0))))),IF(C2615="Técnico III",SUMIFS($D:$D,$A:$A,$A2615,$B:$B,"&lt;&gt;Patrícia Karla de Sousa Araújo",$B:$B,"&lt;&gt;Lorena Dias de Araujo",$B:$B,"&lt;&gt;Lucas Luiz Romero")*(35/1083),IF(C2615="Técnico II",SUMIFS($D:$D,$A:$A,$A2615,$B:$B,"&lt;&gt;Patrícia Karla de Sousa Araújo",$B:$B,"&lt;&gt;Lorena Dias de Araujo",$B:$B,"&lt;&gt;Lucas Luiz Romero")*(28/1083),IF(C2615="Técnico I",SUMIFS($D:$D,$A:$A,$A2615,$B:$B,"&lt;&gt;Patrícia Karla de Sousa Araújo",$B:$B,"&lt;&gt;Lorena Dias de Araujo",$B:$B,"&lt;&gt;Lucas Luiz Romero")*(23/1083),IF(C2615="JR",SUMIFS($D:$D,$A:$A,$A2615,$B:$B,"&lt;&gt;Patrícia Karla de Sousa Araújo",$B:$B,"&lt;&gt;Lorena Dias de Araujo",$B:$B,"&lt;&gt;Lucas Luiz Romero")*(20/1083),IF(C2615="Estágio",SUMIFS($D:$D,$A:$A,$A2615,$B:$B,"&lt;&gt;Patrícia Karla de Sousa Araújo",$B:$B,"&lt;&gt;Lorena Dias de Araujo",$B:$B,"&lt;&gt;Lucas Luiz Romero")*(10/1083),0)))))),0)</f>
        <v/>
      </c>
      <c r="K2615" s="3">
        <f>I2615-J2615</f>
        <v/>
      </c>
      <c r="L2615" s="3">
        <f>IF(K2615&lt;-5,"CRÍTICO",IF(K2615&lt;0,"ATENÇÃO",IF(K2615&lt;=5,"OPORTUNO","MUITO BOM")))</f>
        <v/>
      </c>
      <c r="M2615" s="3" t="n">
        <v>4</v>
      </c>
      <c r="N2615" s="3" t="n">
        <v>100</v>
      </c>
      <c r="O2615" s="12" t="n">
        <v>35</v>
      </c>
    </row>
    <row r="2616">
      <c r="A2616" s="10" t="n">
        <v>46083</v>
      </c>
      <c r="B2616" t="inlineStr">
        <is>
          <t>Raane Batista Matos</t>
        </is>
      </c>
      <c r="C2616" s="1" t="inlineStr">
        <is>
          <t>Técnico I</t>
        </is>
      </c>
      <c r="D2616" s="3" t="n">
        <v>25</v>
      </c>
      <c r="E2616" s="3" t="n">
        <v>25</v>
      </c>
      <c r="F2616" s="3" t="n">
        <v>26.46</v>
      </c>
      <c r="G2616" s="3" t="n">
        <v>0</v>
      </c>
      <c r="H2616" s="3" t="n">
        <v>0</v>
      </c>
      <c r="I2616" s="3">
        <f>E2616+G2616+H2616</f>
        <v/>
      </c>
      <c r="J2616" s="3">
        <f>ROUND(MIN(IF(C2616="Técnico III",35,IF(C2616="Técnico II",28,IF(C2616="Técnico I",23,IF(C2616="JR",20,IF(C2616="Estágio",10,0))))),IF(C2616="Técnico III",SUMIFS($D:$D,$A:$A,$A2616,$B:$B,"&lt;&gt;Patrícia Karla de Sousa Araújo",$B:$B,"&lt;&gt;Lorena Dias de Araujo",$B:$B,"&lt;&gt;Lucas Luiz Romero")*(35/1083),IF(C2616="Técnico II",SUMIFS($D:$D,$A:$A,$A2616,$B:$B,"&lt;&gt;Patrícia Karla de Sousa Araújo",$B:$B,"&lt;&gt;Lorena Dias de Araujo",$B:$B,"&lt;&gt;Lucas Luiz Romero")*(28/1083),IF(C2616="Técnico I",SUMIFS($D:$D,$A:$A,$A2616,$B:$B,"&lt;&gt;Patrícia Karla de Sousa Araújo",$B:$B,"&lt;&gt;Lorena Dias de Araujo",$B:$B,"&lt;&gt;Lucas Luiz Romero")*(23/1083),IF(C2616="JR",SUMIFS($D:$D,$A:$A,$A2616,$B:$B,"&lt;&gt;Patrícia Karla de Sousa Araújo",$B:$B,"&lt;&gt;Lorena Dias de Araujo",$B:$B,"&lt;&gt;Lucas Luiz Romero")*(20/1083),IF(C2616="Estágio",SUMIFS($D:$D,$A:$A,$A2616,$B:$B,"&lt;&gt;Patrícia Karla de Sousa Araújo",$B:$B,"&lt;&gt;Lorena Dias de Araujo",$B:$B,"&lt;&gt;Lucas Luiz Romero")*(10/1083),0)))))),0)</f>
        <v/>
      </c>
      <c r="K2616" s="3">
        <f>I2616-J2616</f>
        <v/>
      </c>
      <c r="L2616" s="3">
        <f>IF(K2616&lt;-5,"CRÍTICO",IF(K2616&lt;0,"ATENÇÃO",IF(K2616&lt;=5,"BOM","EXCELENTE")))</f>
        <v/>
      </c>
      <c r="M2616" s="3" t="n">
        <v>15</v>
      </c>
      <c r="N2616" s="3" t="n">
        <v>95.34999999999999</v>
      </c>
      <c r="O2616" s="12" t="n">
        <v>28.61538461538461</v>
      </c>
    </row>
    <row r="2617">
      <c r="A2617" s="10" t="n">
        <v>46083</v>
      </c>
      <c r="B2617" t="inlineStr">
        <is>
          <t>Rafael Gomes de Morais</t>
        </is>
      </c>
      <c r="C2617" s="1" t="inlineStr">
        <is>
          <t>Técnico III</t>
        </is>
      </c>
      <c r="D2617" s="3" t="n">
        <v>46</v>
      </c>
      <c r="E2617" s="3" t="n">
        <v>44</v>
      </c>
      <c r="F2617" s="3" t="n">
        <v>14.01</v>
      </c>
      <c r="G2617" s="3" t="n">
        <v>0</v>
      </c>
      <c r="H2617" s="3" t="n">
        <v>0</v>
      </c>
      <c r="I2617" s="3">
        <f>E2617+G2617+H2617</f>
        <v/>
      </c>
      <c r="J2617" s="3">
        <f>ROUND(MIN(IF(C2617="Técnico III",35,IF(C2617="Técnico II",28,IF(C2617="Técnico I",23,IF(C2617="JR",20,IF(C2617="Estágio",10,0))))),IF(C2617="Técnico III",SUMIFS($D:$D,$A:$A,$A2617,$B:$B,"&lt;&gt;Patrícia Karla de Sousa Araújo",$B:$B,"&lt;&gt;Lorena Dias de Araujo",$B:$B,"&lt;&gt;Lucas Luiz Romero")*(35/1083),IF(C2617="Técnico II",SUMIFS($D:$D,$A:$A,$A2617,$B:$B,"&lt;&gt;Patrícia Karla de Sousa Araújo",$B:$B,"&lt;&gt;Lorena Dias de Araujo",$B:$B,"&lt;&gt;Lucas Luiz Romero")*(28/1083),IF(C2617="Técnico I",SUMIFS($D:$D,$A:$A,$A2617,$B:$B,"&lt;&gt;Patrícia Karla de Sousa Araújo",$B:$B,"&lt;&gt;Lorena Dias de Araujo",$B:$B,"&lt;&gt;Lucas Luiz Romero")*(23/1083),IF(C2617="JR",SUMIFS($D:$D,$A:$A,$A2617,$B:$B,"&lt;&gt;Patrícia Karla de Sousa Araújo",$B:$B,"&lt;&gt;Lorena Dias de Araujo",$B:$B,"&lt;&gt;Lucas Luiz Romero")*(20/1083),IF(C2617="Estágio",SUMIFS($D:$D,$A:$A,$A2617,$B:$B,"&lt;&gt;Patrícia Karla de Sousa Araújo",$B:$B,"&lt;&gt;Lorena Dias de Araujo",$B:$B,"&lt;&gt;Lucas Luiz Romero")*(10/1083),0)))))),0)</f>
        <v/>
      </c>
      <c r="K2617" s="3">
        <f>I2617-J2617</f>
        <v/>
      </c>
      <c r="L2617" s="3">
        <f>IF(K2617&lt;-5,"CRÍTICO",IF(K2617&lt;0,"ATENÇÃO",IF(K2617&lt;=5,"BOM","EXCELENTE")))</f>
        <v/>
      </c>
      <c r="M2617" s="3" t="n">
        <v>35</v>
      </c>
      <c r="N2617" s="3" t="n">
        <v>98.26000000000001</v>
      </c>
      <c r="O2617" s="12" t="n">
        <v>27.54491017964072</v>
      </c>
    </row>
    <row r="2618">
      <c r="A2618" s="10" t="n">
        <v>46083</v>
      </c>
      <c r="B2618" t="inlineStr">
        <is>
          <t>Sara Maria Monteiro Lopes</t>
        </is>
      </c>
      <c r="C2618" s="1" t="inlineStr">
        <is>
          <t>Técnico I</t>
        </is>
      </c>
      <c r="D2618" s="3" t="n">
        <v>9</v>
      </c>
      <c r="E2618" s="3" t="n">
        <v>9</v>
      </c>
      <c r="F2618" s="3" t="n">
        <v>52.15</v>
      </c>
      <c r="G2618" s="3" t="n">
        <v>0</v>
      </c>
      <c r="H2618" s="3" t="n">
        <v>0</v>
      </c>
      <c r="I2618" s="3">
        <f>E2618+G2618+H2618</f>
        <v/>
      </c>
      <c r="J2618" s="3">
        <f>ROUND(MIN(IF(C2618="Técnico III",35,IF(C2618="Técnico II",28,IF(C2618="Técnico I",23,IF(C2618="JR",20,IF(C2618="Estágio",10,0))))),IF(C2618="Técnico III",SUMIFS($D:$D,$A:$A,$A2618,$B:$B,"&lt;&gt;Patrícia Karla de Sousa Araújo",$B:$B,"&lt;&gt;Lorena Dias de Araujo",$B:$B,"&lt;&gt;Lucas Luiz Romero")*(35/1083),IF(C2618="Técnico II",SUMIFS($D:$D,$A:$A,$A2618,$B:$B,"&lt;&gt;Patrícia Karla de Sousa Araújo",$B:$B,"&lt;&gt;Lorena Dias de Araujo",$B:$B,"&lt;&gt;Lucas Luiz Romero")*(28/1083),IF(C2618="Técnico I",SUMIFS($D:$D,$A:$A,$A2618,$B:$B,"&lt;&gt;Patrícia Karla de Sousa Araújo",$B:$B,"&lt;&gt;Lorena Dias de Araujo",$B:$B,"&lt;&gt;Lucas Luiz Romero")*(23/1083),IF(C2618="JR",SUMIFS($D:$D,$A:$A,$A2618,$B:$B,"&lt;&gt;Patrícia Karla de Sousa Araújo",$B:$B,"&lt;&gt;Lorena Dias de Araujo",$B:$B,"&lt;&gt;Lucas Luiz Romero")*(20/1083),IF(C2618="Estágio",SUMIFS($D:$D,$A:$A,$A2618,$B:$B,"&lt;&gt;Patrícia Karla de Sousa Araújo",$B:$B,"&lt;&gt;Lorena Dias de Araujo",$B:$B,"&lt;&gt;Lucas Luiz Romero")*(10/1083),0)))))),0)</f>
        <v/>
      </c>
      <c r="K2618" s="3">
        <f>I2618-J2618</f>
        <v/>
      </c>
      <c r="L2618" s="3">
        <f>IF(K2618&lt;-5,"CRÍTICO",IF(K2618&lt;0,"ATENÇÃO",IF(K2618&lt;=5,"BOM","EXCELENTE")))</f>
        <v/>
      </c>
      <c r="M2618" s="3" t="n">
        <v>9</v>
      </c>
      <c r="N2618" s="3" t="n">
        <v>98.55</v>
      </c>
      <c r="O2618" s="12" t="n">
        <v>25.33783783783784</v>
      </c>
    </row>
    <row r="2619">
      <c r="A2619" s="10" t="n">
        <v>46083</v>
      </c>
      <c r="B2619" t="inlineStr">
        <is>
          <t>Sarah Steffanie de Lima Borges</t>
        </is>
      </c>
      <c r="C2619" s="1" t="inlineStr">
        <is>
          <t>Técnico III</t>
        </is>
      </c>
      <c r="D2619" s="3" t="n">
        <v>35</v>
      </c>
      <c r="E2619" s="3" t="n">
        <v>35</v>
      </c>
      <c r="F2619" s="3" t="n">
        <v>15.55</v>
      </c>
      <c r="G2619" s="3" t="n">
        <v>0</v>
      </c>
      <c r="H2619" s="3" t="n">
        <v>0</v>
      </c>
      <c r="I2619" s="3">
        <f>E2619+G2619+H2619</f>
        <v/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/>
      </c>
      <c r="K2619" s="3">
        <f>I2619-J2619</f>
        <v/>
      </c>
      <c r="L2619" s="3">
        <f>IF(K2619&lt;-5,"CRÍTICO",IF(K2619&lt;0,"ATENÇÃO",IF(K2619&lt;=5,"BOM","EXCELENTE")))</f>
        <v/>
      </c>
      <c r="M2619" s="3" t="n">
        <v>29</v>
      </c>
      <c r="N2619" s="3" t="n">
        <v>98.39</v>
      </c>
      <c r="O2619" s="12" t="n">
        <v>25.56390977443609</v>
      </c>
    </row>
    <row r="2620">
      <c r="A2620" s="10" t="n">
        <v>46084</v>
      </c>
      <c r="B2620" t="inlineStr">
        <is>
          <t>Alisson de Freitas Silva</t>
        </is>
      </c>
      <c r="C2620" s="1" t="inlineStr">
        <is>
          <t>Técnico II</t>
        </is>
      </c>
      <c r="D2620" s="3" t="n">
        <v>34</v>
      </c>
      <c r="E2620" s="3" t="n">
        <v>30</v>
      </c>
      <c r="F2620" s="3" t="n">
        <v>21.47</v>
      </c>
      <c r="G2620" s="3" t="n">
        <v>0</v>
      </c>
      <c r="H2620" s="3" t="n">
        <v>0</v>
      </c>
      <c r="I2620" s="3">
        <f>E2620+G2620+H2620</f>
        <v/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/>
      </c>
      <c r="K2620" s="3">
        <f>I2620-J2620</f>
        <v/>
      </c>
      <c r="L2620" s="3">
        <f>IF(K2620&lt;-5,"CRÍTICO",IF(K2620&lt;0,"ATENÇÃO",IF(K2620&lt;=5,"BOM","EXCELENTE")))</f>
        <v/>
      </c>
      <c r="M2620" s="3" t="n">
        <v>22</v>
      </c>
      <c r="N2620" s="3" t="n">
        <v>94.29000000000001</v>
      </c>
      <c r="O2620" s="12" t="n">
        <v>25.64766839378239</v>
      </c>
    </row>
    <row r="2621">
      <c r="A2621" s="10" t="n">
        <v>46084</v>
      </c>
      <c r="B2621" t="inlineStr">
        <is>
          <t>Amanda Moura Ferreira</t>
        </is>
      </c>
      <c r="C2621" s="1" t="inlineStr">
        <is>
          <t>Técnico III</t>
        </is>
      </c>
      <c r="D2621" s="3" t="n">
        <v>0</v>
      </c>
      <c r="E2621" s="3" t="n">
        <v>0</v>
      </c>
      <c r="F2621" s="3" t="n">
        <v>0</v>
      </c>
      <c r="G2621" s="3" t="n">
        <v>0</v>
      </c>
      <c r="H2621" s="3" t="n">
        <v>0</v>
      </c>
      <c r="I2621" s="3" t="n">
        <v>0</v>
      </c>
      <c r="J2621" s="3" t="n">
        <v>0</v>
      </c>
      <c r="K2621" s="3" t="n">
        <v>0</v>
      </c>
      <c r="L2621" s="3">
        <f>IF(K2621&lt;-5,"CRÍTICO",IF(K2621&lt;0,"ATENÇÃO",IF(K2621&lt;=5,"BOM","EXCELENTE")))</f>
        <v/>
      </c>
      <c r="M2621" s="3" t="n">
        <v>21</v>
      </c>
      <c r="N2621" s="3" t="n">
        <v>98.26000000000001</v>
      </c>
      <c r="O2621" s="12" t="n">
        <v>26.66666666666667</v>
      </c>
    </row>
    <row r="2622">
      <c r="A2622" s="10" t="n">
        <v>46084</v>
      </c>
      <c r="B2622" t="inlineStr">
        <is>
          <t>Ana Karollyne Souza Faria</t>
        </is>
      </c>
      <c r="C2622" s="1" t="inlineStr">
        <is>
          <t>Técnico I</t>
        </is>
      </c>
      <c r="D2622" s="3" t="n">
        <v>33</v>
      </c>
      <c r="E2622" s="3" t="n">
        <v>30</v>
      </c>
      <c r="F2622" s="3" t="n">
        <v>18.39</v>
      </c>
      <c r="G2622" s="3" t="n">
        <v>0</v>
      </c>
      <c r="H2622" s="3" t="n">
        <v>0</v>
      </c>
      <c r="I2622" s="3">
        <f>E2622+G2622+H2622</f>
        <v/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/>
      </c>
      <c r="K2622" s="3">
        <f>I2622-J2622</f>
        <v/>
      </c>
      <c r="L2622" s="3">
        <f>IF(K2622&lt;-5,"CRÍTICO",IF(K2622&lt;0,"ATENÇÃO",IF(K2622&lt;=5,"BOM","EXCELENTE")))</f>
        <v/>
      </c>
      <c r="M2622" s="3" t="n">
        <v>25</v>
      </c>
      <c r="N2622" s="3" t="n">
        <v>98.2</v>
      </c>
      <c r="O2622" s="12" t="n">
        <v>23.37962962962963</v>
      </c>
    </row>
    <row r="2623">
      <c r="A2623" s="10" t="n">
        <v>46084</v>
      </c>
      <c r="B2623" t="inlineStr">
        <is>
          <t>Ana Paula Da Luz Silva Aleixo</t>
        </is>
      </c>
      <c r="C2623" s="1" t="inlineStr">
        <is>
          <t>Técnico III</t>
        </is>
      </c>
      <c r="D2623" s="3" t="n">
        <v>27</v>
      </c>
      <c r="E2623" s="3" t="n">
        <v>24</v>
      </c>
      <c r="F2623" s="3" t="n">
        <v>22.09</v>
      </c>
      <c r="G2623" s="3" t="n">
        <v>0</v>
      </c>
      <c r="H2623" s="3" t="n">
        <v>0</v>
      </c>
      <c r="I2623" s="3">
        <f>E2623+G2623+H2623</f>
        <v/>
      </c>
      <c r="J2623" s="3">
        <f>ROUND(MIN(IF(C2623="Técnico III",35,IF(C2623="Técnico II",28,IF(C2623="Técnico I",23,IF(C2623="JR",20,IF(C2623="Estágio",10,0))))),IF(C2623="Técnico III",SUMIFS($D:$D,$A:$A,$A2623,$B:$B,"&lt;&gt;Patrícia Karla de Sousa Araújo",$B:$B,"&lt;&gt;Lorena Dias de Araujo",$B:$B,"&lt;&gt;Lucas Luiz Romero")*(35/1083),IF(C2623="Técnico II",SUMIFS($D:$D,$A:$A,$A2623,$B:$B,"&lt;&gt;Patrícia Karla de Sousa Araújo",$B:$B,"&lt;&gt;Lorena Dias de Araujo",$B:$B,"&lt;&gt;Lucas Luiz Romero")*(28/1083),IF(C2623="Técnico I",SUMIFS($D:$D,$A:$A,$A2623,$B:$B,"&lt;&gt;Patrícia Karla de Sousa Araújo",$B:$B,"&lt;&gt;Lorena Dias de Araujo",$B:$B,"&lt;&gt;Lucas Luiz Romero")*(23/1083),IF(C2623="JR",SUMIFS($D:$D,$A:$A,$A2623,$B:$B,"&lt;&gt;Patrícia Karla de Sousa Araújo",$B:$B,"&lt;&gt;Lorena Dias de Araujo",$B:$B,"&lt;&gt;Lucas Luiz Romero")*(20/1083),IF(C2623="Estágio",SUMIFS($D:$D,$A:$A,$A2623,$B:$B,"&lt;&gt;Patrícia Karla de Sousa Araújo",$B:$B,"&lt;&gt;Lorena Dias de Araujo",$B:$B,"&lt;&gt;Lucas Luiz Romero")*(10/1083),0)))))),0)</f>
        <v/>
      </c>
      <c r="K2623" s="3">
        <f>I2623-J2623</f>
        <v/>
      </c>
      <c r="L2623" s="3">
        <f>IF(K2623&lt;-5,"CRÍTICO",IF(K2623&lt;0,"ATENÇÃO",IF(K2623&lt;=5,"BOM","EXCELENTE")))</f>
        <v/>
      </c>
      <c r="M2623" s="3" t="n">
        <v>32</v>
      </c>
      <c r="N2623" s="3" t="n">
        <v>97.3</v>
      </c>
      <c r="O2623" s="12" t="n">
        <v>23.84769539078156</v>
      </c>
    </row>
    <row r="2624">
      <c r="A2624" s="10" t="n">
        <v>46084</v>
      </c>
      <c r="B2624" t="inlineStr">
        <is>
          <t>Anna Luiza Rezende Tavares</t>
        </is>
      </c>
      <c r="C2624" s="1" t="inlineStr">
        <is>
          <t>Estágio</t>
        </is>
      </c>
      <c r="D2624" s="3" t="n">
        <v>9</v>
      </c>
      <c r="E2624" s="3" t="n">
        <v>8</v>
      </c>
      <c r="F2624" s="3" t="n">
        <v>25.22</v>
      </c>
      <c r="G2624" s="3" t="n">
        <v>0</v>
      </c>
      <c r="H2624" s="3" t="n">
        <v>0</v>
      </c>
      <c r="I2624" s="3">
        <f>E2624+G2624+H2624</f>
        <v/>
      </c>
      <c r="J2624" s="3">
        <f>ROUND(MIN(IF(C2624="Técnico III",35,IF(C2624="Técnico II",28,IF(C2624="Técnico I",23,IF(C2624="JR",20,IF(C2624="Estágio",10,0))))),IF(C2624="Técnico III",SUMIFS($D:$D,$A:$A,$A2624,$B:$B,"&lt;&gt;Patrícia Karla de Sousa Araújo",$B:$B,"&lt;&gt;Lorena Dias de Araujo",$B:$B,"&lt;&gt;Lucas Luiz Romero")*(35/1083),IF(C2624="Técnico II",SUMIFS($D:$D,$A:$A,$A2624,$B:$B,"&lt;&gt;Patrícia Karla de Sousa Araújo",$B:$B,"&lt;&gt;Lorena Dias de Araujo",$B:$B,"&lt;&gt;Lucas Luiz Romero")*(28/1083),IF(C2624="Técnico I",SUMIFS($D:$D,$A:$A,$A2624,$B:$B,"&lt;&gt;Patrícia Karla de Sousa Araújo",$B:$B,"&lt;&gt;Lorena Dias de Araujo",$B:$B,"&lt;&gt;Lucas Luiz Romero")*(23/1083),IF(C2624="JR",SUMIFS($D:$D,$A:$A,$A2624,$B:$B,"&lt;&gt;Patrícia Karla de Sousa Araújo",$B:$B,"&lt;&gt;Lorena Dias de Araujo",$B:$B,"&lt;&gt;Lucas Luiz Romero")*(20/1083),IF(C2624="Estágio",SUMIFS($D:$D,$A:$A,$A2624,$B:$B,"&lt;&gt;Patrícia Karla de Sousa Araújo",$B:$B,"&lt;&gt;Lorena Dias de Araujo",$B:$B,"&lt;&gt;Lucas Luiz Romero")*(10/1083),0)))))),0)</f>
        <v/>
      </c>
      <c r="K2624" s="3">
        <f>I2624-J2624</f>
        <v/>
      </c>
      <c r="L2624" s="3">
        <f>IF(K2624&lt;-5,"CRÍTICO",IF(K2624&lt;0,"ATENÇÃO",IF(K2624&lt;=5,"BOM","EXCELENTE")))</f>
        <v/>
      </c>
      <c r="M2624" s="3" t="n">
        <v>6</v>
      </c>
      <c r="N2624" s="3" t="n">
        <v>100</v>
      </c>
      <c r="O2624" s="12" t="n">
        <v>25.26881720430108</v>
      </c>
    </row>
    <row r="2625">
      <c r="A2625" s="10" t="n">
        <v>46084</v>
      </c>
      <c r="B2625" t="inlineStr">
        <is>
          <t>Brenda de Menezes Silva</t>
        </is>
      </c>
      <c r="C2625" s="1" t="inlineStr">
        <is>
          <t>Técnico II</t>
        </is>
      </c>
      <c r="D2625" s="3" t="n">
        <v>29</v>
      </c>
      <c r="E2625" s="3" t="n">
        <v>25</v>
      </c>
      <c r="F2625" s="3" t="n">
        <v>20.13</v>
      </c>
      <c r="G2625" s="3" t="n">
        <v>0</v>
      </c>
      <c r="H2625" s="3" t="n">
        <v>0</v>
      </c>
      <c r="I2625" s="3">
        <f>E2625+G2625+H2625</f>
        <v/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/>
      </c>
      <c r="K2625" s="3">
        <f>I2625-J2625</f>
        <v/>
      </c>
      <c r="L2625" s="3">
        <f>IF(K2625&lt;-5,"CRÍTICO",IF(K2625&lt;0,"ATENÇÃO",IF(K2625&lt;=5,"BOM","EXCELENTE")))</f>
        <v/>
      </c>
      <c r="M2625" s="3" t="n">
        <v>27</v>
      </c>
      <c r="N2625" s="3" t="n">
        <v>99.31999999999999</v>
      </c>
      <c r="O2625" s="12" t="n">
        <v>22.82282282282282</v>
      </c>
    </row>
    <row r="2626">
      <c r="A2626" s="10" t="n">
        <v>46084</v>
      </c>
      <c r="B2626" t="inlineStr">
        <is>
          <t>Carlos Mateus Cassimiro Nunes</t>
        </is>
      </c>
      <c r="C2626" s="1" t="inlineStr">
        <is>
          <t>Técnico II</t>
        </is>
      </c>
      <c r="D2626" s="3" t="n">
        <v>0</v>
      </c>
      <c r="E2626" s="3" t="n">
        <v>0</v>
      </c>
      <c r="F2626" s="3" t="n">
        <v>0</v>
      </c>
      <c r="G2626" s="3" t="n">
        <v>0</v>
      </c>
      <c r="H2626" s="3" t="n">
        <v>0</v>
      </c>
      <c r="I2626" s="3" t="n">
        <v>0</v>
      </c>
      <c r="J2626" s="3" t="n">
        <v>0</v>
      </c>
      <c r="K2626" s="3" t="n">
        <v>0</v>
      </c>
      <c r="L2626" s="3">
        <f>IF(K2626&lt;-5,"CRÍTICO",IF(K2626&lt;0,"ATENÇÃO",IF(K2626&lt;=5,"BOM","EXCELENTE")))</f>
        <v/>
      </c>
      <c r="M2626" s="3" t="n">
        <v>0</v>
      </c>
      <c r="N2626" s="3" t="n">
        <v>100</v>
      </c>
      <c r="O2626" s="12" t="n">
        <v>27.96610169491525</v>
      </c>
    </row>
    <row r="2627">
      <c r="A2627" s="10" t="n">
        <v>46084</v>
      </c>
      <c r="B2627" t="inlineStr">
        <is>
          <t>Claudio de Sousa Velasco Filho</t>
        </is>
      </c>
      <c r="C2627" s="1" t="inlineStr">
        <is>
          <t>Estágio</t>
        </is>
      </c>
      <c r="D2627" s="3" t="n">
        <v>0</v>
      </c>
      <c r="E2627" s="3" t="n">
        <v>0</v>
      </c>
      <c r="F2627" s="3" t="n">
        <v>0</v>
      </c>
      <c r="G2627" s="3" t="n">
        <v>0</v>
      </c>
      <c r="H2627" s="3" t="n">
        <v>0</v>
      </c>
      <c r="I2627" s="3" t="n">
        <v>0</v>
      </c>
      <c r="J2627" s="3" t="n">
        <v>0</v>
      </c>
      <c r="K2627" s="3" t="n">
        <v>0</v>
      </c>
      <c r="L2627" s="3">
        <f>IF(K2627&lt;-5,"CRÍTICO",IF(K2627&lt;0,"ATENÇÃO",IF(K2627&lt;=5,"BOM","EXCELENTE")))</f>
        <v/>
      </c>
      <c r="M2627" s="3" t="n">
        <v>0</v>
      </c>
      <c r="N2627" s="3" t="n">
        <v>100</v>
      </c>
      <c r="O2627" s="12" t="n">
        <v>30.43478260869566</v>
      </c>
    </row>
    <row r="2628">
      <c r="A2628" s="10" t="n">
        <v>46084</v>
      </c>
      <c r="B2628" t="inlineStr">
        <is>
          <t>Clessiane Pereira dos Santos</t>
        </is>
      </c>
      <c r="C2628" s="1" t="inlineStr">
        <is>
          <t>Técnico I</t>
        </is>
      </c>
      <c r="D2628" s="3" t="n">
        <v>22</v>
      </c>
      <c r="E2628" s="3" t="n">
        <v>22</v>
      </c>
      <c r="F2628" s="3" t="n">
        <v>25.18</v>
      </c>
      <c r="G2628" s="3" t="n">
        <v>0</v>
      </c>
      <c r="H2628" s="3" t="n">
        <v>0</v>
      </c>
      <c r="I2628" s="3">
        <f>E2628+G2628+H2628</f>
        <v/>
      </c>
      <c r="J2628" s="3">
        <f>ROUND(MIN(IF(C2628="Técnico III",35,IF(C2628="Técnico II",28,IF(C2628="Técnico I",23,IF(C2628="JR",20,IF(C2628="Estágio",10,0))))),IF(C2628="Técnico III",SUMIFS($D:$D,$A:$A,$A2628,$B:$B,"&lt;&gt;Patrícia Karla de Sousa Araújo",$B:$B,"&lt;&gt;Lorena Dias de Araujo",$B:$B,"&lt;&gt;Lucas Luiz Romero")*(35/1083),IF(C2628="Técnico II",SUMIFS($D:$D,$A:$A,$A2628,$B:$B,"&lt;&gt;Patrícia Karla de Sousa Araújo",$B:$B,"&lt;&gt;Lorena Dias de Araujo",$B:$B,"&lt;&gt;Lucas Luiz Romero")*(28/1083),IF(C2628="Técnico I",SUMIFS($D:$D,$A:$A,$A2628,$B:$B,"&lt;&gt;Patrícia Karla de Sousa Araújo",$B:$B,"&lt;&gt;Lorena Dias de Araujo",$B:$B,"&lt;&gt;Lucas Luiz Romero")*(23/1083),IF(C2628="JR",SUMIFS($D:$D,$A:$A,$A2628,$B:$B,"&lt;&gt;Patrícia Karla de Sousa Araújo",$B:$B,"&lt;&gt;Lorena Dias de Araujo",$B:$B,"&lt;&gt;Lucas Luiz Romero")*(20/1083),IF(C2628="Estágio",SUMIFS($D:$D,$A:$A,$A2628,$B:$B,"&lt;&gt;Patrícia Karla de Sousa Araújo",$B:$B,"&lt;&gt;Lorena Dias de Araujo",$B:$B,"&lt;&gt;Lucas Luiz Romero")*(10/1083),0)))))),0)</f>
        <v/>
      </c>
      <c r="K2628" s="3">
        <f>I2628-J2628</f>
        <v/>
      </c>
      <c r="L2628" s="3">
        <f>IF(K2628&lt;-5,"CRÍTICO",IF(K2628&lt;0,"ATENÇÃO",IF(K2628&lt;=5,"BOM","EXCELENTE")))</f>
        <v/>
      </c>
      <c r="M2628" s="3" t="n">
        <v>20</v>
      </c>
      <c r="N2628" s="3" t="n">
        <v>96.51000000000001</v>
      </c>
      <c r="O2628" s="12" t="n">
        <v>22.80285035629454</v>
      </c>
    </row>
    <row r="2629">
      <c r="A2629" s="10" t="n">
        <v>46084</v>
      </c>
      <c r="B2629" t="inlineStr">
        <is>
          <t>Cristiane Ramos da Silva Rocha</t>
        </is>
      </c>
      <c r="C2629" s="1" t="inlineStr">
        <is>
          <t>Técnico III</t>
        </is>
      </c>
      <c r="D2629" s="3" t="n">
        <v>36</v>
      </c>
      <c r="E2629" s="3" t="n">
        <v>34</v>
      </c>
      <c r="F2629" s="3" t="n">
        <v>15.55</v>
      </c>
      <c r="G2629" s="3" t="n">
        <v>0</v>
      </c>
      <c r="H2629" s="3" t="n">
        <v>0</v>
      </c>
      <c r="I2629" s="3">
        <f>E2629+G2629+H2629</f>
        <v/>
      </c>
      <c r="J2629" s="3">
        <f>ROUND(MIN(IF(C2629="Técnico III",35,IF(C2629="Técnico II",28,IF(C2629="Técnico I",23,IF(C2629="JR",20,IF(C2629="Estágio",10,0))))),IF(C2629="Técnico III",SUMIFS($D:$D,$A:$A,$A2629,$B:$B,"&lt;&gt;Patrícia Karla de Sousa Araújo",$B:$B,"&lt;&gt;Lorena Dias de Araujo",$B:$B,"&lt;&gt;Lucas Luiz Romero")*(35/1083),IF(C2629="Técnico II",SUMIFS($D:$D,$A:$A,$A2629,$B:$B,"&lt;&gt;Patrícia Karla de Sousa Araújo",$B:$B,"&lt;&gt;Lorena Dias de Araujo",$B:$B,"&lt;&gt;Lucas Luiz Romero")*(28/1083),IF(C2629="Técnico I",SUMIFS($D:$D,$A:$A,$A2629,$B:$B,"&lt;&gt;Patrícia Karla de Sousa Araújo",$B:$B,"&lt;&gt;Lorena Dias de Araujo",$B:$B,"&lt;&gt;Lucas Luiz Romero")*(23/1083),IF(C2629="JR",SUMIFS($D:$D,$A:$A,$A2629,$B:$B,"&lt;&gt;Patrícia Karla de Sousa Araújo",$B:$B,"&lt;&gt;Lorena Dias de Araujo",$B:$B,"&lt;&gt;Lucas Luiz Romero")*(20/1083),IF(C2629="Estágio",SUMIFS($D:$D,$A:$A,$A2629,$B:$B,"&lt;&gt;Patrícia Karla de Sousa Araújo",$B:$B,"&lt;&gt;Lorena Dias de Araujo",$B:$B,"&lt;&gt;Lucas Luiz Romero")*(10/1083),0)))))),0)</f>
        <v/>
      </c>
      <c r="K2629" s="3">
        <f>I2629-J2629</f>
        <v/>
      </c>
      <c r="L2629" s="3">
        <f>IF(K2629&lt;-5,"CRÍTICO",IF(K2629&lt;0,"ATENÇÃO",IF(K2629&lt;=5,"BOM","EXCELENTE")))</f>
        <v/>
      </c>
      <c r="M2629" s="3" t="n">
        <v>34</v>
      </c>
      <c r="N2629" s="3" t="n">
        <v>92.68000000000001</v>
      </c>
      <c r="O2629" s="12" t="n">
        <v>27.77777777777778</v>
      </c>
    </row>
    <row r="2630">
      <c r="A2630" s="10" t="n">
        <v>46084</v>
      </c>
      <c r="B2630" t="inlineStr">
        <is>
          <t>Damyllis Lorraine de Oliveira Gonçalves</t>
        </is>
      </c>
      <c r="C2630" s="1" t="inlineStr">
        <is>
          <t>Técnico II</t>
        </is>
      </c>
      <c r="D2630" s="3" t="n">
        <v>27</v>
      </c>
      <c r="E2630" s="3" t="n">
        <v>25</v>
      </c>
      <c r="F2630" s="3" t="n">
        <v>25.36</v>
      </c>
      <c r="G2630" s="3" t="n">
        <v>0</v>
      </c>
      <c r="H2630" s="3" t="n">
        <v>0</v>
      </c>
      <c r="I2630" s="3" t="n">
        <v>0</v>
      </c>
      <c r="J2630" s="3" t="n">
        <v>0</v>
      </c>
      <c r="K2630" s="3" t="n">
        <v>0</v>
      </c>
      <c r="L2630" s="3">
        <f>IF(K2630&lt;-5,"CRÍTICO",IF(K2630&lt;0,"ATENÇÃO",IF(K2630&lt;=5,"BOM","EXCELENTE")))</f>
        <v/>
      </c>
      <c r="M2630" s="3" t="n">
        <v>21</v>
      </c>
      <c r="N2630" s="3" t="n">
        <v>99.03</v>
      </c>
      <c r="O2630" s="12" t="n">
        <v>23.99150743099788</v>
      </c>
    </row>
    <row r="2631">
      <c r="A2631" s="10" t="n">
        <v>46084</v>
      </c>
      <c r="B2631" t="inlineStr">
        <is>
          <t>Daniel Gomes da Silva</t>
        </is>
      </c>
      <c r="C2631" s="1" t="inlineStr">
        <is>
          <t>Técnico I</t>
        </is>
      </c>
      <c r="D2631" s="3" t="n">
        <v>37</v>
      </c>
      <c r="E2631" s="3" t="n">
        <v>34</v>
      </c>
      <c r="F2631" s="3" t="n">
        <v>17.02</v>
      </c>
      <c r="G2631" s="3" t="n">
        <v>0</v>
      </c>
      <c r="H2631" s="3" t="n">
        <v>0</v>
      </c>
      <c r="I2631" s="3">
        <f>E2631+G2631+H2631</f>
        <v/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/>
      </c>
      <c r="K2631" s="3">
        <f>I2631-J2631</f>
        <v/>
      </c>
      <c r="L2631" s="3">
        <f>IF(K2631&lt;-5,"CRÍTICO",IF(K2631&lt;0,"ATENÇÃO",IF(K2631&lt;=5,"BOM","EXCELENTE")))</f>
        <v/>
      </c>
      <c r="M2631" s="3" t="n">
        <v>14</v>
      </c>
      <c r="N2631" s="3" t="n">
        <v>98.41</v>
      </c>
      <c r="O2631" s="12" t="n">
        <v>28.13852813852814</v>
      </c>
    </row>
    <row r="2632">
      <c r="A2632" s="10" t="n">
        <v>46084</v>
      </c>
      <c r="B2632" t="inlineStr">
        <is>
          <t>Davylla Rodrigues Freitas Silva</t>
        </is>
      </c>
      <c r="C2632" s="1" t="inlineStr">
        <is>
          <t>Técnico III</t>
        </is>
      </c>
      <c r="D2632" s="3" t="n">
        <v>32</v>
      </c>
      <c r="E2632" s="3" t="n">
        <v>32</v>
      </c>
      <c r="F2632" s="3" t="n">
        <v>24.12</v>
      </c>
      <c r="G2632" s="3" t="n">
        <v>0</v>
      </c>
      <c r="H2632" s="3" t="n">
        <v>0</v>
      </c>
      <c r="I2632" s="3" t="n">
        <v>0</v>
      </c>
      <c r="J2632" s="3" t="n">
        <v>0</v>
      </c>
      <c r="K2632" s="3" t="n">
        <v>0</v>
      </c>
      <c r="L2632" s="3">
        <f>IF(K2632&lt;-5,"CRÍTICO",IF(K2632&lt;0,"ATENÇÃO",IF(K2632&lt;=5,"BOM","EXCELENTE")))</f>
        <v/>
      </c>
      <c r="M2632" s="3" t="n">
        <v>33</v>
      </c>
      <c r="N2632" s="3" t="n">
        <v>98.73</v>
      </c>
      <c r="O2632" s="12" t="n">
        <v>29.14285714285714</v>
      </c>
    </row>
    <row r="2633">
      <c r="A2633" s="10" t="n">
        <v>46084</v>
      </c>
      <c r="B2633" t="inlineStr">
        <is>
          <t>Emilly Caylane Costa</t>
        </is>
      </c>
      <c r="C2633" s="1" t="inlineStr">
        <is>
          <t>Estágio</t>
        </is>
      </c>
      <c r="D2633" s="3" t="n">
        <v>5</v>
      </c>
      <c r="E2633" s="3" t="n">
        <v>5</v>
      </c>
      <c r="F2633" s="3" t="n">
        <v>62.16</v>
      </c>
      <c r="G2633" s="3" t="n">
        <v>0</v>
      </c>
      <c r="H2633" s="3" t="n">
        <v>0</v>
      </c>
      <c r="I2633" s="3">
        <f>E2633+G2633+H2633</f>
        <v/>
      </c>
      <c r="J2633" s="3">
        <f>ROUND(MIN(IF(C2633="Técnico III",35,IF(C2633="Técnico II",28,IF(C2633="Técnico I",23,IF(C2633="JR",20,IF(C2633="Estágio",10,0))))),IF(C2633="Técnico III",SUMIFS($D:$D,$A:$A,$A2633,$B:$B,"&lt;&gt;Patrícia Karla de Sousa Araújo",$B:$B,"&lt;&gt;Lorena Dias de Araujo",$B:$B,"&lt;&gt;Lucas Luiz Romero")*(35/1083),IF(C2633="Técnico II",SUMIFS($D:$D,$A:$A,$A2633,$B:$B,"&lt;&gt;Patrícia Karla de Sousa Araújo",$B:$B,"&lt;&gt;Lorena Dias de Araujo",$B:$B,"&lt;&gt;Lucas Luiz Romero")*(28/1083),IF(C2633="Técnico I",SUMIFS($D:$D,$A:$A,$A2633,$B:$B,"&lt;&gt;Patrícia Karla de Sousa Araújo",$B:$B,"&lt;&gt;Lorena Dias de Araujo",$B:$B,"&lt;&gt;Lucas Luiz Romero")*(23/1083),IF(C2633="JR",SUMIFS($D:$D,$A:$A,$A2633,$B:$B,"&lt;&gt;Patrícia Karla de Sousa Araújo",$B:$B,"&lt;&gt;Lorena Dias de Araujo",$B:$B,"&lt;&gt;Lucas Luiz Romero")*(20/1083),IF(C2633="Estágio",SUMIFS($D:$D,$A:$A,$A2633,$B:$B,"&lt;&gt;Patrícia Karla de Sousa Araújo",$B:$B,"&lt;&gt;Lorena Dias de Araujo",$B:$B,"&lt;&gt;Lucas Luiz Romero")*(10/1083),0)))))),0)</f>
        <v/>
      </c>
      <c r="K2633" s="3">
        <f>I2633-J2633</f>
        <v/>
      </c>
      <c r="L2633" s="3">
        <f>IF(K2633&lt;-5,"CRÍTICO",IF(K2633&lt;0,"ATENÇÃO",IF(K2633&lt;=5,"BOM","EXCELENTE")))</f>
        <v/>
      </c>
      <c r="M2633" s="3" t="n">
        <v>3</v>
      </c>
      <c r="N2633" s="3" t="n">
        <v>90.48</v>
      </c>
      <c r="O2633" s="12" t="n">
        <v>20.68965517241379</v>
      </c>
    </row>
    <row r="2634">
      <c r="A2634" s="10" t="n">
        <v>46084</v>
      </c>
      <c r="B2634" t="inlineStr">
        <is>
          <t>Emilly Kamilly Medeiros Miranda</t>
        </is>
      </c>
      <c r="C2634" s="1" t="inlineStr">
        <is>
          <t>Técnico II</t>
        </is>
      </c>
      <c r="D2634" s="3" t="n">
        <v>44</v>
      </c>
      <c r="E2634" s="3" t="n">
        <v>43</v>
      </c>
      <c r="F2634" s="3" t="n">
        <v>17.2</v>
      </c>
      <c r="G2634" s="3" t="n">
        <v>0</v>
      </c>
      <c r="H2634" s="3" t="n">
        <v>0</v>
      </c>
      <c r="I2634" s="3">
        <f>E2634+G2634+H2634</f>
        <v/>
      </c>
      <c r="J2634" s="3">
        <f>ROUND(MIN(IF(C2634="Técnico III",35,IF(C2634="Técnico II",28,IF(C2634="Técnico I",23,IF(C2634="JR",20,IF(C2634="Estágio",10,0))))),IF(C2634="Técnico III",SUMIFS($D:$D,$A:$A,$A2634,$B:$B,"&lt;&gt;Patrícia Karla de Sousa Araújo",$B:$B,"&lt;&gt;Lorena Dias de Araujo",$B:$B,"&lt;&gt;Lucas Luiz Romero")*(35/1083),IF(C2634="Técnico II",SUMIFS($D:$D,$A:$A,$A2634,$B:$B,"&lt;&gt;Patrícia Karla de Sousa Araújo",$B:$B,"&lt;&gt;Lorena Dias de Araujo",$B:$B,"&lt;&gt;Lucas Luiz Romero")*(28/1083),IF(C2634="Técnico I",SUMIFS($D:$D,$A:$A,$A2634,$B:$B,"&lt;&gt;Patrícia Karla de Sousa Araújo",$B:$B,"&lt;&gt;Lorena Dias de Araujo",$B:$B,"&lt;&gt;Lucas Luiz Romero")*(23/1083),IF(C2634="JR",SUMIFS($D:$D,$A:$A,$A2634,$B:$B,"&lt;&gt;Patrícia Karla de Sousa Araújo",$B:$B,"&lt;&gt;Lorena Dias de Araujo",$B:$B,"&lt;&gt;Lucas Luiz Romero")*(20/1083),IF(C2634="Estágio",SUMIFS($D:$D,$A:$A,$A2634,$B:$B,"&lt;&gt;Patrícia Karla de Sousa Araújo",$B:$B,"&lt;&gt;Lorena Dias de Araujo",$B:$B,"&lt;&gt;Lucas Luiz Romero")*(10/1083),0)))))),0)</f>
        <v/>
      </c>
      <c r="K2634" s="3">
        <f>I2634-J2634</f>
        <v/>
      </c>
      <c r="L2634" s="3">
        <f>IF(K2634&lt;-5,"CRÍTICO",IF(K2634&lt;0,"ATENÇÃO",IF(K2634&lt;=5,"BOM","EXCELENTE")))</f>
        <v/>
      </c>
      <c r="M2634" s="3" t="n">
        <v>35</v>
      </c>
      <c r="N2634" s="3" t="n">
        <v>98.06</v>
      </c>
      <c r="O2634" s="12" t="n">
        <v>24.78991596638656</v>
      </c>
    </row>
    <row r="2635">
      <c r="A2635" s="10" t="n">
        <v>46084</v>
      </c>
      <c r="B2635" t="inlineStr">
        <is>
          <t>Francielson de Oliveira</t>
        </is>
      </c>
      <c r="C2635" s="1" t="inlineStr">
        <is>
          <t>Técnico III</t>
        </is>
      </c>
      <c r="D2635" s="3" t="n">
        <v>20</v>
      </c>
      <c r="E2635" s="3" t="n">
        <v>18</v>
      </c>
      <c r="F2635" s="3" t="n">
        <v>13.25</v>
      </c>
      <c r="G2635" s="3" t="n">
        <v>0</v>
      </c>
      <c r="H2635" s="3" t="n">
        <v>0</v>
      </c>
      <c r="I2635" s="3">
        <f>E2635+G2635+H2635</f>
        <v/>
      </c>
      <c r="J2635" s="3">
        <f>ROUND(MIN(IF(C2635="Técnico III",35,IF(C2635="Técnico II",28,IF(C2635="Técnico I",23,IF(C2635="JR",20,IF(C2635="Estágio",10,0))))),IF(C2635="Técnico III",SUMIFS($D:$D,$A:$A,$A2635,$B:$B,"&lt;&gt;Patrícia Karla de Sousa Araújo",$B:$B,"&lt;&gt;Lorena Dias de Araujo",$B:$B,"&lt;&gt;Lucas Luiz Romero")*(35/1083),IF(C2635="Técnico II",SUMIFS($D:$D,$A:$A,$A2635,$B:$B,"&lt;&gt;Patrícia Karla de Sousa Araújo",$B:$B,"&lt;&gt;Lorena Dias de Araujo",$B:$B,"&lt;&gt;Lucas Luiz Romero")*(28/1083),IF(C2635="Técnico I",SUMIFS($D:$D,$A:$A,$A2635,$B:$B,"&lt;&gt;Patrícia Karla de Sousa Araújo",$B:$B,"&lt;&gt;Lorena Dias de Araujo",$B:$B,"&lt;&gt;Lucas Luiz Romero")*(23/1083),IF(C2635="JR",SUMIFS($D:$D,$A:$A,$A2635,$B:$B,"&lt;&gt;Patrícia Karla de Sousa Araújo",$B:$B,"&lt;&gt;Lorena Dias de Araujo",$B:$B,"&lt;&gt;Lucas Luiz Romero")*(20/1083),IF(C2635="Estágio",SUMIFS($D:$D,$A:$A,$A2635,$B:$B,"&lt;&gt;Patrícia Karla de Sousa Araújo",$B:$B,"&lt;&gt;Lorena Dias de Araujo",$B:$B,"&lt;&gt;Lucas Luiz Romero")*(10/1083),0)))))),0)</f>
        <v/>
      </c>
      <c r="K2635" s="3">
        <f>I2635-J2635</f>
        <v/>
      </c>
      <c r="L2635" s="3">
        <f>IF(K2635&lt;-5,"CRÍTICO",IF(K2635&lt;0,"ATENÇÃO",IF(K2635&lt;=5,"BOM","EXCELENTE")))</f>
        <v/>
      </c>
      <c r="M2635" s="3" t="n">
        <v>22</v>
      </c>
      <c r="N2635" s="3" t="n">
        <v>97.78</v>
      </c>
      <c r="O2635" s="12" t="n">
        <v>25.49407114624506</v>
      </c>
    </row>
    <row r="2636">
      <c r="A2636" s="10" t="n">
        <v>46084</v>
      </c>
      <c r="B2636" t="inlineStr">
        <is>
          <t>Francilene Ferreira de Jesus</t>
        </is>
      </c>
      <c r="C2636" s="1" t="inlineStr">
        <is>
          <t>Técnico II</t>
        </is>
      </c>
      <c r="D2636" s="3" t="n">
        <v>35</v>
      </c>
      <c r="E2636" s="3" t="n">
        <v>34</v>
      </c>
      <c r="F2636" s="3" t="n">
        <v>21.41</v>
      </c>
      <c r="G2636" s="3" t="n">
        <v>0</v>
      </c>
      <c r="H2636" s="3" t="n">
        <v>0</v>
      </c>
      <c r="I2636" s="3">
        <f>E2636+G2636+H2636</f>
        <v/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/>
      </c>
      <c r="K2636" s="3">
        <f>I2636-J2636</f>
        <v/>
      </c>
      <c r="L2636" s="3">
        <f>IF(K2636&lt;-5,"CRÍTICO",IF(K2636&lt;0,"ATENÇÃO",IF(K2636&lt;=5,"BOM","EXCELENTE")))</f>
        <v/>
      </c>
      <c r="M2636" s="3" t="n">
        <v>31</v>
      </c>
      <c r="N2636" s="3" t="n">
        <v>98.02</v>
      </c>
      <c r="O2636" s="12" t="n">
        <v>23.48484848484848</v>
      </c>
    </row>
    <row r="2637">
      <c r="A2637" s="10" t="n">
        <v>46118</v>
      </c>
      <c r="B2637" t="inlineStr">
        <is>
          <t>Gabriel Gomes de Andrade</t>
        </is>
      </c>
      <c r="C2637" s="1" t="inlineStr">
        <is>
          <t>Técnico I</t>
        </is>
      </c>
      <c r="D2637" s="3" t="n">
        <v>30</v>
      </c>
      <c r="E2637" s="3" t="n">
        <v>26</v>
      </c>
      <c r="F2637" s="3" t="n">
        <v>15.1</v>
      </c>
      <c r="G2637" s="3" t="n">
        <v>0</v>
      </c>
      <c r="H2637" s="3" t="n">
        <v>0</v>
      </c>
      <c r="I2637" s="3">
        <f>E2637+G2637+H2637</f>
        <v/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/>
      </c>
      <c r="K2637" s="3">
        <f>I2637-J2637</f>
        <v/>
      </c>
      <c r="L2637" s="3">
        <f>IF(K2637&lt;-5,"CRÍTICO",IF(K2637&lt;0,"ATENÇÃO",IF(K2637&lt;=5,"OPORTUNO","MUITO BOM")))</f>
        <v/>
      </c>
      <c r="M2637" s="3" t="n">
        <v>23</v>
      </c>
      <c r="N2637" s="3" t="n">
        <v>99.28</v>
      </c>
      <c r="O2637" s="12" t="n">
        <v>27.68924302788844</v>
      </c>
    </row>
    <row r="2638">
      <c r="A2638" s="10" t="n">
        <v>46084</v>
      </c>
      <c r="B2638" t="inlineStr">
        <is>
          <t>Isabella Borges de Oliveira</t>
        </is>
      </c>
      <c r="C2638" s="1" t="inlineStr">
        <is>
          <t>Técnico II</t>
        </is>
      </c>
      <c r="D2638" s="3" t="n">
        <v>32</v>
      </c>
      <c r="E2638" s="3" t="n">
        <v>31</v>
      </c>
      <c r="F2638" s="3" t="n">
        <v>16.51</v>
      </c>
      <c r="G2638" s="3" t="n">
        <v>0</v>
      </c>
      <c r="H2638" s="3" t="n">
        <v>0</v>
      </c>
      <c r="I2638" s="3">
        <f>E2638+G2638+H2638</f>
        <v/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/>
      </c>
      <c r="K2638" s="3">
        <f>I2638-J2638</f>
        <v/>
      </c>
      <c r="L2638" s="3">
        <f>IF(K2638&lt;-5,"CRÍTICO",IF(K2638&lt;0,"ATENÇÃO",IF(K2638&lt;=5,"BOM","EXCELENTE")))</f>
        <v/>
      </c>
      <c r="M2638" s="3" t="n">
        <v>28</v>
      </c>
      <c r="N2638" s="3" t="n">
        <v>100</v>
      </c>
      <c r="O2638" s="12" t="n">
        <v>27.04918032786885</v>
      </c>
    </row>
    <row r="2639">
      <c r="A2639" s="10" t="n">
        <v>46084</v>
      </c>
      <c r="B2639" t="inlineStr">
        <is>
          <t>Janaina Lima dos Reis Urany</t>
        </is>
      </c>
      <c r="C2639" s="1" t="inlineStr">
        <is>
          <t>Técnico III</t>
        </is>
      </c>
      <c r="D2639" s="3" t="n">
        <v>46</v>
      </c>
      <c r="E2639" s="3" t="n">
        <v>42</v>
      </c>
      <c r="F2639" s="3" t="n">
        <v>15.35</v>
      </c>
      <c r="G2639" s="3" t="n">
        <v>0</v>
      </c>
      <c r="H2639" s="3" t="n">
        <v>0</v>
      </c>
      <c r="I2639" s="3">
        <f>E2639+G2639+H2639</f>
        <v/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/>
      </c>
      <c r="K2639" s="3">
        <f>I2639-J2639</f>
        <v/>
      </c>
      <c r="L2639" s="3">
        <f>IF(K2639&lt;-5,"CRÍTICO",IF(K2639&lt;0,"ATENÇÃO",IF(K2639&lt;=5,"BOM","EXCELENTE")))</f>
        <v/>
      </c>
      <c r="M2639" s="3" t="n">
        <v>41</v>
      </c>
      <c r="N2639" s="3" t="n">
        <v>97.83</v>
      </c>
      <c r="O2639" s="12" t="n">
        <v>26.31578947368421</v>
      </c>
    </row>
    <row r="2640">
      <c r="A2640" s="10" t="n">
        <v>46084</v>
      </c>
      <c r="B2640" t="inlineStr">
        <is>
          <t>Jaqueline Evangelista da Silva Martins</t>
        </is>
      </c>
      <c r="C2640" s="1" t="inlineStr">
        <is>
          <t>Técnico III</t>
        </is>
      </c>
      <c r="D2640" s="3" t="n">
        <v>4</v>
      </c>
      <c r="E2640" s="3" t="n">
        <v>3</v>
      </c>
      <c r="F2640" s="3" t="n">
        <v>15.16</v>
      </c>
      <c r="G2640" s="3" t="n">
        <v>0</v>
      </c>
      <c r="H2640" s="3" t="n">
        <v>0</v>
      </c>
      <c r="I2640" s="3">
        <f>E2640+G2640+H2640</f>
        <v/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/>
      </c>
      <c r="K2640" s="3">
        <f>I2640-J2640</f>
        <v/>
      </c>
      <c r="L2640" s="3">
        <f>IF(K2640&lt;-5,"CRÍTICO",IF(K2640&lt;0,"ATENÇÃO",IF(K2640&lt;=5,"BOM","EXCELENTE")))</f>
        <v/>
      </c>
      <c r="M2640" s="3" t="n">
        <v>6</v>
      </c>
      <c r="N2640" s="3" t="n">
        <v>100</v>
      </c>
      <c r="O2640" s="12" t="n">
        <v>26.70157068062827</v>
      </c>
    </row>
    <row r="2641">
      <c r="A2641" s="10" t="n">
        <v>46084</v>
      </c>
      <c r="B2641" t="inlineStr">
        <is>
          <t>Jessica Faria da Silveira</t>
        </is>
      </c>
      <c r="C2641" s="1" t="inlineStr">
        <is>
          <t>Técnico II</t>
        </is>
      </c>
      <c r="D2641" s="3" t="n">
        <v>34</v>
      </c>
      <c r="E2641" s="3" t="n">
        <v>31</v>
      </c>
      <c r="F2641" s="3" t="n">
        <v>18.54</v>
      </c>
      <c r="G2641" s="3" t="n">
        <v>0</v>
      </c>
      <c r="H2641" s="3" t="n">
        <v>0</v>
      </c>
      <c r="I2641" s="3">
        <f>E2641+G2641+H2641</f>
        <v/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/>
      </c>
      <c r="K2641" s="3">
        <f>I2641-J2641</f>
        <v/>
      </c>
      <c r="L2641" s="3">
        <f>IF(K2641&lt;-5,"CRÍTICO",IF(K2641&lt;0,"ATENÇÃO",IF(K2641&lt;=5,"BOM","EXCELENTE")))</f>
        <v/>
      </c>
      <c r="M2641" s="3" t="n">
        <v>29</v>
      </c>
      <c r="N2641" s="3" t="n">
        <v>97.47</v>
      </c>
      <c r="O2641" s="12" t="n">
        <v>22.88732394366197</v>
      </c>
    </row>
    <row r="2642">
      <c r="A2642" s="10" t="n">
        <v>46084</v>
      </c>
      <c r="B2642" t="inlineStr">
        <is>
          <t>Jéssica Fé Moura</t>
        </is>
      </c>
      <c r="C2642" s="1" t="inlineStr">
        <is>
          <t>Técnico III</t>
        </is>
      </c>
      <c r="D2642" s="3" t="n">
        <v>0</v>
      </c>
      <c r="E2642" s="3" t="n">
        <v>0</v>
      </c>
      <c r="F2642" s="3" t="n">
        <v>0</v>
      </c>
      <c r="G2642" s="3" t="n">
        <v>0</v>
      </c>
      <c r="H2642" s="3" t="n">
        <v>0</v>
      </c>
      <c r="I2642" s="3" t="n">
        <v>0</v>
      </c>
      <c r="J2642" s="3" t="n">
        <v>0</v>
      </c>
      <c r="K2642" s="3" t="n">
        <v>0</v>
      </c>
      <c r="L2642" s="3">
        <f>IF(K2642&lt;-5,"CRÍTICO",IF(K2642&lt;0,"ATENÇÃO",IF(K2642&lt;=5,"BOM","EXCELENTE")))</f>
        <v/>
      </c>
      <c r="M2642" s="3" t="n">
        <v>0</v>
      </c>
      <c r="N2642" s="3" t="n">
        <v>0</v>
      </c>
      <c r="O2642" s="12" t="n">
        <v>0</v>
      </c>
    </row>
    <row r="2643">
      <c r="A2643" s="10" t="n">
        <v>46084</v>
      </c>
      <c r="B2643" t="inlineStr">
        <is>
          <t>Karina Gonçalves Martins</t>
        </is>
      </c>
      <c r="C2643" s="1" t="inlineStr">
        <is>
          <t>JR</t>
        </is>
      </c>
      <c r="D2643" s="3" t="n">
        <v>14</v>
      </c>
      <c r="E2643" s="3" t="n">
        <v>14</v>
      </c>
      <c r="F2643" s="3" t="n">
        <v>26.42</v>
      </c>
      <c r="G2643" s="3" t="n">
        <v>0</v>
      </c>
      <c r="H2643" s="3" t="n">
        <v>0</v>
      </c>
      <c r="I2643" s="3">
        <f>E2643+G2643+H2643</f>
        <v/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/>
      </c>
      <c r="K2643" s="3">
        <f>I2643-J2643</f>
        <v/>
      </c>
      <c r="L2643" s="3">
        <f>IF(K2643&lt;-5,"CRÍTICO",IF(K2643&lt;0,"ATENÇÃO",IF(K2643&lt;=5,"BOM","EXCELENTE")))</f>
        <v/>
      </c>
      <c r="M2643" s="3" t="n">
        <v>12</v>
      </c>
      <c r="N2643" s="3" t="n">
        <v>98.31</v>
      </c>
      <c r="O2643" s="12" t="n">
        <v>24.92012779552715</v>
      </c>
    </row>
    <row r="2644">
      <c r="A2644" s="10" t="n">
        <v>46084</v>
      </c>
      <c r="B2644" t="inlineStr">
        <is>
          <t>Kerollen Cristielly de Jesus Siqueira</t>
        </is>
      </c>
      <c r="C2644" s="1" t="inlineStr">
        <is>
          <t>Técnico III</t>
        </is>
      </c>
      <c r="D2644" s="3" t="n">
        <v>2</v>
      </c>
      <c r="E2644" s="3" t="n">
        <v>2</v>
      </c>
      <c r="F2644" s="3" t="n">
        <v>27.01</v>
      </c>
      <c r="G2644" s="3" t="n">
        <v>0</v>
      </c>
      <c r="H2644" s="3" t="n">
        <v>0</v>
      </c>
      <c r="I2644" s="3">
        <f>E2644+G2644+H2644</f>
        <v/>
      </c>
      <c r="J2644" s="3">
        <f>ROUND(MIN(IF(C2644="Técnico III",35,IF(C2644="Técnico II",28,IF(C2644="Técnico I",23,IF(C2644="JR",20,IF(C2644="Estágio",10,0))))),IF(C2644="Técnico III",SUMIFS($D:$D,$A:$A,$A2644,$B:$B,"&lt;&gt;Patrícia Karla de Sousa Araújo",$B:$B,"&lt;&gt;Lorena Dias de Araujo",$B:$B,"&lt;&gt;Lucas Luiz Romero")*(35/1083),IF(C2644="Técnico II",SUMIFS($D:$D,$A:$A,$A2644,$B:$B,"&lt;&gt;Patrícia Karla de Sousa Araújo",$B:$B,"&lt;&gt;Lorena Dias de Araujo",$B:$B,"&lt;&gt;Lucas Luiz Romero")*(28/1083),IF(C2644="Técnico I",SUMIFS($D:$D,$A:$A,$A2644,$B:$B,"&lt;&gt;Patrícia Karla de Sousa Araújo",$B:$B,"&lt;&gt;Lorena Dias de Araujo",$B:$B,"&lt;&gt;Lucas Luiz Romero")*(23/1083),IF(C2644="JR",SUMIFS($D:$D,$A:$A,$A2644,$B:$B,"&lt;&gt;Patrícia Karla de Sousa Araújo",$B:$B,"&lt;&gt;Lorena Dias de Araujo",$B:$B,"&lt;&gt;Lucas Luiz Romero")*(20/1083),IF(C2644="Estágio",SUMIFS($D:$D,$A:$A,$A2644,$B:$B,"&lt;&gt;Patrícia Karla de Sousa Araújo",$B:$B,"&lt;&gt;Lorena Dias de Araujo",$B:$B,"&lt;&gt;Lucas Luiz Romero")*(10/1083),0)))))),0)</f>
        <v/>
      </c>
      <c r="K2644" s="3">
        <f>I2644-J2644</f>
        <v/>
      </c>
      <c r="L2644" s="3">
        <f>IF(K2644&lt;-5,"CRÍTICO",IF(K2644&lt;0,"ATENÇÃO",IF(K2644&lt;=5,"BOM","EXCELENTE")))</f>
        <v/>
      </c>
      <c r="M2644" s="3" t="n">
        <v>6</v>
      </c>
      <c r="N2644" s="3" t="n">
        <v>96.81</v>
      </c>
      <c r="O2644" s="12" t="n">
        <v>32.36514522821577</v>
      </c>
    </row>
    <row r="2645">
      <c r="A2645" s="10" t="n">
        <v>46084</v>
      </c>
      <c r="B2645" t="inlineStr">
        <is>
          <t>Leandro de Souza Silva</t>
        </is>
      </c>
      <c r="C2645" s="1" t="inlineStr">
        <is>
          <t>JR</t>
        </is>
      </c>
      <c r="D2645" s="3" t="n">
        <v>0</v>
      </c>
      <c r="E2645" s="3" t="n">
        <v>0</v>
      </c>
      <c r="F2645" s="3" t="n">
        <v>0</v>
      </c>
      <c r="G2645" s="3" t="n">
        <v>0</v>
      </c>
      <c r="H2645" s="3" t="n">
        <v>0</v>
      </c>
      <c r="I2645" s="3" t="n">
        <v>0</v>
      </c>
      <c r="J2645" s="3" t="n">
        <v>0</v>
      </c>
      <c r="K2645" s="3" t="n">
        <v>0</v>
      </c>
      <c r="L2645" s="3">
        <f>IF(K2645&lt;-5,"CRÍTICO",IF(K2645&lt;0,"ATENÇÃO",IF(K2645&lt;=5,"BOM","EXCELENTE")))</f>
        <v/>
      </c>
      <c r="M2645" s="3" t="n">
        <v>0</v>
      </c>
      <c r="N2645" s="3" t="n">
        <v>100</v>
      </c>
      <c r="O2645" s="12" t="n">
        <v>26.47058823529412</v>
      </c>
    </row>
    <row r="2646">
      <c r="A2646" s="10" t="n">
        <v>46084</v>
      </c>
      <c r="B2646" t="inlineStr">
        <is>
          <t>Leandro Oliveira de Sousa</t>
        </is>
      </c>
      <c r="C2646" s="1" t="inlineStr">
        <is>
          <t>Técnico III</t>
        </is>
      </c>
      <c r="D2646" s="3" t="n">
        <v>4</v>
      </c>
      <c r="E2646" s="3" t="n">
        <v>4</v>
      </c>
      <c r="F2646" s="3" t="n">
        <v>25.43</v>
      </c>
      <c r="G2646" s="3" t="n">
        <v>0</v>
      </c>
      <c r="H2646" s="3" t="n">
        <v>0</v>
      </c>
      <c r="I2646" s="3">
        <f>E2646+G2646+H2646</f>
        <v/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/>
      </c>
      <c r="K2646" s="3">
        <f>I2646-J2646</f>
        <v/>
      </c>
      <c r="L2646" s="3">
        <f>IF(K2646&lt;-5,"CRÍTICO",IF(K2646&lt;0,"ATENÇÃO",IF(K2646&lt;=5,"BOM","EXCELENTE")))</f>
        <v/>
      </c>
      <c r="M2646" s="3" t="n">
        <v>15</v>
      </c>
      <c r="N2646" s="3" t="n">
        <v>100</v>
      </c>
      <c r="O2646" s="12" t="n">
        <v>28.49002849002849</v>
      </c>
    </row>
    <row r="2647">
      <c r="A2647" s="10" t="n">
        <v>46084</v>
      </c>
      <c r="B2647" t="inlineStr">
        <is>
          <t>Lizandra Gomes Duarte</t>
        </is>
      </c>
      <c r="C2647" s="1" t="inlineStr">
        <is>
          <t>Técnico II</t>
        </is>
      </c>
      <c r="D2647" s="3" t="n">
        <v>30</v>
      </c>
      <c r="E2647" s="3" t="n">
        <v>25</v>
      </c>
      <c r="F2647" s="3" t="n">
        <v>20.04</v>
      </c>
      <c r="G2647" s="3" t="n">
        <v>0</v>
      </c>
      <c r="H2647" s="3" t="n">
        <v>0</v>
      </c>
      <c r="I2647" s="3">
        <f>E2647+G2647+H2647</f>
        <v/>
      </c>
      <c r="J2647" s="3">
        <f>ROUND(MIN(IF(C2647="Técnico III",35,IF(C2647="Técnico II",28,IF(C2647="Técnico I",23,IF(C2647="JR",20,IF(C2647="Estágio",10,0))))),IF(C2647="Técnico III",SUMIFS($D:$D,$A:$A,$A2647,$B:$B,"&lt;&gt;Patrícia Karla de Sousa Araújo",$B:$B,"&lt;&gt;Lorena Dias de Araujo",$B:$B,"&lt;&gt;Lucas Luiz Romero")*(35/1083),IF(C2647="Técnico II",SUMIFS($D:$D,$A:$A,$A2647,$B:$B,"&lt;&gt;Patrícia Karla de Sousa Araújo",$B:$B,"&lt;&gt;Lorena Dias de Araujo",$B:$B,"&lt;&gt;Lucas Luiz Romero")*(28/1083),IF(C2647="Técnico I",SUMIFS($D:$D,$A:$A,$A2647,$B:$B,"&lt;&gt;Patrícia Karla de Sousa Araújo",$B:$B,"&lt;&gt;Lorena Dias de Araujo",$B:$B,"&lt;&gt;Lucas Luiz Romero")*(23/1083),IF(C2647="JR",SUMIFS($D:$D,$A:$A,$A2647,$B:$B,"&lt;&gt;Patrícia Karla de Sousa Araújo",$B:$B,"&lt;&gt;Lorena Dias de Araujo",$B:$B,"&lt;&gt;Lucas Luiz Romero")*(20/1083),IF(C2647="Estágio",SUMIFS($D:$D,$A:$A,$A2647,$B:$B,"&lt;&gt;Patrícia Karla de Sousa Araújo",$B:$B,"&lt;&gt;Lorena Dias de Araujo",$B:$B,"&lt;&gt;Lucas Luiz Romero")*(10/1083),0)))))),0)</f>
        <v/>
      </c>
      <c r="K2647" s="3">
        <f>I2647-J2647</f>
        <v/>
      </c>
      <c r="L2647" s="3">
        <f>IF(K2647&lt;-5,"CRÍTICO",IF(K2647&lt;0,"ATENÇÃO",IF(K2647&lt;=5,"BOM","EXCELENTE")))</f>
        <v/>
      </c>
      <c r="M2647" s="3" t="n">
        <v>20</v>
      </c>
      <c r="N2647" s="3" t="n">
        <v>99.14</v>
      </c>
      <c r="O2647" s="12" t="n">
        <v>27.2289156626506</v>
      </c>
    </row>
    <row r="2648">
      <c r="A2648" s="10" t="n">
        <v>46084</v>
      </c>
      <c r="B2648" t="inlineStr">
        <is>
          <t>Lorena Dias de Araujo</t>
        </is>
      </c>
      <c r="C2648" s="1" t="inlineStr">
        <is>
          <t>Técnico II</t>
        </is>
      </c>
      <c r="D2648" s="3" t="n">
        <v>32</v>
      </c>
      <c r="E2648" s="3" t="n">
        <v>30</v>
      </c>
      <c r="F2648" s="3" t="n">
        <v>21.56</v>
      </c>
      <c r="G2648" s="3" t="n">
        <v>0</v>
      </c>
      <c r="H2648" s="3" t="n">
        <v>0</v>
      </c>
      <c r="I2648" s="3" t="n">
        <v>0</v>
      </c>
      <c r="J2648" s="3" t="n">
        <v>0</v>
      </c>
      <c r="K2648" s="3" t="n">
        <v>0</v>
      </c>
      <c r="L2648" s="3">
        <f>IF(K2648&lt;-5,"CRÍTICO",IF(K2648&lt;0,"ATENÇÃO",IF(K2648&lt;=5,"BOM","EXCELENTE")))</f>
        <v/>
      </c>
      <c r="M2648" s="3" t="n">
        <v>27</v>
      </c>
      <c r="N2648" s="3" t="n">
        <v>97.52</v>
      </c>
      <c r="O2648" s="12" t="n">
        <v>28.2051282051282</v>
      </c>
    </row>
    <row r="2649">
      <c r="A2649" s="10" t="n">
        <v>46084</v>
      </c>
      <c r="B2649" t="inlineStr">
        <is>
          <t>Lucas Luiz Romero</t>
        </is>
      </c>
      <c r="C2649" s="1" t="inlineStr">
        <is>
          <t>Técnico III</t>
        </is>
      </c>
      <c r="D2649" s="3" t="n">
        <v>44</v>
      </c>
      <c r="E2649" s="3" t="n">
        <v>38</v>
      </c>
      <c r="F2649" s="3" t="n">
        <v>17.2</v>
      </c>
      <c r="G2649" s="3" t="n">
        <v>0</v>
      </c>
      <c r="H2649" s="3" t="n">
        <v>0</v>
      </c>
      <c r="I2649" s="3">
        <f>E2649+G2649+H2649</f>
        <v/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/>
      </c>
      <c r="K2649" s="3">
        <f>I2649-J2649</f>
        <v/>
      </c>
      <c r="L2649" s="3">
        <f>IF(K2649&lt;-5,"CRÍTICO",IF(K2649&lt;0,"ATENÇÃO",IF(K2649&lt;=5,"BOM","EXCELENTE")))</f>
        <v/>
      </c>
      <c r="M2649" s="3" t="n">
        <v>19</v>
      </c>
      <c r="N2649" s="3" t="n">
        <v>90</v>
      </c>
      <c r="O2649" s="12" t="n">
        <v>24.18604651162791</v>
      </c>
    </row>
    <row r="2650">
      <c r="A2650" s="10" t="n">
        <v>46084</v>
      </c>
      <c r="B2650" t="inlineStr">
        <is>
          <t>Luiz Fernando de Carvalho Junior</t>
        </is>
      </c>
      <c r="C2650" s="1" t="inlineStr">
        <is>
          <t>Técnico I</t>
        </is>
      </c>
      <c r="D2650" s="3" t="n">
        <v>26</v>
      </c>
      <c r="E2650" s="3" t="n">
        <v>23</v>
      </c>
      <c r="F2650" s="3" t="n">
        <v>22.02</v>
      </c>
      <c r="G2650" s="3" t="n">
        <v>0</v>
      </c>
      <c r="H2650" s="3" t="n">
        <v>0</v>
      </c>
      <c r="I2650" s="3">
        <f>E2650+G2650+H2650</f>
        <v/>
      </c>
      <c r="J2650" s="3">
        <f>ROUND(MIN(IF(C2650="Técnico III",35,IF(C2650="Técnico II",28,IF(C2650="Técnico I",23,IF(C2650="JR",20,IF(C2650="Estágio",10,0))))),IF(C2650="Técnico III",SUMIFS($D:$D,$A:$A,$A2650,$B:$B,"&lt;&gt;Patrícia Karla de Sousa Araújo",$B:$B,"&lt;&gt;Lorena Dias de Araujo",$B:$B,"&lt;&gt;Lucas Luiz Romero")*(35/1083),IF(C2650="Técnico II",SUMIFS($D:$D,$A:$A,$A2650,$B:$B,"&lt;&gt;Patrícia Karla de Sousa Araújo",$B:$B,"&lt;&gt;Lorena Dias de Araujo",$B:$B,"&lt;&gt;Lucas Luiz Romero")*(28/1083),IF(C2650="Técnico I",SUMIFS($D:$D,$A:$A,$A2650,$B:$B,"&lt;&gt;Patrícia Karla de Sousa Araújo",$B:$B,"&lt;&gt;Lorena Dias de Araujo",$B:$B,"&lt;&gt;Lucas Luiz Romero")*(23/1083),IF(C2650="JR",SUMIFS($D:$D,$A:$A,$A2650,$B:$B,"&lt;&gt;Patrícia Karla de Sousa Araújo",$B:$B,"&lt;&gt;Lorena Dias de Araujo",$B:$B,"&lt;&gt;Lucas Luiz Romero")*(20/1083),IF(C2650="Estágio",SUMIFS($D:$D,$A:$A,$A2650,$B:$B,"&lt;&gt;Patrícia Karla de Sousa Araújo",$B:$B,"&lt;&gt;Lorena Dias de Araujo",$B:$B,"&lt;&gt;Lucas Luiz Romero")*(10/1083),0)))))),0)</f>
        <v/>
      </c>
      <c r="K2650" s="3">
        <f>I2650-J2650</f>
        <v/>
      </c>
      <c r="L2650" s="3">
        <f>IF(K2650&lt;-5,"CRÍTICO",IF(K2650&lt;0,"ATENÇÃO",IF(K2650&lt;=5,"BOM","EXCELENTE")))</f>
        <v/>
      </c>
      <c r="M2650" s="3" t="n">
        <v>23</v>
      </c>
      <c r="N2650" s="3" t="n">
        <v>98.90000000000001</v>
      </c>
      <c r="O2650" s="12" t="n">
        <v>26.7639902676399</v>
      </c>
    </row>
    <row r="2651">
      <c r="A2651" s="10" t="n">
        <v>46084</v>
      </c>
      <c r="B2651" t="inlineStr">
        <is>
          <t>Maria Eduarda Sousa Costa</t>
        </is>
      </c>
      <c r="C2651" s="1" t="inlineStr">
        <is>
          <t>Estágio</t>
        </is>
      </c>
      <c r="D2651" s="3" t="n">
        <v>9</v>
      </c>
      <c r="E2651" s="3" t="n">
        <v>7</v>
      </c>
      <c r="F2651" s="3" t="n">
        <v>26.4</v>
      </c>
      <c r="G2651" s="3" t="n">
        <v>0</v>
      </c>
      <c r="H2651" s="3" t="n">
        <v>0</v>
      </c>
      <c r="I2651" s="3">
        <f>E2651+G2651+H2651</f>
        <v/>
      </c>
      <c r="J2651" s="3">
        <f>ROUND(MIN(IF(C2651="Técnico III",35,IF(C2651="Técnico II",28,IF(C2651="Técnico I",23,IF(C2651="JR",20,IF(C2651="Estágio",10,0))))),IF(C2651="Técnico III",SUMIFS($D:$D,$A:$A,$A2651,$B:$B,"&lt;&gt;Patrícia Karla de Sousa Araújo",$B:$B,"&lt;&gt;Lorena Dias de Araujo",$B:$B,"&lt;&gt;Lucas Luiz Romero")*(35/1083),IF(C2651="Técnico II",SUMIFS($D:$D,$A:$A,$A2651,$B:$B,"&lt;&gt;Patrícia Karla de Sousa Araújo",$B:$B,"&lt;&gt;Lorena Dias de Araujo",$B:$B,"&lt;&gt;Lucas Luiz Romero")*(28/1083),IF(C2651="Técnico I",SUMIFS($D:$D,$A:$A,$A2651,$B:$B,"&lt;&gt;Patrícia Karla de Sousa Araújo",$B:$B,"&lt;&gt;Lorena Dias de Araujo",$B:$B,"&lt;&gt;Lucas Luiz Romero")*(23/1083),IF(C2651="JR",SUMIFS($D:$D,$A:$A,$A2651,$B:$B,"&lt;&gt;Patrícia Karla de Sousa Araújo",$B:$B,"&lt;&gt;Lorena Dias de Araujo",$B:$B,"&lt;&gt;Lucas Luiz Romero")*(20/1083),IF(C2651="Estágio",SUMIFS($D:$D,$A:$A,$A2651,$B:$B,"&lt;&gt;Patrícia Karla de Sousa Araújo",$B:$B,"&lt;&gt;Lorena Dias de Araujo",$B:$B,"&lt;&gt;Lucas Luiz Romero")*(10/1083),0)))))),0)</f>
        <v/>
      </c>
      <c r="K2651" s="3">
        <f>I2651-J2651</f>
        <v/>
      </c>
      <c r="L2651" s="3">
        <f>IF(K2651&lt;-5,"CRÍTICO",IF(K2651&lt;0,"ATENÇÃO",IF(K2651&lt;=5,"BOM","EXCELENTE")))</f>
        <v/>
      </c>
      <c r="M2651" s="3" t="n">
        <v>7</v>
      </c>
      <c r="N2651" s="3" t="n">
        <v>88.89</v>
      </c>
      <c r="O2651" s="12" t="n">
        <v>25.26315789473684</v>
      </c>
    </row>
    <row r="2652">
      <c r="A2652" s="10" t="n">
        <v>46104</v>
      </c>
      <c r="B2652" t="inlineStr">
        <is>
          <t>Matheus Farias De Souza</t>
        </is>
      </c>
      <c r="C2652" s="1" t="inlineStr">
        <is>
          <t>Técnico III</t>
        </is>
      </c>
      <c r="D2652" s="3" t="n">
        <v>21</v>
      </c>
      <c r="E2652" s="3" t="n">
        <v>20</v>
      </c>
      <c r="F2652" s="3" t="n">
        <v>19.08</v>
      </c>
      <c r="G2652" s="3" t="n">
        <v>0</v>
      </c>
      <c r="H2652" s="3" t="n">
        <v>0</v>
      </c>
      <c r="I2652" s="3">
        <f>E2652+G2652+H2652</f>
        <v/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/>
      </c>
      <c r="K2652" s="3">
        <f>I2652-J2652</f>
        <v/>
      </c>
      <c r="L2652" s="3">
        <f>IF(K2652&lt;-5,"CRÍTICO",IF(K2652&lt;0,"ATENÇÃO",IF(K2652&lt;=5,"OPORTUNO","MUITO BOM")))</f>
        <v/>
      </c>
      <c r="M2652" s="3" t="n">
        <v>19</v>
      </c>
      <c r="N2652" s="3" t="n">
        <v>98.86</v>
      </c>
      <c r="O2652" s="12" t="n">
        <v>28.95927601809955</v>
      </c>
    </row>
    <row r="2653">
      <c r="A2653" s="10" t="n">
        <v>46084</v>
      </c>
      <c r="B2653" t="inlineStr">
        <is>
          <t>Maysa Victoria Dias Moura</t>
        </is>
      </c>
      <c r="C2653" s="1" t="inlineStr">
        <is>
          <t>Técnico III</t>
        </is>
      </c>
      <c r="D2653" s="3" t="n">
        <v>39</v>
      </c>
      <c r="E2653" s="3" t="n">
        <v>38</v>
      </c>
      <c r="F2653" s="3" t="n">
        <v>15.52</v>
      </c>
      <c r="G2653" s="3" t="n">
        <v>0</v>
      </c>
      <c r="H2653" s="3" t="n">
        <v>0</v>
      </c>
      <c r="I2653" s="3">
        <f>E2653+G2653+H2653</f>
        <v/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/>
      </c>
      <c r="K2653" s="3">
        <f>I2653-J2653</f>
        <v/>
      </c>
      <c r="L2653" s="3">
        <f>IF(K2653&lt;-5,"CRÍTICO",IF(K2653&lt;0,"ATENÇÃO",IF(K2653&lt;=5,"BOM","EXCELENTE")))</f>
        <v/>
      </c>
      <c r="M2653" s="3" t="n">
        <v>33</v>
      </c>
      <c r="N2653" s="3" t="n">
        <v>98.06</v>
      </c>
      <c r="O2653" s="12" t="n">
        <v>22.40566037735849</v>
      </c>
    </row>
    <row r="2654">
      <c r="A2654" s="10" t="n">
        <v>46112</v>
      </c>
      <c r="B2654" t="inlineStr">
        <is>
          <t>Michelle G Santos</t>
        </is>
      </c>
      <c r="C2654" s="1" t="inlineStr">
        <is>
          <t>Estágio</t>
        </is>
      </c>
      <c r="D2654" s="3" t="n">
        <v>20</v>
      </c>
      <c r="E2654" s="3" t="n">
        <v>19</v>
      </c>
      <c r="F2654" s="3" t="n">
        <v>27.18</v>
      </c>
      <c r="G2654" s="3" t="n">
        <v>0</v>
      </c>
      <c r="H2654" s="3" t="n">
        <v>0</v>
      </c>
      <c r="I2654" s="3">
        <f>E2654+G2654+H2654</f>
        <v/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/>
      </c>
      <c r="K2654" s="3">
        <f>I2654-J2654</f>
        <v/>
      </c>
      <c r="L2654" s="3">
        <f>IF(K2654&lt;-5,"CRÍTICO",IF(K2654&lt;0,"ATENÇÃO",IF(K2654&lt;=5,"OPORTUNO","MUITO BOM")))</f>
        <v/>
      </c>
      <c r="M2654" s="3" t="n">
        <v>7</v>
      </c>
      <c r="N2654" s="3" t="n">
        <v>95.83</v>
      </c>
      <c r="O2654" s="12" t="n">
        <v>25.77319587628866</v>
      </c>
    </row>
    <row r="2655">
      <c r="A2655" s="10" t="n">
        <v>46084</v>
      </c>
      <c r="B2655" t="inlineStr">
        <is>
          <t>Milena Sales</t>
        </is>
      </c>
      <c r="C2655" s="1" t="inlineStr">
        <is>
          <t>JR</t>
        </is>
      </c>
      <c r="D2655" s="3" t="n">
        <v>0</v>
      </c>
      <c r="E2655" s="3" t="n">
        <v>0</v>
      </c>
      <c r="F2655" s="3" t="n">
        <v>0</v>
      </c>
      <c r="G2655" s="3" t="n">
        <v>0</v>
      </c>
      <c r="H2655" s="3" t="n">
        <v>0</v>
      </c>
      <c r="I2655" s="3" t="n">
        <v>0</v>
      </c>
      <c r="J2655" s="3" t="n">
        <v>0</v>
      </c>
      <c r="K2655" s="3" t="n">
        <v>0</v>
      </c>
      <c r="L2655" s="3">
        <f>IF(K2655&lt;-5,"CRÍTICO",IF(K2655&lt;0,"ATENÇÃO",IF(K2655&lt;=5,"BOM","EXCELENTE")))</f>
        <v/>
      </c>
      <c r="M2655" s="3" t="n">
        <v>0</v>
      </c>
      <c r="N2655" s="3" t="n">
        <v>100</v>
      </c>
      <c r="O2655" s="12" t="n">
        <v>15.38461538461539</v>
      </c>
    </row>
    <row r="2656">
      <c r="A2656" s="10" t="n">
        <v>46084</v>
      </c>
      <c r="B2656" t="inlineStr">
        <is>
          <t>Patrícia Karla de Sousa Araújo</t>
        </is>
      </c>
      <c r="C2656" s="1" t="inlineStr">
        <is>
          <t>Técnico II</t>
        </is>
      </c>
      <c r="D2656" s="3" t="n">
        <v>24</v>
      </c>
      <c r="E2656" s="3" t="n">
        <v>24</v>
      </c>
      <c r="F2656" s="3" t="n">
        <v>23.54</v>
      </c>
      <c r="G2656" s="3" t="n">
        <v>0</v>
      </c>
      <c r="H2656" s="3" t="n">
        <v>0</v>
      </c>
      <c r="I2656" s="3">
        <f>E2656+G2656+H2656</f>
        <v/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/>
      </c>
      <c r="K2656" s="3">
        <f>I2656-J2656</f>
        <v/>
      </c>
      <c r="L2656" s="3">
        <f>IF(K2656&lt;-5,"CRÍTICO",IF(K2656&lt;0,"ATENÇÃO",IF(K2656&lt;=5,"BOM","EXCELENTE")))</f>
        <v/>
      </c>
      <c r="M2656" s="3" t="n">
        <v>18</v>
      </c>
      <c r="N2656" s="3" t="n">
        <v>100</v>
      </c>
      <c r="O2656" s="12" t="n">
        <v>27.51479289940828</v>
      </c>
    </row>
    <row r="2657">
      <c r="A2657" s="10" t="n">
        <v>46084</v>
      </c>
      <c r="B2657" t="inlineStr">
        <is>
          <t>Paulo Ricardo Santos</t>
        </is>
      </c>
      <c r="C2657" s="1" t="inlineStr">
        <is>
          <t>JR</t>
        </is>
      </c>
      <c r="D2657" s="3" t="n">
        <v>0</v>
      </c>
      <c r="E2657" s="3" t="n">
        <v>0</v>
      </c>
      <c r="F2657" s="3" t="n">
        <v>0</v>
      </c>
      <c r="G2657" s="3" t="n">
        <v>0</v>
      </c>
      <c r="H2657" s="3" t="n">
        <v>0</v>
      </c>
      <c r="I2657" s="3" t="n">
        <v>0</v>
      </c>
      <c r="J2657" s="3" t="n">
        <v>0</v>
      </c>
      <c r="K2657" s="3" t="n">
        <v>0</v>
      </c>
      <c r="L2657" s="3">
        <f>IF(K2657&lt;-5,"CRÍTICO",IF(K2657&lt;0,"ATENÇÃO",IF(K2657&lt;=5,"BOM","EXCELENTE")))</f>
        <v/>
      </c>
      <c r="M2657" s="3" t="n">
        <v>0</v>
      </c>
      <c r="N2657" s="3" t="n">
        <v>100</v>
      </c>
      <c r="O2657" s="12" t="n">
        <v>24.87562189054727</v>
      </c>
    </row>
    <row r="2658">
      <c r="A2658" s="10" t="n">
        <v>46084</v>
      </c>
      <c r="B2658" t="inlineStr">
        <is>
          <t>Pedro Luiz Mota Sousa</t>
        </is>
      </c>
      <c r="C2658" s="1" t="inlineStr">
        <is>
          <t>JR</t>
        </is>
      </c>
      <c r="D2658" s="3" t="n">
        <v>0</v>
      </c>
      <c r="E2658" s="3" t="n">
        <v>0</v>
      </c>
      <c r="F2658" s="3" t="n">
        <v>0</v>
      </c>
      <c r="G2658" s="3" t="n">
        <v>0</v>
      </c>
      <c r="H2658" s="3" t="n">
        <v>0</v>
      </c>
      <c r="I2658" s="3" t="n">
        <v>0</v>
      </c>
      <c r="J2658" s="3" t="n">
        <v>0</v>
      </c>
      <c r="K2658" s="3" t="n">
        <v>0</v>
      </c>
      <c r="L2658" s="3">
        <f>IF(K2658&lt;-5,"CRÍTICO",IF(K2658&lt;0,"ATENÇÃO",IF(K2658&lt;=5,"BOM","EXCELENTE")))</f>
        <v/>
      </c>
      <c r="M2658" s="3" t="n">
        <v>0</v>
      </c>
      <c r="N2658" s="3" t="n">
        <v>100</v>
      </c>
      <c r="O2658" s="12" t="n">
        <v>28.10810810810811</v>
      </c>
    </row>
    <row r="2659">
      <c r="A2659" s="10" t="n">
        <v>46112</v>
      </c>
      <c r="B2659" t="inlineStr">
        <is>
          <t>Quirino Diogo Leite Torres</t>
        </is>
      </c>
      <c r="C2659" s="1" t="inlineStr">
        <is>
          <t>Estágio</t>
        </is>
      </c>
      <c r="D2659" s="3" t="n">
        <v>8</v>
      </c>
      <c r="E2659" s="3" t="n">
        <v>6</v>
      </c>
      <c r="F2659" s="3" t="n">
        <v>34.04</v>
      </c>
      <c r="G2659" s="3" t="n">
        <v>0</v>
      </c>
      <c r="H2659" s="3" t="n">
        <v>0</v>
      </c>
      <c r="I2659" s="3">
        <f>E2659+G2659+H2659</f>
        <v/>
      </c>
      <c r="J2659" s="3">
        <f>ROUND(MIN(IF(C2659="Técnico III",35,IF(C2659="Técnico II",28,IF(C2659="Técnico I",23,IF(C2659="JR",20,IF(C2659="Estágio",10,0))))),IF(C2659="Técnico III",SUMIFS($D:$D,$A:$A,$A2659,$B:$B,"&lt;&gt;Patrícia Karla de Sousa Araújo",$B:$B,"&lt;&gt;Lorena Dias de Araujo",$B:$B,"&lt;&gt;Lucas Luiz Romero")*(35/1083),IF(C2659="Técnico II",SUMIFS($D:$D,$A:$A,$A2659,$B:$B,"&lt;&gt;Patrícia Karla de Sousa Araújo",$B:$B,"&lt;&gt;Lorena Dias de Araujo",$B:$B,"&lt;&gt;Lucas Luiz Romero")*(28/1083),IF(C2659="Técnico I",SUMIFS($D:$D,$A:$A,$A2659,$B:$B,"&lt;&gt;Patrícia Karla de Sousa Araújo",$B:$B,"&lt;&gt;Lorena Dias de Araujo",$B:$B,"&lt;&gt;Lucas Luiz Romero")*(23/1083),IF(C2659="JR",SUMIFS($D:$D,$A:$A,$A2659,$B:$B,"&lt;&gt;Patrícia Karla de Sousa Araújo",$B:$B,"&lt;&gt;Lorena Dias de Araujo",$B:$B,"&lt;&gt;Lucas Luiz Romero")*(20/1083),IF(C2659="Estágio",SUMIFS($D:$D,$A:$A,$A2659,$B:$B,"&lt;&gt;Patrícia Karla de Sousa Araújo",$B:$B,"&lt;&gt;Lorena Dias de Araujo",$B:$B,"&lt;&gt;Lucas Luiz Romero")*(10/1083),0)))))),0)</f>
        <v/>
      </c>
      <c r="K2659" s="3">
        <f>I2659-J2659</f>
        <v/>
      </c>
      <c r="L2659" s="3">
        <f>IF(K2659&lt;-5,"CRÍTICO",IF(K2659&lt;0,"ATENÇÃO",IF(K2659&lt;=5,"OPORTUNO","MUITO BOM")))</f>
        <v/>
      </c>
      <c r="M2659" s="3" t="n">
        <v>3</v>
      </c>
      <c r="N2659" s="3" t="n">
        <v>100</v>
      </c>
      <c r="O2659" s="12" t="n">
        <v>35</v>
      </c>
    </row>
    <row r="2660">
      <c r="A2660" s="10" t="n">
        <v>46084</v>
      </c>
      <c r="B2660" t="inlineStr">
        <is>
          <t>Raane Batista Matos</t>
        </is>
      </c>
      <c r="C2660" s="1" t="inlineStr">
        <is>
          <t>Técnico I</t>
        </is>
      </c>
      <c r="D2660" s="3" t="n">
        <v>40</v>
      </c>
      <c r="E2660" s="3" t="n">
        <v>38</v>
      </c>
      <c r="F2660" s="3" t="n">
        <v>20.04</v>
      </c>
      <c r="G2660" s="3" t="n">
        <v>0</v>
      </c>
      <c r="H2660" s="3" t="n">
        <v>0</v>
      </c>
      <c r="I2660" s="3">
        <f>E2660+G2660+H2660</f>
        <v/>
      </c>
      <c r="J2660" s="3">
        <f>ROUND(MIN(IF(C2660="Técnico III",35,IF(C2660="Técnico II",28,IF(C2660="Técnico I",23,IF(C2660="JR",20,IF(C2660="Estágio",10,0))))),IF(C2660="Técnico III",SUMIFS($D:$D,$A:$A,$A2660,$B:$B,"&lt;&gt;Patrícia Karla de Sousa Araújo",$B:$B,"&lt;&gt;Lorena Dias de Araujo",$B:$B,"&lt;&gt;Lucas Luiz Romero")*(35/1083),IF(C2660="Técnico II",SUMIFS($D:$D,$A:$A,$A2660,$B:$B,"&lt;&gt;Patrícia Karla de Sousa Araújo",$B:$B,"&lt;&gt;Lorena Dias de Araujo",$B:$B,"&lt;&gt;Lucas Luiz Romero")*(28/1083),IF(C2660="Técnico I",SUMIFS($D:$D,$A:$A,$A2660,$B:$B,"&lt;&gt;Patrícia Karla de Sousa Araújo",$B:$B,"&lt;&gt;Lorena Dias de Araujo",$B:$B,"&lt;&gt;Lucas Luiz Romero")*(23/1083),IF(C2660="JR",SUMIFS($D:$D,$A:$A,$A2660,$B:$B,"&lt;&gt;Patrícia Karla de Sousa Araújo",$B:$B,"&lt;&gt;Lorena Dias de Araujo",$B:$B,"&lt;&gt;Lucas Luiz Romero")*(20/1083),IF(C2660="Estágio",SUMIFS($D:$D,$A:$A,$A2660,$B:$B,"&lt;&gt;Patrícia Karla de Sousa Araújo",$B:$B,"&lt;&gt;Lorena Dias de Araujo",$B:$B,"&lt;&gt;Lucas Luiz Romero")*(10/1083),0)))))),0)</f>
        <v/>
      </c>
      <c r="K2660" s="3">
        <f>I2660-J2660</f>
        <v/>
      </c>
      <c r="L2660" s="3">
        <f>IF(K2660&lt;-5,"CRÍTICO",IF(K2660&lt;0,"ATENÇÃO",IF(K2660&lt;=5,"BOM","EXCELENTE")))</f>
        <v/>
      </c>
      <c r="M2660" s="3" t="n">
        <v>29</v>
      </c>
      <c r="N2660" s="3" t="n">
        <v>95.34999999999999</v>
      </c>
      <c r="O2660" s="12" t="n">
        <v>28.61538461538461</v>
      </c>
    </row>
    <row r="2661">
      <c r="A2661" s="10" t="n">
        <v>46084</v>
      </c>
      <c r="B2661" t="inlineStr">
        <is>
          <t>Rafael Gomes de Morais</t>
        </is>
      </c>
      <c r="C2661" s="1" t="inlineStr">
        <is>
          <t>Técnico III</t>
        </is>
      </c>
      <c r="D2661" s="3" t="n">
        <v>40</v>
      </c>
      <c r="E2661" s="3" t="n">
        <v>36</v>
      </c>
      <c r="F2661" s="3" t="n">
        <v>16.44</v>
      </c>
      <c r="G2661" s="3" t="n">
        <v>0</v>
      </c>
      <c r="H2661" s="3" t="n">
        <v>0</v>
      </c>
      <c r="I2661" s="3">
        <f>E2661+G2661+H2661</f>
        <v/>
      </c>
      <c r="J2661" s="3">
        <f>ROUND(MIN(IF(C2661="Técnico III",35,IF(C2661="Técnico II",28,IF(C2661="Técnico I",23,IF(C2661="JR",20,IF(C2661="Estágio",10,0))))),IF(C2661="Técnico III",SUMIFS($D:$D,$A:$A,$A2661,$B:$B,"&lt;&gt;Patrícia Karla de Sousa Araújo",$B:$B,"&lt;&gt;Lorena Dias de Araujo",$B:$B,"&lt;&gt;Lucas Luiz Romero")*(35/1083),IF(C2661="Técnico II",SUMIFS($D:$D,$A:$A,$A2661,$B:$B,"&lt;&gt;Patrícia Karla de Sousa Araújo",$B:$B,"&lt;&gt;Lorena Dias de Araujo",$B:$B,"&lt;&gt;Lucas Luiz Romero")*(28/1083),IF(C2661="Técnico I",SUMIFS($D:$D,$A:$A,$A2661,$B:$B,"&lt;&gt;Patrícia Karla de Sousa Araújo",$B:$B,"&lt;&gt;Lorena Dias de Araujo",$B:$B,"&lt;&gt;Lucas Luiz Romero")*(23/1083),IF(C2661="JR",SUMIFS($D:$D,$A:$A,$A2661,$B:$B,"&lt;&gt;Patrícia Karla de Sousa Araújo",$B:$B,"&lt;&gt;Lorena Dias de Araujo",$B:$B,"&lt;&gt;Lucas Luiz Romero")*(20/1083),IF(C2661="Estágio",SUMIFS($D:$D,$A:$A,$A2661,$B:$B,"&lt;&gt;Patrícia Karla de Sousa Araújo",$B:$B,"&lt;&gt;Lorena Dias de Araujo",$B:$B,"&lt;&gt;Lucas Luiz Romero")*(10/1083),0)))))),0)</f>
        <v/>
      </c>
      <c r="K2661" s="3">
        <f>I2661-J2661</f>
        <v/>
      </c>
      <c r="L2661" s="3">
        <f>IF(K2661&lt;-5,"CRÍTICO",IF(K2661&lt;0,"ATENÇÃO",IF(K2661&lt;=5,"BOM","EXCELENTE")))</f>
        <v/>
      </c>
      <c r="M2661" s="3" t="n">
        <v>32</v>
      </c>
      <c r="N2661" s="3" t="n">
        <v>98.26000000000001</v>
      </c>
      <c r="O2661" s="12" t="n">
        <v>27.54491017964072</v>
      </c>
    </row>
    <row r="2662">
      <c r="A2662" s="10" t="n">
        <v>46084</v>
      </c>
      <c r="B2662" t="inlineStr">
        <is>
          <t>Sara Maria Monteiro Lopes</t>
        </is>
      </c>
      <c r="C2662" s="1" t="inlineStr">
        <is>
          <t>Técnico I</t>
        </is>
      </c>
      <c r="D2662" s="3" t="n">
        <v>21</v>
      </c>
      <c r="E2662" s="3" t="n">
        <v>20</v>
      </c>
      <c r="F2662" s="3" t="n">
        <v>26.56</v>
      </c>
      <c r="G2662" s="3" t="n">
        <v>0</v>
      </c>
      <c r="H2662" s="3" t="n">
        <v>0</v>
      </c>
      <c r="I2662" s="3">
        <f>E2662+G2662+H2662</f>
        <v/>
      </c>
      <c r="J2662" s="3">
        <f>ROUND(MIN(IF(C2662="Técnico III",35,IF(C2662="Técnico II",28,IF(C2662="Técnico I",23,IF(C2662="JR",20,IF(C2662="Estágio",10,0))))),IF(C2662="Técnico III",SUMIFS($D:$D,$A:$A,$A2662,$B:$B,"&lt;&gt;Patrícia Karla de Sousa Araújo",$B:$B,"&lt;&gt;Lorena Dias de Araujo",$B:$B,"&lt;&gt;Lucas Luiz Romero")*(35/1083),IF(C2662="Técnico II",SUMIFS($D:$D,$A:$A,$A2662,$B:$B,"&lt;&gt;Patrícia Karla de Sousa Araújo",$B:$B,"&lt;&gt;Lorena Dias de Araujo",$B:$B,"&lt;&gt;Lucas Luiz Romero")*(28/1083),IF(C2662="Técnico I",SUMIFS($D:$D,$A:$A,$A2662,$B:$B,"&lt;&gt;Patrícia Karla de Sousa Araújo",$B:$B,"&lt;&gt;Lorena Dias de Araujo",$B:$B,"&lt;&gt;Lucas Luiz Romero")*(23/1083),IF(C2662="JR",SUMIFS($D:$D,$A:$A,$A2662,$B:$B,"&lt;&gt;Patrícia Karla de Sousa Araújo",$B:$B,"&lt;&gt;Lorena Dias de Araujo",$B:$B,"&lt;&gt;Lucas Luiz Romero")*(20/1083),IF(C2662="Estágio",SUMIFS($D:$D,$A:$A,$A2662,$B:$B,"&lt;&gt;Patrícia Karla de Sousa Araújo",$B:$B,"&lt;&gt;Lorena Dias de Araujo",$B:$B,"&lt;&gt;Lucas Luiz Romero")*(10/1083),0)))))),0)</f>
        <v/>
      </c>
      <c r="K2662" s="3">
        <f>I2662-J2662</f>
        <v/>
      </c>
      <c r="L2662" s="3">
        <f>IF(K2662&lt;-5,"CRÍTICO",IF(K2662&lt;0,"ATENÇÃO",IF(K2662&lt;=5,"BOM","EXCELENTE")))</f>
        <v/>
      </c>
      <c r="M2662" s="3" t="n">
        <v>18</v>
      </c>
      <c r="N2662" s="3" t="n">
        <v>98.55</v>
      </c>
      <c r="O2662" s="12" t="n">
        <v>25.33783783783784</v>
      </c>
    </row>
    <row r="2663">
      <c r="A2663" s="10" t="n">
        <v>46084</v>
      </c>
      <c r="B2663" t="inlineStr">
        <is>
          <t>Sarah Steffanie de Lima Borges</t>
        </is>
      </c>
      <c r="C2663" s="1" t="inlineStr">
        <is>
          <t>Técnico III</t>
        </is>
      </c>
      <c r="D2663" s="3" t="n">
        <v>33</v>
      </c>
      <c r="E2663" s="3" t="n">
        <v>30</v>
      </c>
      <c r="F2663" s="3" t="n">
        <v>19.19</v>
      </c>
      <c r="G2663" s="3" t="n">
        <v>0</v>
      </c>
      <c r="H2663" s="3" t="n">
        <v>0</v>
      </c>
      <c r="I2663" s="3">
        <f>E2663+G2663+H2663</f>
        <v/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/>
      </c>
      <c r="K2663" s="3">
        <f>I2663-J2663</f>
        <v/>
      </c>
      <c r="L2663" s="3">
        <f>IF(K2663&lt;-5,"CRÍTICO",IF(K2663&lt;0,"ATENÇÃO",IF(K2663&lt;=5,"BOM","EXCELENTE")))</f>
        <v/>
      </c>
      <c r="M2663" s="3" t="n">
        <v>31</v>
      </c>
      <c r="N2663" s="3" t="n">
        <v>98.39</v>
      </c>
      <c r="O2663" s="12" t="n">
        <v>25.56390977443609</v>
      </c>
    </row>
    <row r="2664">
      <c r="A2664" s="10" t="n">
        <v>46085</v>
      </c>
      <c r="B2664" t="inlineStr">
        <is>
          <t>Alisson de Freitas Silva</t>
        </is>
      </c>
      <c r="C2664" s="1" t="inlineStr">
        <is>
          <t>Técnico II</t>
        </is>
      </c>
      <c r="D2664" s="3" t="n">
        <v>27</v>
      </c>
      <c r="E2664" s="3" t="n">
        <v>22</v>
      </c>
      <c r="F2664" s="3" t="n">
        <v>23.28</v>
      </c>
      <c r="G2664" s="3" t="n">
        <v>0</v>
      </c>
      <c r="H2664" s="3" t="n">
        <v>0</v>
      </c>
      <c r="I2664" s="3">
        <f>E2664+G2664+H2664</f>
        <v/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/>
      </c>
      <c r="K2664" s="3">
        <f>I2664-J2664</f>
        <v/>
      </c>
      <c r="L2664" s="3">
        <f>IF(K2664&lt;-5,"CRÍTICO",IF(K2664&lt;0,"ATENÇÃO",IF(K2664&lt;=5,"BOM","EXCELENTE")))</f>
        <v/>
      </c>
      <c r="M2664" s="3" t="n">
        <v>20</v>
      </c>
      <c r="N2664" s="3" t="n">
        <v>94.29000000000001</v>
      </c>
      <c r="O2664" s="12" t="n">
        <v>25.64766839378239</v>
      </c>
    </row>
    <row r="2665">
      <c r="A2665" s="10" t="n">
        <v>46085</v>
      </c>
      <c r="B2665" t="inlineStr">
        <is>
          <t>Amanda Moura Ferreira</t>
        </is>
      </c>
      <c r="C2665" s="1" t="inlineStr">
        <is>
          <t>Técnico III</t>
        </is>
      </c>
      <c r="D2665" s="3" t="n">
        <v>0</v>
      </c>
      <c r="E2665" s="3" t="n">
        <v>0</v>
      </c>
      <c r="F2665" s="3" t="n">
        <v>0</v>
      </c>
      <c r="G2665" s="3" t="n">
        <v>0</v>
      </c>
      <c r="H2665" s="3" t="n">
        <v>0</v>
      </c>
      <c r="I2665" s="3" t="n">
        <v>0</v>
      </c>
      <c r="J2665" s="3" t="n">
        <v>0</v>
      </c>
      <c r="K2665" s="3" t="n">
        <v>0</v>
      </c>
      <c r="L2665" s="3">
        <f>IF(K2665&lt;-5,"CRÍTICO",IF(K2665&lt;0,"ATENÇÃO",IF(K2665&lt;=5,"BOM","EXCELENTE")))</f>
        <v/>
      </c>
      <c r="M2665" s="3" t="n">
        <v>20</v>
      </c>
      <c r="N2665" s="3" t="n">
        <v>98.26000000000001</v>
      </c>
      <c r="O2665" s="12" t="n">
        <v>26.66666666666667</v>
      </c>
    </row>
    <row r="2666">
      <c r="A2666" s="10" t="n">
        <v>46085</v>
      </c>
      <c r="B2666" t="inlineStr">
        <is>
          <t>Ana Karollyne Souza Faria</t>
        </is>
      </c>
      <c r="C2666" s="1" t="inlineStr">
        <is>
          <t>Técnico I</t>
        </is>
      </c>
      <c r="D2666" s="3" t="n">
        <v>21</v>
      </c>
      <c r="E2666" s="3" t="n">
        <v>20</v>
      </c>
      <c r="F2666" s="3" t="n">
        <v>26.5</v>
      </c>
      <c r="G2666" s="3" t="n">
        <v>0</v>
      </c>
      <c r="H2666" s="3" t="n">
        <v>0</v>
      </c>
      <c r="I2666" s="3">
        <f>E2666+G2666+H2666</f>
        <v/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/>
      </c>
      <c r="K2666" s="3">
        <f>I2666-J2666</f>
        <v/>
      </c>
      <c r="L2666" s="3">
        <f>IF(K2666&lt;-5,"CRÍTICO",IF(K2666&lt;0,"ATENÇÃO",IF(K2666&lt;=5,"BOM","EXCELENTE")))</f>
        <v/>
      </c>
      <c r="M2666" s="3" t="n">
        <v>20</v>
      </c>
      <c r="N2666" s="3" t="n">
        <v>98.2</v>
      </c>
      <c r="O2666" s="12" t="n">
        <v>23.37962962962963</v>
      </c>
    </row>
    <row r="2667">
      <c r="A2667" s="10" t="n">
        <v>46085</v>
      </c>
      <c r="B2667" t="inlineStr">
        <is>
          <t>Ana Paula Da Luz Silva Aleixo</t>
        </is>
      </c>
      <c r="C2667" s="1" t="inlineStr">
        <is>
          <t>Técnico III</t>
        </is>
      </c>
      <c r="D2667" s="3" t="n">
        <v>33</v>
      </c>
      <c r="E2667" s="3" t="n">
        <v>30</v>
      </c>
      <c r="F2667" s="3" t="n">
        <v>19.04</v>
      </c>
      <c r="G2667" s="3" t="n">
        <v>0</v>
      </c>
      <c r="H2667" s="3" t="n">
        <v>0</v>
      </c>
      <c r="I2667" s="3">
        <f>E2667+G2667+H2667</f>
        <v/>
      </c>
      <c r="J2667" s="3">
        <f>ROUND(MIN(IF(C2667="Técnico III",35,IF(C2667="Técnico II",28,IF(C2667="Técnico I",23,IF(C2667="JR",20,IF(C2667="Estágio",10,0))))),IF(C2667="Técnico III",SUMIFS($D:$D,$A:$A,$A2667,$B:$B,"&lt;&gt;Patrícia Karla de Sousa Araújo",$B:$B,"&lt;&gt;Lorena Dias de Araujo",$B:$B,"&lt;&gt;Lucas Luiz Romero")*(35/1083),IF(C2667="Técnico II",SUMIFS($D:$D,$A:$A,$A2667,$B:$B,"&lt;&gt;Patrícia Karla de Sousa Araújo",$B:$B,"&lt;&gt;Lorena Dias de Araujo",$B:$B,"&lt;&gt;Lucas Luiz Romero")*(28/1083),IF(C2667="Técnico I",SUMIFS($D:$D,$A:$A,$A2667,$B:$B,"&lt;&gt;Patrícia Karla de Sousa Araújo",$B:$B,"&lt;&gt;Lorena Dias de Araujo",$B:$B,"&lt;&gt;Lucas Luiz Romero")*(23/1083),IF(C2667="JR",SUMIFS($D:$D,$A:$A,$A2667,$B:$B,"&lt;&gt;Patrícia Karla de Sousa Araújo",$B:$B,"&lt;&gt;Lorena Dias de Araujo",$B:$B,"&lt;&gt;Lucas Luiz Romero")*(20/1083),IF(C2667="Estágio",SUMIFS($D:$D,$A:$A,$A2667,$B:$B,"&lt;&gt;Patrícia Karla de Sousa Araújo",$B:$B,"&lt;&gt;Lorena Dias de Araujo",$B:$B,"&lt;&gt;Lucas Luiz Romero")*(10/1083),0)))))),0)</f>
        <v/>
      </c>
      <c r="K2667" s="3">
        <f>I2667-J2667</f>
        <v/>
      </c>
      <c r="L2667" s="3">
        <f>IF(K2667&lt;-5,"CRÍTICO",IF(K2667&lt;0,"ATENÇÃO",IF(K2667&lt;=5,"BOM","EXCELENTE")))</f>
        <v/>
      </c>
      <c r="M2667" s="3" t="n">
        <v>30</v>
      </c>
      <c r="N2667" s="3" t="n">
        <v>97.3</v>
      </c>
      <c r="O2667" s="12" t="n">
        <v>23.84769539078156</v>
      </c>
    </row>
    <row r="2668">
      <c r="A2668" s="10" t="n">
        <v>46085</v>
      </c>
      <c r="B2668" t="inlineStr">
        <is>
          <t>Anna Luiza Rezende Tavares</t>
        </is>
      </c>
      <c r="C2668" s="1" t="inlineStr">
        <is>
          <t>Estágio</t>
        </is>
      </c>
      <c r="D2668" s="3" t="n">
        <v>8</v>
      </c>
      <c r="E2668" s="3" t="n">
        <v>6</v>
      </c>
      <c r="F2668" s="3" t="n">
        <v>40.26</v>
      </c>
      <c r="G2668" s="3" t="n">
        <v>0</v>
      </c>
      <c r="H2668" s="3" t="n">
        <v>0</v>
      </c>
      <c r="I2668" s="3">
        <f>E2668+G2668+H2668</f>
        <v/>
      </c>
      <c r="J2668" s="3">
        <f>ROUND(MIN(IF(C2668="Técnico III",35,IF(C2668="Técnico II",28,IF(C2668="Técnico I",23,IF(C2668="JR",20,IF(C2668="Estágio",10,0))))),IF(C2668="Técnico III",SUMIFS($D:$D,$A:$A,$A2668,$B:$B,"&lt;&gt;Patrícia Karla de Sousa Araújo",$B:$B,"&lt;&gt;Lorena Dias de Araujo",$B:$B,"&lt;&gt;Lucas Luiz Romero")*(35/1083),IF(C2668="Técnico II",SUMIFS($D:$D,$A:$A,$A2668,$B:$B,"&lt;&gt;Patrícia Karla de Sousa Araújo",$B:$B,"&lt;&gt;Lorena Dias de Araujo",$B:$B,"&lt;&gt;Lucas Luiz Romero")*(28/1083),IF(C2668="Técnico I",SUMIFS($D:$D,$A:$A,$A2668,$B:$B,"&lt;&gt;Patrícia Karla de Sousa Araújo",$B:$B,"&lt;&gt;Lorena Dias de Araujo",$B:$B,"&lt;&gt;Lucas Luiz Romero")*(23/1083),IF(C2668="JR",SUMIFS($D:$D,$A:$A,$A2668,$B:$B,"&lt;&gt;Patrícia Karla de Sousa Araújo",$B:$B,"&lt;&gt;Lorena Dias de Araujo",$B:$B,"&lt;&gt;Lucas Luiz Romero")*(20/1083),IF(C2668="Estágio",SUMIFS($D:$D,$A:$A,$A2668,$B:$B,"&lt;&gt;Patrícia Karla de Sousa Araújo",$B:$B,"&lt;&gt;Lorena Dias de Araujo",$B:$B,"&lt;&gt;Lucas Luiz Romero")*(10/1083),0)))))),0)</f>
        <v/>
      </c>
      <c r="K2668" s="3">
        <f>I2668-J2668</f>
        <v/>
      </c>
      <c r="L2668" s="3">
        <f>IF(K2668&lt;-5,"CRÍTICO",IF(K2668&lt;0,"ATENÇÃO",IF(K2668&lt;=5,"BOM","EXCELENTE")))</f>
        <v/>
      </c>
      <c r="M2668" s="3" t="n">
        <v>6</v>
      </c>
      <c r="N2668" s="3" t="n">
        <v>100</v>
      </c>
      <c r="O2668" s="12" t="n">
        <v>25.26881720430108</v>
      </c>
    </row>
    <row r="2669">
      <c r="A2669" s="10" t="n">
        <v>46085</v>
      </c>
      <c r="B2669" t="inlineStr">
        <is>
          <t>Brenda de Menezes Silva</t>
        </is>
      </c>
      <c r="C2669" s="1" t="inlineStr">
        <is>
          <t>Técnico II</t>
        </is>
      </c>
      <c r="D2669" s="3" t="n">
        <v>34</v>
      </c>
      <c r="E2669" s="3" t="n">
        <v>32</v>
      </c>
      <c r="F2669" s="3" t="n">
        <v>17.39</v>
      </c>
      <c r="G2669" s="3" t="n">
        <v>0</v>
      </c>
      <c r="H2669" s="3" t="n">
        <v>0</v>
      </c>
      <c r="I2669" s="3">
        <f>E2669+G2669+H2669</f>
        <v/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/>
      </c>
      <c r="K2669" s="3">
        <f>I2669-J2669</f>
        <v/>
      </c>
      <c r="L2669" s="3">
        <f>IF(K2669&lt;-5,"CRÍTICO",IF(K2669&lt;0,"ATENÇÃO",IF(K2669&lt;=5,"BOM","EXCELENTE")))</f>
        <v/>
      </c>
      <c r="M2669" s="3" t="n">
        <v>32</v>
      </c>
      <c r="N2669" s="3" t="n">
        <v>99.31999999999999</v>
      </c>
      <c r="O2669" s="12" t="n">
        <v>22.82282282282282</v>
      </c>
    </row>
    <row r="2670">
      <c r="A2670" s="10" t="n">
        <v>46085</v>
      </c>
      <c r="B2670" t="inlineStr">
        <is>
          <t>Carlos Mateus Cassimiro Nunes</t>
        </is>
      </c>
      <c r="C2670" s="1" t="inlineStr">
        <is>
          <t>Técnico II</t>
        </is>
      </c>
      <c r="D2670" s="3" t="n">
        <v>0</v>
      </c>
      <c r="E2670" s="3" t="n">
        <v>0</v>
      </c>
      <c r="F2670" s="3" t="n">
        <v>0</v>
      </c>
      <c r="G2670" s="3" t="n">
        <v>0</v>
      </c>
      <c r="H2670" s="3" t="n">
        <v>0</v>
      </c>
      <c r="I2670" s="3" t="n">
        <v>0</v>
      </c>
      <c r="J2670" s="3" t="n">
        <v>0</v>
      </c>
      <c r="K2670" s="3" t="n">
        <v>0</v>
      </c>
      <c r="L2670" s="3">
        <f>IF(K2670&lt;-5,"CRÍTICO",IF(K2670&lt;0,"ATENÇÃO",IF(K2670&lt;=5,"BOM","EXCELENTE")))</f>
        <v/>
      </c>
      <c r="M2670" s="3" t="n">
        <v>0</v>
      </c>
      <c r="N2670" s="3" t="n">
        <v>100</v>
      </c>
      <c r="O2670" s="12" t="n">
        <v>27.96610169491525</v>
      </c>
    </row>
    <row r="2671">
      <c r="A2671" s="10" t="n">
        <v>46085</v>
      </c>
      <c r="B2671" t="inlineStr">
        <is>
          <t>Claudio de Sousa Velasco Filho</t>
        </is>
      </c>
      <c r="C2671" s="1" t="inlineStr">
        <is>
          <t>Estágio</t>
        </is>
      </c>
      <c r="D2671" s="3" t="n">
        <v>0</v>
      </c>
      <c r="E2671" s="3" t="n">
        <v>0</v>
      </c>
      <c r="F2671" s="3" t="n">
        <v>0</v>
      </c>
      <c r="G2671" s="3" t="n">
        <v>0</v>
      </c>
      <c r="H2671" s="3" t="n">
        <v>0</v>
      </c>
      <c r="I2671" s="3" t="n">
        <v>0</v>
      </c>
      <c r="J2671" s="3" t="n">
        <v>0</v>
      </c>
      <c r="K2671" s="3" t="n">
        <v>0</v>
      </c>
      <c r="L2671" s="3">
        <f>IF(K2671&lt;-5,"CRÍTICO",IF(K2671&lt;0,"ATENÇÃO",IF(K2671&lt;=5,"BOM","EXCELENTE")))</f>
        <v/>
      </c>
      <c r="M2671" s="3" t="n">
        <v>0</v>
      </c>
      <c r="N2671" s="3" t="n">
        <v>100</v>
      </c>
      <c r="O2671" s="12" t="n">
        <v>30.43478260869566</v>
      </c>
    </row>
    <row r="2672">
      <c r="A2672" s="10" t="n">
        <v>46085</v>
      </c>
      <c r="B2672" t="inlineStr">
        <is>
          <t>Clessiane Pereira dos Santos</t>
        </is>
      </c>
      <c r="C2672" s="1" t="inlineStr">
        <is>
          <t>Técnico I</t>
        </is>
      </c>
      <c r="D2672" s="3" t="n">
        <v>21</v>
      </c>
      <c r="E2672" s="3" t="n">
        <v>18</v>
      </c>
      <c r="F2672" s="3" t="n">
        <v>28.3</v>
      </c>
      <c r="G2672" s="3" t="n">
        <v>0</v>
      </c>
      <c r="H2672" s="3" t="n">
        <v>0</v>
      </c>
      <c r="I2672" s="3">
        <f>E2672+G2672+H2672</f>
        <v/>
      </c>
      <c r="J2672" s="3">
        <f>ROUND(MIN(IF(C2672="Técnico III",35,IF(C2672="Técnico II",28,IF(C2672="Técnico I",23,IF(C2672="JR",20,IF(C2672="Estágio",10,0))))),IF(C2672="Técnico III",SUMIFS($D:$D,$A:$A,$A2672,$B:$B,"&lt;&gt;Patrícia Karla de Sousa Araújo",$B:$B,"&lt;&gt;Lorena Dias de Araujo",$B:$B,"&lt;&gt;Lucas Luiz Romero")*(35/1083),IF(C2672="Técnico II",SUMIFS($D:$D,$A:$A,$A2672,$B:$B,"&lt;&gt;Patrícia Karla de Sousa Araújo",$B:$B,"&lt;&gt;Lorena Dias de Araujo",$B:$B,"&lt;&gt;Lucas Luiz Romero")*(28/1083),IF(C2672="Técnico I",SUMIFS($D:$D,$A:$A,$A2672,$B:$B,"&lt;&gt;Patrícia Karla de Sousa Araújo",$B:$B,"&lt;&gt;Lorena Dias de Araujo",$B:$B,"&lt;&gt;Lucas Luiz Romero")*(23/1083),IF(C2672="JR",SUMIFS($D:$D,$A:$A,$A2672,$B:$B,"&lt;&gt;Patrícia Karla de Sousa Araújo",$B:$B,"&lt;&gt;Lorena Dias de Araujo",$B:$B,"&lt;&gt;Lucas Luiz Romero")*(20/1083),IF(C2672="Estágio",SUMIFS($D:$D,$A:$A,$A2672,$B:$B,"&lt;&gt;Patrícia Karla de Sousa Araújo",$B:$B,"&lt;&gt;Lorena Dias de Araujo",$B:$B,"&lt;&gt;Lucas Luiz Romero")*(10/1083),0)))))),0)</f>
        <v/>
      </c>
      <c r="K2672" s="3">
        <f>I2672-J2672</f>
        <v/>
      </c>
      <c r="L2672" s="3">
        <f>IF(K2672&lt;-5,"CRÍTICO",IF(K2672&lt;0,"ATENÇÃO",IF(K2672&lt;=5,"BOM","EXCELENTE")))</f>
        <v/>
      </c>
      <c r="M2672" s="3" t="n">
        <v>17</v>
      </c>
      <c r="N2672" s="3" t="n">
        <v>96.51000000000001</v>
      </c>
      <c r="O2672" s="12" t="n">
        <v>22.80285035629454</v>
      </c>
    </row>
    <row r="2673">
      <c r="A2673" s="10" t="n">
        <v>46085</v>
      </c>
      <c r="B2673" t="inlineStr">
        <is>
          <t>Cristiane Ramos da Silva Rocha</t>
        </is>
      </c>
      <c r="C2673" s="1" t="inlineStr">
        <is>
          <t>Técnico III</t>
        </is>
      </c>
      <c r="D2673" s="3" t="n">
        <v>39</v>
      </c>
      <c r="E2673" s="3" t="n">
        <v>38</v>
      </c>
      <c r="F2673" s="3" t="n">
        <v>16.42</v>
      </c>
      <c r="G2673" s="3" t="n">
        <v>0</v>
      </c>
      <c r="H2673" s="3" t="n">
        <v>0</v>
      </c>
      <c r="I2673" s="3">
        <f>E2673+G2673+H2673</f>
        <v/>
      </c>
      <c r="J2673" s="3">
        <f>ROUND(MIN(IF(C2673="Técnico III",35,IF(C2673="Técnico II",28,IF(C2673="Técnico I",23,IF(C2673="JR",20,IF(C2673="Estágio",10,0))))),IF(C2673="Técnico III",SUMIFS($D:$D,$A:$A,$A2673,$B:$B,"&lt;&gt;Patrícia Karla de Sousa Araújo",$B:$B,"&lt;&gt;Lorena Dias de Araujo",$B:$B,"&lt;&gt;Lucas Luiz Romero")*(35/1083),IF(C2673="Técnico II",SUMIFS($D:$D,$A:$A,$A2673,$B:$B,"&lt;&gt;Patrícia Karla de Sousa Araújo",$B:$B,"&lt;&gt;Lorena Dias de Araujo",$B:$B,"&lt;&gt;Lucas Luiz Romero")*(28/1083),IF(C2673="Técnico I",SUMIFS($D:$D,$A:$A,$A2673,$B:$B,"&lt;&gt;Patrícia Karla de Sousa Araújo",$B:$B,"&lt;&gt;Lorena Dias de Araujo",$B:$B,"&lt;&gt;Lucas Luiz Romero")*(23/1083),IF(C2673="JR",SUMIFS($D:$D,$A:$A,$A2673,$B:$B,"&lt;&gt;Patrícia Karla de Sousa Araújo",$B:$B,"&lt;&gt;Lorena Dias de Araujo",$B:$B,"&lt;&gt;Lucas Luiz Romero")*(20/1083),IF(C2673="Estágio",SUMIFS($D:$D,$A:$A,$A2673,$B:$B,"&lt;&gt;Patrícia Karla de Sousa Araújo",$B:$B,"&lt;&gt;Lorena Dias de Araujo",$B:$B,"&lt;&gt;Lucas Luiz Romero")*(10/1083),0)))))),0)</f>
        <v/>
      </c>
      <c r="K2673" s="3">
        <f>I2673-J2673</f>
        <v/>
      </c>
      <c r="L2673" s="3">
        <f>IF(K2673&lt;-5,"CRÍTICO",IF(K2673&lt;0,"ATENÇÃO",IF(K2673&lt;=5,"BOM","EXCELENTE")))</f>
        <v/>
      </c>
      <c r="M2673" s="3" t="n">
        <v>34</v>
      </c>
      <c r="N2673" s="3" t="n">
        <v>92.68000000000001</v>
      </c>
      <c r="O2673" s="12" t="n">
        <v>27.77777777777778</v>
      </c>
    </row>
    <row r="2674">
      <c r="A2674" s="10" t="n">
        <v>46085</v>
      </c>
      <c r="B2674" t="inlineStr">
        <is>
          <t>Damyllis Lorraine de Oliveira Gonçalves</t>
        </is>
      </c>
      <c r="C2674" s="1" t="inlineStr">
        <is>
          <t>Técnico II</t>
        </is>
      </c>
      <c r="D2674" s="3" t="n">
        <v>34</v>
      </c>
      <c r="E2674" s="3" t="n">
        <v>34</v>
      </c>
      <c r="F2674" s="3" t="n">
        <v>20.57</v>
      </c>
      <c r="G2674" s="3" t="n">
        <v>0</v>
      </c>
      <c r="H2674" s="3" t="n">
        <v>0</v>
      </c>
      <c r="I2674" s="3" t="n">
        <v>0</v>
      </c>
      <c r="J2674" s="3" t="n">
        <v>0</v>
      </c>
      <c r="K2674" s="3" t="n">
        <v>0</v>
      </c>
      <c r="L2674" s="3">
        <f>IF(K2674&lt;-5,"CRÍTICO",IF(K2674&lt;0,"ATENÇÃO",IF(K2674&lt;=5,"BOM","EXCELENTE")))</f>
        <v/>
      </c>
      <c r="M2674" s="3" t="n">
        <v>29</v>
      </c>
      <c r="N2674" s="3" t="n">
        <v>99.03</v>
      </c>
      <c r="O2674" s="12" t="n">
        <v>23.99150743099788</v>
      </c>
    </row>
    <row r="2675">
      <c r="A2675" s="10" t="n">
        <v>46085</v>
      </c>
      <c r="B2675" t="inlineStr">
        <is>
          <t>Daniel Gomes da Silva</t>
        </is>
      </c>
      <c r="C2675" s="1" t="inlineStr">
        <is>
          <t>Técnico I</t>
        </is>
      </c>
      <c r="D2675" s="3" t="n">
        <v>26</v>
      </c>
      <c r="E2675" s="3" t="n">
        <v>25</v>
      </c>
      <c r="F2675" s="3" t="n">
        <v>22.15</v>
      </c>
      <c r="G2675" s="3" t="n">
        <v>0</v>
      </c>
      <c r="H2675" s="3" t="n">
        <v>0</v>
      </c>
      <c r="I2675" s="3">
        <f>E2675+G2675+H2675</f>
        <v/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/>
      </c>
      <c r="K2675" s="3">
        <f>I2675-J2675</f>
        <v/>
      </c>
      <c r="L2675" s="3">
        <f>IF(K2675&lt;-5,"CRÍTICO",IF(K2675&lt;0,"ATENÇÃO",IF(K2675&lt;=5,"BOM","EXCELENTE")))</f>
        <v/>
      </c>
      <c r="M2675" s="3" t="n">
        <v>14</v>
      </c>
      <c r="N2675" s="3" t="n">
        <v>98.41</v>
      </c>
      <c r="O2675" s="12" t="n">
        <v>28.13852813852814</v>
      </c>
    </row>
    <row r="2676">
      <c r="A2676" s="10" t="n">
        <v>46085</v>
      </c>
      <c r="B2676" t="inlineStr">
        <is>
          <t>Davylla Rodrigues Freitas Silva</t>
        </is>
      </c>
      <c r="C2676" s="1" t="inlineStr">
        <is>
          <t>Técnico III</t>
        </is>
      </c>
      <c r="D2676" s="3" t="n">
        <v>33</v>
      </c>
      <c r="E2676" s="3" t="n">
        <v>31</v>
      </c>
      <c r="F2676" s="3" t="n">
        <v>23.38</v>
      </c>
      <c r="G2676" s="3" t="n">
        <v>0</v>
      </c>
      <c r="H2676" s="3" t="n">
        <v>0</v>
      </c>
      <c r="I2676" s="3" t="n">
        <v>0</v>
      </c>
      <c r="J2676" s="3" t="n">
        <v>0</v>
      </c>
      <c r="K2676" s="3" t="n">
        <v>0</v>
      </c>
      <c r="L2676" s="3">
        <f>IF(K2676&lt;-5,"CRÍTICO",IF(K2676&lt;0,"ATENÇÃO",IF(K2676&lt;=5,"BOM","EXCELENTE")))</f>
        <v/>
      </c>
      <c r="M2676" s="3" t="n">
        <v>32</v>
      </c>
      <c r="N2676" s="3" t="n">
        <v>98.73</v>
      </c>
      <c r="O2676" s="12" t="n">
        <v>29.14285714285714</v>
      </c>
    </row>
    <row r="2677">
      <c r="A2677" s="10" t="n">
        <v>46085</v>
      </c>
      <c r="B2677" t="inlineStr">
        <is>
          <t>Emilly Caylane Costa</t>
        </is>
      </c>
      <c r="C2677" s="1" t="inlineStr">
        <is>
          <t>Estágio</t>
        </is>
      </c>
      <c r="D2677" s="3" t="n">
        <v>11</v>
      </c>
      <c r="E2677" s="3" t="n">
        <v>10</v>
      </c>
      <c r="F2677" s="3" t="n">
        <v>30.32</v>
      </c>
      <c r="G2677" s="3" t="n">
        <v>0</v>
      </c>
      <c r="H2677" s="3" t="n">
        <v>0</v>
      </c>
      <c r="I2677" s="3">
        <f>E2677+G2677+H2677</f>
        <v/>
      </c>
      <c r="J2677" s="3">
        <f>ROUND(MIN(IF(C2677="Técnico III",35,IF(C2677="Técnico II",28,IF(C2677="Técnico I",23,IF(C2677="JR",20,IF(C2677="Estágio",10,0))))),IF(C2677="Técnico III",SUMIFS($D:$D,$A:$A,$A2677,$B:$B,"&lt;&gt;Patrícia Karla de Sousa Araújo",$B:$B,"&lt;&gt;Lorena Dias de Araujo",$B:$B,"&lt;&gt;Lucas Luiz Romero")*(35/1083),IF(C2677="Técnico II",SUMIFS($D:$D,$A:$A,$A2677,$B:$B,"&lt;&gt;Patrícia Karla de Sousa Araújo",$B:$B,"&lt;&gt;Lorena Dias de Araujo",$B:$B,"&lt;&gt;Lucas Luiz Romero")*(28/1083),IF(C2677="Técnico I",SUMIFS($D:$D,$A:$A,$A2677,$B:$B,"&lt;&gt;Patrícia Karla de Sousa Araújo",$B:$B,"&lt;&gt;Lorena Dias de Araujo",$B:$B,"&lt;&gt;Lucas Luiz Romero")*(23/1083),IF(C2677="JR",SUMIFS($D:$D,$A:$A,$A2677,$B:$B,"&lt;&gt;Patrícia Karla de Sousa Araújo",$B:$B,"&lt;&gt;Lorena Dias de Araujo",$B:$B,"&lt;&gt;Lucas Luiz Romero")*(20/1083),IF(C2677="Estágio",SUMIFS($D:$D,$A:$A,$A2677,$B:$B,"&lt;&gt;Patrícia Karla de Sousa Araújo",$B:$B,"&lt;&gt;Lorena Dias de Araujo",$B:$B,"&lt;&gt;Lucas Luiz Romero")*(10/1083),0)))))),0)</f>
        <v/>
      </c>
      <c r="K2677" s="3">
        <f>I2677-J2677</f>
        <v/>
      </c>
      <c r="L2677" s="3">
        <f>IF(K2677&lt;-5,"CRÍTICO",IF(K2677&lt;0,"ATENÇÃO",IF(K2677&lt;=5,"BOM","EXCELENTE")))</f>
        <v/>
      </c>
      <c r="M2677" s="3" t="n">
        <v>7</v>
      </c>
      <c r="N2677" s="3" t="n">
        <v>90.48</v>
      </c>
      <c r="O2677" s="12" t="n">
        <v>20.68965517241379</v>
      </c>
    </row>
    <row r="2678">
      <c r="A2678" s="10" t="n">
        <v>46085</v>
      </c>
      <c r="B2678" t="inlineStr">
        <is>
          <t>Emilly Kamilly Medeiros Miranda</t>
        </is>
      </c>
      <c r="C2678" s="1" t="inlineStr">
        <is>
          <t>Técnico II</t>
        </is>
      </c>
      <c r="D2678" s="3" t="n">
        <v>22</v>
      </c>
      <c r="E2678" s="3" t="n">
        <v>21</v>
      </c>
      <c r="F2678" s="3" t="n">
        <v>28.51</v>
      </c>
      <c r="G2678" s="3" t="n">
        <v>0</v>
      </c>
      <c r="H2678" s="3" t="n">
        <v>0</v>
      </c>
      <c r="I2678" s="3">
        <f>E2678+G2678+H2678</f>
        <v/>
      </c>
      <c r="J2678" s="3">
        <f>ROUND(MIN(IF(C2678="Técnico III",35,IF(C2678="Técnico II",28,IF(C2678="Técnico I",23,IF(C2678="JR",20,IF(C2678="Estágio",10,0))))),IF(C2678="Técnico III",SUMIFS($D:$D,$A:$A,$A2678,$B:$B,"&lt;&gt;Patrícia Karla de Sousa Araújo",$B:$B,"&lt;&gt;Lorena Dias de Araujo",$B:$B,"&lt;&gt;Lucas Luiz Romero")*(35/1083),IF(C2678="Técnico II",SUMIFS($D:$D,$A:$A,$A2678,$B:$B,"&lt;&gt;Patrícia Karla de Sousa Araújo",$B:$B,"&lt;&gt;Lorena Dias de Araujo",$B:$B,"&lt;&gt;Lucas Luiz Romero")*(28/1083),IF(C2678="Técnico I",SUMIFS($D:$D,$A:$A,$A2678,$B:$B,"&lt;&gt;Patrícia Karla de Sousa Araújo",$B:$B,"&lt;&gt;Lorena Dias de Araujo",$B:$B,"&lt;&gt;Lucas Luiz Romero")*(23/1083),IF(C2678="JR",SUMIFS($D:$D,$A:$A,$A2678,$B:$B,"&lt;&gt;Patrícia Karla de Sousa Araújo",$B:$B,"&lt;&gt;Lorena Dias de Araujo",$B:$B,"&lt;&gt;Lucas Luiz Romero")*(20/1083),IF(C2678="Estágio",SUMIFS($D:$D,$A:$A,$A2678,$B:$B,"&lt;&gt;Patrícia Karla de Sousa Araújo",$B:$B,"&lt;&gt;Lorena Dias de Araujo",$B:$B,"&lt;&gt;Lucas Luiz Romero")*(10/1083),0)))))),0)</f>
        <v/>
      </c>
      <c r="K2678" s="3">
        <f>I2678-J2678</f>
        <v/>
      </c>
      <c r="L2678" s="3">
        <f>IF(K2678&lt;-5,"CRÍTICO",IF(K2678&lt;0,"ATENÇÃO",IF(K2678&lt;=5,"BOM","EXCELENTE")))</f>
        <v/>
      </c>
      <c r="M2678" s="3" t="n">
        <v>20</v>
      </c>
      <c r="N2678" s="3" t="n">
        <v>98.06</v>
      </c>
      <c r="O2678" s="12" t="n">
        <v>24.78991596638656</v>
      </c>
    </row>
    <row r="2679">
      <c r="A2679" s="10" t="n">
        <v>46085</v>
      </c>
      <c r="B2679" t="inlineStr">
        <is>
          <t>Francielson de Oliveira</t>
        </is>
      </c>
      <c r="C2679" s="1" t="inlineStr">
        <is>
          <t>Técnico III</t>
        </is>
      </c>
      <c r="D2679" s="3" t="n">
        <v>30</v>
      </c>
      <c r="E2679" s="3" t="n">
        <v>29</v>
      </c>
      <c r="F2679" s="3" t="n">
        <v>15.59</v>
      </c>
      <c r="G2679" s="3" t="n">
        <v>0</v>
      </c>
      <c r="H2679" s="3" t="n">
        <v>0</v>
      </c>
      <c r="I2679" s="3">
        <f>E2679+G2679+H2679</f>
        <v/>
      </c>
      <c r="J2679" s="3">
        <f>ROUND(MIN(IF(C2679="Técnico III",35,IF(C2679="Técnico II",28,IF(C2679="Técnico I",23,IF(C2679="JR",20,IF(C2679="Estágio",10,0))))),IF(C2679="Técnico III",SUMIFS($D:$D,$A:$A,$A2679,$B:$B,"&lt;&gt;Patrícia Karla de Sousa Araújo",$B:$B,"&lt;&gt;Lorena Dias de Araujo",$B:$B,"&lt;&gt;Lucas Luiz Romero")*(35/1083),IF(C2679="Técnico II",SUMIFS($D:$D,$A:$A,$A2679,$B:$B,"&lt;&gt;Patrícia Karla de Sousa Araújo",$B:$B,"&lt;&gt;Lorena Dias de Araujo",$B:$B,"&lt;&gt;Lucas Luiz Romero")*(28/1083),IF(C2679="Técnico I",SUMIFS($D:$D,$A:$A,$A2679,$B:$B,"&lt;&gt;Patrícia Karla de Sousa Araújo",$B:$B,"&lt;&gt;Lorena Dias de Araujo",$B:$B,"&lt;&gt;Lucas Luiz Romero")*(23/1083),IF(C2679="JR",SUMIFS($D:$D,$A:$A,$A2679,$B:$B,"&lt;&gt;Patrícia Karla de Sousa Araújo",$B:$B,"&lt;&gt;Lorena Dias de Araujo",$B:$B,"&lt;&gt;Lucas Luiz Romero")*(20/1083),IF(C2679="Estágio",SUMIFS($D:$D,$A:$A,$A2679,$B:$B,"&lt;&gt;Patrícia Karla de Sousa Araújo",$B:$B,"&lt;&gt;Lorena Dias de Araujo",$B:$B,"&lt;&gt;Lucas Luiz Romero")*(10/1083),0)))))),0)</f>
        <v/>
      </c>
      <c r="K2679" s="3">
        <f>I2679-J2679</f>
        <v/>
      </c>
      <c r="L2679" s="3">
        <f>IF(K2679&lt;-5,"CRÍTICO",IF(K2679&lt;0,"ATENÇÃO",IF(K2679&lt;=5,"BOM","EXCELENTE")))</f>
        <v/>
      </c>
      <c r="M2679" s="3" t="n">
        <v>33</v>
      </c>
      <c r="N2679" s="3" t="n">
        <v>97.78</v>
      </c>
      <c r="O2679" s="12" t="n">
        <v>25.49407114624506</v>
      </c>
    </row>
    <row r="2680">
      <c r="A2680" s="10" t="n">
        <v>46085</v>
      </c>
      <c r="B2680" t="inlineStr">
        <is>
          <t>Francilene Ferreira de Jesus</t>
        </is>
      </c>
      <c r="C2680" s="1" t="inlineStr">
        <is>
          <t>Técnico II</t>
        </is>
      </c>
      <c r="D2680" s="3" t="n">
        <v>40</v>
      </c>
      <c r="E2680" s="3" t="n">
        <v>35</v>
      </c>
      <c r="F2680" s="3" t="n">
        <v>16.53</v>
      </c>
      <c r="G2680" s="3" t="n">
        <v>0</v>
      </c>
      <c r="H2680" s="3" t="n">
        <v>0</v>
      </c>
      <c r="I2680" s="3">
        <f>E2680+G2680+H2680</f>
        <v/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/>
      </c>
      <c r="K2680" s="3">
        <f>I2680-J2680</f>
        <v/>
      </c>
      <c r="L2680" s="3">
        <f>IF(K2680&lt;-5,"CRÍTICO",IF(K2680&lt;0,"ATENÇÃO",IF(K2680&lt;=5,"BOM","EXCELENTE")))</f>
        <v/>
      </c>
      <c r="M2680" s="3" t="n">
        <v>34</v>
      </c>
      <c r="N2680" s="3" t="n">
        <v>98.02</v>
      </c>
      <c r="O2680" s="12" t="n">
        <v>23.48484848484848</v>
      </c>
    </row>
    <row r="2681">
      <c r="A2681" s="10" t="n">
        <v>46119</v>
      </c>
      <c r="B2681" t="inlineStr">
        <is>
          <t>Gabriel Gomes de Andrade</t>
        </is>
      </c>
      <c r="C2681" s="1" t="inlineStr">
        <is>
          <t>Técnico I</t>
        </is>
      </c>
      <c r="D2681" s="3" t="n">
        <v>26</v>
      </c>
      <c r="E2681" s="3" t="n">
        <v>25</v>
      </c>
      <c r="F2681" s="3" t="n">
        <v>17.1</v>
      </c>
      <c r="G2681" s="3" t="n">
        <v>0</v>
      </c>
      <c r="H2681" s="3" t="n">
        <v>0</v>
      </c>
      <c r="I2681" s="3">
        <f>E2681+G2681+H2681</f>
        <v/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/>
      </c>
      <c r="K2681" s="3">
        <f>I2681-J2681</f>
        <v/>
      </c>
      <c r="L2681" s="3">
        <f>IF(K2681&lt;-5,"CRÍTICO",IF(K2681&lt;0,"ATENÇÃO",IF(K2681&lt;=5,"OPORTUNO","MUITO BOM")))</f>
        <v/>
      </c>
      <c r="M2681" s="3" t="n">
        <v>23</v>
      </c>
      <c r="N2681" s="3" t="n">
        <v>99.28</v>
      </c>
      <c r="O2681" s="12" t="n">
        <v>27.68924302788844</v>
      </c>
    </row>
    <row r="2682">
      <c r="A2682" s="10" t="n">
        <v>46085</v>
      </c>
      <c r="B2682" t="inlineStr">
        <is>
          <t>Isabella Borges de Oliveira</t>
        </is>
      </c>
      <c r="C2682" s="1" t="inlineStr">
        <is>
          <t>Técnico II</t>
        </is>
      </c>
      <c r="D2682" s="3" t="n">
        <v>31</v>
      </c>
      <c r="E2682" s="3" t="n">
        <v>30</v>
      </c>
      <c r="F2682" s="3" t="n">
        <v>23.58</v>
      </c>
      <c r="G2682" s="3" t="n">
        <v>0</v>
      </c>
      <c r="H2682" s="3" t="n">
        <v>0</v>
      </c>
      <c r="I2682" s="3">
        <f>E2682+G2682+H2682</f>
        <v/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/>
      </c>
      <c r="K2682" s="3">
        <f>I2682-J2682</f>
        <v/>
      </c>
      <c r="L2682" s="3">
        <f>IF(K2682&lt;-5,"CRÍTICO",IF(K2682&lt;0,"ATENÇÃO",IF(K2682&lt;=5,"BOM","EXCELENTE")))</f>
        <v/>
      </c>
      <c r="M2682" s="3" t="n">
        <v>25</v>
      </c>
      <c r="N2682" s="3" t="n">
        <v>100</v>
      </c>
      <c r="O2682" s="12" t="n">
        <v>27.04918032786885</v>
      </c>
    </row>
    <row r="2683">
      <c r="A2683" s="10" t="n">
        <v>46085</v>
      </c>
      <c r="B2683" t="inlineStr">
        <is>
          <t>Janaina Lima dos Reis Urany</t>
        </is>
      </c>
      <c r="C2683" s="1" t="inlineStr">
        <is>
          <t>Técnico III</t>
        </is>
      </c>
      <c r="D2683" s="3" t="n">
        <v>42</v>
      </c>
      <c r="E2683" s="3" t="n">
        <v>40</v>
      </c>
      <c r="F2683" s="3" t="n">
        <v>14.16</v>
      </c>
      <c r="G2683" s="3" t="n">
        <v>0</v>
      </c>
      <c r="H2683" s="3" t="n">
        <v>0</v>
      </c>
      <c r="I2683" s="3">
        <f>E2683+G2683+H2683</f>
        <v/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/>
      </c>
      <c r="K2683" s="3">
        <f>I2683-J2683</f>
        <v/>
      </c>
      <c r="L2683" s="3">
        <f>IF(K2683&lt;-5,"CRÍTICO",IF(K2683&lt;0,"ATENÇÃO",IF(K2683&lt;=5,"BOM","EXCELENTE")))</f>
        <v/>
      </c>
      <c r="M2683" s="3" t="n">
        <v>40</v>
      </c>
      <c r="N2683" s="3" t="n">
        <v>97.83</v>
      </c>
      <c r="O2683" s="12" t="n">
        <v>26.31578947368421</v>
      </c>
    </row>
    <row r="2684">
      <c r="A2684" s="10" t="n">
        <v>46085</v>
      </c>
      <c r="B2684" t="inlineStr">
        <is>
          <t>Jaqueline Evangelista da Silva Martins</t>
        </is>
      </c>
      <c r="C2684" s="1" t="inlineStr">
        <is>
          <t>Técnico III</t>
        </is>
      </c>
      <c r="D2684" s="3" t="n">
        <v>15</v>
      </c>
      <c r="E2684" s="3" t="n">
        <v>15</v>
      </c>
      <c r="F2684" s="3" t="n">
        <v>20.1</v>
      </c>
      <c r="G2684" s="3" t="n">
        <v>0</v>
      </c>
      <c r="H2684" s="3" t="n">
        <v>0</v>
      </c>
      <c r="I2684" s="3">
        <f>E2684+G2684+H2684</f>
        <v/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/>
      </c>
      <c r="K2684" s="3">
        <f>I2684-J2684</f>
        <v/>
      </c>
      <c r="L2684" s="3">
        <f>IF(K2684&lt;-5,"CRÍTICO",IF(K2684&lt;0,"ATENÇÃO",IF(K2684&lt;=5,"BOM","EXCELENTE")))</f>
        <v/>
      </c>
      <c r="M2684" s="3" t="n">
        <v>14</v>
      </c>
      <c r="N2684" s="3" t="n">
        <v>100</v>
      </c>
      <c r="O2684" s="12" t="n">
        <v>26.70157068062827</v>
      </c>
    </row>
    <row r="2685">
      <c r="A2685" s="10" t="n">
        <v>46085</v>
      </c>
      <c r="B2685" t="inlineStr">
        <is>
          <t>Jessica Faria da Silveira</t>
        </is>
      </c>
      <c r="C2685" s="1" t="inlineStr">
        <is>
          <t>Técnico II</t>
        </is>
      </c>
      <c r="D2685" s="3" t="n">
        <v>31</v>
      </c>
      <c r="E2685" s="3" t="n">
        <v>26</v>
      </c>
      <c r="F2685" s="3" t="n">
        <v>23.56</v>
      </c>
      <c r="G2685" s="3" t="n">
        <v>0</v>
      </c>
      <c r="H2685" s="3" t="n">
        <v>0</v>
      </c>
      <c r="I2685" s="3">
        <f>E2685+G2685+H2685</f>
        <v/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/>
      </c>
      <c r="K2685" s="3">
        <f>I2685-J2685</f>
        <v/>
      </c>
      <c r="L2685" s="3">
        <f>IF(K2685&lt;-5,"CRÍTICO",IF(K2685&lt;0,"ATENÇÃO",IF(K2685&lt;=5,"BOM","EXCELENTE")))</f>
        <v/>
      </c>
      <c r="M2685" s="3" t="n">
        <v>19</v>
      </c>
      <c r="N2685" s="3" t="n">
        <v>97.47</v>
      </c>
      <c r="O2685" s="12" t="n">
        <v>22.88732394366197</v>
      </c>
    </row>
    <row r="2686">
      <c r="A2686" s="10" t="n">
        <v>46085</v>
      </c>
      <c r="B2686" t="inlineStr">
        <is>
          <t>Jéssica Fé Moura</t>
        </is>
      </c>
      <c r="C2686" s="1" t="inlineStr">
        <is>
          <t>Técnico III</t>
        </is>
      </c>
      <c r="D2686" s="3" t="n">
        <v>0</v>
      </c>
      <c r="E2686" s="3" t="n">
        <v>0</v>
      </c>
      <c r="F2686" s="3" t="n">
        <v>0</v>
      </c>
      <c r="G2686" s="3" t="n">
        <v>0</v>
      </c>
      <c r="H2686" s="3" t="n">
        <v>0</v>
      </c>
      <c r="I2686" s="3" t="n">
        <v>0</v>
      </c>
      <c r="J2686" s="3" t="n">
        <v>0</v>
      </c>
      <c r="K2686" s="3" t="n">
        <v>0</v>
      </c>
      <c r="L2686" s="3">
        <f>IF(K2686&lt;-5,"CRÍTICO",IF(K2686&lt;0,"ATENÇÃO",IF(K2686&lt;=5,"BOM","EXCELENTE")))</f>
        <v/>
      </c>
      <c r="M2686" s="3" t="n">
        <v>0</v>
      </c>
      <c r="N2686" s="3" t="n">
        <v>0</v>
      </c>
      <c r="O2686" s="12" t="n">
        <v>0</v>
      </c>
    </row>
    <row r="2687">
      <c r="A2687" s="10" t="n">
        <v>46085</v>
      </c>
      <c r="B2687" t="inlineStr">
        <is>
          <t>Karina Gonçalves Martins</t>
        </is>
      </c>
      <c r="C2687" s="1" t="inlineStr">
        <is>
          <t>JR</t>
        </is>
      </c>
      <c r="D2687" s="3" t="n">
        <v>21</v>
      </c>
      <c r="E2687" s="3" t="n">
        <v>18</v>
      </c>
      <c r="F2687" s="3" t="n">
        <v>24.05</v>
      </c>
      <c r="G2687" s="3" t="n">
        <v>0</v>
      </c>
      <c r="H2687" s="3" t="n">
        <v>0</v>
      </c>
      <c r="I2687" s="3">
        <f>E2687+G2687+H2687</f>
        <v/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/>
      </c>
      <c r="K2687" s="3">
        <f>I2687-J2687</f>
        <v/>
      </c>
      <c r="L2687" s="3">
        <f>IF(K2687&lt;-5,"CRÍTICO",IF(K2687&lt;0,"ATENÇÃO",IF(K2687&lt;=5,"BOM","EXCELENTE")))</f>
        <v/>
      </c>
      <c r="M2687" s="3" t="n">
        <v>17</v>
      </c>
      <c r="N2687" s="3" t="n">
        <v>98.31</v>
      </c>
      <c r="O2687" s="12" t="n">
        <v>24.92012779552715</v>
      </c>
    </row>
    <row r="2688">
      <c r="A2688" s="10" t="n">
        <v>46085</v>
      </c>
      <c r="B2688" t="inlineStr">
        <is>
          <t>Kerollen Cristielly de Jesus Siqueira</t>
        </is>
      </c>
      <c r="C2688" s="1" t="inlineStr">
        <is>
          <t>Técnico III</t>
        </is>
      </c>
      <c r="D2688" s="3" t="n">
        <v>0</v>
      </c>
      <c r="E2688" s="3" t="n">
        <v>0</v>
      </c>
      <c r="F2688" s="3" t="n">
        <v>0</v>
      </c>
      <c r="G2688" s="3" t="n">
        <v>0</v>
      </c>
      <c r="H2688" s="3" t="n">
        <v>0</v>
      </c>
      <c r="I2688" s="3" t="n">
        <v>0</v>
      </c>
      <c r="J2688" s="3" t="n">
        <v>0</v>
      </c>
      <c r="K2688" s="3" t="n">
        <v>0</v>
      </c>
      <c r="L2688" s="3">
        <f>IF(K2688&lt;-5,"CRÍTICO",IF(K2688&lt;0,"ATENÇÃO",IF(K2688&lt;=5,"BOM","EXCELENTE")))</f>
        <v/>
      </c>
      <c r="M2688" s="3" t="n">
        <v>14</v>
      </c>
      <c r="N2688" s="3" t="n">
        <v>96.81</v>
      </c>
      <c r="O2688" s="12" t="n">
        <v>32.36514522821577</v>
      </c>
    </row>
    <row r="2689">
      <c r="A2689" s="10" t="n">
        <v>46085</v>
      </c>
      <c r="B2689" t="inlineStr">
        <is>
          <t>Leandro de Souza Silva</t>
        </is>
      </c>
      <c r="C2689" s="1" t="inlineStr">
        <is>
          <t>JR</t>
        </is>
      </c>
      <c r="D2689" s="3" t="n">
        <v>0</v>
      </c>
      <c r="E2689" s="3" t="n">
        <v>0</v>
      </c>
      <c r="F2689" s="3" t="n">
        <v>0</v>
      </c>
      <c r="G2689" s="3" t="n">
        <v>0</v>
      </c>
      <c r="H2689" s="3" t="n">
        <v>0</v>
      </c>
      <c r="I2689" s="3" t="n">
        <v>0</v>
      </c>
      <c r="J2689" s="3" t="n">
        <v>0</v>
      </c>
      <c r="K2689" s="3" t="n">
        <v>0</v>
      </c>
      <c r="L2689" s="3">
        <f>IF(K2689&lt;-5,"CRÍTICO",IF(K2689&lt;0,"ATENÇÃO",IF(K2689&lt;=5,"BOM","EXCELENTE")))</f>
        <v/>
      </c>
      <c r="M2689" s="3" t="n">
        <v>0</v>
      </c>
      <c r="N2689" s="3" t="n">
        <v>100</v>
      </c>
      <c r="O2689" s="12" t="n">
        <v>26.47058823529412</v>
      </c>
    </row>
    <row r="2690">
      <c r="A2690" s="10" t="n">
        <v>46085</v>
      </c>
      <c r="B2690" t="inlineStr">
        <is>
          <t>Leandro Oliveira de Sousa</t>
        </is>
      </c>
      <c r="C2690" s="1" t="inlineStr">
        <is>
          <t>Técnico III</t>
        </is>
      </c>
      <c r="D2690" s="3" t="n">
        <v>0</v>
      </c>
      <c r="E2690" s="3" t="n">
        <v>0</v>
      </c>
      <c r="F2690" s="3" t="n">
        <v>0</v>
      </c>
      <c r="G2690" s="3" t="n">
        <v>0</v>
      </c>
      <c r="H2690" s="3" t="n">
        <v>0</v>
      </c>
      <c r="I2690" s="3" t="n">
        <v>0</v>
      </c>
      <c r="J2690" s="3" t="n">
        <v>0</v>
      </c>
      <c r="K2690" s="3" t="n">
        <v>0</v>
      </c>
      <c r="L2690" s="3">
        <f>IF(K2690&lt;-5,"CRÍTICO",IF(K2690&lt;0,"ATENÇÃO",IF(K2690&lt;=5,"BOM","EXCELENTE")))</f>
        <v/>
      </c>
      <c r="M2690" s="3" t="n">
        <v>5</v>
      </c>
      <c r="N2690" s="3" t="n">
        <v>100</v>
      </c>
      <c r="O2690" s="12" t="n">
        <v>28.49002849002849</v>
      </c>
    </row>
    <row r="2691">
      <c r="A2691" s="10" t="n">
        <v>46085</v>
      </c>
      <c r="B2691" t="inlineStr">
        <is>
          <t>Lizandra Gomes Duarte</t>
        </is>
      </c>
      <c r="C2691" s="1" t="inlineStr">
        <is>
          <t>Técnico II</t>
        </is>
      </c>
      <c r="D2691" s="3" t="n">
        <v>23</v>
      </c>
      <c r="E2691" s="3" t="n">
        <v>19</v>
      </c>
      <c r="F2691" s="3" t="n">
        <v>23.28</v>
      </c>
      <c r="G2691" s="3" t="n">
        <v>0</v>
      </c>
      <c r="H2691" s="3" t="n">
        <v>0</v>
      </c>
      <c r="I2691" s="3">
        <f>E2691+G2691+H2691</f>
        <v/>
      </c>
      <c r="J2691" s="3">
        <f>ROUND(MIN(IF(C2691="Técnico III",35,IF(C2691="Técnico II",28,IF(C2691="Técnico I",23,IF(C2691="JR",20,IF(C2691="Estágio",10,0))))),IF(C2691="Técnico III",SUMIFS($D:$D,$A:$A,$A2691,$B:$B,"&lt;&gt;Patrícia Karla de Sousa Araújo",$B:$B,"&lt;&gt;Lorena Dias de Araujo",$B:$B,"&lt;&gt;Lucas Luiz Romero")*(35/1083),IF(C2691="Técnico II",SUMIFS($D:$D,$A:$A,$A2691,$B:$B,"&lt;&gt;Patrícia Karla de Sousa Araújo",$B:$B,"&lt;&gt;Lorena Dias de Araujo",$B:$B,"&lt;&gt;Lucas Luiz Romero")*(28/1083),IF(C2691="Técnico I",SUMIFS($D:$D,$A:$A,$A2691,$B:$B,"&lt;&gt;Patrícia Karla de Sousa Araújo",$B:$B,"&lt;&gt;Lorena Dias de Araujo",$B:$B,"&lt;&gt;Lucas Luiz Romero")*(23/1083),IF(C2691="JR",SUMIFS($D:$D,$A:$A,$A2691,$B:$B,"&lt;&gt;Patrícia Karla de Sousa Araújo",$B:$B,"&lt;&gt;Lorena Dias de Araujo",$B:$B,"&lt;&gt;Lucas Luiz Romero")*(20/1083),IF(C2691="Estágio",SUMIFS($D:$D,$A:$A,$A2691,$B:$B,"&lt;&gt;Patrícia Karla de Sousa Araújo",$B:$B,"&lt;&gt;Lorena Dias de Araujo",$B:$B,"&lt;&gt;Lucas Luiz Romero")*(10/1083),0)))))),0)</f>
        <v/>
      </c>
      <c r="K2691" s="3">
        <f>I2691-J2691</f>
        <v/>
      </c>
      <c r="L2691" s="3">
        <f>IF(K2691&lt;-5,"CRÍTICO",IF(K2691&lt;0,"ATENÇÃO",IF(K2691&lt;=5,"BOM","EXCELENTE")))</f>
        <v/>
      </c>
      <c r="M2691" s="3" t="n">
        <v>19</v>
      </c>
      <c r="N2691" s="3" t="n">
        <v>99.14</v>
      </c>
      <c r="O2691" s="12" t="n">
        <v>27.2289156626506</v>
      </c>
    </row>
    <row r="2692">
      <c r="A2692" s="10" t="n">
        <v>46085</v>
      </c>
      <c r="B2692" t="inlineStr">
        <is>
          <t>Lorena Dias de Araujo</t>
        </is>
      </c>
      <c r="C2692" s="1" t="inlineStr">
        <is>
          <t>Técnico II</t>
        </is>
      </c>
      <c r="D2692" s="3" t="n">
        <v>23</v>
      </c>
      <c r="E2692" s="3" t="n">
        <v>23</v>
      </c>
      <c r="F2692" s="3" t="n">
        <v>30.42</v>
      </c>
      <c r="G2692" s="3" t="n">
        <v>0</v>
      </c>
      <c r="H2692" s="3" t="n">
        <v>0</v>
      </c>
      <c r="I2692" s="3" t="n">
        <v>0</v>
      </c>
      <c r="J2692" s="3" t="n">
        <v>0</v>
      </c>
      <c r="K2692" s="3" t="n">
        <v>0</v>
      </c>
      <c r="L2692" s="3">
        <f>IF(K2692&lt;-5,"CRÍTICO",IF(K2692&lt;0,"ATENÇÃO",IF(K2692&lt;=5,"BOM","EXCELENTE")))</f>
        <v/>
      </c>
      <c r="M2692" s="3" t="n">
        <v>20</v>
      </c>
      <c r="N2692" s="3" t="n">
        <v>97.52</v>
      </c>
      <c r="O2692" s="12" t="n">
        <v>28.2051282051282</v>
      </c>
    </row>
    <row r="2693">
      <c r="A2693" s="10" t="n">
        <v>46085</v>
      </c>
      <c r="B2693" t="inlineStr">
        <is>
          <t>Lucas Luiz Romero</t>
        </is>
      </c>
      <c r="C2693" s="1" t="inlineStr">
        <is>
          <t>Técnico III</t>
        </is>
      </c>
      <c r="D2693" s="3" t="n">
        <v>48</v>
      </c>
      <c r="E2693" s="3" t="n">
        <v>43</v>
      </c>
      <c r="F2693" s="3" t="n">
        <v>15.18</v>
      </c>
      <c r="G2693" s="3" t="n">
        <v>0</v>
      </c>
      <c r="H2693" s="3" t="n">
        <v>0</v>
      </c>
      <c r="I2693" s="3">
        <f>E2693+G2693+H2693</f>
        <v/>
      </c>
      <c r="J2693" s="3">
        <f>ROUND(MIN(IF(C2693="Técnico III",35,IF(C2693="Técnico II",28,IF(C2693="Técnico I",23,IF(C2693="JR",20,IF(C2693="Estágio",10,0))))),IF(C2693="Técnico III",SUMIFS($D:$D,$A:$A,$A2693,$B:$B,"&lt;&gt;Patrícia Karla de Sousa Araújo",$B:$B,"&lt;&gt;Lorena Dias de Araujo",$B:$B,"&lt;&gt;Lucas Luiz Romero")*(35/1083),IF(C2693="Técnico II",SUMIFS($D:$D,$A:$A,$A2693,$B:$B,"&lt;&gt;Patrícia Karla de Sousa Araújo",$B:$B,"&lt;&gt;Lorena Dias de Araujo",$B:$B,"&lt;&gt;Lucas Luiz Romero")*(28/1083),IF(C2693="Técnico I",SUMIFS($D:$D,$A:$A,$A2693,$B:$B,"&lt;&gt;Patrícia Karla de Sousa Araújo",$B:$B,"&lt;&gt;Lorena Dias de Araujo",$B:$B,"&lt;&gt;Lucas Luiz Romero")*(23/1083),IF(C2693="JR",SUMIFS($D:$D,$A:$A,$A2693,$B:$B,"&lt;&gt;Patrícia Karla de Sousa Araújo",$B:$B,"&lt;&gt;Lorena Dias de Araujo",$B:$B,"&lt;&gt;Lucas Luiz Romero")*(20/1083),IF(C2693="Estágio",SUMIFS($D:$D,$A:$A,$A2693,$B:$B,"&lt;&gt;Patrícia Karla de Sousa Araújo",$B:$B,"&lt;&gt;Lorena Dias de Araujo",$B:$B,"&lt;&gt;Lucas Luiz Romero")*(10/1083),0)))))),0)</f>
        <v/>
      </c>
      <c r="K2693" s="3">
        <f>I2693-J2693</f>
        <v/>
      </c>
      <c r="L2693" s="3">
        <f>IF(K2693&lt;-5,"CRÍTICO",IF(K2693&lt;0,"ATENÇÃO",IF(K2693&lt;=5,"BOM","EXCELENTE")))</f>
        <v/>
      </c>
      <c r="M2693" s="3" t="n">
        <v>22</v>
      </c>
      <c r="N2693" s="3" t="n">
        <v>90</v>
      </c>
      <c r="O2693" s="12" t="n">
        <v>24.18604651162791</v>
      </c>
    </row>
    <row r="2694">
      <c r="A2694" s="10" t="n">
        <v>46085</v>
      </c>
      <c r="B2694" t="inlineStr">
        <is>
          <t>Luiz Fernando de Carvalho Junior</t>
        </is>
      </c>
      <c r="C2694" s="1" t="inlineStr">
        <is>
          <t>Técnico I</t>
        </is>
      </c>
      <c r="D2694" s="3" t="n">
        <v>24</v>
      </c>
      <c r="E2694" s="3" t="n">
        <v>23</v>
      </c>
      <c r="F2694" s="3" t="n">
        <v>25.09</v>
      </c>
      <c r="G2694" s="3" t="n">
        <v>0</v>
      </c>
      <c r="H2694" s="3" t="n">
        <v>0</v>
      </c>
      <c r="I2694" s="3">
        <f>E2694+G2694+H2694</f>
        <v/>
      </c>
      <c r="J2694" s="3">
        <f>ROUND(MIN(IF(C2694="Técnico III",35,IF(C2694="Técnico II",28,IF(C2694="Técnico I",23,IF(C2694="JR",20,IF(C2694="Estágio",10,0))))),IF(C2694="Técnico III",SUMIFS($D:$D,$A:$A,$A2694,$B:$B,"&lt;&gt;Patrícia Karla de Sousa Araújo",$B:$B,"&lt;&gt;Lorena Dias de Araujo",$B:$B,"&lt;&gt;Lucas Luiz Romero")*(35/1083),IF(C2694="Técnico II",SUMIFS($D:$D,$A:$A,$A2694,$B:$B,"&lt;&gt;Patrícia Karla de Sousa Araújo",$B:$B,"&lt;&gt;Lorena Dias de Araujo",$B:$B,"&lt;&gt;Lucas Luiz Romero")*(28/1083),IF(C2694="Técnico I",SUMIFS($D:$D,$A:$A,$A2694,$B:$B,"&lt;&gt;Patrícia Karla de Sousa Araújo",$B:$B,"&lt;&gt;Lorena Dias de Araujo",$B:$B,"&lt;&gt;Lucas Luiz Romero")*(23/1083),IF(C2694="JR",SUMIFS($D:$D,$A:$A,$A2694,$B:$B,"&lt;&gt;Patrícia Karla de Sousa Araújo",$B:$B,"&lt;&gt;Lorena Dias de Araujo",$B:$B,"&lt;&gt;Lucas Luiz Romero")*(20/1083),IF(C2694="Estágio",SUMIFS($D:$D,$A:$A,$A2694,$B:$B,"&lt;&gt;Patrícia Karla de Sousa Araújo",$B:$B,"&lt;&gt;Lorena Dias de Araujo",$B:$B,"&lt;&gt;Lucas Luiz Romero")*(10/1083),0)))))),0)</f>
        <v/>
      </c>
      <c r="K2694" s="3">
        <f>I2694-J2694</f>
        <v/>
      </c>
      <c r="L2694" s="3">
        <f>IF(K2694&lt;-5,"CRÍTICO",IF(K2694&lt;0,"ATENÇÃO",IF(K2694&lt;=5,"BOM","EXCELENTE")))</f>
        <v/>
      </c>
      <c r="M2694" s="3" t="n">
        <v>23</v>
      </c>
      <c r="N2694" s="3" t="n">
        <v>98.90000000000001</v>
      </c>
      <c r="O2694" s="12" t="n">
        <v>26.7639902676399</v>
      </c>
    </row>
    <row r="2695">
      <c r="A2695" s="10" t="n">
        <v>46085</v>
      </c>
      <c r="B2695" t="inlineStr">
        <is>
          <t>Maria Eduarda Sousa Costa</t>
        </is>
      </c>
      <c r="C2695" s="1" t="inlineStr">
        <is>
          <t>Estágio</t>
        </is>
      </c>
      <c r="D2695" s="3" t="n">
        <v>59</v>
      </c>
      <c r="E2695" s="3" t="n">
        <v>37</v>
      </c>
      <c r="F2695" s="3" t="n">
        <v>5.01</v>
      </c>
      <c r="G2695" s="3" t="n">
        <v>0</v>
      </c>
      <c r="H2695" s="3" t="n">
        <v>0</v>
      </c>
      <c r="I2695" s="3">
        <f>E2695+G2695+H2695</f>
        <v/>
      </c>
      <c r="J2695" s="3">
        <f>ROUND(MIN(IF(C2695="Técnico III",35,IF(C2695="Técnico II",28,IF(C2695="Técnico I",23,IF(C2695="JR",20,IF(C2695="Estágio",10,0))))),IF(C2695="Técnico III",SUMIFS($D:$D,$A:$A,$A2695,$B:$B,"&lt;&gt;Patrícia Karla de Sousa Araújo",$B:$B,"&lt;&gt;Lorena Dias de Araujo",$B:$B,"&lt;&gt;Lucas Luiz Romero")*(35/1083),IF(C2695="Técnico II",SUMIFS($D:$D,$A:$A,$A2695,$B:$B,"&lt;&gt;Patrícia Karla de Sousa Araújo",$B:$B,"&lt;&gt;Lorena Dias de Araujo",$B:$B,"&lt;&gt;Lucas Luiz Romero")*(28/1083),IF(C2695="Técnico I",SUMIFS($D:$D,$A:$A,$A2695,$B:$B,"&lt;&gt;Patrícia Karla de Sousa Araújo",$B:$B,"&lt;&gt;Lorena Dias de Araujo",$B:$B,"&lt;&gt;Lucas Luiz Romero")*(23/1083),IF(C2695="JR",SUMIFS($D:$D,$A:$A,$A2695,$B:$B,"&lt;&gt;Patrícia Karla de Sousa Araújo",$B:$B,"&lt;&gt;Lorena Dias de Araujo",$B:$B,"&lt;&gt;Lucas Luiz Romero")*(20/1083),IF(C2695="Estágio",SUMIFS($D:$D,$A:$A,$A2695,$B:$B,"&lt;&gt;Patrícia Karla de Sousa Araújo",$B:$B,"&lt;&gt;Lorena Dias de Araujo",$B:$B,"&lt;&gt;Lucas Luiz Romero")*(10/1083),0)))))),0)</f>
        <v/>
      </c>
      <c r="K2695" s="3">
        <f>I2695-J2695</f>
        <v/>
      </c>
      <c r="L2695" s="3">
        <f>IF(K2695&lt;-5,"CRÍTICO",IF(K2695&lt;0,"ATENÇÃO",IF(K2695&lt;=5,"BOM","EXCELENTE")))</f>
        <v/>
      </c>
      <c r="M2695" s="3" t="n">
        <v>0</v>
      </c>
      <c r="N2695" s="3" t="n">
        <v>88.89</v>
      </c>
      <c r="O2695" s="12" t="n">
        <v>25.26315789473684</v>
      </c>
    </row>
    <row r="2696">
      <c r="A2696" s="10" t="n">
        <v>46105</v>
      </c>
      <c r="B2696" t="inlineStr">
        <is>
          <t>Matheus Farias De Souza</t>
        </is>
      </c>
      <c r="C2696" s="1" t="inlineStr">
        <is>
          <t>Técnico III</t>
        </is>
      </c>
      <c r="D2696" s="3" t="n">
        <v>24</v>
      </c>
      <c r="E2696" s="3" t="n">
        <v>22</v>
      </c>
      <c r="F2696" s="3" t="n">
        <v>15.5</v>
      </c>
      <c r="G2696" s="3" t="n">
        <v>0</v>
      </c>
      <c r="H2696" s="3" t="n">
        <v>0</v>
      </c>
      <c r="I2696" s="3">
        <f>E2696+G2696+H2696</f>
        <v/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/>
      </c>
      <c r="K2696" s="3">
        <f>I2696-J2696</f>
        <v/>
      </c>
      <c r="L2696" s="3">
        <f>IF(K2696&lt;-5,"CRÍTICO",IF(K2696&lt;0,"ATENÇÃO",IF(K2696&lt;=5,"OPORTUNO","MUITO BOM")))</f>
        <v/>
      </c>
      <c r="M2696" s="3" t="n">
        <v>19</v>
      </c>
      <c r="N2696" s="3" t="n">
        <v>98.86</v>
      </c>
      <c r="O2696" s="12" t="n">
        <v>28.95927601809955</v>
      </c>
    </row>
    <row r="2697">
      <c r="A2697" s="10" t="n">
        <v>46085</v>
      </c>
      <c r="B2697" t="inlineStr">
        <is>
          <t>Maysa Victoria Dias Moura</t>
        </is>
      </c>
      <c r="C2697" s="1" t="inlineStr">
        <is>
          <t>Técnico III</t>
        </is>
      </c>
      <c r="D2697" s="3" t="n">
        <v>38</v>
      </c>
      <c r="E2697" s="3" t="n">
        <v>35</v>
      </c>
      <c r="F2697" s="3" t="n">
        <v>17.29</v>
      </c>
      <c r="G2697" s="3" t="n">
        <v>0</v>
      </c>
      <c r="H2697" s="3" t="n">
        <v>0</v>
      </c>
      <c r="I2697" s="3">
        <f>E2697+G2697+H2697</f>
        <v/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/>
      </c>
      <c r="K2697" s="3">
        <f>I2697-J2697</f>
        <v/>
      </c>
      <c r="L2697" s="3">
        <f>IF(K2697&lt;-5,"CRÍTICO",IF(K2697&lt;0,"ATENÇÃO",IF(K2697&lt;=5,"BOM","EXCELENTE")))</f>
        <v/>
      </c>
      <c r="M2697" s="3" t="n">
        <v>30</v>
      </c>
      <c r="N2697" s="3" t="n">
        <v>98.06</v>
      </c>
      <c r="O2697" s="12" t="n">
        <v>22.40566037735849</v>
      </c>
    </row>
    <row r="2698">
      <c r="A2698" s="10" t="n">
        <v>46113</v>
      </c>
      <c r="B2698" t="inlineStr">
        <is>
          <t>Michelle G Santos</t>
        </is>
      </c>
      <c r="C2698" s="1" t="inlineStr">
        <is>
          <t>Estágio</t>
        </is>
      </c>
      <c r="D2698" s="3" t="n">
        <v>18</v>
      </c>
      <c r="E2698" s="3" t="n">
        <v>16</v>
      </c>
      <c r="F2698" s="3" t="n">
        <v>22.36</v>
      </c>
      <c r="G2698" s="3" t="n">
        <v>0</v>
      </c>
      <c r="H2698" s="3" t="n">
        <v>0</v>
      </c>
      <c r="I2698" s="3">
        <f>E2698+G2698+H2698</f>
        <v/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/>
      </c>
      <c r="K2698" s="3">
        <f>I2698-J2698</f>
        <v/>
      </c>
      <c r="L2698" s="3">
        <f>IF(K2698&lt;-5,"CRÍTICO",IF(K2698&lt;0,"ATENÇÃO",IF(K2698&lt;=5,"OPORTUNO","MUITO BOM")))</f>
        <v/>
      </c>
      <c r="M2698" s="3" t="n">
        <v>9</v>
      </c>
      <c r="N2698" s="3" t="n">
        <v>100</v>
      </c>
      <c r="O2698" s="12" t="n">
        <v>23.77622377622378</v>
      </c>
    </row>
    <row r="2699">
      <c r="A2699" s="10" t="n">
        <v>46085</v>
      </c>
      <c r="B2699" t="inlineStr">
        <is>
          <t>Milena Sales</t>
        </is>
      </c>
      <c r="C2699" s="1" t="inlineStr">
        <is>
          <t>JR</t>
        </is>
      </c>
      <c r="D2699" s="3" t="n">
        <v>0</v>
      </c>
      <c r="E2699" s="3" t="n">
        <v>0</v>
      </c>
      <c r="F2699" s="3" t="n">
        <v>0</v>
      </c>
      <c r="G2699" s="3" t="n">
        <v>0</v>
      </c>
      <c r="H2699" s="3" t="n">
        <v>0</v>
      </c>
      <c r="I2699" s="3" t="n">
        <v>0</v>
      </c>
      <c r="J2699" s="3" t="n">
        <v>0</v>
      </c>
      <c r="K2699" s="3" t="n">
        <v>0</v>
      </c>
      <c r="L2699" s="3">
        <f>IF(K2699&lt;-5,"CRÍTICO",IF(K2699&lt;0,"ATENÇÃO",IF(K2699&lt;=5,"BOM","EXCELENTE")))</f>
        <v/>
      </c>
      <c r="M2699" s="3" t="n">
        <v>0</v>
      </c>
      <c r="N2699" s="3" t="n">
        <v>100</v>
      </c>
      <c r="O2699" s="12" t="n">
        <v>15.38461538461539</v>
      </c>
    </row>
    <row r="2700">
      <c r="A2700" s="10" t="n">
        <v>46085</v>
      </c>
      <c r="B2700" t="inlineStr">
        <is>
          <t>Patrícia Karla de Sousa Araújo</t>
        </is>
      </c>
      <c r="C2700" s="1" t="inlineStr">
        <is>
          <t>Técnico II</t>
        </is>
      </c>
      <c r="D2700" s="3" t="n">
        <v>21</v>
      </c>
      <c r="E2700" s="3" t="n">
        <v>20</v>
      </c>
      <c r="F2700" s="3" t="n">
        <v>26.49</v>
      </c>
      <c r="G2700" s="3" t="n">
        <v>0</v>
      </c>
      <c r="H2700" s="3" t="n">
        <v>0</v>
      </c>
      <c r="I2700" s="3">
        <f>E2700+G2700+H2700</f>
        <v/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/>
      </c>
      <c r="K2700" s="3">
        <f>I2700-J2700</f>
        <v/>
      </c>
      <c r="L2700" s="3">
        <f>IF(K2700&lt;-5,"CRÍTICO",IF(K2700&lt;0,"ATENÇÃO",IF(K2700&lt;=5,"BOM","EXCELENTE")))</f>
        <v/>
      </c>
      <c r="M2700" s="3" t="n">
        <v>20</v>
      </c>
      <c r="N2700" s="3" t="n">
        <v>100</v>
      </c>
      <c r="O2700" s="12" t="n">
        <v>27.51479289940828</v>
      </c>
    </row>
    <row r="2701">
      <c r="A2701" s="10" t="n">
        <v>46085</v>
      </c>
      <c r="B2701" t="inlineStr">
        <is>
          <t>Paulo Ricardo Santos</t>
        </is>
      </c>
      <c r="C2701" s="1" t="inlineStr">
        <is>
          <t>JR</t>
        </is>
      </c>
      <c r="D2701" s="3" t="n">
        <v>0</v>
      </c>
      <c r="E2701" s="3" t="n">
        <v>0</v>
      </c>
      <c r="F2701" s="3" t="n">
        <v>0</v>
      </c>
      <c r="G2701" s="3" t="n">
        <v>0</v>
      </c>
      <c r="H2701" s="3" t="n">
        <v>0</v>
      </c>
      <c r="I2701" s="3" t="n">
        <v>0</v>
      </c>
      <c r="J2701" s="3" t="n">
        <v>0</v>
      </c>
      <c r="K2701" s="3" t="n">
        <v>0</v>
      </c>
      <c r="L2701" s="3">
        <f>IF(K2701&lt;-5,"CRÍTICO",IF(K2701&lt;0,"ATENÇÃO",IF(K2701&lt;=5,"BOM","EXCELENTE")))</f>
        <v/>
      </c>
      <c r="M2701" s="3" t="n">
        <v>0</v>
      </c>
      <c r="N2701" s="3" t="n">
        <v>100</v>
      </c>
      <c r="O2701" s="12" t="n">
        <v>24.87562189054727</v>
      </c>
    </row>
    <row r="2702">
      <c r="A2702" s="10" t="n">
        <v>46085</v>
      </c>
      <c r="B2702" t="inlineStr">
        <is>
          <t>Pedro Luiz Mota Sousa</t>
        </is>
      </c>
      <c r="C2702" s="1" t="inlineStr">
        <is>
          <t>JR</t>
        </is>
      </c>
      <c r="D2702" s="3" t="n">
        <v>0</v>
      </c>
      <c r="E2702" s="3" t="n">
        <v>0</v>
      </c>
      <c r="F2702" s="3" t="n">
        <v>0</v>
      </c>
      <c r="G2702" s="3" t="n">
        <v>0</v>
      </c>
      <c r="H2702" s="3" t="n">
        <v>0</v>
      </c>
      <c r="I2702" s="3" t="n">
        <v>0</v>
      </c>
      <c r="J2702" s="3" t="n">
        <v>0</v>
      </c>
      <c r="K2702" s="3" t="n">
        <v>0</v>
      </c>
      <c r="L2702" s="3">
        <f>IF(K2702&lt;-5,"CRÍTICO",IF(K2702&lt;0,"ATENÇÃO",IF(K2702&lt;=5,"BOM","EXCELENTE")))</f>
        <v/>
      </c>
      <c r="M2702" s="3" t="n">
        <v>0</v>
      </c>
      <c r="N2702" s="3" t="n">
        <v>100</v>
      </c>
      <c r="O2702" s="12" t="n">
        <v>28.10810810810811</v>
      </c>
    </row>
    <row r="2703">
      <c r="A2703" s="10" t="n">
        <v>46113</v>
      </c>
      <c r="B2703" t="inlineStr">
        <is>
          <t>Quirino Diogo Leite Torres</t>
        </is>
      </c>
      <c r="C2703" s="1" t="inlineStr">
        <is>
          <t>Estágio</t>
        </is>
      </c>
      <c r="D2703" s="3" t="n">
        <v>10</v>
      </c>
      <c r="E2703" s="3" t="n">
        <v>10</v>
      </c>
      <c r="F2703" s="3" t="n">
        <v>25.37</v>
      </c>
      <c r="G2703" s="3" t="n">
        <v>0</v>
      </c>
      <c r="H2703" s="3" t="n">
        <v>0</v>
      </c>
      <c r="I2703" s="3">
        <f>E2703+G2703+H2703</f>
        <v/>
      </c>
      <c r="J2703" s="3">
        <f>ROUND(MIN(IF(C2703="Técnico III",35,IF(C2703="Técnico II",28,IF(C2703="Técnico I",23,IF(C2703="JR",20,IF(C2703="Estágio",10,0))))),IF(C2703="Técnico III",SUMIFS($D:$D,$A:$A,$A2703,$B:$B,"&lt;&gt;Patrícia Karla de Sousa Araújo",$B:$B,"&lt;&gt;Lorena Dias de Araujo",$B:$B,"&lt;&gt;Lucas Luiz Romero")*(35/1083),IF(C2703="Técnico II",SUMIFS($D:$D,$A:$A,$A2703,$B:$B,"&lt;&gt;Patrícia Karla de Sousa Araújo",$B:$B,"&lt;&gt;Lorena Dias de Araujo",$B:$B,"&lt;&gt;Lucas Luiz Romero")*(28/1083),IF(C2703="Técnico I",SUMIFS($D:$D,$A:$A,$A2703,$B:$B,"&lt;&gt;Patrícia Karla de Sousa Araújo",$B:$B,"&lt;&gt;Lorena Dias de Araujo",$B:$B,"&lt;&gt;Lucas Luiz Romero")*(23/1083),IF(C2703="JR",SUMIFS($D:$D,$A:$A,$A2703,$B:$B,"&lt;&gt;Patrícia Karla de Sousa Araújo",$B:$B,"&lt;&gt;Lorena Dias de Araujo",$B:$B,"&lt;&gt;Lucas Luiz Romero")*(20/1083),IF(C2703="Estágio",SUMIFS($D:$D,$A:$A,$A2703,$B:$B,"&lt;&gt;Patrícia Karla de Sousa Araújo",$B:$B,"&lt;&gt;Lorena Dias de Araujo",$B:$B,"&lt;&gt;Lucas Luiz Romero")*(10/1083),0)))))),0)</f>
        <v/>
      </c>
      <c r="K2703" s="3">
        <f>I2703-J2703</f>
        <v/>
      </c>
      <c r="L2703" s="3">
        <f>IF(K2703&lt;-5,"CRÍTICO",IF(K2703&lt;0,"ATENÇÃO",IF(K2703&lt;=5,"OPORTUNO","MUITO BOM")))</f>
        <v/>
      </c>
      <c r="M2703" s="3" t="n">
        <v>9</v>
      </c>
      <c r="N2703" s="3" t="n">
        <v>94.12</v>
      </c>
      <c r="O2703" s="12" t="n">
        <v>32.8</v>
      </c>
    </row>
    <row r="2704">
      <c r="A2704" s="10" t="n">
        <v>46085</v>
      </c>
      <c r="B2704" t="inlineStr">
        <is>
          <t>Raane Batista Matos</t>
        </is>
      </c>
      <c r="C2704" s="1" t="inlineStr">
        <is>
          <t>Técnico I</t>
        </is>
      </c>
      <c r="D2704" s="3" t="n">
        <v>32</v>
      </c>
      <c r="E2704" s="3" t="n">
        <v>23</v>
      </c>
      <c r="F2704" s="3" t="n">
        <v>15.25</v>
      </c>
      <c r="G2704" s="3" t="n">
        <v>0</v>
      </c>
      <c r="H2704" s="3" t="n">
        <v>0</v>
      </c>
      <c r="I2704" s="3">
        <f>E2704+G2704+H2704</f>
        <v/>
      </c>
      <c r="J2704" s="3">
        <f>ROUND(MIN(IF(C2704="Técnico III",35,IF(C2704="Técnico II",28,IF(C2704="Técnico I",23,IF(C2704="JR",20,IF(C2704="Estágio",10,0))))),IF(C2704="Técnico III",SUMIFS($D:$D,$A:$A,$A2704,$B:$B,"&lt;&gt;Patrícia Karla de Sousa Araújo",$B:$B,"&lt;&gt;Lorena Dias de Araujo",$B:$B,"&lt;&gt;Lucas Luiz Romero")*(35/1083),IF(C2704="Técnico II",SUMIFS($D:$D,$A:$A,$A2704,$B:$B,"&lt;&gt;Patrícia Karla de Sousa Araújo",$B:$B,"&lt;&gt;Lorena Dias de Araujo",$B:$B,"&lt;&gt;Lucas Luiz Romero")*(28/1083),IF(C2704="Técnico I",SUMIFS($D:$D,$A:$A,$A2704,$B:$B,"&lt;&gt;Patrícia Karla de Sousa Araújo",$B:$B,"&lt;&gt;Lorena Dias de Araujo",$B:$B,"&lt;&gt;Lucas Luiz Romero")*(23/1083),IF(C2704="JR",SUMIFS($D:$D,$A:$A,$A2704,$B:$B,"&lt;&gt;Patrícia Karla de Sousa Araújo",$B:$B,"&lt;&gt;Lorena Dias de Araujo",$B:$B,"&lt;&gt;Lucas Luiz Romero")*(20/1083),IF(C2704="Estágio",SUMIFS($D:$D,$A:$A,$A2704,$B:$B,"&lt;&gt;Patrícia Karla de Sousa Araújo",$B:$B,"&lt;&gt;Lorena Dias de Araujo",$B:$B,"&lt;&gt;Lucas Luiz Romero")*(10/1083),0)))))),0)</f>
        <v/>
      </c>
      <c r="K2704" s="3">
        <f>I2704-J2704</f>
        <v/>
      </c>
      <c r="L2704" s="3">
        <f>IF(K2704&lt;-5,"CRÍTICO",IF(K2704&lt;0,"ATENÇÃO",IF(K2704&lt;=5,"BOM","EXCELENTE")))</f>
        <v/>
      </c>
      <c r="M2704" s="3" t="n">
        <v>18</v>
      </c>
      <c r="N2704" s="3" t="n">
        <v>95.34999999999999</v>
      </c>
      <c r="O2704" s="12" t="n">
        <v>28.61538461538461</v>
      </c>
    </row>
    <row r="2705">
      <c r="A2705" s="10" t="n">
        <v>46085</v>
      </c>
      <c r="B2705" t="inlineStr">
        <is>
          <t>Rafael Gomes de Morais</t>
        </is>
      </c>
      <c r="C2705" s="1" t="inlineStr">
        <is>
          <t>Técnico III</t>
        </is>
      </c>
      <c r="D2705" s="3" t="n">
        <v>41</v>
      </c>
      <c r="E2705" s="3" t="n">
        <v>39</v>
      </c>
      <c r="F2705" s="3" t="n">
        <v>13.43</v>
      </c>
      <c r="G2705" s="3" t="n">
        <v>0</v>
      </c>
      <c r="H2705" s="3" t="n">
        <v>0</v>
      </c>
      <c r="I2705" s="3">
        <f>E2705+G2705+H2705</f>
        <v/>
      </c>
      <c r="J2705" s="3">
        <f>ROUND(MIN(IF(C2705="Técnico III",35,IF(C2705="Técnico II",28,IF(C2705="Técnico I",23,IF(C2705="JR",20,IF(C2705="Estágio",10,0))))),IF(C2705="Técnico III",SUMIFS($D:$D,$A:$A,$A2705,$B:$B,"&lt;&gt;Patrícia Karla de Sousa Araújo",$B:$B,"&lt;&gt;Lorena Dias de Araujo",$B:$B,"&lt;&gt;Lucas Luiz Romero")*(35/1083),IF(C2705="Técnico II",SUMIFS($D:$D,$A:$A,$A2705,$B:$B,"&lt;&gt;Patrícia Karla de Sousa Araújo",$B:$B,"&lt;&gt;Lorena Dias de Araujo",$B:$B,"&lt;&gt;Lucas Luiz Romero")*(28/1083),IF(C2705="Técnico I",SUMIFS($D:$D,$A:$A,$A2705,$B:$B,"&lt;&gt;Patrícia Karla de Sousa Araújo",$B:$B,"&lt;&gt;Lorena Dias de Araujo",$B:$B,"&lt;&gt;Lucas Luiz Romero")*(23/1083),IF(C2705="JR",SUMIFS($D:$D,$A:$A,$A2705,$B:$B,"&lt;&gt;Patrícia Karla de Sousa Araújo",$B:$B,"&lt;&gt;Lorena Dias de Araujo",$B:$B,"&lt;&gt;Lucas Luiz Romero")*(20/1083),IF(C2705="Estágio",SUMIFS($D:$D,$A:$A,$A2705,$B:$B,"&lt;&gt;Patrícia Karla de Sousa Araújo",$B:$B,"&lt;&gt;Lorena Dias de Araujo",$B:$B,"&lt;&gt;Lucas Luiz Romero")*(10/1083),0)))))),0)</f>
        <v/>
      </c>
      <c r="K2705" s="3">
        <f>I2705-J2705</f>
        <v/>
      </c>
      <c r="L2705" s="3">
        <f>IF(K2705&lt;-5,"CRÍTICO",IF(K2705&lt;0,"ATENÇÃO",IF(K2705&lt;=5,"BOM","EXCELENTE")))</f>
        <v/>
      </c>
      <c r="M2705" s="3" t="n">
        <v>26</v>
      </c>
      <c r="N2705" s="3" t="n">
        <v>98.26000000000001</v>
      </c>
      <c r="O2705" s="12" t="n">
        <v>27.54491017964072</v>
      </c>
    </row>
    <row r="2706">
      <c r="A2706" s="10" t="n">
        <v>46085</v>
      </c>
      <c r="B2706" t="inlineStr">
        <is>
          <t>Sara Maria Monteiro Lopes</t>
        </is>
      </c>
      <c r="C2706" s="1" t="inlineStr">
        <is>
          <t>Técnico I</t>
        </is>
      </c>
      <c r="D2706" s="3" t="n">
        <v>16</v>
      </c>
      <c r="E2706" s="3" t="n">
        <v>15</v>
      </c>
      <c r="F2706" s="3" t="n">
        <v>35.01</v>
      </c>
      <c r="G2706" s="3" t="n">
        <v>0</v>
      </c>
      <c r="H2706" s="3" t="n">
        <v>0</v>
      </c>
      <c r="I2706" s="3">
        <f>E2706+G2706+H2706</f>
        <v/>
      </c>
      <c r="J2706" s="3">
        <f>ROUND(MIN(IF(C2706="Técnico III",35,IF(C2706="Técnico II",28,IF(C2706="Técnico I",23,IF(C2706="JR",20,IF(C2706="Estágio",10,0))))),IF(C2706="Técnico III",SUMIFS($D:$D,$A:$A,$A2706,$B:$B,"&lt;&gt;Patrícia Karla de Sousa Araújo",$B:$B,"&lt;&gt;Lorena Dias de Araujo",$B:$B,"&lt;&gt;Lucas Luiz Romero")*(35/1083),IF(C2706="Técnico II",SUMIFS($D:$D,$A:$A,$A2706,$B:$B,"&lt;&gt;Patrícia Karla de Sousa Araújo",$B:$B,"&lt;&gt;Lorena Dias de Araujo",$B:$B,"&lt;&gt;Lucas Luiz Romero")*(28/1083),IF(C2706="Técnico I",SUMIFS($D:$D,$A:$A,$A2706,$B:$B,"&lt;&gt;Patrícia Karla de Sousa Araújo",$B:$B,"&lt;&gt;Lorena Dias de Araujo",$B:$B,"&lt;&gt;Lucas Luiz Romero")*(23/1083),IF(C2706="JR",SUMIFS($D:$D,$A:$A,$A2706,$B:$B,"&lt;&gt;Patrícia Karla de Sousa Araújo",$B:$B,"&lt;&gt;Lorena Dias de Araujo",$B:$B,"&lt;&gt;Lucas Luiz Romero")*(20/1083),IF(C2706="Estágio",SUMIFS($D:$D,$A:$A,$A2706,$B:$B,"&lt;&gt;Patrícia Karla de Sousa Araújo",$B:$B,"&lt;&gt;Lorena Dias de Araujo",$B:$B,"&lt;&gt;Lucas Luiz Romero")*(10/1083),0)))))),0)</f>
        <v/>
      </c>
      <c r="K2706" s="3">
        <f>I2706-J2706</f>
        <v/>
      </c>
      <c r="L2706" s="3">
        <f>IF(K2706&lt;-5,"CRÍTICO",IF(K2706&lt;0,"ATENÇÃO",IF(K2706&lt;=5,"BOM","EXCELENTE")))</f>
        <v/>
      </c>
      <c r="M2706" s="3" t="n">
        <v>15</v>
      </c>
      <c r="N2706" s="3" t="n">
        <v>98.55</v>
      </c>
      <c r="O2706" s="12" t="n">
        <v>25.33783783783784</v>
      </c>
    </row>
    <row r="2707">
      <c r="A2707" s="10" t="n">
        <v>46085</v>
      </c>
      <c r="B2707" t="inlineStr">
        <is>
          <t>Sarah Steffanie de Lima Borges</t>
        </is>
      </c>
      <c r="C2707" s="1" t="inlineStr">
        <is>
          <t>Técnico III</t>
        </is>
      </c>
      <c r="D2707" s="3" t="n">
        <v>27</v>
      </c>
      <c r="E2707" s="3" t="n">
        <v>22</v>
      </c>
      <c r="F2707" s="3" t="n">
        <v>17.07</v>
      </c>
      <c r="G2707" s="3" t="n">
        <v>0</v>
      </c>
      <c r="H2707" s="3" t="n">
        <v>0</v>
      </c>
      <c r="I2707" s="3">
        <f>E2707+G2707+H2707</f>
        <v/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/>
      </c>
      <c r="K2707" s="3">
        <f>I2707-J2707</f>
        <v/>
      </c>
      <c r="L2707" s="3">
        <f>IF(K2707&lt;-5,"CRÍTICO",IF(K2707&lt;0,"ATENÇÃO",IF(K2707&lt;=5,"BOM","EXCELENTE")))</f>
        <v/>
      </c>
      <c r="M2707" s="3" t="n">
        <v>18</v>
      </c>
      <c r="N2707" s="3" t="n">
        <v>98.39</v>
      </c>
      <c r="O2707" s="12" t="n">
        <v>25.56390977443609</v>
      </c>
    </row>
    <row r="2708">
      <c r="A2708" s="10" t="n">
        <v>46086</v>
      </c>
      <c r="B2708" t="inlineStr">
        <is>
          <t>Alisson de Freitas Silva</t>
        </is>
      </c>
      <c r="C2708" s="1" t="inlineStr">
        <is>
          <t>Técnico II</t>
        </is>
      </c>
      <c r="D2708" s="3" t="n">
        <v>30</v>
      </c>
      <c r="E2708" s="3" t="n">
        <v>24</v>
      </c>
      <c r="F2708" s="3" t="n">
        <v>17.33</v>
      </c>
      <c r="G2708" s="3" t="n">
        <v>0</v>
      </c>
      <c r="H2708" s="3" t="n">
        <v>0</v>
      </c>
      <c r="I2708" s="3">
        <f>E2708+G2708+H2708</f>
        <v/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/>
      </c>
      <c r="K2708" s="3">
        <f>I2708-J2708</f>
        <v/>
      </c>
      <c r="L2708" s="3">
        <f>IF(K2708&lt;-5,"CRÍTICO",IF(K2708&lt;0,"ATENÇÃO",IF(K2708&lt;=5,"BOM","EXCELENTE")))</f>
        <v/>
      </c>
      <c r="M2708" s="3" t="n">
        <v>15</v>
      </c>
      <c r="N2708" s="3" t="n">
        <v>94.29000000000001</v>
      </c>
      <c r="O2708" s="12" t="n">
        <v>25.64766839378239</v>
      </c>
    </row>
    <row r="2709">
      <c r="A2709" s="10" t="n">
        <v>46086</v>
      </c>
      <c r="B2709" t="inlineStr">
        <is>
          <t>Amanda Moura Ferreira</t>
        </is>
      </c>
      <c r="C2709" s="1" t="inlineStr">
        <is>
          <t>Técnico III</t>
        </is>
      </c>
      <c r="D2709" s="3" t="n">
        <v>0</v>
      </c>
      <c r="E2709" s="3" t="n">
        <v>0</v>
      </c>
      <c r="F2709" s="3" t="n">
        <v>0</v>
      </c>
      <c r="G2709" s="3" t="n">
        <v>0</v>
      </c>
      <c r="H2709" s="3" t="n">
        <v>0</v>
      </c>
      <c r="I2709" s="3" t="n">
        <v>0</v>
      </c>
      <c r="J2709" s="3" t="n">
        <v>0</v>
      </c>
      <c r="K2709" s="3" t="n">
        <v>0</v>
      </c>
      <c r="L2709" s="3">
        <f>IF(K2709&lt;-5,"CRÍTICO",IF(K2709&lt;0,"ATENÇÃO",IF(K2709&lt;=5,"BOM","EXCELENTE")))</f>
        <v/>
      </c>
      <c r="M2709" s="3" t="n">
        <v>24</v>
      </c>
      <c r="N2709" s="3" t="n">
        <v>98.26000000000001</v>
      </c>
      <c r="O2709" s="12" t="n">
        <v>26.66666666666667</v>
      </c>
    </row>
    <row r="2710">
      <c r="A2710" s="10" t="n">
        <v>46086</v>
      </c>
      <c r="B2710" t="inlineStr">
        <is>
          <t>Ana Karollyne Souza Faria</t>
        </is>
      </c>
      <c r="C2710" s="1" t="inlineStr">
        <is>
          <t>Técnico I</t>
        </is>
      </c>
      <c r="D2710" s="3" t="n">
        <v>25</v>
      </c>
      <c r="E2710" s="3" t="n">
        <v>23</v>
      </c>
      <c r="F2710" s="3" t="n">
        <v>21.54</v>
      </c>
      <c r="G2710" s="3" t="n">
        <v>0</v>
      </c>
      <c r="H2710" s="3" t="n">
        <v>0</v>
      </c>
      <c r="I2710" s="3">
        <f>E2710+G2710+H2710</f>
        <v/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/>
      </c>
      <c r="K2710" s="3">
        <f>I2710-J2710</f>
        <v/>
      </c>
      <c r="L2710" s="3">
        <f>IF(K2710&lt;-5,"CRÍTICO",IF(K2710&lt;0,"ATENÇÃO",IF(K2710&lt;=5,"BOM","EXCELENTE")))</f>
        <v/>
      </c>
      <c r="M2710" s="3" t="n">
        <v>21</v>
      </c>
      <c r="N2710" s="3" t="n">
        <v>98.2</v>
      </c>
      <c r="O2710" s="12" t="n">
        <v>23.37962962962963</v>
      </c>
    </row>
    <row r="2711">
      <c r="A2711" s="10" t="n">
        <v>46086</v>
      </c>
      <c r="B2711" t="inlineStr">
        <is>
          <t>Ana Paula Da Luz Silva Aleixo</t>
        </is>
      </c>
      <c r="C2711" s="1" t="inlineStr">
        <is>
          <t>Técnico III</t>
        </is>
      </c>
      <c r="D2711" s="3" t="n">
        <v>28</v>
      </c>
      <c r="E2711" s="3" t="n">
        <v>26</v>
      </c>
      <c r="F2711" s="3" t="n">
        <v>22.09</v>
      </c>
      <c r="G2711" s="3" t="n">
        <v>0</v>
      </c>
      <c r="H2711" s="3" t="n">
        <v>0</v>
      </c>
      <c r="I2711" s="3">
        <f>E2711+G2711+H2711</f>
        <v/>
      </c>
      <c r="J2711" s="3">
        <f>ROUND(MIN(IF(C2711="Técnico III",35,IF(C2711="Técnico II",28,IF(C2711="Técnico I",23,IF(C2711="JR",20,IF(C2711="Estágio",10,0))))),IF(C2711="Técnico III",SUMIFS($D:$D,$A:$A,$A2711,$B:$B,"&lt;&gt;Patrícia Karla de Sousa Araújo",$B:$B,"&lt;&gt;Lorena Dias de Araujo",$B:$B,"&lt;&gt;Lucas Luiz Romero")*(35/1083),IF(C2711="Técnico II",SUMIFS($D:$D,$A:$A,$A2711,$B:$B,"&lt;&gt;Patrícia Karla de Sousa Araújo",$B:$B,"&lt;&gt;Lorena Dias de Araujo",$B:$B,"&lt;&gt;Lucas Luiz Romero")*(28/1083),IF(C2711="Técnico I",SUMIFS($D:$D,$A:$A,$A2711,$B:$B,"&lt;&gt;Patrícia Karla de Sousa Araújo",$B:$B,"&lt;&gt;Lorena Dias de Araujo",$B:$B,"&lt;&gt;Lucas Luiz Romero")*(23/1083),IF(C2711="JR",SUMIFS($D:$D,$A:$A,$A2711,$B:$B,"&lt;&gt;Patrícia Karla de Sousa Araújo",$B:$B,"&lt;&gt;Lorena Dias de Araujo",$B:$B,"&lt;&gt;Lucas Luiz Romero")*(20/1083),IF(C2711="Estágio",SUMIFS($D:$D,$A:$A,$A2711,$B:$B,"&lt;&gt;Patrícia Karla de Sousa Araújo",$B:$B,"&lt;&gt;Lorena Dias de Araujo",$B:$B,"&lt;&gt;Lucas Luiz Romero")*(10/1083),0)))))),0)</f>
        <v/>
      </c>
      <c r="K2711" s="3">
        <f>I2711-J2711</f>
        <v/>
      </c>
      <c r="L2711" s="3">
        <f>IF(K2711&lt;-5,"CRÍTICO",IF(K2711&lt;0,"ATENÇÃO",IF(K2711&lt;=5,"BOM","EXCELENTE")))</f>
        <v/>
      </c>
      <c r="M2711" s="3" t="n">
        <v>22</v>
      </c>
      <c r="N2711" s="3" t="n">
        <v>97.3</v>
      </c>
      <c r="O2711" s="12" t="n">
        <v>23.84769539078156</v>
      </c>
    </row>
    <row r="2712">
      <c r="A2712" s="10" t="n">
        <v>46086</v>
      </c>
      <c r="B2712" t="inlineStr">
        <is>
          <t>Anna Luiza Rezende Tavares</t>
        </is>
      </c>
      <c r="C2712" s="1" t="inlineStr">
        <is>
          <t>Estágio</t>
        </is>
      </c>
      <c r="D2712" s="3" t="n">
        <v>13</v>
      </c>
      <c r="E2712" s="3" t="n">
        <v>11</v>
      </c>
      <c r="F2712" s="3" t="n">
        <v>22.22</v>
      </c>
      <c r="G2712" s="3" t="n">
        <v>0</v>
      </c>
      <c r="H2712" s="3" t="n">
        <v>0</v>
      </c>
      <c r="I2712" s="3">
        <f>E2712+G2712+H2712</f>
        <v/>
      </c>
      <c r="J2712" s="3">
        <f>ROUND(MIN(IF(C2712="Técnico III",35,IF(C2712="Técnico II",28,IF(C2712="Técnico I",23,IF(C2712="JR",20,IF(C2712="Estágio",10,0))))),IF(C2712="Técnico III",SUMIFS($D:$D,$A:$A,$A2712,$B:$B,"&lt;&gt;Patrícia Karla de Sousa Araújo",$B:$B,"&lt;&gt;Lorena Dias de Araujo",$B:$B,"&lt;&gt;Lucas Luiz Romero")*(35/1083),IF(C2712="Técnico II",SUMIFS($D:$D,$A:$A,$A2712,$B:$B,"&lt;&gt;Patrícia Karla de Sousa Araújo",$B:$B,"&lt;&gt;Lorena Dias de Araujo",$B:$B,"&lt;&gt;Lucas Luiz Romero")*(28/1083),IF(C2712="Técnico I",SUMIFS($D:$D,$A:$A,$A2712,$B:$B,"&lt;&gt;Patrícia Karla de Sousa Araújo",$B:$B,"&lt;&gt;Lorena Dias de Araujo",$B:$B,"&lt;&gt;Lucas Luiz Romero")*(23/1083),IF(C2712="JR",SUMIFS($D:$D,$A:$A,$A2712,$B:$B,"&lt;&gt;Patrícia Karla de Sousa Araújo",$B:$B,"&lt;&gt;Lorena Dias de Araujo",$B:$B,"&lt;&gt;Lucas Luiz Romero")*(20/1083),IF(C2712="Estágio",SUMIFS($D:$D,$A:$A,$A2712,$B:$B,"&lt;&gt;Patrícia Karla de Sousa Araújo",$B:$B,"&lt;&gt;Lorena Dias de Araujo",$B:$B,"&lt;&gt;Lucas Luiz Romero")*(10/1083),0)))))),0)</f>
        <v/>
      </c>
      <c r="K2712" s="3">
        <f>I2712-J2712</f>
        <v/>
      </c>
      <c r="L2712" s="3">
        <f>IF(K2712&lt;-5,"CRÍTICO",IF(K2712&lt;0,"ATENÇÃO",IF(K2712&lt;=5,"BOM","EXCELENTE")))</f>
        <v/>
      </c>
      <c r="M2712" s="3" t="n">
        <v>10</v>
      </c>
      <c r="N2712" s="3" t="n">
        <v>100</v>
      </c>
      <c r="O2712" s="12" t="n">
        <v>25.26881720430108</v>
      </c>
    </row>
    <row r="2713">
      <c r="A2713" s="10" t="n">
        <v>46086</v>
      </c>
      <c r="B2713" t="inlineStr">
        <is>
          <t>Brenda de Menezes Silva</t>
        </is>
      </c>
      <c r="C2713" s="1" t="inlineStr">
        <is>
          <t>Técnico II</t>
        </is>
      </c>
      <c r="D2713" s="3" t="n">
        <v>25</v>
      </c>
      <c r="E2713" s="3" t="n">
        <v>24</v>
      </c>
      <c r="F2713" s="3" t="n">
        <v>20.16</v>
      </c>
      <c r="G2713" s="3" t="n">
        <v>0</v>
      </c>
      <c r="H2713" s="3" t="n">
        <v>0</v>
      </c>
      <c r="I2713" s="3">
        <f>E2713+G2713+H2713</f>
        <v/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/>
      </c>
      <c r="K2713" s="3">
        <f>I2713-J2713</f>
        <v/>
      </c>
      <c r="L2713" s="3">
        <f>IF(K2713&lt;-5,"CRÍTICO",IF(K2713&lt;0,"ATENÇÃO",IF(K2713&lt;=5,"BOM","EXCELENTE")))</f>
        <v/>
      </c>
      <c r="M2713" s="3" t="n">
        <v>25</v>
      </c>
      <c r="N2713" s="3" t="n">
        <v>99.31999999999999</v>
      </c>
      <c r="O2713" s="12" t="n">
        <v>22.82282282282282</v>
      </c>
    </row>
    <row r="2714">
      <c r="A2714" s="10" t="n">
        <v>46086</v>
      </c>
      <c r="B2714" t="inlineStr">
        <is>
          <t>Carlos Mateus Cassimiro Nunes</t>
        </is>
      </c>
      <c r="C2714" s="1" t="inlineStr">
        <is>
          <t>Técnico II</t>
        </is>
      </c>
      <c r="D2714" s="3" t="n">
        <v>16</v>
      </c>
      <c r="E2714" s="3" t="n">
        <v>16</v>
      </c>
      <c r="F2714" s="3" t="n">
        <v>40.26</v>
      </c>
      <c r="G2714" s="3" t="n">
        <v>0</v>
      </c>
      <c r="H2714" s="3" t="n">
        <v>0</v>
      </c>
      <c r="I2714" s="3">
        <f>E2714+G2714+H2714</f>
        <v/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/>
      </c>
      <c r="K2714" s="3">
        <f>I2714-J2714</f>
        <v/>
      </c>
      <c r="L2714" s="3">
        <f>IF(K2714&lt;-5,"CRÍTICO",IF(K2714&lt;0,"ATENÇÃO",IF(K2714&lt;=5,"BOM","EXCELENTE")))</f>
        <v/>
      </c>
      <c r="M2714" s="3" t="n">
        <v>16</v>
      </c>
      <c r="N2714" s="3" t="n">
        <v>100</v>
      </c>
      <c r="O2714" s="12" t="n">
        <v>27.96610169491525</v>
      </c>
    </row>
    <row r="2715">
      <c r="A2715" s="10" t="n">
        <v>46086</v>
      </c>
      <c r="B2715" t="inlineStr">
        <is>
          <t>Claudio de Sousa Velasco Filho</t>
        </is>
      </c>
      <c r="C2715" s="1" t="inlineStr">
        <is>
          <t>Estágio</t>
        </is>
      </c>
      <c r="D2715" s="3" t="n">
        <v>0</v>
      </c>
      <c r="E2715" s="3" t="n">
        <v>0</v>
      </c>
      <c r="F2715" s="3" t="n">
        <v>0</v>
      </c>
      <c r="G2715" s="3" t="n">
        <v>0</v>
      </c>
      <c r="H2715" s="3" t="n">
        <v>0</v>
      </c>
      <c r="I2715" s="3" t="n">
        <v>0</v>
      </c>
      <c r="J2715" s="3" t="n">
        <v>0</v>
      </c>
      <c r="K2715" s="3" t="n">
        <v>0</v>
      </c>
      <c r="L2715" s="3">
        <f>IF(K2715&lt;-5,"CRÍTICO",IF(K2715&lt;0,"ATENÇÃO",IF(K2715&lt;=5,"BOM","EXCELENTE")))</f>
        <v/>
      </c>
      <c r="M2715" s="3" t="n">
        <v>0</v>
      </c>
      <c r="N2715" s="3" t="n">
        <v>100</v>
      </c>
      <c r="O2715" s="12" t="n">
        <v>30.43478260869566</v>
      </c>
    </row>
    <row r="2716">
      <c r="A2716" s="10" t="n">
        <v>46086</v>
      </c>
      <c r="B2716" t="inlineStr">
        <is>
          <t>Clessiane Pereira dos Santos</t>
        </is>
      </c>
      <c r="C2716" s="1" t="inlineStr">
        <is>
          <t>Técnico I</t>
        </is>
      </c>
      <c r="D2716" s="3" t="n">
        <v>21</v>
      </c>
      <c r="E2716" s="3" t="n">
        <v>19</v>
      </c>
      <c r="F2716" s="3" t="n">
        <v>33.27</v>
      </c>
      <c r="G2716" s="3" t="n">
        <v>0</v>
      </c>
      <c r="H2716" s="3" t="n">
        <v>0</v>
      </c>
      <c r="I2716" s="3">
        <f>E2716+G2716+H2716</f>
        <v/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/>
      </c>
      <c r="K2716" s="3">
        <f>I2716-J2716</f>
        <v/>
      </c>
      <c r="L2716" s="3">
        <f>IF(K2716&lt;-5,"CRÍTICO",IF(K2716&lt;0,"ATENÇÃO",IF(K2716&lt;=5,"BOM","EXCELENTE")))</f>
        <v/>
      </c>
      <c r="M2716" s="3" t="n">
        <v>18</v>
      </c>
      <c r="N2716" s="3" t="n">
        <v>96.51000000000001</v>
      </c>
      <c r="O2716" s="12" t="n">
        <v>22.80285035629454</v>
      </c>
    </row>
    <row r="2717">
      <c r="A2717" s="10" t="n">
        <v>46086</v>
      </c>
      <c r="B2717" t="inlineStr">
        <is>
          <t>Cristiane Ramos da Silva Rocha</t>
        </is>
      </c>
      <c r="C2717" s="1" t="inlineStr">
        <is>
          <t>Técnico III</t>
        </is>
      </c>
      <c r="D2717" s="3" t="n">
        <v>42</v>
      </c>
      <c r="E2717" s="3" t="n">
        <v>38</v>
      </c>
      <c r="F2717" s="3" t="n">
        <v>13.49</v>
      </c>
      <c r="G2717" s="3" t="n">
        <v>0</v>
      </c>
      <c r="H2717" s="3" t="n">
        <v>0</v>
      </c>
      <c r="I2717" s="3">
        <f>E2717+G2717+H2717</f>
        <v/>
      </c>
      <c r="J2717" s="3">
        <f>ROUND(MIN(IF(C2717="Técnico III",35,IF(C2717="Técnico II",28,IF(C2717="Técnico I",23,IF(C2717="JR",20,IF(C2717="Estágio",10,0))))),IF(C2717="Técnico III",SUMIFS($D:$D,$A:$A,$A2717,$B:$B,"&lt;&gt;Patrícia Karla de Sousa Araújo",$B:$B,"&lt;&gt;Lorena Dias de Araujo",$B:$B,"&lt;&gt;Lucas Luiz Romero")*(35/1083),IF(C2717="Técnico II",SUMIFS($D:$D,$A:$A,$A2717,$B:$B,"&lt;&gt;Patrícia Karla de Sousa Araújo",$B:$B,"&lt;&gt;Lorena Dias de Araujo",$B:$B,"&lt;&gt;Lucas Luiz Romero")*(28/1083),IF(C2717="Técnico I",SUMIFS($D:$D,$A:$A,$A2717,$B:$B,"&lt;&gt;Patrícia Karla de Sousa Araújo",$B:$B,"&lt;&gt;Lorena Dias de Araujo",$B:$B,"&lt;&gt;Lucas Luiz Romero")*(23/1083),IF(C2717="JR",SUMIFS($D:$D,$A:$A,$A2717,$B:$B,"&lt;&gt;Patrícia Karla de Sousa Araújo",$B:$B,"&lt;&gt;Lorena Dias de Araujo",$B:$B,"&lt;&gt;Lucas Luiz Romero")*(20/1083),IF(C2717="Estágio",SUMIFS($D:$D,$A:$A,$A2717,$B:$B,"&lt;&gt;Patrícia Karla de Sousa Araújo",$B:$B,"&lt;&gt;Lorena Dias de Araujo",$B:$B,"&lt;&gt;Lucas Luiz Romero")*(10/1083),0)))))),0)</f>
        <v/>
      </c>
      <c r="K2717" s="3">
        <f>I2717-J2717</f>
        <v/>
      </c>
      <c r="L2717" s="3">
        <f>IF(K2717&lt;-5,"CRÍTICO",IF(K2717&lt;0,"ATENÇÃO",IF(K2717&lt;=5,"BOM","EXCELENTE")))</f>
        <v/>
      </c>
      <c r="M2717" s="3" t="n">
        <v>35</v>
      </c>
      <c r="N2717" s="3" t="n">
        <v>92.68000000000001</v>
      </c>
      <c r="O2717" s="12" t="n">
        <v>27.77777777777778</v>
      </c>
    </row>
    <row r="2718">
      <c r="A2718" s="10" t="n">
        <v>46086</v>
      </c>
      <c r="B2718" t="inlineStr">
        <is>
          <t>Damyllis Lorraine de Oliveira Gonçalves</t>
        </is>
      </c>
      <c r="C2718" s="1" t="inlineStr">
        <is>
          <t>Técnico II</t>
        </is>
      </c>
      <c r="D2718" s="3" t="n">
        <v>26</v>
      </c>
      <c r="E2718" s="3" t="n">
        <v>24</v>
      </c>
      <c r="F2718" s="3" t="n">
        <v>25.07</v>
      </c>
      <c r="G2718" s="3" t="n">
        <v>0</v>
      </c>
      <c r="H2718" s="3" t="n">
        <v>0</v>
      </c>
      <c r="I2718" s="3" t="n">
        <v>0</v>
      </c>
      <c r="J2718" s="3" t="n">
        <v>0</v>
      </c>
      <c r="K2718" s="3" t="n">
        <v>0</v>
      </c>
      <c r="L2718" s="3">
        <f>IF(K2718&lt;-5,"CRÍTICO",IF(K2718&lt;0,"ATENÇÃO",IF(K2718&lt;=5,"BOM","EXCELENTE")))</f>
        <v/>
      </c>
      <c r="M2718" s="3" t="n">
        <v>20</v>
      </c>
      <c r="N2718" s="3" t="n">
        <v>99.03</v>
      </c>
      <c r="O2718" s="12" t="n">
        <v>23.99150743099788</v>
      </c>
    </row>
    <row r="2719">
      <c r="A2719" s="10" t="n">
        <v>46086</v>
      </c>
      <c r="B2719" t="inlineStr">
        <is>
          <t>Daniel Gomes da Silva</t>
        </is>
      </c>
      <c r="C2719" s="1" t="inlineStr">
        <is>
          <t>Técnico I</t>
        </is>
      </c>
      <c r="D2719" s="3" t="n">
        <v>22</v>
      </c>
      <c r="E2719" s="3" t="n">
        <v>22</v>
      </c>
      <c r="F2719" s="3" t="n">
        <v>25.34</v>
      </c>
      <c r="G2719" s="3" t="n">
        <v>0</v>
      </c>
      <c r="H2719" s="3" t="n">
        <v>0</v>
      </c>
      <c r="I2719" s="3">
        <f>E2719+G2719+H2719</f>
        <v/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/>
      </c>
      <c r="K2719" s="3">
        <f>I2719-J2719</f>
        <v/>
      </c>
      <c r="L2719" s="3">
        <f>IF(K2719&lt;-5,"CRÍTICO",IF(K2719&lt;0,"ATENÇÃO",IF(K2719&lt;=5,"BOM","EXCELENTE")))</f>
        <v/>
      </c>
      <c r="M2719" s="3" t="n">
        <v>15</v>
      </c>
      <c r="N2719" s="3" t="n">
        <v>98.41</v>
      </c>
      <c r="O2719" s="12" t="n">
        <v>28.13852813852814</v>
      </c>
    </row>
    <row r="2720">
      <c r="A2720" s="10" t="n">
        <v>46086</v>
      </c>
      <c r="B2720" t="inlineStr">
        <is>
          <t>Davylla Rodrigues Freitas Silva</t>
        </is>
      </c>
      <c r="C2720" s="1" t="inlineStr">
        <is>
          <t>Técnico III</t>
        </is>
      </c>
      <c r="D2720" s="3" t="n">
        <v>32</v>
      </c>
      <c r="E2720" s="3" t="n">
        <v>31</v>
      </c>
      <c r="F2720" s="3" t="n">
        <v>20.53</v>
      </c>
      <c r="G2720" s="3" t="n">
        <v>0</v>
      </c>
      <c r="H2720" s="3" t="n">
        <v>0</v>
      </c>
      <c r="I2720" s="3" t="n">
        <v>0</v>
      </c>
      <c r="J2720" s="3" t="n">
        <v>0</v>
      </c>
      <c r="K2720" s="3" t="n">
        <v>0</v>
      </c>
      <c r="L2720" s="3">
        <f>IF(K2720&lt;-5,"CRÍTICO",IF(K2720&lt;0,"ATENÇÃO",IF(K2720&lt;=5,"BOM","EXCELENTE")))</f>
        <v/>
      </c>
      <c r="M2720" s="3" t="n">
        <v>31</v>
      </c>
      <c r="N2720" s="3" t="n">
        <v>98.73</v>
      </c>
      <c r="O2720" s="12" t="n">
        <v>29.14285714285714</v>
      </c>
    </row>
    <row r="2721">
      <c r="A2721" s="10" t="n">
        <v>46086</v>
      </c>
      <c r="B2721" t="inlineStr">
        <is>
          <t>Emilly Caylane Costa</t>
        </is>
      </c>
      <c r="C2721" s="1" t="inlineStr">
        <is>
          <t>Estágio</t>
        </is>
      </c>
      <c r="D2721" s="3" t="n">
        <v>55</v>
      </c>
      <c r="E2721" s="3" t="n">
        <v>45</v>
      </c>
      <c r="F2721" s="3" t="n">
        <v>5.55</v>
      </c>
      <c r="G2721" s="3" t="n">
        <v>0</v>
      </c>
      <c r="H2721" s="3" t="n">
        <v>0</v>
      </c>
      <c r="I2721" s="3">
        <f>E2721+G2721+H2721</f>
        <v/>
      </c>
      <c r="J2721" s="3">
        <f>ROUND(MIN(IF(C2721="Técnico III",35,IF(C2721="Técnico II",28,IF(C2721="Técnico I",23,IF(C2721="JR",20,IF(C2721="Estágio",10,0))))),IF(C2721="Técnico III",SUMIFS($D:$D,$A:$A,$A2721,$B:$B,"&lt;&gt;Patrícia Karla de Sousa Araújo",$B:$B,"&lt;&gt;Lorena Dias de Araujo",$B:$B,"&lt;&gt;Lucas Luiz Romero")*(35/1083),IF(C2721="Técnico II",SUMIFS($D:$D,$A:$A,$A2721,$B:$B,"&lt;&gt;Patrícia Karla de Sousa Araújo",$B:$B,"&lt;&gt;Lorena Dias de Araujo",$B:$B,"&lt;&gt;Lucas Luiz Romero")*(28/1083),IF(C2721="Técnico I",SUMIFS($D:$D,$A:$A,$A2721,$B:$B,"&lt;&gt;Patrícia Karla de Sousa Araújo",$B:$B,"&lt;&gt;Lorena Dias de Araujo",$B:$B,"&lt;&gt;Lucas Luiz Romero")*(23/1083),IF(C2721="JR",SUMIFS($D:$D,$A:$A,$A2721,$B:$B,"&lt;&gt;Patrícia Karla de Sousa Araújo",$B:$B,"&lt;&gt;Lorena Dias de Araujo",$B:$B,"&lt;&gt;Lucas Luiz Romero")*(20/1083),IF(C2721="Estágio",SUMIFS($D:$D,$A:$A,$A2721,$B:$B,"&lt;&gt;Patrícia Karla de Sousa Araújo",$B:$B,"&lt;&gt;Lorena Dias de Araujo",$B:$B,"&lt;&gt;Lucas Luiz Romero")*(10/1083),0)))))),0)</f>
        <v/>
      </c>
      <c r="K2721" s="3">
        <f>I2721-J2721</f>
        <v/>
      </c>
      <c r="L2721" s="3">
        <f>IF(K2721&lt;-5,"CRÍTICO",IF(K2721&lt;0,"ATENÇÃO",IF(K2721&lt;=5,"BOM","EXCELENTE")))</f>
        <v/>
      </c>
      <c r="M2721" s="3" t="n">
        <v>3</v>
      </c>
      <c r="N2721" s="3" t="n">
        <v>90.48</v>
      </c>
      <c r="O2721" s="12" t="n">
        <v>20.68965517241379</v>
      </c>
    </row>
    <row r="2722">
      <c r="A2722" s="10" t="n">
        <v>46086</v>
      </c>
      <c r="B2722" t="inlineStr">
        <is>
          <t>Emilly Kamilly Medeiros Miranda</t>
        </is>
      </c>
      <c r="C2722" s="1" t="inlineStr">
        <is>
          <t>Técnico II</t>
        </is>
      </c>
      <c r="D2722" s="3" t="n">
        <v>33</v>
      </c>
      <c r="E2722" s="3" t="n">
        <v>31</v>
      </c>
      <c r="F2722" s="3" t="n">
        <v>20.32</v>
      </c>
      <c r="G2722" s="3" t="n">
        <v>0</v>
      </c>
      <c r="H2722" s="3" t="n">
        <v>0</v>
      </c>
      <c r="I2722" s="3">
        <f>E2722+G2722+H2722</f>
        <v/>
      </c>
      <c r="J2722" s="3">
        <f>ROUND(MIN(IF(C2722="Técnico III",35,IF(C2722="Técnico II",28,IF(C2722="Técnico I",23,IF(C2722="JR",20,IF(C2722="Estágio",10,0))))),IF(C2722="Técnico III",SUMIFS($D:$D,$A:$A,$A2722,$B:$B,"&lt;&gt;Patrícia Karla de Sousa Araújo",$B:$B,"&lt;&gt;Lorena Dias de Araujo",$B:$B,"&lt;&gt;Lucas Luiz Romero")*(35/1083),IF(C2722="Técnico II",SUMIFS($D:$D,$A:$A,$A2722,$B:$B,"&lt;&gt;Patrícia Karla de Sousa Araújo",$B:$B,"&lt;&gt;Lorena Dias de Araujo",$B:$B,"&lt;&gt;Lucas Luiz Romero")*(28/1083),IF(C2722="Técnico I",SUMIFS($D:$D,$A:$A,$A2722,$B:$B,"&lt;&gt;Patrícia Karla de Sousa Araújo",$B:$B,"&lt;&gt;Lorena Dias de Araujo",$B:$B,"&lt;&gt;Lucas Luiz Romero")*(23/1083),IF(C2722="JR",SUMIFS($D:$D,$A:$A,$A2722,$B:$B,"&lt;&gt;Patrícia Karla de Sousa Araújo",$B:$B,"&lt;&gt;Lorena Dias de Araujo",$B:$B,"&lt;&gt;Lucas Luiz Romero")*(20/1083),IF(C2722="Estágio",SUMIFS($D:$D,$A:$A,$A2722,$B:$B,"&lt;&gt;Patrícia Karla de Sousa Araújo",$B:$B,"&lt;&gt;Lorena Dias de Araujo",$B:$B,"&lt;&gt;Lucas Luiz Romero")*(10/1083),0)))))),0)</f>
        <v/>
      </c>
      <c r="K2722" s="3">
        <f>I2722-J2722</f>
        <v/>
      </c>
      <c r="L2722" s="3">
        <f>IF(K2722&lt;-5,"CRÍTICO",IF(K2722&lt;0,"ATENÇÃO",IF(K2722&lt;=5,"BOM","EXCELENTE")))</f>
        <v/>
      </c>
      <c r="M2722" s="3" t="n">
        <v>29</v>
      </c>
      <c r="N2722" s="3" t="n">
        <v>98.06</v>
      </c>
      <c r="O2722" s="12" t="n">
        <v>24.78991596638656</v>
      </c>
    </row>
    <row r="2723">
      <c r="A2723" s="10" t="n">
        <v>46086</v>
      </c>
      <c r="B2723" t="inlineStr">
        <is>
          <t>Francielson de Oliveira</t>
        </is>
      </c>
      <c r="C2723" s="1" t="inlineStr">
        <is>
          <t>Técnico III</t>
        </is>
      </c>
      <c r="D2723" s="3" t="n">
        <v>36</v>
      </c>
      <c r="E2723" s="3" t="n">
        <v>36</v>
      </c>
      <c r="F2723" s="3" t="n">
        <v>17.34</v>
      </c>
      <c r="G2723" s="3" t="n">
        <v>0</v>
      </c>
      <c r="H2723" s="3" t="n">
        <v>0</v>
      </c>
      <c r="I2723" s="3">
        <f>E2723+G2723+H2723</f>
        <v/>
      </c>
      <c r="J2723" s="3">
        <f>ROUND(MIN(IF(C2723="Técnico III",35,IF(C2723="Técnico II",28,IF(C2723="Técnico I",23,IF(C2723="JR",20,IF(C2723="Estágio",10,0))))),IF(C2723="Técnico III",SUMIFS($D:$D,$A:$A,$A2723,$B:$B,"&lt;&gt;Patrícia Karla de Sousa Araújo",$B:$B,"&lt;&gt;Lorena Dias de Araujo",$B:$B,"&lt;&gt;Lucas Luiz Romero")*(35/1083),IF(C2723="Técnico II",SUMIFS($D:$D,$A:$A,$A2723,$B:$B,"&lt;&gt;Patrícia Karla de Sousa Araújo",$B:$B,"&lt;&gt;Lorena Dias de Araujo",$B:$B,"&lt;&gt;Lucas Luiz Romero")*(28/1083),IF(C2723="Técnico I",SUMIFS($D:$D,$A:$A,$A2723,$B:$B,"&lt;&gt;Patrícia Karla de Sousa Araújo",$B:$B,"&lt;&gt;Lorena Dias de Araujo",$B:$B,"&lt;&gt;Lucas Luiz Romero")*(23/1083),IF(C2723="JR",SUMIFS($D:$D,$A:$A,$A2723,$B:$B,"&lt;&gt;Patrícia Karla de Sousa Araújo",$B:$B,"&lt;&gt;Lorena Dias de Araujo",$B:$B,"&lt;&gt;Lucas Luiz Romero")*(20/1083),IF(C2723="Estágio",SUMIFS($D:$D,$A:$A,$A2723,$B:$B,"&lt;&gt;Patrícia Karla de Sousa Araújo",$B:$B,"&lt;&gt;Lorena Dias de Araujo",$B:$B,"&lt;&gt;Lucas Luiz Romero")*(10/1083),0)))))),0)</f>
        <v/>
      </c>
      <c r="K2723" s="3">
        <f>I2723-J2723</f>
        <v/>
      </c>
      <c r="L2723" s="3">
        <f>IF(K2723&lt;-5,"CRÍTICO",IF(K2723&lt;0,"ATENÇÃO",IF(K2723&lt;=5,"BOM","EXCELENTE")))</f>
        <v/>
      </c>
      <c r="M2723" s="3" t="n">
        <v>39</v>
      </c>
      <c r="N2723" s="3" t="n">
        <v>97.78</v>
      </c>
      <c r="O2723" s="12" t="n">
        <v>25.49407114624506</v>
      </c>
    </row>
    <row r="2724">
      <c r="A2724" s="10" t="n">
        <v>46086</v>
      </c>
      <c r="B2724" t="inlineStr">
        <is>
          <t>Francilene Ferreira de Jesus</t>
        </is>
      </c>
      <c r="C2724" s="1" t="inlineStr">
        <is>
          <t>Técnico II</t>
        </is>
      </c>
      <c r="D2724" s="3" t="n">
        <v>18</v>
      </c>
      <c r="E2724" s="3" t="n">
        <v>17</v>
      </c>
      <c r="F2724" s="3" t="n">
        <v>35.2</v>
      </c>
      <c r="G2724" s="3" t="n">
        <v>0</v>
      </c>
      <c r="H2724" s="3" t="n">
        <v>0</v>
      </c>
      <c r="I2724" s="3">
        <f>E2724+G2724+H2724</f>
        <v/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/>
      </c>
      <c r="K2724" s="3">
        <f>I2724-J2724</f>
        <v/>
      </c>
      <c r="L2724" s="3">
        <f>IF(K2724&lt;-5,"CRÍTICO",IF(K2724&lt;0,"ATENÇÃO",IF(K2724&lt;=5,"BOM","EXCELENTE")))</f>
        <v/>
      </c>
      <c r="M2724" s="3" t="n">
        <v>17</v>
      </c>
      <c r="N2724" s="3" t="n">
        <v>98.02</v>
      </c>
      <c r="O2724" s="12" t="n">
        <v>23.48484848484848</v>
      </c>
    </row>
    <row r="2725">
      <c r="A2725" s="10" t="n">
        <v>46120</v>
      </c>
      <c r="B2725" t="inlineStr">
        <is>
          <t>Gabriel Gomes de Andrade</t>
        </is>
      </c>
      <c r="C2725" s="1" t="inlineStr">
        <is>
          <t>Técnico I</t>
        </is>
      </c>
      <c r="D2725" s="3" t="n">
        <v>30</v>
      </c>
      <c r="E2725" s="3" t="n">
        <v>28</v>
      </c>
      <c r="F2725" s="3" t="n">
        <v>15.58</v>
      </c>
      <c r="G2725" s="3" t="n">
        <v>0</v>
      </c>
      <c r="H2725" s="3" t="n">
        <v>0</v>
      </c>
      <c r="I2725" s="3">
        <f>E2725+G2725+H2725</f>
        <v/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/>
      </c>
      <c r="K2725" s="3">
        <f>I2725-J2725</f>
        <v/>
      </c>
      <c r="L2725" s="3">
        <f>IF(K2725&lt;-5,"CRÍTICO",IF(K2725&lt;0,"ATENÇÃO",IF(K2725&lt;=5,"OPORTUNO","MUITO BOM")))</f>
        <v/>
      </c>
      <c r="M2725" s="3" t="n">
        <v>26</v>
      </c>
      <c r="N2725" s="3" t="n">
        <v>99.28</v>
      </c>
      <c r="O2725" s="12" t="n">
        <v>27.68924302788844</v>
      </c>
    </row>
    <row r="2726">
      <c r="A2726" s="10" t="n">
        <v>46086</v>
      </c>
      <c r="B2726" t="inlineStr">
        <is>
          <t>Isabella Borges de Oliveira</t>
        </is>
      </c>
      <c r="C2726" s="1" t="inlineStr">
        <is>
          <t>Técnico II</t>
        </is>
      </c>
      <c r="D2726" s="3" t="n">
        <v>29</v>
      </c>
      <c r="E2726" s="3" t="n">
        <v>28</v>
      </c>
      <c r="F2726" s="3" t="n">
        <v>23.28</v>
      </c>
      <c r="G2726" s="3" t="n">
        <v>0</v>
      </c>
      <c r="H2726" s="3" t="n">
        <v>0</v>
      </c>
      <c r="I2726" s="3">
        <f>E2726+G2726+H2726</f>
        <v/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/>
      </c>
      <c r="K2726" s="3">
        <f>I2726-J2726</f>
        <v/>
      </c>
      <c r="L2726" s="3">
        <f>IF(K2726&lt;-5,"CRÍTICO",IF(K2726&lt;0,"ATENÇÃO",IF(K2726&lt;=5,"BOM","EXCELENTE")))</f>
        <v/>
      </c>
      <c r="M2726" s="3" t="n">
        <v>19</v>
      </c>
      <c r="N2726" s="3" t="n">
        <v>100</v>
      </c>
      <c r="O2726" s="12" t="n">
        <v>27.04918032786885</v>
      </c>
    </row>
    <row r="2727">
      <c r="A2727" s="10" t="n">
        <v>46086</v>
      </c>
      <c r="B2727" t="inlineStr">
        <is>
          <t>Janaina Lima dos Reis Urany</t>
        </is>
      </c>
      <c r="C2727" s="1" t="inlineStr">
        <is>
          <t>Técnico III</t>
        </is>
      </c>
      <c r="D2727" s="3" t="n">
        <v>51</v>
      </c>
      <c r="E2727" s="3" t="n">
        <v>47</v>
      </c>
      <c r="F2727" s="3" t="n">
        <v>12.19</v>
      </c>
      <c r="G2727" s="3" t="n">
        <v>0</v>
      </c>
      <c r="H2727" s="3" t="n">
        <v>0</v>
      </c>
      <c r="I2727" s="3">
        <f>E2727+G2727+H2727</f>
        <v/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/>
      </c>
      <c r="K2727" s="3">
        <f>I2727-J2727</f>
        <v/>
      </c>
      <c r="L2727" s="3">
        <f>IF(K2727&lt;-5,"CRÍTICO",IF(K2727&lt;0,"ATENÇÃO",IF(K2727&lt;=5,"BOM","EXCELENTE")))</f>
        <v/>
      </c>
      <c r="M2727" s="3" t="n">
        <v>53</v>
      </c>
      <c r="N2727" s="3" t="n">
        <v>97.83</v>
      </c>
      <c r="O2727" s="12" t="n">
        <v>26.31578947368421</v>
      </c>
    </row>
    <row r="2728">
      <c r="A2728" s="10" t="n">
        <v>46086</v>
      </c>
      <c r="B2728" t="inlineStr">
        <is>
          <t>Jaqueline Evangelista da Silva Martins</t>
        </is>
      </c>
      <c r="C2728" s="1" t="inlineStr">
        <is>
          <t>Técnico III</t>
        </is>
      </c>
      <c r="D2728" s="3" t="n">
        <v>0</v>
      </c>
      <c r="E2728" s="3" t="n">
        <v>0</v>
      </c>
      <c r="F2728" s="3" t="n">
        <v>0</v>
      </c>
      <c r="G2728" s="3" t="n">
        <v>0</v>
      </c>
      <c r="H2728" s="3" t="n">
        <v>0</v>
      </c>
      <c r="I2728" s="3" t="n">
        <v>0</v>
      </c>
      <c r="J2728" s="3" t="n">
        <v>0</v>
      </c>
      <c r="K2728" s="3" t="n">
        <v>0</v>
      </c>
      <c r="L2728" s="3">
        <f>IF(K2728&lt;-5,"CRÍTICO",IF(K2728&lt;0,"ATENÇÃO",IF(K2728&lt;=5,"BOM","EXCELENTE")))</f>
        <v/>
      </c>
      <c r="M2728" s="3" t="n">
        <v>1</v>
      </c>
      <c r="N2728" s="3" t="n">
        <v>100</v>
      </c>
      <c r="O2728" s="12" t="n">
        <v>26.70157068062827</v>
      </c>
    </row>
    <row r="2729">
      <c r="A2729" s="10" t="n">
        <v>46086</v>
      </c>
      <c r="B2729" t="inlineStr">
        <is>
          <t>Jessica Faria da Silveira</t>
        </is>
      </c>
      <c r="C2729" s="1" t="inlineStr">
        <is>
          <t>Técnico II</t>
        </is>
      </c>
      <c r="D2729" s="3" t="n">
        <v>38</v>
      </c>
      <c r="E2729" s="3" t="n">
        <v>29</v>
      </c>
      <c r="F2729" s="3" t="n">
        <v>17.32</v>
      </c>
      <c r="G2729" s="3" t="n">
        <v>0</v>
      </c>
      <c r="H2729" s="3" t="n">
        <v>0</v>
      </c>
      <c r="I2729" s="3">
        <f>E2729+G2729+H2729</f>
        <v/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/>
      </c>
      <c r="K2729" s="3">
        <f>I2729-J2729</f>
        <v/>
      </c>
      <c r="L2729" s="3">
        <f>IF(K2729&lt;-5,"CRÍTICO",IF(K2729&lt;0,"ATENÇÃO",IF(K2729&lt;=5,"BOM","EXCELENTE")))</f>
        <v/>
      </c>
      <c r="M2729" s="3" t="n">
        <v>29</v>
      </c>
      <c r="N2729" s="3" t="n">
        <v>97.47</v>
      </c>
      <c r="O2729" s="12" t="n">
        <v>22.88732394366197</v>
      </c>
    </row>
    <row r="2730">
      <c r="A2730" s="10" t="n">
        <v>46086</v>
      </c>
      <c r="B2730" t="inlineStr">
        <is>
          <t>Jéssica Fé Moura</t>
        </is>
      </c>
      <c r="C2730" s="1" t="inlineStr">
        <is>
          <t>Técnico III</t>
        </is>
      </c>
      <c r="D2730" s="3" t="n">
        <v>0</v>
      </c>
      <c r="E2730" s="3" t="n">
        <v>0</v>
      </c>
      <c r="F2730" s="3" t="n">
        <v>0</v>
      </c>
      <c r="G2730" s="3" t="n">
        <v>0</v>
      </c>
      <c r="H2730" s="3" t="n">
        <v>0</v>
      </c>
      <c r="I2730" s="3" t="n">
        <v>0</v>
      </c>
      <c r="J2730" s="3" t="n">
        <v>0</v>
      </c>
      <c r="K2730" s="3" t="n">
        <v>0</v>
      </c>
      <c r="L2730" s="3">
        <f>IF(K2730&lt;-5,"CRÍTICO",IF(K2730&lt;0,"ATENÇÃO",IF(K2730&lt;=5,"BOM","EXCELENTE")))</f>
        <v/>
      </c>
      <c r="M2730" s="3" t="n">
        <v>0</v>
      </c>
      <c r="N2730" s="3" t="n">
        <v>0</v>
      </c>
      <c r="O2730" s="12" t="n">
        <v>0</v>
      </c>
    </row>
    <row r="2731">
      <c r="A2731" s="10" t="n">
        <v>46086</v>
      </c>
      <c r="B2731" t="inlineStr">
        <is>
          <t>Karina Gonçalves Martins</t>
        </is>
      </c>
      <c r="C2731" s="1" t="inlineStr">
        <is>
          <t>JR</t>
        </is>
      </c>
      <c r="D2731" s="3" t="n">
        <v>21</v>
      </c>
      <c r="E2731" s="3" t="n">
        <v>17</v>
      </c>
      <c r="F2731" s="3" t="n">
        <v>23.55</v>
      </c>
      <c r="G2731" s="3" t="n">
        <v>0</v>
      </c>
      <c r="H2731" s="3" t="n">
        <v>0</v>
      </c>
      <c r="I2731" s="3">
        <f>E2731+G2731+H2731</f>
        <v/>
      </c>
      <c r="J2731" s="3">
        <f>ROUND(MIN(IF(C2731="Técnico III",35,IF(C2731="Técnico II",28,IF(C2731="Técnico I",23,IF(C2731="JR",20,IF(C2731="Estágio",10,0))))),IF(C2731="Técnico III",SUMIFS($D:$D,$A:$A,$A2731,$B:$B,"&lt;&gt;Patrícia Karla de Sousa Araújo",$B:$B,"&lt;&gt;Lorena Dias de Araujo",$B:$B,"&lt;&gt;Lucas Luiz Romero")*(35/1083),IF(C2731="Técnico II",SUMIFS($D:$D,$A:$A,$A2731,$B:$B,"&lt;&gt;Patrícia Karla de Sousa Araújo",$B:$B,"&lt;&gt;Lorena Dias de Araujo",$B:$B,"&lt;&gt;Lucas Luiz Romero")*(28/1083),IF(C2731="Técnico I",SUMIFS($D:$D,$A:$A,$A2731,$B:$B,"&lt;&gt;Patrícia Karla de Sousa Araújo",$B:$B,"&lt;&gt;Lorena Dias de Araujo",$B:$B,"&lt;&gt;Lucas Luiz Romero")*(23/1083),IF(C2731="JR",SUMIFS($D:$D,$A:$A,$A2731,$B:$B,"&lt;&gt;Patrícia Karla de Sousa Araújo",$B:$B,"&lt;&gt;Lorena Dias de Araujo",$B:$B,"&lt;&gt;Lucas Luiz Romero")*(20/1083),IF(C2731="Estágio",SUMIFS($D:$D,$A:$A,$A2731,$B:$B,"&lt;&gt;Patrícia Karla de Sousa Araújo",$B:$B,"&lt;&gt;Lorena Dias de Araujo",$B:$B,"&lt;&gt;Lucas Luiz Romero")*(10/1083),0)))))),0)</f>
        <v/>
      </c>
      <c r="K2731" s="3">
        <f>I2731-J2731</f>
        <v/>
      </c>
      <c r="L2731" s="3">
        <f>IF(K2731&lt;-5,"CRÍTICO",IF(K2731&lt;0,"ATENÇÃO",IF(K2731&lt;=5,"BOM","EXCELENTE")))</f>
        <v/>
      </c>
      <c r="M2731" s="3" t="n">
        <v>15</v>
      </c>
      <c r="N2731" s="3" t="n">
        <v>98.31</v>
      </c>
      <c r="O2731" s="12" t="n">
        <v>24.92012779552715</v>
      </c>
    </row>
    <row r="2732">
      <c r="A2732" s="10" t="n">
        <v>46086</v>
      </c>
      <c r="B2732" t="inlineStr">
        <is>
          <t>Kerollen Cristielly de Jesus Siqueira</t>
        </is>
      </c>
      <c r="C2732" s="1" t="inlineStr">
        <is>
          <t>Técnico III</t>
        </is>
      </c>
      <c r="D2732" s="3" t="n">
        <v>0</v>
      </c>
      <c r="E2732" s="3" t="n">
        <v>0</v>
      </c>
      <c r="F2732" s="3" t="n">
        <v>0</v>
      </c>
      <c r="G2732" s="3" t="n">
        <v>0</v>
      </c>
      <c r="H2732" s="3" t="n">
        <v>0</v>
      </c>
      <c r="I2732" s="3" t="n">
        <v>0</v>
      </c>
      <c r="J2732" s="3" t="n">
        <v>0</v>
      </c>
      <c r="K2732" s="3" t="n">
        <v>0</v>
      </c>
      <c r="L2732" s="3">
        <f>IF(K2732&lt;-5,"CRÍTICO",IF(K2732&lt;0,"ATENÇÃO",IF(K2732&lt;=5,"BOM","EXCELENTE")))</f>
        <v/>
      </c>
      <c r="M2732" s="3" t="n">
        <v>16</v>
      </c>
      <c r="N2732" s="3" t="n">
        <v>96.81</v>
      </c>
      <c r="O2732" s="12" t="n">
        <v>32.36514522821577</v>
      </c>
    </row>
    <row r="2733">
      <c r="A2733" s="10" t="n">
        <v>46086</v>
      </c>
      <c r="B2733" t="inlineStr">
        <is>
          <t>Leandro de Souza Silva</t>
        </is>
      </c>
      <c r="C2733" s="1" t="inlineStr">
        <is>
          <t>JR</t>
        </is>
      </c>
      <c r="D2733" s="3" t="n">
        <v>6</v>
      </c>
      <c r="E2733" s="3" t="n">
        <v>6</v>
      </c>
      <c r="F2733" s="3" t="n">
        <v>32.12</v>
      </c>
      <c r="G2733" s="3" t="n">
        <v>0</v>
      </c>
      <c r="H2733" s="3" t="n">
        <v>0</v>
      </c>
      <c r="I2733" s="3">
        <f>E2733+G2733+H2733</f>
        <v/>
      </c>
      <c r="J2733" s="3">
        <f>ROUND(MIN(IF(C2733="Técnico III",35,IF(C2733="Técnico II",28,IF(C2733="Técnico I",23,IF(C2733="JR",20,IF(C2733="Estágio",10,0))))),IF(C2733="Técnico III",SUMIFS($D:$D,$A:$A,$A2733,$B:$B,"&lt;&gt;Patrícia Karla de Sousa Araújo",$B:$B,"&lt;&gt;Lorena Dias de Araujo",$B:$B,"&lt;&gt;Lucas Luiz Romero")*(35/1083),IF(C2733="Técnico II",SUMIFS($D:$D,$A:$A,$A2733,$B:$B,"&lt;&gt;Patrícia Karla de Sousa Araújo",$B:$B,"&lt;&gt;Lorena Dias de Araujo",$B:$B,"&lt;&gt;Lucas Luiz Romero")*(28/1083),IF(C2733="Técnico I",SUMIFS($D:$D,$A:$A,$A2733,$B:$B,"&lt;&gt;Patrícia Karla de Sousa Araújo",$B:$B,"&lt;&gt;Lorena Dias de Araujo",$B:$B,"&lt;&gt;Lucas Luiz Romero")*(23/1083),IF(C2733="JR",SUMIFS($D:$D,$A:$A,$A2733,$B:$B,"&lt;&gt;Patrícia Karla de Sousa Araújo",$B:$B,"&lt;&gt;Lorena Dias de Araujo",$B:$B,"&lt;&gt;Lucas Luiz Romero")*(20/1083),IF(C2733="Estágio",SUMIFS($D:$D,$A:$A,$A2733,$B:$B,"&lt;&gt;Patrícia Karla de Sousa Araújo",$B:$B,"&lt;&gt;Lorena Dias de Araujo",$B:$B,"&lt;&gt;Lucas Luiz Romero")*(10/1083),0)))))),0)</f>
        <v/>
      </c>
      <c r="K2733" s="3">
        <f>I2733-J2733</f>
        <v/>
      </c>
      <c r="L2733" s="3">
        <f>IF(K2733&lt;-5,"CRÍTICO",IF(K2733&lt;0,"ATENÇÃO",IF(K2733&lt;=5,"BOM","EXCELENTE")))</f>
        <v/>
      </c>
      <c r="M2733" s="3" t="n">
        <v>6</v>
      </c>
      <c r="N2733" s="3" t="n">
        <v>100</v>
      </c>
      <c r="O2733" s="12" t="n">
        <v>26.47058823529412</v>
      </c>
    </row>
    <row r="2734">
      <c r="A2734" s="10" t="n">
        <v>46086</v>
      </c>
      <c r="B2734" t="inlineStr">
        <is>
          <t>Leandro Oliveira de Sousa</t>
        </is>
      </c>
      <c r="C2734" s="1" t="inlineStr">
        <is>
          <t>Técnico III</t>
        </is>
      </c>
      <c r="D2734" s="3" t="n">
        <v>0</v>
      </c>
      <c r="E2734" s="3" t="n">
        <v>0</v>
      </c>
      <c r="F2734" s="3" t="n">
        <v>0</v>
      </c>
      <c r="G2734" s="3" t="n">
        <v>0</v>
      </c>
      <c r="H2734" s="3" t="n">
        <v>0</v>
      </c>
      <c r="I2734" s="3" t="n">
        <v>0</v>
      </c>
      <c r="J2734" s="3" t="n">
        <v>0</v>
      </c>
      <c r="K2734" s="3" t="n">
        <v>0</v>
      </c>
      <c r="L2734" s="3">
        <f>IF(K2734&lt;-5,"CRÍTICO",IF(K2734&lt;0,"ATENÇÃO",IF(K2734&lt;=5,"BOM","EXCELENTE")))</f>
        <v/>
      </c>
      <c r="M2734" s="3" t="n">
        <v>9</v>
      </c>
      <c r="N2734" s="3" t="n">
        <v>100</v>
      </c>
      <c r="O2734" s="12" t="n">
        <v>28.49002849002849</v>
      </c>
    </row>
    <row r="2735">
      <c r="A2735" s="10" t="n">
        <v>46086</v>
      </c>
      <c r="B2735" t="inlineStr">
        <is>
          <t>Lizandra Gomes Duarte</t>
        </is>
      </c>
      <c r="C2735" s="1" t="inlineStr">
        <is>
          <t>Técnico II</t>
        </is>
      </c>
      <c r="D2735" s="3" t="n">
        <v>30</v>
      </c>
      <c r="E2735" s="3" t="n">
        <v>26</v>
      </c>
      <c r="F2735" s="3" t="n">
        <v>18.53</v>
      </c>
      <c r="G2735" s="3" t="n">
        <v>0</v>
      </c>
      <c r="H2735" s="3" t="n">
        <v>0</v>
      </c>
      <c r="I2735" s="3">
        <f>E2735+G2735+H2735</f>
        <v/>
      </c>
      <c r="J2735" s="3">
        <f>ROUND(MIN(IF(C2735="Técnico III",35,IF(C2735="Técnico II",28,IF(C2735="Técnico I",23,IF(C2735="JR",20,IF(C2735="Estágio",10,0))))),IF(C2735="Técnico III",SUMIFS($D:$D,$A:$A,$A2735,$B:$B,"&lt;&gt;Patrícia Karla de Sousa Araújo",$B:$B,"&lt;&gt;Lorena Dias de Araujo",$B:$B,"&lt;&gt;Lucas Luiz Romero")*(35/1083),IF(C2735="Técnico II",SUMIFS($D:$D,$A:$A,$A2735,$B:$B,"&lt;&gt;Patrícia Karla de Sousa Araújo",$B:$B,"&lt;&gt;Lorena Dias de Araujo",$B:$B,"&lt;&gt;Lucas Luiz Romero")*(28/1083),IF(C2735="Técnico I",SUMIFS($D:$D,$A:$A,$A2735,$B:$B,"&lt;&gt;Patrícia Karla de Sousa Araújo",$B:$B,"&lt;&gt;Lorena Dias de Araujo",$B:$B,"&lt;&gt;Lucas Luiz Romero")*(23/1083),IF(C2735="JR",SUMIFS($D:$D,$A:$A,$A2735,$B:$B,"&lt;&gt;Patrícia Karla de Sousa Araújo",$B:$B,"&lt;&gt;Lorena Dias de Araujo",$B:$B,"&lt;&gt;Lucas Luiz Romero")*(20/1083),IF(C2735="Estágio",SUMIFS($D:$D,$A:$A,$A2735,$B:$B,"&lt;&gt;Patrícia Karla de Sousa Araújo",$B:$B,"&lt;&gt;Lorena Dias de Araujo",$B:$B,"&lt;&gt;Lucas Luiz Romero")*(10/1083),0)))))),0)</f>
        <v/>
      </c>
      <c r="K2735" s="3">
        <f>I2735-J2735</f>
        <v/>
      </c>
      <c r="L2735" s="3">
        <f>IF(K2735&lt;-5,"CRÍTICO",IF(K2735&lt;0,"ATENÇÃO",IF(K2735&lt;=5,"BOM","EXCELENTE")))</f>
        <v/>
      </c>
      <c r="M2735" s="3" t="n">
        <v>12</v>
      </c>
      <c r="N2735" s="3" t="n">
        <v>99.14</v>
      </c>
      <c r="O2735" s="12" t="n">
        <v>27.2289156626506</v>
      </c>
    </row>
    <row r="2736">
      <c r="A2736" s="10" t="n">
        <v>46086</v>
      </c>
      <c r="B2736" t="inlineStr">
        <is>
          <t>Lorena Dias de Araujo</t>
        </is>
      </c>
      <c r="C2736" s="1" t="inlineStr">
        <is>
          <t>Técnico II</t>
        </is>
      </c>
      <c r="D2736" s="3" t="n">
        <v>30</v>
      </c>
      <c r="E2736" s="3" t="n">
        <v>29</v>
      </c>
      <c r="F2736" s="3" t="n">
        <v>25.26</v>
      </c>
      <c r="G2736" s="3" t="n">
        <v>0</v>
      </c>
      <c r="H2736" s="3" t="n">
        <v>0</v>
      </c>
      <c r="I2736" s="3" t="n">
        <v>0</v>
      </c>
      <c r="J2736" s="3" t="n">
        <v>0</v>
      </c>
      <c r="K2736" s="3" t="n">
        <v>0</v>
      </c>
      <c r="L2736" s="3">
        <f>IF(K2736&lt;-5,"CRÍTICO",IF(K2736&lt;0,"ATENÇÃO",IF(K2736&lt;=5,"BOM","EXCELENTE")))</f>
        <v/>
      </c>
      <c r="M2736" s="3" t="n">
        <v>26</v>
      </c>
      <c r="N2736" s="3" t="n">
        <v>97.52</v>
      </c>
      <c r="O2736" s="12" t="n">
        <v>28.2051282051282</v>
      </c>
    </row>
    <row r="2737">
      <c r="A2737" s="10" t="n">
        <v>46086</v>
      </c>
      <c r="B2737" t="inlineStr">
        <is>
          <t>Lucas Luiz Romero</t>
        </is>
      </c>
      <c r="C2737" s="1" t="inlineStr">
        <is>
          <t>Técnico III</t>
        </is>
      </c>
      <c r="D2737" s="3" t="n">
        <v>39</v>
      </c>
      <c r="E2737" s="3" t="n">
        <v>29</v>
      </c>
      <c r="F2737" s="3" t="n">
        <v>16.45</v>
      </c>
      <c r="G2737" s="3" t="n">
        <v>0</v>
      </c>
      <c r="H2737" s="3" t="n">
        <v>0</v>
      </c>
      <c r="I2737" s="3">
        <f>E2737+G2737+H2737</f>
        <v/>
      </c>
      <c r="J2737" s="3">
        <f>ROUND(MIN(IF(C2737="Técnico III",35,IF(C2737="Técnico II",28,IF(C2737="Técnico I",23,IF(C2737="JR",20,IF(C2737="Estágio",10,0))))),IF(C2737="Técnico III",SUMIFS($D:$D,$A:$A,$A2737,$B:$B,"&lt;&gt;Patrícia Karla de Sousa Araújo",$B:$B,"&lt;&gt;Lorena Dias de Araujo",$B:$B,"&lt;&gt;Lucas Luiz Romero")*(35/1083),IF(C2737="Técnico II",SUMIFS($D:$D,$A:$A,$A2737,$B:$B,"&lt;&gt;Patrícia Karla de Sousa Araújo",$B:$B,"&lt;&gt;Lorena Dias de Araujo",$B:$B,"&lt;&gt;Lucas Luiz Romero")*(28/1083),IF(C2737="Técnico I",SUMIFS($D:$D,$A:$A,$A2737,$B:$B,"&lt;&gt;Patrícia Karla de Sousa Araújo",$B:$B,"&lt;&gt;Lorena Dias de Araujo",$B:$B,"&lt;&gt;Lucas Luiz Romero")*(23/1083),IF(C2737="JR",SUMIFS($D:$D,$A:$A,$A2737,$B:$B,"&lt;&gt;Patrícia Karla de Sousa Araújo",$B:$B,"&lt;&gt;Lorena Dias de Araujo",$B:$B,"&lt;&gt;Lucas Luiz Romero")*(20/1083),IF(C2737="Estágio",SUMIFS($D:$D,$A:$A,$A2737,$B:$B,"&lt;&gt;Patrícia Karla de Sousa Araújo",$B:$B,"&lt;&gt;Lorena Dias de Araujo",$B:$B,"&lt;&gt;Lucas Luiz Romero")*(10/1083),0)))))),0)</f>
        <v/>
      </c>
      <c r="K2737" s="3">
        <f>I2737-J2737</f>
        <v/>
      </c>
      <c r="L2737" s="3">
        <f>IF(K2737&lt;-5,"CRÍTICO",IF(K2737&lt;0,"ATENÇÃO",IF(K2737&lt;=5,"BOM","EXCELENTE")))</f>
        <v/>
      </c>
      <c r="M2737" s="3" t="n">
        <v>18</v>
      </c>
      <c r="N2737" s="3" t="n">
        <v>90</v>
      </c>
      <c r="O2737" s="12" t="n">
        <v>24.18604651162791</v>
      </c>
    </row>
    <row r="2738">
      <c r="A2738" s="10" t="n">
        <v>46086</v>
      </c>
      <c r="B2738" t="inlineStr">
        <is>
          <t>Luiz Fernando de Carvalho Junior</t>
        </is>
      </c>
      <c r="C2738" s="1" t="inlineStr">
        <is>
          <t>Técnico I</t>
        </is>
      </c>
      <c r="D2738" s="3" t="n">
        <v>28</v>
      </c>
      <c r="E2738" s="3" t="n">
        <v>25</v>
      </c>
      <c r="F2738" s="3" t="n">
        <v>19</v>
      </c>
      <c r="G2738" s="3" t="n">
        <v>0</v>
      </c>
      <c r="H2738" s="3" t="n">
        <v>0</v>
      </c>
      <c r="I2738" s="3">
        <f>E2738+G2738+H2738</f>
        <v/>
      </c>
      <c r="J2738" s="3">
        <f>ROUND(MIN(IF(C2738="Técnico III",35,IF(C2738="Técnico II",28,IF(C2738="Técnico I",23,IF(C2738="JR",20,IF(C2738="Estágio",10,0))))),IF(C2738="Técnico III",SUMIFS($D:$D,$A:$A,$A2738,$B:$B,"&lt;&gt;Patrícia Karla de Sousa Araújo",$B:$B,"&lt;&gt;Lorena Dias de Araujo",$B:$B,"&lt;&gt;Lucas Luiz Romero")*(35/1083),IF(C2738="Técnico II",SUMIFS($D:$D,$A:$A,$A2738,$B:$B,"&lt;&gt;Patrícia Karla de Sousa Araújo",$B:$B,"&lt;&gt;Lorena Dias de Araujo",$B:$B,"&lt;&gt;Lucas Luiz Romero")*(28/1083),IF(C2738="Técnico I",SUMIFS($D:$D,$A:$A,$A2738,$B:$B,"&lt;&gt;Patrícia Karla de Sousa Araújo",$B:$B,"&lt;&gt;Lorena Dias de Araujo",$B:$B,"&lt;&gt;Lucas Luiz Romero")*(23/1083),IF(C2738="JR",SUMIFS($D:$D,$A:$A,$A2738,$B:$B,"&lt;&gt;Patrícia Karla de Sousa Araújo",$B:$B,"&lt;&gt;Lorena Dias de Araujo",$B:$B,"&lt;&gt;Lucas Luiz Romero")*(20/1083),IF(C2738="Estágio",SUMIFS($D:$D,$A:$A,$A2738,$B:$B,"&lt;&gt;Patrícia Karla de Sousa Araújo",$B:$B,"&lt;&gt;Lorena Dias de Araujo",$B:$B,"&lt;&gt;Lucas Luiz Romero")*(10/1083),0)))))),0)</f>
        <v/>
      </c>
      <c r="K2738" s="3">
        <f>I2738-J2738</f>
        <v/>
      </c>
      <c r="L2738" s="3">
        <f>IF(K2738&lt;-5,"CRÍTICO",IF(K2738&lt;0,"ATENÇÃO",IF(K2738&lt;=5,"BOM","EXCELENTE")))</f>
        <v/>
      </c>
      <c r="M2738" s="3" t="n">
        <v>22</v>
      </c>
      <c r="N2738" s="3" t="n">
        <v>98.90000000000001</v>
      </c>
      <c r="O2738" s="12" t="n">
        <v>26.7639902676399</v>
      </c>
    </row>
    <row r="2739">
      <c r="A2739" s="10" t="n">
        <v>46086</v>
      </c>
      <c r="B2739" t="inlineStr">
        <is>
          <t>Maria Eduarda Sousa Costa</t>
        </is>
      </c>
      <c r="C2739" s="1" t="inlineStr">
        <is>
          <t>Estágio</t>
        </is>
      </c>
      <c r="D2739" s="3" t="n">
        <v>60</v>
      </c>
      <c r="E2739" s="3" t="n">
        <v>31</v>
      </c>
      <c r="F2739" s="3" t="n">
        <v>3.5</v>
      </c>
      <c r="G2739" s="3" t="n">
        <v>0</v>
      </c>
      <c r="H2739" s="3" t="n">
        <v>0</v>
      </c>
      <c r="I2739" s="3">
        <f>E2739+G2739+H2739</f>
        <v/>
      </c>
      <c r="J2739" s="3">
        <f>ROUND(MIN(IF(C2739="Técnico III",35,IF(C2739="Técnico II",28,IF(C2739="Técnico I",23,IF(C2739="JR",20,IF(C2739="Estágio",10,0))))),IF(C2739="Técnico III",SUMIFS($D:$D,$A:$A,$A2739,$B:$B,"&lt;&gt;Patrícia Karla de Sousa Araújo",$B:$B,"&lt;&gt;Lorena Dias de Araujo",$B:$B,"&lt;&gt;Lucas Luiz Romero")*(35/1083),IF(C2739="Técnico II",SUMIFS($D:$D,$A:$A,$A2739,$B:$B,"&lt;&gt;Patrícia Karla de Sousa Araújo",$B:$B,"&lt;&gt;Lorena Dias de Araujo",$B:$B,"&lt;&gt;Lucas Luiz Romero")*(28/1083),IF(C2739="Técnico I",SUMIFS($D:$D,$A:$A,$A2739,$B:$B,"&lt;&gt;Patrícia Karla de Sousa Araújo",$B:$B,"&lt;&gt;Lorena Dias de Araujo",$B:$B,"&lt;&gt;Lucas Luiz Romero")*(23/1083),IF(C2739="JR",SUMIFS($D:$D,$A:$A,$A2739,$B:$B,"&lt;&gt;Patrícia Karla de Sousa Araújo",$B:$B,"&lt;&gt;Lorena Dias de Araujo",$B:$B,"&lt;&gt;Lucas Luiz Romero")*(20/1083),IF(C2739="Estágio",SUMIFS($D:$D,$A:$A,$A2739,$B:$B,"&lt;&gt;Patrícia Karla de Sousa Araújo",$B:$B,"&lt;&gt;Lorena Dias de Araujo",$B:$B,"&lt;&gt;Lucas Luiz Romero")*(10/1083),0)))))),0)</f>
        <v/>
      </c>
      <c r="K2739" s="3">
        <f>I2739-J2739</f>
        <v/>
      </c>
      <c r="L2739" s="3">
        <f>IF(K2739&lt;-5,"CRÍTICO",IF(K2739&lt;0,"ATENÇÃO",IF(K2739&lt;=5,"BOM","EXCELENTE")))</f>
        <v/>
      </c>
      <c r="M2739" s="3" t="n">
        <v>1</v>
      </c>
      <c r="N2739" s="3" t="n">
        <v>88.89</v>
      </c>
      <c r="O2739" s="12" t="n">
        <v>25.26315789473684</v>
      </c>
    </row>
    <row r="2740">
      <c r="A2740" s="10" t="n">
        <v>46106</v>
      </c>
      <c r="B2740" t="inlineStr">
        <is>
          <t>Matheus Farias De Souza</t>
        </is>
      </c>
      <c r="C2740" s="1" t="inlineStr">
        <is>
          <t>Técnico III</t>
        </is>
      </c>
      <c r="D2740" s="3" t="n">
        <v>32</v>
      </c>
      <c r="E2740" s="3" t="n">
        <v>30</v>
      </c>
      <c r="F2740" s="3" t="n">
        <v>14</v>
      </c>
      <c r="G2740" s="3" t="n">
        <v>0</v>
      </c>
      <c r="H2740" s="3" t="n">
        <v>0</v>
      </c>
      <c r="I2740" s="3">
        <f>E2740+G2740+H2740</f>
        <v/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/>
      </c>
      <c r="K2740" s="3">
        <f>I2740-J2740</f>
        <v/>
      </c>
      <c r="L2740" s="3">
        <f>IF(K2740&lt;-5,"CRÍTICO",IF(K2740&lt;0,"ATENÇÃO",IF(K2740&lt;=5,"OPORTUNO","MUITO BOM")))</f>
        <v/>
      </c>
      <c r="M2740" s="3" t="n">
        <v>27</v>
      </c>
      <c r="N2740" s="3" t="n">
        <v>98.86</v>
      </c>
      <c r="O2740" s="12" t="n">
        <v>28.95927601809955</v>
      </c>
    </row>
    <row r="2741">
      <c r="A2741" s="10" t="n">
        <v>46086</v>
      </c>
      <c r="B2741" t="inlineStr">
        <is>
          <t>Maysa Victoria Dias Moura</t>
        </is>
      </c>
      <c r="C2741" s="1" t="inlineStr">
        <is>
          <t>Técnico III</t>
        </is>
      </c>
      <c r="D2741" s="3" t="n">
        <v>31</v>
      </c>
      <c r="E2741" s="3" t="n">
        <v>29</v>
      </c>
      <c r="F2741" s="3" t="n">
        <v>21.55</v>
      </c>
      <c r="G2741" s="3" t="n">
        <v>0</v>
      </c>
      <c r="H2741" s="3" t="n">
        <v>0</v>
      </c>
      <c r="I2741" s="3">
        <f>E2741+G2741+H2741</f>
        <v/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/>
      </c>
      <c r="K2741" s="3">
        <f>I2741-J2741</f>
        <v/>
      </c>
      <c r="L2741" s="3">
        <f>IF(K2741&lt;-5,"CRÍTICO",IF(K2741&lt;0,"ATENÇÃO",IF(K2741&lt;=5,"BOM","EXCELENTE")))</f>
        <v/>
      </c>
      <c r="M2741" s="3" t="n">
        <v>30</v>
      </c>
      <c r="N2741" s="3" t="n">
        <v>98.06</v>
      </c>
      <c r="O2741" s="12" t="n">
        <v>22.40566037735849</v>
      </c>
    </row>
    <row r="2742">
      <c r="A2742" s="10" t="n">
        <v>46114</v>
      </c>
      <c r="B2742" t="inlineStr">
        <is>
          <t>Michelle G Santos</t>
        </is>
      </c>
      <c r="C2742" s="1" t="inlineStr">
        <is>
          <t>Estágio</t>
        </is>
      </c>
      <c r="D2742" s="3" t="n">
        <v>18</v>
      </c>
      <c r="E2742" s="3" t="n">
        <v>18</v>
      </c>
      <c r="F2742" s="3" t="n">
        <v>24.05</v>
      </c>
      <c r="G2742" s="3" t="n">
        <v>0</v>
      </c>
      <c r="H2742" s="3" t="n">
        <v>0</v>
      </c>
      <c r="I2742" s="3">
        <f>E2742+G2742+H2742</f>
        <v/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/>
      </c>
      <c r="K2742" s="3">
        <f>I2742-J2742</f>
        <v/>
      </c>
      <c r="L2742" s="3">
        <f>IF(K2742&lt;-5,"CRÍTICO",IF(K2742&lt;0,"ATENÇÃO",IF(K2742&lt;=5,"OPORTUNO","MUITO BOM")))</f>
        <v/>
      </c>
      <c r="M2742" s="3" t="n">
        <v>11</v>
      </c>
      <c r="N2742" s="3" t="n">
        <v>100</v>
      </c>
      <c r="O2742" s="12" t="n">
        <v>23.77622377622378</v>
      </c>
    </row>
    <row r="2743">
      <c r="A2743" s="10" t="n">
        <v>46086</v>
      </c>
      <c r="B2743" t="inlineStr">
        <is>
          <t>Milena Sales</t>
        </is>
      </c>
      <c r="C2743" s="1" t="inlineStr">
        <is>
          <t>JR</t>
        </is>
      </c>
      <c r="D2743" s="3" t="n">
        <v>0</v>
      </c>
      <c r="E2743" s="3" t="n">
        <v>0</v>
      </c>
      <c r="F2743" s="3" t="n">
        <v>0</v>
      </c>
      <c r="G2743" s="3" t="n">
        <v>0</v>
      </c>
      <c r="H2743" s="3" t="n">
        <v>0</v>
      </c>
      <c r="I2743" s="3" t="n">
        <v>0</v>
      </c>
      <c r="J2743" s="3" t="n">
        <v>0</v>
      </c>
      <c r="K2743" s="3" t="n">
        <v>0</v>
      </c>
      <c r="L2743" s="3">
        <f>IF(K2743&lt;-5,"CRÍTICO",IF(K2743&lt;0,"ATENÇÃO",IF(K2743&lt;=5,"BOM","EXCELENTE")))</f>
        <v/>
      </c>
      <c r="M2743" s="3" t="n">
        <v>0</v>
      </c>
      <c r="N2743" s="3" t="n">
        <v>100</v>
      </c>
      <c r="O2743" s="12" t="n">
        <v>15.38461538461539</v>
      </c>
    </row>
    <row r="2744">
      <c r="A2744" s="10" t="n">
        <v>46086</v>
      </c>
      <c r="B2744" t="inlineStr">
        <is>
          <t>Patrícia Karla de Sousa Araújo</t>
        </is>
      </c>
      <c r="C2744" s="1" t="inlineStr">
        <is>
          <t>Técnico II</t>
        </is>
      </c>
      <c r="D2744" s="3" t="n">
        <v>26</v>
      </c>
      <c r="E2744" s="3" t="n">
        <v>25</v>
      </c>
      <c r="F2744" s="3" t="n">
        <v>30.55</v>
      </c>
      <c r="G2744" s="3" t="n">
        <v>0</v>
      </c>
      <c r="H2744" s="3" t="n">
        <v>0</v>
      </c>
      <c r="I2744" s="3">
        <f>E2744+G2744+H2744</f>
        <v/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/>
      </c>
      <c r="K2744" s="3">
        <f>I2744-J2744</f>
        <v/>
      </c>
      <c r="L2744" s="3">
        <f>IF(K2744&lt;-5,"CRÍTICO",IF(K2744&lt;0,"ATENÇÃO",IF(K2744&lt;=5,"OPORTUNO","MUITO BOM")))</f>
        <v/>
      </c>
      <c r="M2744" s="3" t="n">
        <v>23</v>
      </c>
      <c r="N2744" s="3" t="n">
        <v>100</v>
      </c>
      <c r="O2744" s="12" t="n">
        <v>27.51479289940828</v>
      </c>
    </row>
    <row r="2745">
      <c r="A2745" s="10" t="n">
        <v>46086</v>
      </c>
      <c r="B2745" t="inlineStr">
        <is>
          <t>Paulo Ricardo Santos</t>
        </is>
      </c>
      <c r="C2745" s="1" t="inlineStr">
        <is>
          <t>JR</t>
        </is>
      </c>
      <c r="D2745" s="3" t="n">
        <v>6</v>
      </c>
      <c r="E2745" s="3" t="n">
        <v>6</v>
      </c>
      <c r="F2745" s="3" t="n">
        <v>25</v>
      </c>
      <c r="G2745" s="3" t="n">
        <v>0</v>
      </c>
      <c r="H2745" s="3" t="n">
        <v>0</v>
      </c>
      <c r="I2745" s="3">
        <f>E2745+G2745+H2745</f>
        <v/>
      </c>
      <c r="J2745" s="3">
        <f>ROUND(MIN(IF(C2745="Técnico III",35,IF(C2745="Técnico II",28,IF(C2745="Técnico I",23,IF(C2745="JR",20,IF(C2745="Estágio",10,0))))),IF(C2745="Técnico III",SUMIFS($D:$D,$A:$A,$A2745,$B:$B,"&lt;&gt;Patrícia Karla de Sousa Araújo",$B:$B,"&lt;&gt;Lorena Dias de Araujo",$B:$B,"&lt;&gt;Lucas Luiz Romero")*(35/1083),IF(C2745="Técnico II",SUMIFS($D:$D,$A:$A,$A2745,$B:$B,"&lt;&gt;Patrícia Karla de Sousa Araújo",$B:$B,"&lt;&gt;Lorena Dias de Araujo",$B:$B,"&lt;&gt;Lucas Luiz Romero")*(28/1083),IF(C2745="Técnico I",SUMIFS($D:$D,$A:$A,$A2745,$B:$B,"&lt;&gt;Patrícia Karla de Sousa Araújo",$B:$B,"&lt;&gt;Lorena Dias de Araujo",$B:$B,"&lt;&gt;Lucas Luiz Romero")*(23/1083),IF(C2745="JR",SUMIFS($D:$D,$A:$A,$A2745,$B:$B,"&lt;&gt;Patrícia Karla de Sousa Araújo",$B:$B,"&lt;&gt;Lorena Dias de Araujo",$B:$B,"&lt;&gt;Lucas Luiz Romero")*(20/1083),IF(C2745="Estágio",SUMIFS($D:$D,$A:$A,$A2745,$B:$B,"&lt;&gt;Patrícia Karla de Sousa Araújo",$B:$B,"&lt;&gt;Lorena Dias de Araujo",$B:$B,"&lt;&gt;Lucas Luiz Romero")*(10/1083),0)))))),0)</f>
        <v/>
      </c>
      <c r="K2745" s="3">
        <f>I2745-J2745</f>
        <v/>
      </c>
      <c r="L2745" s="3">
        <f>IF(K2745&lt;-5,"CRÍTICO",IF(K2745&lt;0,"ATENÇÃO",IF(K2745&lt;=5,"OPORTUNO","MUITO BOM")))</f>
        <v/>
      </c>
      <c r="M2745" s="3" t="n">
        <v>6</v>
      </c>
      <c r="N2745" s="3" t="n">
        <v>100</v>
      </c>
      <c r="O2745" s="12" t="n">
        <v>24.87562189054727</v>
      </c>
    </row>
    <row r="2746">
      <c r="A2746" s="10" t="n">
        <v>46086</v>
      </c>
      <c r="B2746" t="inlineStr">
        <is>
          <t>Pedro Luiz Mota Sousa</t>
        </is>
      </c>
      <c r="C2746" s="1" t="inlineStr">
        <is>
          <t>JR</t>
        </is>
      </c>
      <c r="D2746" s="3" t="n">
        <v>5</v>
      </c>
      <c r="E2746" s="3" t="n">
        <v>5</v>
      </c>
      <c r="F2746" s="3" t="n">
        <v>41.48</v>
      </c>
      <c r="G2746" s="3" t="n">
        <v>0</v>
      </c>
      <c r="H2746" s="3" t="n">
        <v>0</v>
      </c>
      <c r="I2746" s="3">
        <f>E2746+G2746+H2746</f>
        <v/>
      </c>
      <c r="J2746" s="3">
        <f>ROUND(MIN(IF(C2746="Técnico III",35,IF(C2746="Técnico II",28,IF(C2746="Técnico I",23,IF(C2746="JR",20,IF(C2746="Estágio",10,0))))),IF(C2746="Técnico III",SUMIFS($D:$D,$A:$A,$A2746,$B:$B,"&lt;&gt;Patrícia Karla de Sousa Araújo",$B:$B,"&lt;&gt;Lorena Dias de Araujo",$B:$B,"&lt;&gt;Lucas Luiz Romero")*(35/1083),IF(C2746="Técnico II",SUMIFS($D:$D,$A:$A,$A2746,$B:$B,"&lt;&gt;Patrícia Karla de Sousa Araújo",$B:$B,"&lt;&gt;Lorena Dias de Araujo",$B:$B,"&lt;&gt;Lucas Luiz Romero")*(28/1083),IF(C2746="Técnico I",SUMIFS($D:$D,$A:$A,$A2746,$B:$B,"&lt;&gt;Patrícia Karla de Sousa Araújo",$B:$B,"&lt;&gt;Lorena Dias de Araujo",$B:$B,"&lt;&gt;Lucas Luiz Romero")*(23/1083),IF(C2746="JR",SUMIFS($D:$D,$A:$A,$A2746,$B:$B,"&lt;&gt;Patrícia Karla de Sousa Araújo",$B:$B,"&lt;&gt;Lorena Dias de Araujo",$B:$B,"&lt;&gt;Lucas Luiz Romero")*(20/1083),IF(C2746="Estágio",SUMIFS($D:$D,$A:$A,$A2746,$B:$B,"&lt;&gt;Patrícia Karla de Sousa Araújo",$B:$B,"&lt;&gt;Lorena Dias de Araujo",$B:$B,"&lt;&gt;Lucas Luiz Romero")*(10/1083),0)))))),0)</f>
        <v/>
      </c>
      <c r="K2746" s="3">
        <f>I2746-J2746</f>
        <v/>
      </c>
      <c r="L2746" s="3">
        <f>IF(K2746&lt;-5,"CRÍTICO",IF(K2746&lt;0,"ATENÇÃO",IF(K2746&lt;=5,"OPORTUNO","MUITO BOM")))</f>
        <v/>
      </c>
      <c r="M2746" s="3" t="n">
        <v>4</v>
      </c>
      <c r="N2746" s="3" t="n">
        <v>100</v>
      </c>
      <c r="O2746" s="12" t="n">
        <v>28.10810810810811</v>
      </c>
    </row>
    <row r="2747">
      <c r="A2747" s="10" t="n">
        <v>46114</v>
      </c>
      <c r="B2747" t="inlineStr">
        <is>
          <t>Quirino Diogo Leite Torres</t>
        </is>
      </c>
      <c r="C2747" s="1" t="inlineStr">
        <is>
          <t>Estágio</t>
        </is>
      </c>
      <c r="D2747" s="3" t="n">
        <v>8</v>
      </c>
      <c r="E2747" s="3" t="n">
        <v>7</v>
      </c>
      <c r="F2747" s="3" t="n">
        <v>27.17</v>
      </c>
      <c r="G2747" s="3" t="n">
        <v>0</v>
      </c>
      <c r="H2747" s="3" t="n">
        <v>0</v>
      </c>
      <c r="I2747" s="3">
        <f>E2747+G2747+H2747</f>
        <v/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/>
      </c>
      <c r="K2747" s="3">
        <f>I2747-J2747</f>
        <v/>
      </c>
      <c r="L2747" s="3">
        <f>IF(K2747&lt;-5,"CRÍTICO",IF(K2747&lt;0,"ATENÇÃO",IF(K2747&lt;=5,"OPORTUNO","MUITO BOM")))</f>
        <v/>
      </c>
      <c r="M2747" s="3" t="n">
        <v>3</v>
      </c>
      <c r="N2747" s="3" t="n">
        <v>94.12</v>
      </c>
      <c r="O2747" s="12" t="n">
        <v>32.8</v>
      </c>
    </row>
    <row r="2748">
      <c r="A2748" s="10" t="n">
        <v>46086</v>
      </c>
      <c r="B2748" t="inlineStr">
        <is>
          <t>Raane Batista Matos</t>
        </is>
      </c>
      <c r="C2748" s="1" t="inlineStr">
        <is>
          <t>Técnico I</t>
        </is>
      </c>
      <c r="D2748" s="3" t="n">
        <v>24</v>
      </c>
      <c r="E2748" s="3" t="n">
        <v>23</v>
      </c>
      <c r="F2748" s="3" t="n">
        <v>25.34</v>
      </c>
      <c r="G2748" s="3" t="n">
        <v>0</v>
      </c>
      <c r="H2748" s="3" t="n">
        <v>0</v>
      </c>
      <c r="I2748" s="3">
        <f>E2748+G2748+H2748</f>
        <v/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/>
      </c>
      <c r="K2748" s="3">
        <f>I2748-J2748</f>
        <v/>
      </c>
      <c r="L2748" s="3">
        <f>IF(K2748&lt;-5,"CRÍTICO",IF(K2748&lt;0,"ATENÇÃO",IF(K2748&lt;=5,"OPORTUNO","MUITO BOM")))</f>
        <v/>
      </c>
      <c r="M2748" s="3" t="n">
        <v>20</v>
      </c>
      <c r="N2748" s="3" t="n">
        <v>95.34999999999999</v>
      </c>
      <c r="O2748" s="12" t="n">
        <v>28.61538461538461</v>
      </c>
    </row>
    <row r="2749">
      <c r="A2749" s="10" t="n">
        <v>46086</v>
      </c>
      <c r="B2749" t="inlineStr">
        <is>
          <t>Rafael Gomes de Morais</t>
        </is>
      </c>
      <c r="C2749" s="1" t="inlineStr">
        <is>
          <t>Técnico III</t>
        </is>
      </c>
      <c r="D2749" s="3" t="n">
        <v>38</v>
      </c>
      <c r="E2749" s="3" t="n">
        <v>36</v>
      </c>
      <c r="F2749" s="3" t="n">
        <v>13.55</v>
      </c>
      <c r="G2749" s="3" t="n">
        <v>0</v>
      </c>
      <c r="H2749" s="3" t="n">
        <v>0</v>
      </c>
      <c r="I2749" s="3">
        <f>E2749+G2749+H2749</f>
        <v/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/>
      </c>
      <c r="K2749" s="3">
        <f>I2749-J2749</f>
        <v/>
      </c>
      <c r="L2749" s="3">
        <f>IF(K2749&lt;-5,"CRÍTICO",IF(K2749&lt;0,"ATENÇÃO",IF(K2749&lt;=5,"OPORTUNO","MUITO BOM")))</f>
        <v/>
      </c>
      <c r="M2749" s="3" t="n">
        <v>32</v>
      </c>
      <c r="N2749" s="3" t="n">
        <v>98.26000000000001</v>
      </c>
      <c r="O2749" s="12" t="n">
        <v>27.54491017964072</v>
      </c>
    </row>
    <row r="2750">
      <c r="A2750" s="10" t="n">
        <v>46086</v>
      </c>
      <c r="B2750" t="inlineStr">
        <is>
          <t>Sara Maria Monteiro Lopes</t>
        </is>
      </c>
      <c r="C2750" s="1" t="inlineStr">
        <is>
          <t>Técnico I</t>
        </is>
      </c>
      <c r="D2750" s="3" t="n">
        <v>22</v>
      </c>
      <c r="E2750" s="3" t="n">
        <v>21</v>
      </c>
      <c r="F2750" s="3" t="n">
        <v>29.05</v>
      </c>
      <c r="G2750" s="3" t="n">
        <v>0</v>
      </c>
      <c r="H2750" s="3" t="n">
        <v>0</v>
      </c>
      <c r="I2750" s="3">
        <f>E2750+G2750+H2750</f>
        <v/>
      </c>
      <c r="J2750" s="3">
        <f>ROUND(MIN(IF(C2750="Técnico III",35,IF(C2750="Técnico II",28,IF(C2750="Técnico I",23,IF(C2750="JR",20,IF(C2750="Estágio",10,0))))),IF(C2750="Técnico III",SUMIFS($D:$D,$A:$A,$A2750,$B:$B,"&lt;&gt;Patrícia Karla de Sousa Araújo",$B:$B,"&lt;&gt;Lorena Dias de Araujo",$B:$B,"&lt;&gt;Lucas Luiz Romero")*(35/1083),IF(C2750="Técnico II",SUMIFS($D:$D,$A:$A,$A2750,$B:$B,"&lt;&gt;Patrícia Karla de Sousa Araújo",$B:$B,"&lt;&gt;Lorena Dias de Araujo",$B:$B,"&lt;&gt;Lucas Luiz Romero")*(28/1083),IF(C2750="Técnico I",SUMIFS($D:$D,$A:$A,$A2750,$B:$B,"&lt;&gt;Patrícia Karla de Sousa Araújo",$B:$B,"&lt;&gt;Lorena Dias de Araujo",$B:$B,"&lt;&gt;Lucas Luiz Romero")*(23/1083),IF(C2750="JR",SUMIFS($D:$D,$A:$A,$A2750,$B:$B,"&lt;&gt;Patrícia Karla de Sousa Araújo",$B:$B,"&lt;&gt;Lorena Dias de Araujo",$B:$B,"&lt;&gt;Lucas Luiz Romero")*(20/1083),IF(C2750="Estágio",SUMIFS($D:$D,$A:$A,$A2750,$B:$B,"&lt;&gt;Patrícia Karla de Sousa Araújo",$B:$B,"&lt;&gt;Lorena Dias de Araujo",$B:$B,"&lt;&gt;Lucas Luiz Romero")*(10/1083),0)))))),0)</f>
        <v/>
      </c>
      <c r="K2750" s="3">
        <f>I2750-J2750</f>
        <v/>
      </c>
      <c r="L2750" s="3">
        <f>IF(K2750&lt;-5,"CRÍTICO",IF(K2750&lt;0,"ATENÇÃO",IF(K2750&lt;=5,"OPORTUNO","MUITO BOM")))</f>
        <v/>
      </c>
      <c r="M2750" s="3" t="n">
        <v>22</v>
      </c>
      <c r="N2750" s="3" t="n">
        <v>98.55</v>
      </c>
      <c r="O2750" s="12" t="n">
        <v>25.33783783783784</v>
      </c>
    </row>
    <row r="2751">
      <c r="A2751" s="10" t="n">
        <v>46086</v>
      </c>
      <c r="B2751" t="inlineStr">
        <is>
          <t>Sarah Steffanie de Lima Borges</t>
        </is>
      </c>
      <c r="C2751" s="1" t="inlineStr">
        <is>
          <t>Técnico III</t>
        </is>
      </c>
      <c r="D2751" s="3" t="n">
        <v>27</v>
      </c>
      <c r="E2751" s="3" t="n">
        <v>27</v>
      </c>
      <c r="F2751" s="3" t="n">
        <v>20.56</v>
      </c>
      <c r="G2751" s="3" t="n">
        <v>0</v>
      </c>
      <c r="H2751" s="3" t="n">
        <v>0</v>
      </c>
      <c r="I2751" s="3">
        <f>E2751+G2751+H2751</f>
        <v/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/>
      </c>
      <c r="K2751" s="3">
        <f>I2751-J2751</f>
        <v/>
      </c>
      <c r="L2751" s="3">
        <f>IF(K2751&lt;-5,"CRÍTICO",IF(K2751&lt;0,"ATENÇÃO",IF(K2751&lt;=5,"OPORTUNO","MUITO BOM")))</f>
        <v/>
      </c>
      <c r="M2751" s="3" t="n">
        <v>27</v>
      </c>
      <c r="N2751" s="3" t="n">
        <v>98.39</v>
      </c>
      <c r="O2751" s="12" t="n">
        <v>25.56390977443609</v>
      </c>
    </row>
    <row r="2752">
      <c r="A2752" s="10" t="n">
        <v>46087</v>
      </c>
      <c r="B2752" t="inlineStr">
        <is>
          <t>Alisson de Freitas Silva</t>
        </is>
      </c>
      <c r="C2752" s="1" t="inlineStr">
        <is>
          <t>Técnico II</t>
        </is>
      </c>
      <c r="D2752" s="3" t="n">
        <v>41</v>
      </c>
      <c r="E2752" s="3" t="n">
        <v>33</v>
      </c>
      <c r="F2752" s="3" t="n">
        <v>13.43</v>
      </c>
      <c r="G2752" s="3" t="n">
        <v>0</v>
      </c>
      <c r="H2752" s="3" t="n">
        <v>0</v>
      </c>
      <c r="I2752" s="3">
        <f>E2752+G2752+H2752</f>
        <v/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/>
      </c>
      <c r="K2752" s="3">
        <f>I2752-J2752</f>
        <v/>
      </c>
      <c r="L2752" s="3">
        <f>IF(K2752&lt;-5,"CRÍTICO",IF(K2752&lt;0,"ATENÇÃO",IF(K2752&lt;=5,"OPORTUNO","MUITO BOM")))</f>
        <v/>
      </c>
      <c r="M2752" s="3" t="n">
        <v>16</v>
      </c>
      <c r="N2752" s="3" t="n">
        <v>94.29000000000001</v>
      </c>
      <c r="O2752" s="12" t="n">
        <v>25.64766839378239</v>
      </c>
    </row>
    <row r="2753">
      <c r="A2753" s="10" t="n">
        <v>46087</v>
      </c>
      <c r="B2753" t="inlineStr">
        <is>
          <t>Amanda Moura Ferreira</t>
        </is>
      </c>
      <c r="C2753" s="1" t="inlineStr">
        <is>
          <t>Técnico III</t>
        </is>
      </c>
      <c r="D2753" s="3" t="n">
        <v>0</v>
      </c>
      <c r="E2753" s="3" t="n">
        <v>0</v>
      </c>
      <c r="F2753" s="3" t="n">
        <v>0</v>
      </c>
      <c r="G2753" s="3" t="n">
        <v>0</v>
      </c>
      <c r="H2753" s="3" t="n">
        <v>0</v>
      </c>
      <c r="I2753" s="3" t="n">
        <v>0</v>
      </c>
      <c r="J2753" s="3" t="n">
        <v>0</v>
      </c>
      <c r="K2753" s="3" t="n">
        <v>0</v>
      </c>
      <c r="L2753" s="3">
        <f>IF(K2753&lt;-5,"CRÍTICO",IF(K2753&lt;0,"ATENÇÃO",IF(K2753&lt;=5,"OPORTUNO","MUITO BOM")))</f>
        <v/>
      </c>
      <c r="M2753" s="3" t="n">
        <v>27</v>
      </c>
      <c r="N2753" s="3" t="n">
        <v>98.26000000000001</v>
      </c>
      <c r="O2753" s="12" t="n">
        <v>26.66666666666667</v>
      </c>
    </row>
    <row r="2754">
      <c r="A2754" s="10" t="n">
        <v>46087</v>
      </c>
      <c r="B2754" t="inlineStr">
        <is>
          <t>Ana Karollyne Souza Faria</t>
        </is>
      </c>
      <c r="C2754" s="1" t="inlineStr">
        <is>
          <t>Técnico I</t>
        </is>
      </c>
      <c r="D2754" s="3" t="n">
        <v>23</v>
      </c>
      <c r="E2754" s="3" t="n">
        <v>21</v>
      </c>
      <c r="F2754" s="3" t="n">
        <v>25.12</v>
      </c>
      <c r="G2754" s="3" t="n">
        <v>0</v>
      </c>
      <c r="H2754" s="3" t="n">
        <v>0</v>
      </c>
      <c r="I2754" s="3">
        <f>E2754+G2754+H2754</f>
        <v/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/>
      </c>
      <c r="K2754" s="3">
        <f>I2754-J2754</f>
        <v/>
      </c>
      <c r="L2754" s="3">
        <f>IF(K2754&lt;-5,"CRÍTICO",IF(K2754&lt;0,"ATENÇÃO",IF(K2754&lt;=5,"OPORTUNO","MUITO BOM")))</f>
        <v/>
      </c>
      <c r="M2754" s="3" t="n">
        <v>22</v>
      </c>
      <c r="N2754" s="3" t="n">
        <v>98.2</v>
      </c>
      <c r="O2754" s="12" t="n">
        <v>23.37962962962963</v>
      </c>
    </row>
    <row r="2755">
      <c r="A2755" s="10" t="n">
        <v>46087</v>
      </c>
      <c r="B2755" t="inlineStr">
        <is>
          <t>Ana Paula Da Luz Silva Aleixo</t>
        </is>
      </c>
      <c r="C2755" s="1" t="inlineStr">
        <is>
          <t>Técnico III</t>
        </is>
      </c>
      <c r="D2755" s="3" t="n">
        <v>27</v>
      </c>
      <c r="E2755" s="3" t="n">
        <v>25</v>
      </c>
      <c r="F2755" s="3" t="n">
        <v>20</v>
      </c>
      <c r="G2755" s="3" t="n">
        <v>0</v>
      </c>
      <c r="H2755" s="3" t="n">
        <v>0</v>
      </c>
      <c r="I2755" s="3">
        <f>E2755+G2755+H2755</f>
        <v/>
      </c>
      <c r="J2755" s="3">
        <f>ROUND(MIN(IF(C2755="Técnico III",35,IF(C2755="Técnico II",28,IF(C2755="Técnico I",23,IF(C2755="JR",20,IF(C2755="Estágio",10,0))))),IF(C2755="Técnico III",SUMIFS($D:$D,$A:$A,$A2755,$B:$B,"&lt;&gt;Patrícia Karla de Sousa Araújo",$B:$B,"&lt;&gt;Lorena Dias de Araujo",$B:$B,"&lt;&gt;Lucas Luiz Romero")*(35/1083),IF(C2755="Técnico II",SUMIFS($D:$D,$A:$A,$A2755,$B:$B,"&lt;&gt;Patrícia Karla de Sousa Araújo",$B:$B,"&lt;&gt;Lorena Dias de Araujo",$B:$B,"&lt;&gt;Lucas Luiz Romero")*(28/1083),IF(C2755="Técnico I",SUMIFS($D:$D,$A:$A,$A2755,$B:$B,"&lt;&gt;Patrícia Karla de Sousa Araújo",$B:$B,"&lt;&gt;Lorena Dias de Araujo",$B:$B,"&lt;&gt;Lucas Luiz Romero")*(23/1083),IF(C2755="JR",SUMIFS($D:$D,$A:$A,$A2755,$B:$B,"&lt;&gt;Patrícia Karla de Sousa Araújo",$B:$B,"&lt;&gt;Lorena Dias de Araujo",$B:$B,"&lt;&gt;Lucas Luiz Romero")*(20/1083),IF(C2755="Estágio",SUMIFS($D:$D,$A:$A,$A2755,$B:$B,"&lt;&gt;Patrícia Karla de Sousa Araújo",$B:$B,"&lt;&gt;Lorena Dias de Araujo",$B:$B,"&lt;&gt;Lucas Luiz Romero")*(10/1083),0)))))),0)</f>
        <v/>
      </c>
      <c r="K2755" s="3">
        <f>I2755-J2755</f>
        <v/>
      </c>
      <c r="L2755" s="3">
        <f>IF(K2755&lt;-5,"CRÍTICO",IF(K2755&lt;0,"ATENÇÃO",IF(K2755&lt;=5,"OPORTUNO","MUITO BOM")))</f>
        <v/>
      </c>
      <c r="M2755" s="3" t="n">
        <v>27</v>
      </c>
      <c r="N2755" s="3" t="n">
        <v>97.3</v>
      </c>
      <c r="O2755" s="12" t="n">
        <v>23.84769539078156</v>
      </c>
    </row>
    <row r="2756">
      <c r="A2756" s="10" t="n">
        <v>46087</v>
      </c>
      <c r="B2756" t="inlineStr">
        <is>
          <t>Anna Luiza Rezende Tavares</t>
        </is>
      </c>
      <c r="C2756" s="1" t="inlineStr">
        <is>
          <t>Estágio</t>
        </is>
      </c>
      <c r="D2756" s="3" t="n">
        <v>6</v>
      </c>
      <c r="E2756" s="3" t="n">
        <v>6</v>
      </c>
      <c r="F2756" s="3" t="n">
        <v>43.41</v>
      </c>
      <c r="G2756" s="3" t="n">
        <v>0</v>
      </c>
      <c r="H2756" s="3" t="n">
        <v>0</v>
      </c>
      <c r="I2756" s="3">
        <f>E2756+G2756+H2756</f>
        <v/>
      </c>
      <c r="J2756" s="3">
        <f>ROUND(MIN(IF(C2756="Técnico III",35,IF(C2756="Técnico II",28,IF(C2756="Técnico I",23,IF(C2756="JR",20,IF(C2756="Estágio",10,0))))),IF(C2756="Técnico III",SUMIFS($D:$D,$A:$A,$A2756,$B:$B,"&lt;&gt;Patrícia Karla de Sousa Araújo",$B:$B,"&lt;&gt;Lorena Dias de Araujo",$B:$B,"&lt;&gt;Lucas Luiz Romero")*(35/1083),IF(C2756="Técnico II",SUMIFS($D:$D,$A:$A,$A2756,$B:$B,"&lt;&gt;Patrícia Karla de Sousa Araújo",$B:$B,"&lt;&gt;Lorena Dias de Araujo",$B:$B,"&lt;&gt;Lucas Luiz Romero")*(28/1083),IF(C2756="Técnico I",SUMIFS($D:$D,$A:$A,$A2756,$B:$B,"&lt;&gt;Patrícia Karla de Sousa Araújo",$B:$B,"&lt;&gt;Lorena Dias de Araujo",$B:$B,"&lt;&gt;Lucas Luiz Romero")*(23/1083),IF(C2756="JR",SUMIFS($D:$D,$A:$A,$A2756,$B:$B,"&lt;&gt;Patrícia Karla de Sousa Araújo",$B:$B,"&lt;&gt;Lorena Dias de Araujo",$B:$B,"&lt;&gt;Lucas Luiz Romero")*(20/1083),IF(C2756="Estágio",SUMIFS($D:$D,$A:$A,$A2756,$B:$B,"&lt;&gt;Patrícia Karla de Sousa Araújo",$B:$B,"&lt;&gt;Lorena Dias de Araujo",$B:$B,"&lt;&gt;Lucas Luiz Romero")*(10/1083),0)))))),0)</f>
        <v/>
      </c>
      <c r="K2756" s="3">
        <f>I2756-J2756</f>
        <v/>
      </c>
      <c r="L2756" s="3">
        <f>IF(K2756&lt;-5,"CRÍTICO",IF(K2756&lt;0,"ATENÇÃO",IF(K2756&lt;=5,"OPORTUNO","MUITO BOM")))</f>
        <v/>
      </c>
      <c r="M2756" s="3" t="n">
        <v>5</v>
      </c>
      <c r="N2756" s="3" t="n">
        <v>100</v>
      </c>
      <c r="O2756" s="12" t="n">
        <v>25.26881720430108</v>
      </c>
    </row>
    <row r="2757">
      <c r="A2757" s="10" t="n">
        <v>46087</v>
      </c>
      <c r="B2757" t="inlineStr">
        <is>
          <t>Brenda de Menezes Silva</t>
        </is>
      </c>
      <c r="C2757" s="1" t="inlineStr">
        <is>
          <t>Técnico II</t>
        </is>
      </c>
      <c r="D2757" s="3" t="n">
        <v>45</v>
      </c>
      <c r="E2757" s="3" t="n">
        <v>43</v>
      </c>
      <c r="F2757" s="3" t="n">
        <v>13.55</v>
      </c>
      <c r="G2757" s="3" t="n">
        <v>0</v>
      </c>
      <c r="H2757" s="3" t="n">
        <v>0</v>
      </c>
      <c r="I2757" s="3">
        <f>E2757+G2757+H2757</f>
        <v/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/>
      </c>
      <c r="K2757" s="3">
        <f>I2757-J2757</f>
        <v/>
      </c>
      <c r="L2757" s="3">
        <f>IF(K2757&lt;-5,"CRÍTICO",IF(K2757&lt;0,"ATENÇÃO",IF(K2757&lt;=5,"OPORTUNO","MUITO BOM")))</f>
        <v/>
      </c>
      <c r="M2757" s="3" t="n">
        <v>42</v>
      </c>
      <c r="N2757" s="3" t="n">
        <v>99.31999999999999</v>
      </c>
      <c r="O2757" s="12" t="n">
        <v>22.82282282282282</v>
      </c>
    </row>
    <row r="2758">
      <c r="A2758" s="10" t="n">
        <v>46087</v>
      </c>
      <c r="B2758" t="inlineStr">
        <is>
          <t>Carlos Mateus Cassimiro Nunes</t>
        </is>
      </c>
      <c r="C2758" s="1" t="inlineStr">
        <is>
          <t>Técnico II</t>
        </is>
      </c>
      <c r="D2758" s="3" t="n">
        <v>23</v>
      </c>
      <c r="E2758" s="3" t="n">
        <v>23</v>
      </c>
      <c r="F2758" s="3" t="n">
        <v>28.33</v>
      </c>
      <c r="G2758" s="3" t="n">
        <v>0</v>
      </c>
      <c r="H2758" s="3" t="n">
        <v>0</v>
      </c>
      <c r="I2758" s="3">
        <f>E2758+G2758+H2758</f>
        <v/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/>
      </c>
      <c r="K2758" s="3">
        <f>I2758-J2758</f>
        <v/>
      </c>
      <c r="L2758" s="3">
        <f>IF(K2758&lt;-5,"CRÍTICO",IF(K2758&lt;0,"ATENÇÃO",IF(K2758&lt;=5,"OPORTUNO","MUITO BOM")))</f>
        <v/>
      </c>
      <c r="M2758" s="3" t="n">
        <v>24</v>
      </c>
      <c r="N2758" s="3" t="n">
        <v>100</v>
      </c>
      <c r="O2758" s="12" t="n">
        <v>27.96610169491525</v>
      </c>
    </row>
    <row r="2759">
      <c r="A2759" s="10" t="n">
        <v>46087</v>
      </c>
      <c r="B2759" t="inlineStr">
        <is>
          <t>Claudio de Sousa Velasco Filho</t>
        </is>
      </c>
      <c r="C2759" s="1" t="inlineStr">
        <is>
          <t>Estágio</t>
        </is>
      </c>
      <c r="D2759" s="3" t="n">
        <v>0</v>
      </c>
      <c r="E2759" s="3" t="n">
        <v>0</v>
      </c>
      <c r="F2759" s="3" t="n">
        <v>0</v>
      </c>
      <c r="G2759" s="3" t="n">
        <v>0</v>
      </c>
      <c r="H2759" s="3" t="n">
        <v>0</v>
      </c>
      <c r="I2759" s="3" t="n">
        <v>0</v>
      </c>
      <c r="J2759" s="3" t="n">
        <v>0</v>
      </c>
      <c r="K2759" s="3" t="n">
        <v>0</v>
      </c>
      <c r="L2759" s="3">
        <f>IF(K2759&lt;-5,"CRÍTICO",IF(K2759&lt;0,"ATENÇÃO",IF(K2759&lt;=5,"OPORTUNO","MUITO BOM")))</f>
        <v/>
      </c>
      <c r="M2759" s="3" t="n">
        <v>0</v>
      </c>
      <c r="N2759" s="3" t="n">
        <v>100</v>
      </c>
      <c r="O2759" s="12" t="n">
        <v>30.43478260869566</v>
      </c>
    </row>
    <row r="2760">
      <c r="A2760" s="10" t="n">
        <v>46087</v>
      </c>
      <c r="B2760" t="inlineStr">
        <is>
          <t>Clessiane Pereira dos Santos</t>
        </is>
      </c>
      <c r="C2760" s="1" t="inlineStr">
        <is>
          <t>Técnico I</t>
        </is>
      </c>
      <c r="D2760" s="3" t="n">
        <v>23</v>
      </c>
      <c r="E2760" s="3" t="n">
        <v>18</v>
      </c>
      <c r="F2760" s="3" t="n">
        <v>25.29</v>
      </c>
      <c r="G2760" s="3" t="n">
        <v>0</v>
      </c>
      <c r="H2760" s="3" t="n">
        <v>0</v>
      </c>
      <c r="I2760" s="3">
        <f>E2760+G2760+H2760</f>
        <v/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/>
      </c>
      <c r="K2760" s="3">
        <f>I2760-J2760</f>
        <v/>
      </c>
      <c r="L2760" s="3">
        <f>IF(K2760&lt;-5,"CRÍTICO",IF(K2760&lt;0,"ATENÇÃO",IF(K2760&lt;=5,"OPORTUNO","MUITO BOM")))</f>
        <v/>
      </c>
      <c r="M2760" s="3" t="n">
        <v>15</v>
      </c>
      <c r="N2760" s="3" t="n">
        <v>96.51000000000001</v>
      </c>
      <c r="O2760" s="12" t="n">
        <v>22.80285035629454</v>
      </c>
    </row>
    <row r="2761">
      <c r="A2761" s="10" t="n">
        <v>46087</v>
      </c>
      <c r="B2761" t="inlineStr">
        <is>
          <t>Cristiane Ramos da Silva Rocha</t>
        </is>
      </c>
      <c r="C2761" s="1" t="inlineStr">
        <is>
          <t>Técnico III</t>
        </is>
      </c>
      <c r="D2761" s="3" t="n">
        <v>0</v>
      </c>
      <c r="E2761" s="3" t="n">
        <v>0</v>
      </c>
      <c r="F2761" s="3" t="n">
        <v>0</v>
      </c>
      <c r="G2761" s="3" t="n">
        <v>0</v>
      </c>
      <c r="H2761" s="3" t="n">
        <v>0</v>
      </c>
      <c r="I2761" s="3" t="n">
        <v>0</v>
      </c>
      <c r="J2761" s="3" t="n">
        <v>0</v>
      </c>
      <c r="K2761" s="3" t="n">
        <v>0</v>
      </c>
      <c r="L2761" s="3">
        <f>IF(K2761&lt;-5,"CRÍTICO",IF(K2761&lt;0,"ATENÇÃO",IF(K2761&lt;=5,"OPORTUNO","MUITO BOM")))</f>
        <v/>
      </c>
      <c r="M2761" s="3" t="n">
        <v>0</v>
      </c>
      <c r="N2761" s="3" t="n">
        <v>92.68000000000001</v>
      </c>
      <c r="O2761" s="12" t="n">
        <v>27.77777777777778</v>
      </c>
    </row>
    <row r="2762">
      <c r="A2762" s="10" t="n">
        <v>46087</v>
      </c>
      <c r="B2762" t="inlineStr">
        <is>
          <t>Damyllis Lorraine de Oliveira Gonçalves</t>
        </is>
      </c>
      <c r="C2762" s="1" t="inlineStr">
        <is>
          <t>Técnico II</t>
        </is>
      </c>
      <c r="D2762" s="3" t="n">
        <v>31</v>
      </c>
      <c r="E2762" s="3" t="n">
        <v>27</v>
      </c>
      <c r="F2762" s="3" t="n">
        <v>23.43</v>
      </c>
      <c r="G2762" s="3" t="n">
        <v>0</v>
      </c>
      <c r="H2762" s="3" t="n">
        <v>0</v>
      </c>
      <c r="I2762" s="3" t="n">
        <v>0</v>
      </c>
      <c r="J2762" s="3" t="n">
        <v>0</v>
      </c>
      <c r="K2762" s="3" t="n">
        <v>0</v>
      </c>
      <c r="L2762" s="3">
        <f>IF(K2762&lt;-5,"CRÍTICO",IF(K2762&lt;0,"ATENÇÃO",IF(K2762&lt;=5,"OPORTUNO","MUITO BOM")))</f>
        <v/>
      </c>
      <c r="M2762" s="3" t="n">
        <v>27</v>
      </c>
      <c r="N2762" s="3" t="n">
        <v>99.03</v>
      </c>
      <c r="O2762" s="12" t="n">
        <v>23.99150743099788</v>
      </c>
    </row>
    <row r="2763">
      <c r="A2763" s="10" t="n">
        <v>46087</v>
      </c>
      <c r="B2763" t="inlineStr">
        <is>
          <t>Daniel Gomes da Silva</t>
        </is>
      </c>
      <c r="C2763" s="1" t="inlineStr">
        <is>
          <t>Técnico I</t>
        </is>
      </c>
      <c r="D2763" s="3" t="n">
        <v>21</v>
      </c>
      <c r="E2763" s="3" t="n">
        <v>21</v>
      </c>
      <c r="F2763" s="3" t="n">
        <v>25.27</v>
      </c>
      <c r="G2763" s="3" t="n">
        <v>0</v>
      </c>
      <c r="H2763" s="3" t="n">
        <v>0</v>
      </c>
      <c r="I2763" s="3">
        <f>E2763+G2763+H2763</f>
        <v/>
      </c>
      <c r="J2763" s="3">
        <f>ROUND(MIN(IF(C2763="Técnico III",35,IF(C2763="Técnico II",28,IF(C2763="Técnico I",23,IF(C2763="JR",20,IF(C2763="Estágio",10,0))))),IF(C2763="Técnico III",SUMIFS($D:$D,$A:$A,$A2763,$B:$B,"&lt;&gt;Patrícia Karla de Sousa Araújo",$B:$B,"&lt;&gt;Lorena Dias de Araujo",$B:$B,"&lt;&gt;Lucas Luiz Romero")*(35/1083),IF(C2763="Técnico II",SUMIFS($D:$D,$A:$A,$A2763,$B:$B,"&lt;&gt;Patrícia Karla de Sousa Araújo",$B:$B,"&lt;&gt;Lorena Dias de Araujo",$B:$B,"&lt;&gt;Lucas Luiz Romero")*(28/1083),IF(C2763="Técnico I",SUMIFS($D:$D,$A:$A,$A2763,$B:$B,"&lt;&gt;Patrícia Karla de Sousa Araújo",$B:$B,"&lt;&gt;Lorena Dias de Araujo",$B:$B,"&lt;&gt;Lucas Luiz Romero")*(23/1083),IF(C2763="JR",SUMIFS($D:$D,$A:$A,$A2763,$B:$B,"&lt;&gt;Patrícia Karla de Sousa Araújo",$B:$B,"&lt;&gt;Lorena Dias de Araujo",$B:$B,"&lt;&gt;Lucas Luiz Romero")*(20/1083),IF(C2763="Estágio",SUMIFS($D:$D,$A:$A,$A2763,$B:$B,"&lt;&gt;Patrícia Karla de Sousa Araújo",$B:$B,"&lt;&gt;Lorena Dias de Araujo",$B:$B,"&lt;&gt;Lucas Luiz Romero")*(10/1083),0)))))),0)</f>
        <v/>
      </c>
      <c r="K2763" s="3">
        <f>I2763-J2763</f>
        <v/>
      </c>
      <c r="L2763" s="3">
        <f>IF(K2763&lt;-5,"CRÍTICO",IF(K2763&lt;0,"ATENÇÃO",IF(K2763&lt;=5,"OPORTUNO","MUITO BOM")))</f>
        <v/>
      </c>
      <c r="M2763" s="3" t="n">
        <v>17</v>
      </c>
      <c r="N2763" s="3" t="n">
        <v>98.41</v>
      </c>
      <c r="O2763" s="12" t="n">
        <v>28.13852813852814</v>
      </c>
    </row>
    <row r="2764">
      <c r="A2764" s="10" t="n">
        <v>46087</v>
      </c>
      <c r="B2764" t="inlineStr">
        <is>
          <t>Davylla Rodrigues Freitas Silva</t>
        </is>
      </c>
      <c r="C2764" s="1" t="inlineStr">
        <is>
          <t>Técnico III</t>
        </is>
      </c>
      <c r="D2764" s="3" t="n">
        <v>29</v>
      </c>
      <c r="E2764" s="3" t="n">
        <v>29</v>
      </c>
      <c r="F2764" s="3" t="n">
        <v>22.2</v>
      </c>
      <c r="G2764" s="3" t="n">
        <v>0</v>
      </c>
      <c r="H2764" s="3" t="n">
        <v>0</v>
      </c>
      <c r="I2764" s="3" t="n">
        <v>0</v>
      </c>
      <c r="J2764" s="3" t="n">
        <v>0</v>
      </c>
      <c r="K2764" s="3" t="n">
        <v>0</v>
      </c>
      <c r="L2764" s="3">
        <f>IF(K2764&lt;-5,"CRÍTICO",IF(K2764&lt;0,"ATENÇÃO",IF(K2764&lt;=5,"OPORTUNO","MUITO BOM")))</f>
        <v/>
      </c>
      <c r="M2764" s="3" t="n">
        <v>29</v>
      </c>
      <c r="N2764" s="3" t="n">
        <v>98.73</v>
      </c>
      <c r="O2764" s="12" t="n">
        <v>29.14285714285714</v>
      </c>
    </row>
    <row r="2765">
      <c r="A2765" s="10" t="n">
        <v>46087</v>
      </c>
      <c r="B2765" t="inlineStr">
        <is>
          <t>Emilly Caylane Costa</t>
        </is>
      </c>
      <c r="C2765" s="1" t="inlineStr">
        <is>
          <t>Estágio</t>
        </is>
      </c>
      <c r="D2765" s="3" t="n">
        <v>39</v>
      </c>
      <c r="E2765" s="3" t="n">
        <v>35</v>
      </c>
      <c r="F2765" s="3" t="n">
        <v>8.59</v>
      </c>
      <c r="G2765" s="3" t="n">
        <v>0</v>
      </c>
      <c r="H2765" s="3" t="n">
        <v>0</v>
      </c>
      <c r="I2765" s="3">
        <f>E2765+G2765+H2765</f>
        <v/>
      </c>
      <c r="J2765" s="3">
        <f>ROUND(MIN(IF(C2765="Técnico III",35,IF(C2765="Técnico II",28,IF(C2765="Técnico I",23,IF(C2765="JR",20,IF(C2765="Estágio",10,0))))),IF(C2765="Técnico III",SUMIFS($D:$D,$A:$A,$A2765,$B:$B,"&lt;&gt;Patrícia Karla de Sousa Araújo",$B:$B,"&lt;&gt;Lorena Dias de Araujo",$B:$B,"&lt;&gt;Lucas Luiz Romero")*(35/1083),IF(C2765="Técnico II",SUMIFS($D:$D,$A:$A,$A2765,$B:$B,"&lt;&gt;Patrícia Karla de Sousa Araújo",$B:$B,"&lt;&gt;Lorena Dias de Araujo",$B:$B,"&lt;&gt;Lucas Luiz Romero")*(28/1083),IF(C2765="Técnico I",SUMIFS($D:$D,$A:$A,$A2765,$B:$B,"&lt;&gt;Patrícia Karla de Sousa Araújo",$B:$B,"&lt;&gt;Lorena Dias de Araujo",$B:$B,"&lt;&gt;Lucas Luiz Romero")*(23/1083),IF(C2765="JR",SUMIFS($D:$D,$A:$A,$A2765,$B:$B,"&lt;&gt;Patrícia Karla de Sousa Araújo",$B:$B,"&lt;&gt;Lorena Dias de Araujo",$B:$B,"&lt;&gt;Lucas Luiz Romero")*(20/1083),IF(C2765="Estágio",SUMIFS($D:$D,$A:$A,$A2765,$B:$B,"&lt;&gt;Patrícia Karla de Sousa Araújo",$B:$B,"&lt;&gt;Lorena Dias de Araujo",$B:$B,"&lt;&gt;Lucas Luiz Romero")*(10/1083),0)))))),0)</f>
        <v/>
      </c>
      <c r="K2765" s="3">
        <f>I2765-J2765</f>
        <v/>
      </c>
      <c r="L2765" s="3">
        <f>IF(K2765&lt;-5,"CRÍTICO",IF(K2765&lt;0,"ATENÇÃO",IF(K2765&lt;=5,"OPORTUNO","MUITO BOM")))</f>
        <v/>
      </c>
      <c r="M2765" s="3" t="n">
        <v>5</v>
      </c>
      <c r="N2765" s="3" t="n">
        <v>90.48</v>
      </c>
      <c r="O2765" s="12" t="n">
        <v>20.68965517241379</v>
      </c>
    </row>
    <row r="2766">
      <c r="A2766" s="10" t="n">
        <v>46087</v>
      </c>
      <c r="B2766" t="inlineStr">
        <is>
          <t>Emilly Kamilly Medeiros Miranda</t>
        </is>
      </c>
      <c r="C2766" s="1" t="inlineStr">
        <is>
          <t>Técnico II</t>
        </is>
      </c>
      <c r="D2766" s="3" t="n">
        <v>27</v>
      </c>
      <c r="E2766" s="3" t="n">
        <v>26</v>
      </c>
      <c r="F2766" s="3" t="n">
        <v>20.08</v>
      </c>
      <c r="G2766" s="3" t="n">
        <v>0</v>
      </c>
      <c r="H2766" s="3" t="n">
        <v>0</v>
      </c>
      <c r="I2766" s="3">
        <f>E2766+G2766+H2766</f>
        <v/>
      </c>
      <c r="J2766" s="3">
        <f>ROUND(MIN(IF(C2766="Técnico III",35,IF(C2766="Técnico II",28,IF(C2766="Técnico I",23,IF(C2766="JR",20,IF(C2766="Estágio",10,0))))),IF(C2766="Técnico III",SUMIFS($D:$D,$A:$A,$A2766,$B:$B,"&lt;&gt;Patrícia Karla de Sousa Araújo",$B:$B,"&lt;&gt;Lorena Dias de Araujo",$B:$B,"&lt;&gt;Lucas Luiz Romero")*(35/1083),IF(C2766="Técnico II",SUMIFS($D:$D,$A:$A,$A2766,$B:$B,"&lt;&gt;Patrícia Karla de Sousa Araújo",$B:$B,"&lt;&gt;Lorena Dias de Araujo",$B:$B,"&lt;&gt;Lucas Luiz Romero")*(28/1083),IF(C2766="Técnico I",SUMIFS($D:$D,$A:$A,$A2766,$B:$B,"&lt;&gt;Patrícia Karla de Sousa Araújo",$B:$B,"&lt;&gt;Lorena Dias de Araujo",$B:$B,"&lt;&gt;Lucas Luiz Romero")*(23/1083),IF(C2766="JR",SUMIFS($D:$D,$A:$A,$A2766,$B:$B,"&lt;&gt;Patrícia Karla de Sousa Araújo",$B:$B,"&lt;&gt;Lorena Dias de Araujo",$B:$B,"&lt;&gt;Lucas Luiz Romero")*(20/1083),IF(C2766="Estágio",SUMIFS($D:$D,$A:$A,$A2766,$B:$B,"&lt;&gt;Patrícia Karla de Sousa Araújo",$B:$B,"&lt;&gt;Lorena Dias de Araujo",$B:$B,"&lt;&gt;Lucas Luiz Romero")*(10/1083),0)))))),0)</f>
        <v/>
      </c>
      <c r="K2766" s="3">
        <f>I2766-J2766</f>
        <v/>
      </c>
      <c r="L2766" s="3">
        <f>IF(K2766&lt;-5,"CRÍTICO",IF(K2766&lt;0,"ATENÇÃO",IF(K2766&lt;=5,"OPORTUNO","MUITO BOM")))</f>
        <v/>
      </c>
      <c r="M2766" s="3" t="n">
        <v>22</v>
      </c>
      <c r="N2766" s="3" t="n">
        <v>98.06</v>
      </c>
      <c r="O2766" s="12" t="n">
        <v>24.78991596638656</v>
      </c>
    </row>
    <row r="2767">
      <c r="A2767" s="10" t="n">
        <v>46087</v>
      </c>
      <c r="B2767" t="inlineStr">
        <is>
          <t>Francielson de Oliveira</t>
        </is>
      </c>
      <c r="C2767" s="1" t="inlineStr">
        <is>
          <t>Técnico III</t>
        </is>
      </c>
      <c r="D2767" s="3" t="n">
        <v>19</v>
      </c>
      <c r="E2767" s="3" t="n">
        <v>19</v>
      </c>
      <c r="F2767" s="3" t="n">
        <v>14.15</v>
      </c>
      <c r="G2767" s="3" t="n">
        <v>0</v>
      </c>
      <c r="H2767" s="3" t="n">
        <v>0</v>
      </c>
      <c r="I2767" s="3">
        <f>E2767+G2767+H2767</f>
        <v/>
      </c>
      <c r="J2767" s="3">
        <f>ROUND(MIN(IF(C2767="Técnico III",35,IF(C2767="Técnico II",28,IF(C2767="Técnico I",23,IF(C2767="JR",20,IF(C2767="Estágio",10,0))))),IF(C2767="Técnico III",SUMIFS($D:$D,$A:$A,$A2767,$B:$B,"&lt;&gt;Patrícia Karla de Sousa Araújo",$B:$B,"&lt;&gt;Lorena Dias de Araujo",$B:$B,"&lt;&gt;Lucas Luiz Romero")*(35/1083),IF(C2767="Técnico II",SUMIFS($D:$D,$A:$A,$A2767,$B:$B,"&lt;&gt;Patrícia Karla de Sousa Araújo",$B:$B,"&lt;&gt;Lorena Dias de Araujo",$B:$B,"&lt;&gt;Lucas Luiz Romero")*(28/1083),IF(C2767="Técnico I",SUMIFS($D:$D,$A:$A,$A2767,$B:$B,"&lt;&gt;Patrícia Karla de Sousa Araújo",$B:$B,"&lt;&gt;Lorena Dias de Araujo",$B:$B,"&lt;&gt;Lucas Luiz Romero")*(23/1083),IF(C2767="JR",SUMIFS($D:$D,$A:$A,$A2767,$B:$B,"&lt;&gt;Patrícia Karla de Sousa Araújo",$B:$B,"&lt;&gt;Lorena Dias de Araujo",$B:$B,"&lt;&gt;Lucas Luiz Romero")*(20/1083),IF(C2767="Estágio",SUMIFS($D:$D,$A:$A,$A2767,$B:$B,"&lt;&gt;Patrícia Karla de Sousa Araújo",$B:$B,"&lt;&gt;Lorena Dias de Araujo",$B:$B,"&lt;&gt;Lucas Luiz Romero")*(10/1083),0)))))),0)</f>
        <v/>
      </c>
      <c r="K2767" s="3">
        <f>I2767-J2767</f>
        <v/>
      </c>
      <c r="L2767" s="3">
        <f>IF(K2767&lt;-5,"CRÍTICO",IF(K2767&lt;0,"ATENÇÃO",IF(K2767&lt;=5,"OPORTUNO","MUITO BOM")))</f>
        <v/>
      </c>
      <c r="M2767" s="3" t="n">
        <v>21</v>
      </c>
      <c r="N2767" s="3" t="n">
        <v>97.78</v>
      </c>
      <c r="O2767" s="12" t="n">
        <v>25.49407114624506</v>
      </c>
    </row>
    <row r="2768">
      <c r="A2768" s="10" t="n">
        <v>46087</v>
      </c>
      <c r="B2768" t="inlineStr">
        <is>
          <t>Francilene Ferreira de Jesus</t>
        </is>
      </c>
      <c r="C2768" s="1" t="inlineStr">
        <is>
          <t>Técnico II</t>
        </is>
      </c>
      <c r="D2768" s="3" t="n">
        <v>28</v>
      </c>
      <c r="E2768" s="3" t="n">
        <v>26</v>
      </c>
      <c r="F2768" s="3" t="n">
        <v>29.09</v>
      </c>
      <c r="G2768" s="3" t="n">
        <v>0</v>
      </c>
      <c r="H2768" s="3" t="n">
        <v>0</v>
      </c>
      <c r="I2768" s="3">
        <f>E2768+G2768+H2768</f>
        <v/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/>
      </c>
      <c r="K2768" s="3">
        <f>I2768-J2768</f>
        <v/>
      </c>
      <c r="L2768" s="3">
        <f>IF(K2768&lt;-5,"CRÍTICO",IF(K2768&lt;0,"ATENÇÃO",IF(K2768&lt;=5,"OPORTUNO","MUITO BOM")))</f>
        <v/>
      </c>
      <c r="M2768" s="3" t="n">
        <v>27</v>
      </c>
      <c r="N2768" s="3" t="n">
        <v>98.02</v>
      </c>
      <c r="O2768" s="12" t="n">
        <v>23.48484848484848</v>
      </c>
    </row>
    <row r="2769">
      <c r="A2769" s="10" t="n">
        <v>46121</v>
      </c>
      <c r="B2769" t="inlineStr">
        <is>
          <t>Gabriel Gomes de Andrade</t>
        </is>
      </c>
      <c r="C2769" s="1" t="inlineStr">
        <is>
          <t>Técnico I</t>
        </is>
      </c>
      <c r="D2769" s="3" t="n">
        <v>28</v>
      </c>
      <c r="E2769" s="3" t="n">
        <v>25</v>
      </c>
      <c r="F2769" s="3" t="n">
        <v>15.5</v>
      </c>
      <c r="G2769" s="3" t="n">
        <v>0</v>
      </c>
      <c r="H2769" s="3" t="n">
        <v>0</v>
      </c>
      <c r="I2769" s="3">
        <f>E2769+G2769+H2769</f>
        <v/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/>
      </c>
      <c r="K2769" s="3">
        <f>I2769-J2769</f>
        <v/>
      </c>
      <c r="L2769" s="3">
        <f>IF(K2769&lt;-5,"CRÍTICO",IF(K2769&lt;0,"ATENÇÃO",IF(K2769&lt;=5,"OPORTUNO","MUITO BOM")))</f>
        <v/>
      </c>
      <c r="M2769" s="3" t="n">
        <v>22</v>
      </c>
      <c r="N2769" s="3" t="n">
        <v>99.28</v>
      </c>
      <c r="O2769" s="12" t="n">
        <v>27.68924302788844</v>
      </c>
    </row>
    <row r="2770">
      <c r="A2770" s="10" t="n">
        <v>46087</v>
      </c>
      <c r="B2770" t="inlineStr">
        <is>
          <t>Isabella Borges de Oliveira</t>
        </is>
      </c>
      <c r="C2770" s="1" t="inlineStr">
        <is>
          <t>Técnico II</t>
        </is>
      </c>
      <c r="D2770" s="3" t="n">
        <v>30</v>
      </c>
      <c r="E2770" s="3" t="n">
        <v>29</v>
      </c>
      <c r="F2770" s="3" t="n">
        <v>17.3</v>
      </c>
      <c r="G2770" s="3" t="n">
        <v>0</v>
      </c>
      <c r="H2770" s="3" t="n">
        <v>0</v>
      </c>
      <c r="I2770" s="3">
        <f>E2770+G2770+H2770</f>
        <v/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/>
      </c>
      <c r="K2770" s="3">
        <f>I2770-J2770</f>
        <v/>
      </c>
      <c r="L2770" s="3">
        <f>IF(K2770&lt;-5,"CRÍTICO",IF(K2770&lt;0,"ATENÇÃO",IF(K2770&lt;=5,"OPORTUNO","MUITO BOM")))</f>
        <v/>
      </c>
      <c r="M2770" s="3" t="n">
        <v>26</v>
      </c>
      <c r="N2770" s="3" t="n">
        <v>100</v>
      </c>
      <c r="O2770" s="12" t="n">
        <v>27.04918032786885</v>
      </c>
    </row>
    <row r="2771">
      <c r="A2771" s="10" t="n">
        <v>46087</v>
      </c>
      <c r="B2771" t="inlineStr">
        <is>
          <t>Janaina Lima dos Reis Urany</t>
        </is>
      </c>
      <c r="C2771" s="1" t="inlineStr">
        <is>
          <t>Técnico III</t>
        </is>
      </c>
      <c r="D2771" s="3" t="n">
        <v>51</v>
      </c>
      <c r="E2771" s="3" t="n">
        <v>46</v>
      </c>
      <c r="F2771" s="3" t="n">
        <v>13.22</v>
      </c>
      <c r="G2771" s="3" t="n">
        <v>0</v>
      </c>
      <c r="H2771" s="3" t="n">
        <v>0</v>
      </c>
      <c r="I2771" s="3">
        <f>E2771+G2771+H2771</f>
        <v/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/>
      </c>
      <c r="K2771" s="3">
        <f>I2771-J2771</f>
        <v/>
      </c>
      <c r="L2771" s="3">
        <f>IF(K2771&lt;-5,"CRÍTICO",IF(K2771&lt;0,"ATENÇÃO",IF(K2771&lt;=5,"OPORTUNO","MUITO BOM")))</f>
        <v/>
      </c>
      <c r="M2771" s="3" t="n">
        <v>48</v>
      </c>
      <c r="N2771" s="3" t="n">
        <v>97.83</v>
      </c>
      <c r="O2771" s="12" t="n">
        <v>26.31578947368421</v>
      </c>
    </row>
    <row r="2772">
      <c r="A2772" s="10" t="n">
        <v>46087</v>
      </c>
      <c r="B2772" t="inlineStr">
        <is>
          <t>Jaqueline Evangelista da Silva Martins</t>
        </is>
      </c>
      <c r="C2772" s="1" t="inlineStr">
        <is>
          <t>Técnico III</t>
        </is>
      </c>
      <c r="D2772" s="3" t="n">
        <v>0</v>
      </c>
      <c r="E2772" s="3" t="n">
        <v>0</v>
      </c>
      <c r="F2772" s="3" t="n">
        <v>0</v>
      </c>
      <c r="G2772" s="3" t="n">
        <v>0</v>
      </c>
      <c r="H2772" s="3" t="n">
        <v>0</v>
      </c>
      <c r="I2772" s="3" t="n">
        <v>0</v>
      </c>
      <c r="J2772" s="3" t="n">
        <v>0</v>
      </c>
      <c r="K2772" s="3" t="n">
        <v>0</v>
      </c>
      <c r="L2772" s="3">
        <f>IF(K2772&lt;-5,"CRÍTICO",IF(K2772&lt;0,"ATENÇÃO",IF(K2772&lt;=5,"OPORTUNO","MUITO BOM")))</f>
        <v/>
      </c>
      <c r="M2772" s="3" t="n">
        <v>6</v>
      </c>
      <c r="N2772" s="3" t="n">
        <v>100</v>
      </c>
      <c r="O2772" s="12" t="n">
        <v>26.70157068062827</v>
      </c>
    </row>
    <row r="2773">
      <c r="A2773" s="10" t="n">
        <v>46087</v>
      </c>
      <c r="B2773" t="inlineStr">
        <is>
          <t>Jessica Faria da Silveira</t>
        </is>
      </c>
      <c r="C2773" s="1" t="inlineStr">
        <is>
          <t>Técnico II</t>
        </is>
      </c>
      <c r="D2773" s="3" t="n">
        <v>41</v>
      </c>
      <c r="E2773" s="3" t="n">
        <v>34</v>
      </c>
      <c r="F2773" s="3" t="n">
        <v>17</v>
      </c>
      <c r="G2773" s="3" t="n">
        <v>0</v>
      </c>
      <c r="H2773" s="3" t="n">
        <v>0</v>
      </c>
      <c r="I2773" s="3">
        <f>E2773+G2773+H2773</f>
        <v/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/>
      </c>
      <c r="K2773" s="3">
        <f>I2773-J2773</f>
        <v/>
      </c>
      <c r="L2773" s="3">
        <f>IF(K2773&lt;-5,"CRÍTICO",IF(K2773&lt;0,"ATENÇÃO",IF(K2773&lt;=5,"OPORTUNO","MUITO BOM")))</f>
        <v/>
      </c>
      <c r="M2773" s="3" t="n">
        <v>29</v>
      </c>
      <c r="N2773" s="3" t="n">
        <v>97.47</v>
      </c>
      <c r="O2773" s="12" t="n">
        <v>22.88732394366197</v>
      </c>
    </row>
    <row r="2774">
      <c r="A2774" s="10" t="n">
        <v>46087</v>
      </c>
      <c r="B2774" t="inlineStr">
        <is>
          <t>Jéssica Fé Moura</t>
        </is>
      </c>
      <c r="C2774" s="1" t="inlineStr">
        <is>
          <t>Técnico III</t>
        </is>
      </c>
      <c r="D2774" s="3" t="n">
        <v>0</v>
      </c>
      <c r="E2774" s="3" t="n">
        <v>0</v>
      </c>
      <c r="F2774" s="3" t="n">
        <v>0</v>
      </c>
      <c r="G2774" s="3" t="n">
        <v>0</v>
      </c>
      <c r="H2774" s="3" t="n">
        <v>0</v>
      </c>
      <c r="I2774" s="3" t="n">
        <v>0</v>
      </c>
      <c r="J2774" s="3" t="n">
        <v>0</v>
      </c>
      <c r="K2774" s="3" t="n">
        <v>0</v>
      </c>
      <c r="L2774" s="3">
        <f>IF(K2774&lt;-5,"CRÍTICO",IF(K2774&lt;0,"ATENÇÃO",IF(K2774&lt;=5,"OPORTUNO","MUITO BOM")))</f>
        <v/>
      </c>
      <c r="M2774" s="3" t="n">
        <v>0</v>
      </c>
      <c r="N2774" s="3" t="n">
        <v>0</v>
      </c>
      <c r="O2774" s="12" t="n">
        <v>0</v>
      </c>
    </row>
    <row r="2775">
      <c r="A2775" s="10" t="n">
        <v>46087</v>
      </c>
      <c r="B2775" t="inlineStr">
        <is>
          <t>Karina Gonçalves Martins</t>
        </is>
      </c>
      <c r="C2775" s="1" t="inlineStr">
        <is>
          <t>JR</t>
        </is>
      </c>
      <c r="D2775" s="3" t="n">
        <v>27</v>
      </c>
      <c r="E2775" s="3" t="n">
        <v>23</v>
      </c>
      <c r="F2775" s="3" t="n">
        <v>18.31</v>
      </c>
      <c r="G2775" s="3" t="n">
        <v>0</v>
      </c>
      <c r="H2775" s="3" t="n">
        <v>0</v>
      </c>
      <c r="I2775" s="3">
        <f>E2775+G2775+H2775</f>
        <v/>
      </c>
      <c r="J2775" s="3">
        <f>ROUND(MIN(IF(C2775="Técnico III",35,IF(C2775="Técnico II",28,IF(C2775="Técnico I",23,IF(C2775="JR",20,IF(C2775="Estágio",10,0))))),IF(C2775="Técnico III",SUMIFS($D:$D,$A:$A,$A2775,$B:$B,"&lt;&gt;Patrícia Karla de Sousa Araújo",$B:$B,"&lt;&gt;Lorena Dias de Araujo",$B:$B,"&lt;&gt;Lucas Luiz Romero")*(35/1083),IF(C2775="Técnico II",SUMIFS($D:$D,$A:$A,$A2775,$B:$B,"&lt;&gt;Patrícia Karla de Sousa Araújo",$B:$B,"&lt;&gt;Lorena Dias de Araujo",$B:$B,"&lt;&gt;Lucas Luiz Romero")*(28/1083),IF(C2775="Técnico I",SUMIFS($D:$D,$A:$A,$A2775,$B:$B,"&lt;&gt;Patrícia Karla de Sousa Araújo",$B:$B,"&lt;&gt;Lorena Dias de Araujo",$B:$B,"&lt;&gt;Lucas Luiz Romero")*(23/1083),IF(C2775="JR",SUMIFS($D:$D,$A:$A,$A2775,$B:$B,"&lt;&gt;Patrícia Karla de Sousa Araújo",$B:$B,"&lt;&gt;Lorena Dias de Araujo",$B:$B,"&lt;&gt;Lucas Luiz Romero")*(20/1083),IF(C2775="Estágio",SUMIFS($D:$D,$A:$A,$A2775,$B:$B,"&lt;&gt;Patrícia Karla de Sousa Araújo",$B:$B,"&lt;&gt;Lorena Dias de Araujo",$B:$B,"&lt;&gt;Lucas Luiz Romero")*(10/1083),0)))))),0)</f>
        <v/>
      </c>
      <c r="K2775" s="3">
        <f>I2775-J2775</f>
        <v/>
      </c>
      <c r="L2775" s="3">
        <f>IF(K2775&lt;-5,"CRÍTICO",IF(K2775&lt;0,"ATENÇÃO",IF(K2775&lt;=5,"OPORTUNO","MUITO BOM")))</f>
        <v/>
      </c>
      <c r="M2775" s="3" t="n">
        <v>22</v>
      </c>
      <c r="N2775" s="3" t="n">
        <v>98.31</v>
      </c>
      <c r="O2775" s="12" t="n">
        <v>24.92012779552715</v>
      </c>
    </row>
    <row r="2776">
      <c r="A2776" s="10" t="n">
        <v>46087</v>
      </c>
      <c r="B2776" t="inlineStr">
        <is>
          <t>Kerollen Cristielly de Jesus Siqueira</t>
        </is>
      </c>
      <c r="C2776" s="1" t="inlineStr">
        <is>
          <t>Técnico III</t>
        </is>
      </c>
      <c r="D2776" s="3" t="n">
        <v>0</v>
      </c>
      <c r="E2776" s="3" t="n">
        <v>0</v>
      </c>
      <c r="F2776" s="3" t="n">
        <v>0</v>
      </c>
      <c r="G2776" s="3" t="n">
        <v>0</v>
      </c>
      <c r="H2776" s="3" t="n">
        <v>0</v>
      </c>
      <c r="I2776" s="3" t="n">
        <v>0</v>
      </c>
      <c r="J2776" s="3" t="n">
        <v>0</v>
      </c>
      <c r="K2776" s="3" t="n">
        <v>0</v>
      </c>
      <c r="L2776" s="3">
        <f>IF(K2776&lt;-5,"CRÍTICO",IF(K2776&lt;0,"ATENÇÃO",IF(K2776&lt;=5,"OPORTUNO","MUITO BOM")))</f>
        <v/>
      </c>
      <c r="M2776" s="3" t="n">
        <v>9</v>
      </c>
      <c r="N2776" s="3" t="n">
        <v>96.81</v>
      </c>
      <c r="O2776" s="12" t="n">
        <v>32.36514522821577</v>
      </c>
    </row>
    <row r="2777">
      <c r="A2777" s="10" t="n">
        <v>46087</v>
      </c>
      <c r="B2777" t="inlineStr">
        <is>
          <t>Leandro de Souza Silva</t>
        </is>
      </c>
      <c r="C2777" s="1" t="inlineStr">
        <is>
          <t>JR</t>
        </is>
      </c>
      <c r="D2777" s="3" t="n">
        <v>9</v>
      </c>
      <c r="E2777" s="3" t="n">
        <v>9</v>
      </c>
      <c r="F2777" s="3" t="n">
        <v>42.16</v>
      </c>
      <c r="G2777" s="3" t="n">
        <v>0</v>
      </c>
      <c r="H2777" s="3" t="n">
        <v>0</v>
      </c>
      <c r="I2777" s="3">
        <f>E2777+G2777+H2777</f>
        <v/>
      </c>
      <c r="J2777" s="3">
        <f>ROUND(MIN(IF(C2777="Técnico III",35,IF(C2777="Técnico II",28,IF(C2777="Técnico I",23,IF(C2777="JR",20,IF(C2777="Estágio",10,0))))),IF(C2777="Técnico III",SUMIFS($D:$D,$A:$A,$A2777,$B:$B,"&lt;&gt;Patrícia Karla de Sousa Araújo",$B:$B,"&lt;&gt;Lorena Dias de Araujo",$B:$B,"&lt;&gt;Lucas Luiz Romero")*(35/1083),IF(C2777="Técnico II",SUMIFS($D:$D,$A:$A,$A2777,$B:$B,"&lt;&gt;Patrícia Karla de Sousa Araújo",$B:$B,"&lt;&gt;Lorena Dias de Araujo",$B:$B,"&lt;&gt;Lucas Luiz Romero")*(28/1083),IF(C2777="Técnico I",SUMIFS($D:$D,$A:$A,$A2777,$B:$B,"&lt;&gt;Patrícia Karla de Sousa Araújo",$B:$B,"&lt;&gt;Lorena Dias de Araujo",$B:$B,"&lt;&gt;Lucas Luiz Romero")*(23/1083),IF(C2777="JR",SUMIFS($D:$D,$A:$A,$A2777,$B:$B,"&lt;&gt;Patrícia Karla de Sousa Araújo",$B:$B,"&lt;&gt;Lorena Dias de Araujo",$B:$B,"&lt;&gt;Lucas Luiz Romero")*(20/1083),IF(C2777="Estágio",SUMIFS($D:$D,$A:$A,$A2777,$B:$B,"&lt;&gt;Patrícia Karla de Sousa Araújo",$B:$B,"&lt;&gt;Lorena Dias de Araujo",$B:$B,"&lt;&gt;Lucas Luiz Romero")*(10/1083),0)))))),0)</f>
        <v/>
      </c>
      <c r="K2777" s="3">
        <f>I2777-J2777</f>
        <v/>
      </c>
      <c r="L2777" s="3">
        <f>IF(K2777&lt;-5,"CRÍTICO",IF(K2777&lt;0,"ATENÇÃO",IF(K2777&lt;=5,"OPORTUNO","MUITO BOM")))</f>
        <v/>
      </c>
      <c r="M2777" s="3" t="n">
        <v>9</v>
      </c>
      <c r="N2777" s="3" t="n">
        <v>100</v>
      </c>
      <c r="O2777" s="12" t="n">
        <v>26.47058823529412</v>
      </c>
    </row>
    <row r="2778">
      <c r="A2778" s="10" t="n">
        <v>46087</v>
      </c>
      <c r="B2778" t="inlineStr">
        <is>
          <t>Leandro Oliveira de Sousa</t>
        </is>
      </c>
      <c r="C2778" s="1" t="inlineStr">
        <is>
          <t>Técnico III</t>
        </is>
      </c>
      <c r="D2778" s="3" t="n">
        <v>0</v>
      </c>
      <c r="E2778" s="3" t="n">
        <v>0</v>
      </c>
      <c r="F2778" s="3" t="n">
        <v>0</v>
      </c>
      <c r="G2778" s="3" t="n">
        <v>0</v>
      </c>
      <c r="H2778" s="3" t="n">
        <v>0</v>
      </c>
      <c r="I2778" s="3" t="n">
        <v>0</v>
      </c>
      <c r="J2778" s="3" t="n">
        <v>0</v>
      </c>
      <c r="K2778" s="3" t="n">
        <v>0</v>
      </c>
      <c r="L2778" s="3">
        <f>IF(K2778&lt;-5,"CRÍTICO",IF(K2778&lt;0,"ATENÇÃO",IF(K2778&lt;=5,"OPORTUNO","MUITO BOM")))</f>
        <v/>
      </c>
      <c r="M2778" s="3" t="n">
        <v>5</v>
      </c>
      <c r="N2778" s="3" t="n">
        <v>100</v>
      </c>
      <c r="O2778" s="12" t="n">
        <v>28.49002849002849</v>
      </c>
    </row>
    <row r="2779">
      <c r="A2779" s="10" t="n">
        <v>46087</v>
      </c>
      <c r="B2779" t="inlineStr">
        <is>
          <t>Lizandra Gomes Duarte</t>
        </is>
      </c>
      <c r="C2779" s="1" t="inlineStr">
        <is>
          <t>Técnico II</t>
        </is>
      </c>
      <c r="D2779" s="3" t="n">
        <v>31</v>
      </c>
      <c r="E2779" s="3" t="n">
        <v>29</v>
      </c>
      <c r="F2779" s="3" t="n">
        <v>23.42</v>
      </c>
      <c r="G2779" s="3" t="n">
        <v>0</v>
      </c>
      <c r="H2779" s="3" t="n">
        <v>0</v>
      </c>
      <c r="I2779" s="3">
        <f>E2779+G2779+H2779</f>
        <v/>
      </c>
      <c r="J2779" s="3">
        <f>ROUND(MIN(IF(C2779="Técnico III",35,IF(C2779="Técnico II",28,IF(C2779="Técnico I",23,IF(C2779="JR",20,IF(C2779="Estágio",10,0))))),IF(C2779="Técnico III",SUMIFS($D:$D,$A:$A,$A2779,$B:$B,"&lt;&gt;Patrícia Karla de Sousa Araújo",$B:$B,"&lt;&gt;Lorena Dias de Araujo",$B:$B,"&lt;&gt;Lucas Luiz Romero")*(35/1083),IF(C2779="Técnico II",SUMIFS($D:$D,$A:$A,$A2779,$B:$B,"&lt;&gt;Patrícia Karla de Sousa Araújo",$B:$B,"&lt;&gt;Lorena Dias de Araujo",$B:$B,"&lt;&gt;Lucas Luiz Romero")*(28/1083),IF(C2779="Técnico I",SUMIFS($D:$D,$A:$A,$A2779,$B:$B,"&lt;&gt;Patrícia Karla de Sousa Araújo",$B:$B,"&lt;&gt;Lorena Dias de Araujo",$B:$B,"&lt;&gt;Lucas Luiz Romero")*(23/1083),IF(C2779="JR",SUMIFS($D:$D,$A:$A,$A2779,$B:$B,"&lt;&gt;Patrícia Karla de Sousa Araújo",$B:$B,"&lt;&gt;Lorena Dias de Araujo",$B:$B,"&lt;&gt;Lucas Luiz Romero")*(20/1083),IF(C2779="Estágio",SUMIFS($D:$D,$A:$A,$A2779,$B:$B,"&lt;&gt;Patrícia Karla de Sousa Araújo",$B:$B,"&lt;&gt;Lorena Dias de Araujo",$B:$B,"&lt;&gt;Lucas Luiz Romero")*(10/1083),0)))))),0)</f>
        <v/>
      </c>
      <c r="K2779" s="3">
        <f>I2779-J2779</f>
        <v/>
      </c>
      <c r="L2779" s="3">
        <f>IF(K2779&lt;-5,"CRÍTICO",IF(K2779&lt;0,"ATENÇÃO",IF(K2779&lt;=5,"OPORTUNO","MUITO BOM")))</f>
        <v/>
      </c>
      <c r="M2779" s="3" t="n">
        <v>19</v>
      </c>
      <c r="N2779" s="3" t="n">
        <v>99.14</v>
      </c>
      <c r="O2779" s="12" t="n">
        <v>27.2289156626506</v>
      </c>
    </row>
    <row r="2780">
      <c r="A2780" s="10" t="n">
        <v>46087</v>
      </c>
      <c r="B2780" t="inlineStr">
        <is>
          <t>Lorena Dias de Araujo</t>
        </is>
      </c>
      <c r="C2780" s="1" t="inlineStr">
        <is>
          <t>Técnico II</t>
        </is>
      </c>
      <c r="D2780" s="3" t="n">
        <v>29</v>
      </c>
      <c r="E2780" s="3" t="n">
        <v>26</v>
      </c>
      <c r="F2780" s="3" t="n">
        <v>20.02</v>
      </c>
      <c r="G2780" s="3" t="n">
        <v>0</v>
      </c>
      <c r="H2780" s="3" t="n">
        <v>0</v>
      </c>
      <c r="I2780" s="3" t="n">
        <v>0</v>
      </c>
      <c r="J2780" s="3" t="n">
        <v>0</v>
      </c>
      <c r="K2780" s="3" t="n">
        <v>0</v>
      </c>
      <c r="L2780" s="3">
        <f>IF(K2780&lt;-5,"CRÍTICO",IF(K2780&lt;0,"ATENÇÃO",IF(K2780&lt;=5,"OPORTUNO","MUITO BOM")))</f>
        <v/>
      </c>
      <c r="M2780" s="3" t="n">
        <v>25</v>
      </c>
      <c r="N2780" s="3" t="n">
        <v>97.52</v>
      </c>
      <c r="O2780" s="12" t="n">
        <v>28.2051282051282</v>
      </c>
    </row>
    <row r="2781">
      <c r="A2781" s="10" t="n">
        <v>46087</v>
      </c>
      <c r="B2781" t="inlineStr">
        <is>
          <t>Lucas Luiz Romero</t>
        </is>
      </c>
      <c r="C2781" s="1" t="inlineStr">
        <is>
          <t>Técnico III</t>
        </is>
      </c>
      <c r="D2781" s="3" t="n">
        <v>36</v>
      </c>
      <c r="E2781" s="3" t="n">
        <v>32</v>
      </c>
      <c r="F2781" s="3" t="n">
        <v>18.42</v>
      </c>
      <c r="G2781" s="3" t="n">
        <v>0</v>
      </c>
      <c r="H2781" s="3" t="n">
        <v>0</v>
      </c>
      <c r="I2781" s="3">
        <f>E2781+G2781+H2781</f>
        <v/>
      </c>
      <c r="J2781" s="3">
        <f>ROUND(MIN(IF(C2781="Técnico III",35,IF(C2781="Técnico II",28,IF(C2781="Técnico I",23,IF(C2781="JR",20,IF(C2781="Estágio",10,0))))),IF(C2781="Técnico III",SUMIFS($D:$D,$A:$A,$A2781,$B:$B,"&lt;&gt;Patrícia Karla de Sousa Araújo",$B:$B,"&lt;&gt;Lorena Dias de Araujo",$B:$B,"&lt;&gt;Lucas Luiz Romero")*(35/1083),IF(C2781="Técnico II",SUMIFS($D:$D,$A:$A,$A2781,$B:$B,"&lt;&gt;Patrícia Karla de Sousa Araújo",$B:$B,"&lt;&gt;Lorena Dias de Araujo",$B:$B,"&lt;&gt;Lucas Luiz Romero")*(28/1083),IF(C2781="Técnico I",SUMIFS($D:$D,$A:$A,$A2781,$B:$B,"&lt;&gt;Patrícia Karla de Sousa Araújo",$B:$B,"&lt;&gt;Lorena Dias de Araujo",$B:$B,"&lt;&gt;Lucas Luiz Romero")*(23/1083),IF(C2781="JR",SUMIFS($D:$D,$A:$A,$A2781,$B:$B,"&lt;&gt;Patrícia Karla de Sousa Araújo",$B:$B,"&lt;&gt;Lorena Dias de Araujo",$B:$B,"&lt;&gt;Lucas Luiz Romero")*(20/1083),IF(C2781="Estágio",SUMIFS($D:$D,$A:$A,$A2781,$B:$B,"&lt;&gt;Patrícia Karla de Sousa Araújo",$B:$B,"&lt;&gt;Lorena Dias de Araujo",$B:$B,"&lt;&gt;Lucas Luiz Romero")*(10/1083),0)))))),0)</f>
        <v/>
      </c>
      <c r="K2781" s="3">
        <f>I2781-J2781</f>
        <v/>
      </c>
      <c r="L2781" s="3">
        <f>IF(K2781&lt;-5,"CRÍTICO",IF(K2781&lt;0,"ATENÇÃO",IF(K2781&lt;=5,"OPORTUNO","MUITO BOM")))</f>
        <v/>
      </c>
      <c r="M2781" s="3" t="n">
        <v>19</v>
      </c>
      <c r="N2781" s="3" t="n">
        <v>90</v>
      </c>
      <c r="O2781" s="12" t="n">
        <v>24.18604651162791</v>
      </c>
    </row>
    <row r="2782">
      <c r="A2782" s="10" t="n">
        <v>46087</v>
      </c>
      <c r="B2782" t="inlineStr">
        <is>
          <t>Luiz Fernando de Carvalho Junior</t>
        </is>
      </c>
      <c r="C2782" s="1" t="inlineStr">
        <is>
          <t>Técnico I</t>
        </is>
      </c>
      <c r="D2782" s="3" t="n">
        <v>24</v>
      </c>
      <c r="E2782" s="3" t="n">
        <v>20</v>
      </c>
      <c r="F2782" s="3" t="n">
        <v>19.01</v>
      </c>
      <c r="G2782" s="3" t="n">
        <v>0</v>
      </c>
      <c r="H2782" s="3" t="n">
        <v>0</v>
      </c>
      <c r="I2782" s="3">
        <f>E2782+G2782+H2782</f>
        <v/>
      </c>
      <c r="J2782" s="3">
        <f>ROUND(MIN(IF(C2782="Técnico III",35,IF(C2782="Técnico II",28,IF(C2782="Técnico I",23,IF(C2782="JR",20,IF(C2782="Estágio",10,0))))),IF(C2782="Técnico III",SUMIFS($D:$D,$A:$A,$A2782,$B:$B,"&lt;&gt;Patrícia Karla de Sousa Araújo",$B:$B,"&lt;&gt;Lorena Dias de Araujo",$B:$B,"&lt;&gt;Lucas Luiz Romero")*(35/1083),IF(C2782="Técnico II",SUMIFS($D:$D,$A:$A,$A2782,$B:$B,"&lt;&gt;Patrícia Karla de Sousa Araújo",$B:$B,"&lt;&gt;Lorena Dias de Araujo",$B:$B,"&lt;&gt;Lucas Luiz Romero")*(28/1083),IF(C2782="Técnico I",SUMIFS($D:$D,$A:$A,$A2782,$B:$B,"&lt;&gt;Patrícia Karla de Sousa Araújo",$B:$B,"&lt;&gt;Lorena Dias de Araujo",$B:$B,"&lt;&gt;Lucas Luiz Romero")*(23/1083),IF(C2782="JR",SUMIFS($D:$D,$A:$A,$A2782,$B:$B,"&lt;&gt;Patrícia Karla de Sousa Araújo",$B:$B,"&lt;&gt;Lorena Dias de Araujo",$B:$B,"&lt;&gt;Lucas Luiz Romero")*(20/1083),IF(C2782="Estágio",SUMIFS($D:$D,$A:$A,$A2782,$B:$B,"&lt;&gt;Patrícia Karla de Sousa Araújo",$B:$B,"&lt;&gt;Lorena Dias de Araujo",$B:$B,"&lt;&gt;Lucas Luiz Romero")*(10/1083),0)))))),0)</f>
        <v/>
      </c>
      <c r="K2782" s="3">
        <f>I2782-J2782</f>
        <v/>
      </c>
      <c r="L2782" s="3">
        <f>IF(K2782&lt;-5,"CRÍTICO",IF(K2782&lt;0,"ATENÇÃO",IF(K2782&lt;=5,"OPORTUNO","MUITO BOM")))</f>
        <v/>
      </c>
      <c r="M2782" s="3" t="n">
        <v>20</v>
      </c>
      <c r="N2782" s="3" t="n">
        <v>98.90000000000001</v>
      </c>
      <c r="O2782" s="12" t="n">
        <v>26.7639902676399</v>
      </c>
    </row>
    <row r="2783">
      <c r="A2783" s="10" t="n">
        <v>46087</v>
      </c>
      <c r="B2783" t="inlineStr">
        <is>
          <t>Maria Eduarda Sousa Costa</t>
        </is>
      </c>
      <c r="C2783" s="1" t="inlineStr">
        <is>
          <t>Estágio</t>
        </is>
      </c>
      <c r="D2783" s="3" t="n">
        <v>61</v>
      </c>
      <c r="E2783" s="3" t="n">
        <v>28</v>
      </c>
      <c r="F2783" s="3" t="n">
        <v>3.41</v>
      </c>
      <c r="G2783" s="3" t="n">
        <v>0</v>
      </c>
      <c r="H2783" s="3" t="n">
        <v>0</v>
      </c>
      <c r="I2783" s="3">
        <f>E2783+G2783+H2783</f>
        <v/>
      </c>
      <c r="J2783" s="3">
        <f>ROUND(MIN(IF(C2783="Técnico III",35,IF(C2783="Técnico II",28,IF(C2783="Técnico I",23,IF(C2783="JR",20,IF(C2783="Estágio",10,0))))),IF(C2783="Técnico III",SUMIFS($D:$D,$A:$A,$A2783,$B:$B,"&lt;&gt;Patrícia Karla de Sousa Araújo",$B:$B,"&lt;&gt;Lorena Dias de Araujo",$B:$B,"&lt;&gt;Lucas Luiz Romero")*(35/1083),IF(C2783="Técnico II",SUMIFS($D:$D,$A:$A,$A2783,$B:$B,"&lt;&gt;Patrícia Karla de Sousa Araújo",$B:$B,"&lt;&gt;Lorena Dias de Araujo",$B:$B,"&lt;&gt;Lucas Luiz Romero")*(28/1083),IF(C2783="Técnico I",SUMIFS($D:$D,$A:$A,$A2783,$B:$B,"&lt;&gt;Patrícia Karla de Sousa Araújo",$B:$B,"&lt;&gt;Lorena Dias de Araujo",$B:$B,"&lt;&gt;Lucas Luiz Romero")*(23/1083),IF(C2783="JR",SUMIFS($D:$D,$A:$A,$A2783,$B:$B,"&lt;&gt;Patrícia Karla de Sousa Araújo",$B:$B,"&lt;&gt;Lorena Dias de Araujo",$B:$B,"&lt;&gt;Lucas Luiz Romero")*(20/1083),IF(C2783="Estágio",SUMIFS($D:$D,$A:$A,$A2783,$B:$B,"&lt;&gt;Patrícia Karla de Sousa Araújo",$B:$B,"&lt;&gt;Lorena Dias de Araujo",$B:$B,"&lt;&gt;Lucas Luiz Romero")*(10/1083),0)))))),0)</f>
        <v/>
      </c>
      <c r="K2783" s="3">
        <f>I2783-J2783</f>
        <v/>
      </c>
      <c r="L2783" s="3">
        <f>IF(K2783&lt;-5,"CRÍTICO",IF(K2783&lt;0,"ATENÇÃO",IF(K2783&lt;=5,"OPORTUNO","MUITO BOM")))</f>
        <v/>
      </c>
      <c r="M2783" s="3" t="n">
        <v>1</v>
      </c>
      <c r="N2783" s="3" t="n">
        <v>88.89</v>
      </c>
      <c r="O2783" s="12" t="n">
        <v>25.26315789473684</v>
      </c>
    </row>
    <row r="2784">
      <c r="A2784" s="10" t="n">
        <v>46107</v>
      </c>
      <c r="B2784" t="inlineStr">
        <is>
          <t>Matheus Farias De Souza</t>
        </is>
      </c>
      <c r="C2784" s="1" t="inlineStr">
        <is>
          <t>Técnico III</t>
        </is>
      </c>
      <c r="D2784" s="3" t="n">
        <v>23</v>
      </c>
      <c r="E2784" s="3" t="n">
        <v>22</v>
      </c>
      <c r="F2784" s="3" t="n">
        <v>17.34</v>
      </c>
      <c r="G2784" s="3" t="n">
        <v>0</v>
      </c>
      <c r="H2784" s="3" t="n">
        <v>0</v>
      </c>
      <c r="I2784" s="3">
        <f>E2784+G2784+H2784</f>
        <v/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/>
      </c>
      <c r="K2784" s="3">
        <f>I2784-J2784</f>
        <v/>
      </c>
      <c r="L2784" s="3">
        <f>IF(K2784&lt;-5,"CRÍTICO",IF(K2784&lt;0,"ATENÇÃO",IF(K2784&lt;=5,"OPORTUNO","MUITO BOM")))</f>
        <v/>
      </c>
      <c r="M2784" s="3" t="n">
        <v>23</v>
      </c>
      <c r="N2784" s="3" t="n">
        <v>98.86</v>
      </c>
      <c r="O2784" s="12" t="n">
        <v>28.95927601809955</v>
      </c>
    </row>
    <row r="2785">
      <c r="A2785" s="10" t="n">
        <v>46087</v>
      </c>
      <c r="B2785" t="inlineStr">
        <is>
          <t>Maysa Victoria Dias Moura</t>
        </is>
      </c>
      <c r="C2785" s="1" t="inlineStr">
        <is>
          <t>Técnico III</t>
        </is>
      </c>
      <c r="D2785" s="3" t="n">
        <v>33</v>
      </c>
      <c r="E2785" s="3" t="n">
        <v>29</v>
      </c>
      <c r="F2785" s="3" t="n">
        <v>18.22</v>
      </c>
      <c r="G2785" s="3" t="n">
        <v>0</v>
      </c>
      <c r="H2785" s="3" t="n">
        <v>0</v>
      </c>
      <c r="I2785" s="3">
        <f>E2785+G2785+H2785</f>
        <v/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/>
      </c>
      <c r="K2785" s="3">
        <f>I2785-J2785</f>
        <v/>
      </c>
      <c r="L2785" s="3">
        <f>IF(K2785&lt;-5,"CRÍTICO",IF(K2785&lt;0,"ATENÇÃO",IF(K2785&lt;=5,"OPORTUNO","MUITO BOM")))</f>
        <v/>
      </c>
      <c r="M2785" s="3" t="n">
        <v>26</v>
      </c>
      <c r="N2785" s="3" t="n">
        <v>98.06</v>
      </c>
      <c r="O2785" s="12" t="n">
        <v>22.40566037735849</v>
      </c>
    </row>
    <row r="2786">
      <c r="A2786" s="10" t="n">
        <v>46115</v>
      </c>
      <c r="B2786" t="inlineStr">
        <is>
          <t>Michelle G Santos</t>
        </is>
      </c>
      <c r="C2786" s="1" t="inlineStr">
        <is>
          <t>Estágio</t>
        </is>
      </c>
      <c r="D2786" s="3" t="n">
        <v>0</v>
      </c>
      <c r="E2786" s="3" t="n">
        <v>0</v>
      </c>
      <c r="F2786" s="3" t="n">
        <v>0</v>
      </c>
      <c r="G2786" s="3" t="n">
        <v>0</v>
      </c>
      <c r="H2786" s="3" t="n">
        <v>0</v>
      </c>
      <c r="I2786" s="3" t="n">
        <v>0</v>
      </c>
      <c r="J2786" s="3" t="n">
        <v>0</v>
      </c>
      <c r="K2786" s="3" t="n">
        <v>0</v>
      </c>
      <c r="L2786" s="3">
        <f>IF(K2786&lt;-5,"CRÍTICO",IF(K2786&lt;0,"ATENÇÃO",IF(K2786&lt;=5,"OPORTUNO","MUITO BOM")))</f>
        <v/>
      </c>
      <c r="M2786" s="3" t="n">
        <v>0</v>
      </c>
      <c r="N2786" s="3" t="n">
        <v>100</v>
      </c>
      <c r="O2786" s="12" t="n">
        <v>23.77622377622378</v>
      </c>
    </row>
    <row r="2787">
      <c r="A2787" s="10" t="n">
        <v>46087</v>
      </c>
      <c r="B2787" t="inlineStr">
        <is>
          <t>Milena Sales</t>
        </is>
      </c>
      <c r="C2787" s="1" t="inlineStr">
        <is>
          <t>JR</t>
        </is>
      </c>
      <c r="D2787" s="3" t="n">
        <v>0</v>
      </c>
      <c r="E2787" s="3" t="n">
        <v>0</v>
      </c>
      <c r="F2787" s="3" t="n">
        <v>0</v>
      </c>
      <c r="G2787" s="3" t="n">
        <v>0</v>
      </c>
      <c r="H2787" s="3" t="n">
        <v>0</v>
      </c>
      <c r="I2787" s="3" t="n">
        <v>0</v>
      </c>
      <c r="J2787" s="3" t="n">
        <v>0</v>
      </c>
      <c r="K2787" s="3" t="n">
        <v>0</v>
      </c>
      <c r="L2787" s="3">
        <f>IF(K2787&lt;-5,"CRÍTICO",IF(K2787&lt;0,"ATENÇÃO",IF(K2787&lt;=5,"OPORTUNO","MUITO BOM")))</f>
        <v/>
      </c>
      <c r="M2787" s="3" t="n">
        <v>0</v>
      </c>
      <c r="N2787" s="3" t="n">
        <v>100</v>
      </c>
      <c r="O2787" s="12" t="n">
        <v>15.38461538461539</v>
      </c>
    </row>
    <row r="2788">
      <c r="A2788" s="10" t="n">
        <v>46087</v>
      </c>
      <c r="B2788" t="inlineStr">
        <is>
          <t>Patrícia Karla de Sousa Araújo</t>
        </is>
      </c>
      <c r="C2788" s="1" t="inlineStr">
        <is>
          <t>Técnico II</t>
        </is>
      </c>
      <c r="D2788" s="3" t="n">
        <v>32</v>
      </c>
      <c r="E2788" s="3" t="n">
        <v>30</v>
      </c>
      <c r="F2788" s="3" t="n">
        <v>18.57</v>
      </c>
      <c r="G2788" s="3" t="n">
        <v>0</v>
      </c>
      <c r="H2788" s="3" t="n">
        <v>0</v>
      </c>
      <c r="I2788" s="3">
        <f>E2788+G2788+H2788</f>
        <v/>
      </c>
      <c r="J2788" s="3">
        <f>ROUND(MIN(IF(C2788="Técnico III",35,IF(C2788="Técnico II",28,IF(C2788="Técnico I",23,IF(C2788="JR",20,IF(C2788="Estágio",10,0))))),IF(C2788="Técnico III",SUMIFS($D:$D,$A:$A,$A2788,$B:$B,"&lt;&gt;Patrícia Karla de Sousa Araújo",$B:$B,"&lt;&gt;Lorena Dias de Araujo",$B:$B,"&lt;&gt;Lucas Luiz Romero")*(35/1083),IF(C2788="Técnico II",SUMIFS($D:$D,$A:$A,$A2788,$B:$B,"&lt;&gt;Patrícia Karla de Sousa Araújo",$B:$B,"&lt;&gt;Lorena Dias de Araujo",$B:$B,"&lt;&gt;Lucas Luiz Romero")*(28/1083),IF(C2788="Técnico I",SUMIFS($D:$D,$A:$A,$A2788,$B:$B,"&lt;&gt;Patrícia Karla de Sousa Araújo",$B:$B,"&lt;&gt;Lorena Dias de Araujo",$B:$B,"&lt;&gt;Lucas Luiz Romero")*(23/1083),IF(C2788="JR",SUMIFS($D:$D,$A:$A,$A2788,$B:$B,"&lt;&gt;Patrícia Karla de Sousa Araújo",$B:$B,"&lt;&gt;Lorena Dias de Araujo",$B:$B,"&lt;&gt;Lucas Luiz Romero")*(20/1083),IF(C2788="Estágio",SUMIFS($D:$D,$A:$A,$A2788,$B:$B,"&lt;&gt;Patrícia Karla de Sousa Araújo",$B:$B,"&lt;&gt;Lorena Dias de Araujo",$B:$B,"&lt;&gt;Lucas Luiz Romero")*(10/1083),0)))))),0)</f>
        <v/>
      </c>
      <c r="K2788" s="3">
        <f>I2788-J2788</f>
        <v/>
      </c>
      <c r="L2788" s="3">
        <f>IF(K2788&lt;-5,"CRÍTICO",IF(K2788&lt;0,"ATENÇÃO",IF(K2788&lt;=5,"OPORTUNO","MUITO BOM")))</f>
        <v/>
      </c>
      <c r="M2788" s="3" t="n">
        <v>26</v>
      </c>
      <c r="N2788" s="3" t="n">
        <v>100</v>
      </c>
      <c r="O2788" s="12" t="n">
        <v>27.51479289940828</v>
      </c>
    </row>
    <row r="2789">
      <c r="A2789" s="10" t="n">
        <v>46087</v>
      </c>
      <c r="B2789" t="inlineStr">
        <is>
          <t>Paulo Ricardo Santos</t>
        </is>
      </c>
      <c r="C2789" s="1" t="inlineStr">
        <is>
          <t>JR</t>
        </is>
      </c>
      <c r="D2789" s="3" t="n">
        <v>15</v>
      </c>
      <c r="E2789" s="3" t="n">
        <v>15</v>
      </c>
      <c r="F2789" s="3" t="n">
        <v>27</v>
      </c>
      <c r="G2789" s="3" t="n">
        <v>0</v>
      </c>
      <c r="H2789" s="3" t="n">
        <v>0</v>
      </c>
      <c r="I2789" s="3">
        <f>E2789+G2789+H2789</f>
        <v/>
      </c>
      <c r="J2789" s="3">
        <f>ROUND(MIN(IF(C2789="Técnico III",35,IF(C2789="Técnico II",28,IF(C2789="Técnico I",23,IF(C2789="JR",20,IF(C2789="Estágio",10,0))))),IF(C2789="Técnico III",SUMIFS($D:$D,$A:$A,$A2789,$B:$B,"&lt;&gt;Patrícia Karla de Sousa Araújo",$B:$B,"&lt;&gt;Lorena Dias de Araujo",$B:$B,"&lt;&gt;Lucas Luiz Romero")*(35/1083),IF(C2789="Técnico II",SUMIFS($D:$D,$A:$A,$A2789,$B:$B,"&lt;&gt;Patrícia Karla de Sousa Araújo",$B:$B,"&lt;&gt;Lorena Dias de Araujo",$B:$B,"&lt;&gt;Lucas Luiz Romero")*(28/1083),IF(C2789="Técnico I",SUMIFS($D:$D,$A:$A,$A2789,$B:$B,"&lt;&gt;Patrícia Karla de Sousa Araújo",$B:$B,"&lt;&gt;Lorena Dias de Araujo",$B:$B,"&lt;&gt;Lucas Luiz Romero")*(23/1083),IF(C2789="JR",SUMIFS($D:$D,$A:$A,$A2789,$B:$B,"&lt;&gt;Patrícia Karla de Sousa Araújo",$B:$B,"&lt;&gt;Lorena Dias de Araujo",$B:$B,"&lt;&gt;Lucas Luiz Romero")*(20/1083),IF(C2789="Estágio",SUMIFS($D:$D,$A:$A,$A2789,$B:$B,"&lt;&gt;Patrícia Karla de Sousa Araújo",$B:$B,"&lt;&gt;Lorena Dias de Araujo",$B:$B,"&lt;&gt;Lucas Luiz Romero")*(10/1083),0)))))),0)</f>
        <v/>
      </c>
      <c r="K2789" s="3">
        <f>I2789-J2789</f>
        <v/>
      </c>
      <c r="L2789" s="3">
        <f>IF(K2789&lt;-5,"CRÍTICO",IF(K2789&lt;0,"ATENÇÃO",IF(K2789&lt;=5,"OPORTUNO","MUITO BOM")))</f>
        <v/>
      </c>
      <c r="M2789" s="3" t="n">
        <v>14</v>
      </c>
      <c r="N2789" s="3" t="n">
        <v>100</v>
      </c>
      <c r="O2789" s="12" t="n">
        <v>24.87562189054727</v>
      </c>
    </row>
    <row r="2790">
      <c r="A2790" s="10" t="n">
        <v>46087</v>
      </c>
      <c r="B2790" t="inlineStr">
        <is>
          <t>Pedro Luiz Mota Sousa</t>
        </is>
      </c>
      <c r="C2790" s="1" t="inlineStr">
        <is>
          <t>JR</t>
        </is>
      </c>
      <c r="D2790" s="3" t="n">
        <v>8</v>
      </c>
      <c r="E2790" s="3" t="n">
        <v>8</v>
      </c>
      <c r="F2790" s="3" t="n">
        <v>45.18</v>
      </c>
      <c r="G2790" s="3" t="n">
        <v>0</v>
      </c>
      <c r="H2790" s="3" t="n">
        <v>0</v>
      </c>
      <c r="I2790" s="3">
        <f>E2790+G2790+H2790</f>
        <v/>
      </c>
      <c r="J2790" s="3">
        <f>ROUND(MIN(IF(C2790="Técnico III",35,IF(C2790="Técnico II",28,IF(C2790="Técnico I",23,IF(C2790="JR",20,IF(C2790="Estágio",10,0))))),IF(C2790="Técnico III",SUMIFS($D:$D,$A:$A,$A2790,$B:$B,"&lt;&gt;Patrícia Karla de Sousa Araújo",$B:$B,"&lt;&gt;Lorena Dias de Araujo",$B:$B,"&lt;&gt;Lucas Luiz Romero")*(35/1083),IF(C2790="Técnico II",SUMIFS($D:$D,$A:$A,$A2790,$B:$B,"&lt;&gt;Patrícia Karla de Sousa Araújo",$B:$B,"&lt;&gt;Lorena Dias de Araujo",$B:$B,"&lt;&gt;Lucas Luiz Romero")*(28/1083),IF(C2790="Técnico I",SUMIFS($D:$D,$A:$A,$A2790,$B:$B,"&lt;&gt;Patrícia Karla de Sousa Araújo",$B:$B,"&lt;&gt;Lorena Dias de Araujo",$B:$B,"&lt;&gt;Lucas Luiz Romero")*(23/1083),IF(C2790="JR",SUMIFS($D:$D,$A:$A,$A2790,$B:$B,"&lt;&gt;Patrícia Karla de Sousa Araújo",$B:$B,"&lt;&gt;Lorena Dias de Araujo",$B:$B,"&lt;&gt;Lucas Luiz Romero")*(20/1083),IF(C2790="Estágio",SUMIFS($D:$D,$A:$A,$A2790,$B:$B,"&lt;&gt;Patrícia Karla de Sousa Araújo",$B:$B,"&lt;&gt;Lorena Dias de Araujo",$B:$B,"&lt;&gt;Lucas Luiz Romero")*(10/1083),0)))))),0)</f>
        <v/>
      </c>
      <c r="K2790" s="3">
        <f>I2790-J2790</f>
        <v/>
      </c>
      <c r="L2790" s="3">
        <f>IF(K2790&lt;-5,"CRÍTICO",IF(K2790&lt;0,"ATENÇÃO",IF(K2790&lt;=5,"OPORTUNO","MUITO BOM")))</f>
        <v/>
      </c>
      <c r="M2790" s="3" t="n">
        <v>4</v>
      </c>
      <c r="N2790" s="3" t="n">
        <v>100</v>
      </c>
      <c r="O2790" s="12" t="n">
        <v>28.10810810810811</v>
      </c>
    </row>
    <row r="2791">
      <c r="A2791" s="10" t="n">
        <v>46115</v>
      </c>
      <c r="B2791" t="inlineStr">
        <is>
          <t>Quirino Diogo Leite Torres</t>
        </is>
      </c>
      <c r="C2791" s="1" t="inlineStr">
        <is>
          <t>Estágio</t>
        </is>
      </c>
      <c r="D2791" s="3" t="n">
        <v>0</v>
      </c>
      <c r="E2791" s="3" t="n">
        <v>0</v>
      </c>
      <c r="F2791" s="3" t="n">
        <v>0</v>
      </c>
      <c r="G2791" s="3" t="n">
        <v>0</v>
      </c>
      <c r="H2791" s="3" t="n">
        <v>0</v>
      </c>
      <c r="I2791" s="3" t="n">
        <v>0</v>
      </c>
      <c r="J2791" s="3" t="n">
        <v>0</v>
      </c>
      <c r="K2791" s="3" t="n">
        <v>0</v>
      </c>
      <c r="L2791" s="3">
        <f>IF(K2791&lt;-5,"CRÍTICO",IF(K2791&lt;0,"ATENÇÃO",IF(K2791&lt;=5,"OPORTUNO","MUITO BOM")))</f>
        <v/>
      </c>
      <c r="M2791" s="3" t="n">
        <v>0</v>
      </c>
      <c r="N2791" s="3" t="n">
        <v>94.12</v>
      </c>
      <c r="O2791" s="12" t="n">
        <v>32.8</v>
      </c>
    </row>
    <row r="2792">
      <c r="A2792" s="10" t="n">
        <v>46087</v>
      </c>
      <c r="B2792" t="inlineStr">
        <is>
          <t>Raane Batista Matos</t>
        </is>
      </c>
      <c r="C2792" s="1" t="inlineStr">
        <is>
          <t>Técnico I</t>
        </is>
      </c>
      <c r="D2792" s="3" t="n">
        <v>18</v>
      </c>
      <c r="E2792" s="3" t="n">
        <v>18</v>
      </c>
      <c r="F2792" s="3" t="n">
        <v>31.47</v>
      </c>
      <c r="G2792" s="3" t="n">
        <v>0</v>
      </c>
      <c r="H2792" s="3" t="n">
        <v>0</v>
      </c>
      <c r="I2792" s="3">
        <f>E2792+G2792+H2792</f>
        <v/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/>
      </c>
      <c r="K2792" s="3">
        <f>I2792-J2792</f>
        <v/>
      </c>
      <c r="L2792" s="3">
        <f>IF(K2792&lt;-5,"CRÍTICO",IF(K2792&lt;0,"ATENÇÃO",IF(K2792&lt;=5,"OPORTUNO","MUITO BOM")))</f>
        <v/>
      </c>
      <c r="M2792" s="3" t="n">
        <v>14</v>
      </c>
      <c r="N2792" s="3" t="n">
        <v>95.34999999999999</v>
      </c>
      <c r="O2792" s="12" t="n">
        <v>28.61538461538461</v>
      </c>
    </row>
    <row r="2793">
      <c r="A2793" s="10" t="n">
        <v>46087</v>
      </c>
      <c r="B2793" t="inlineStr">
        <is>
          <t>Rafael Gomes de Morais</t>
        </is>
      </c>
      <c r="C2793" s="1" t="inlineStr">
        <is>
          <t>Técnico III</t>
        </is>
      </c>
      <c r="D2793" s="3" t="n">
        <v>49</v>
      </c>
      <c r="E2793" s="3" t="n">
        <v>42</v>
      </c>
      <c r="F2793" s="3" t="n">
        <v>9.039999999999999</v>
      </c>
      <c r="G2793" s="3" t="n">
        <v>0</v>
      </c>
      <c r="H2793" s="3" t="n">
        <v>0</v>
      </c>
      <c r="I2793" s="3">
        <f>E2793+G2793+H2793</f>
        <v/>
      </c>
      <c r="J2793" s="3">
        <f>ROUND(MIN(IF(C2793="Técnico III",35,IF(C2793="Técnico II",28,IF(C2793="Técnico I",23,IF(C2793="JR",20,IF(C2793="Estágio",10,0))))),IF(C2793="Técnico III",SUMIFS($D:$D,$A:$A,$A2793,$B:$B,"&lt;&gt;Patrícia Karla de Sousa Araújo",$B:$B,"&lt;&gt;Lorena Dias de Araujo",$B:$B,"&lt;&gt;Lucas Luiz Romero")*(35/1083),IF(C2793="Técnico II",SUMIFS($D:$D,$A:$A,$A2793,$B:$B,"&lt;&gt;Patrícia Karla de Sousa Araújo",$B:$B,"&lt;&gt;Lorena Dias de Araujo",$B:$B,"&lt;&gt;Lucas Luiz Romero")*(28/1083),IF(C2793="Técnico I",SUMIFS($D:$D,$A:$A,$A2793,$B:$B,"&lt;&gt;Patrícia Karla de Sousa Araújo",$B:$B,"&lt;&gt;Lorena Dias de Araujo",$B:$B,"&lt;&gt;Lucas Luiz Romero")*(23/1083),IF(C2793="JR",SUMIFS($D:$D,$A:$A,$A2793,$B:$B,"&lt;&gt;Patrícia Karla de Sousa Araújo",$B:$B,"&lt;&gt;Lorena Dias de Araujo",$B:$B,"&lt;&gt;Lucas Luiz Romero")*(20/1083),IF(C2793="Estágio",SUMIFS($D:$D,$A:$A,$A2793,$B:$B,"&lt;&gt;Patrícia Karla de Sousa Araújo",$B:$B,"&lt;&gt;Lorena Dias de Araujo",$B:$B,"&lt;&gt;Lucas Luiz Romero")*(10/1083),0)))))),0)</f>
        <v/>
      </c>
      <c r="K2793" s="3">
        <f>I2793-J2793</f>
        <v/>
      </c>
      <c r="L2793" s="3">
        <f>IF(K2793&lt;-5,"CRÍTICO",IF(K2793&lt;0,"ATENÇÃO",IF(K2793&lt;=5,"OPORTUNO","MUITO BOM")))</f>
        <v/>
      </c>
      <c r="M2793" s="3" t="n">
        <v>39</v>
      </c>
      <c r="N2793" s="3" t="n">
        <v>98.26000000000001</v>
      </c>
      <c r="O2793" s="12" t="n">
        <v>27.54491017964072</v>
      </c>
    </row>
    <row r="2794">
      <c r="A2794" s="10" t="n">
        <v>46087</v>
      </c>
      <c r="B2794" t="inlineStr">
        <is>
          <t>Sara Maria Monteiro Lopes</t>
        </is>
      </c>
      <c r="C2794" s="1" t="inlineStr">
        <is>
          <t>Técnico I</t>
        </is>
      </c>
      <c r="D2794" s="3" t="n">
        <v>15</v>
      </c>
      <c r="E2794" s="3" t="n">
        <v>14</v>
      </c>
      <c r="F2794" s="3" t="n">
        <v>40.12</v>
      </c>
      <c r="G2794" s="3" t="n">
        <v>0</v>
      </c>
      <c r="H2794" s="3" t="n">
        <v>0</v>
      </c>
      <c r="I2794" s="3">
        <f>E2794+G2794+H2794</f>
        <v/>
      </c>
      <c r="J2794" s="3">
        <f>ROUND(MIN(IF(C2794="Técnico III",35,IF(C2794="Técnico II",28,IF(C2794="Técnico I",23,IF(C2794="JR",20,IF(C2794="Estágio",10,0))))),IF(C2794="Técnico III",SUMIFS($D:$D,$A:$A,$A2794,$B:$B,"&lt;&gt;Patrícia Karla de Sousa Araújo",$B:$B,"&lt;&gt;Lorena Dias de Araujo",$B:$B,"&lt;&gt;Lucas Luiz Romero")*(35/1083),IF(C2794="Técnico II",SUMIFS($D:$D,$A:$A,$A2794,$B:$B,"&lt;&gt;Patrícia Karla de Sousa Araújo",$B:$B,"&lt;&gt;Lorena Dias de Araujo",$B:$B,"&lt;&gt;Lucas Luiz Romero")*(28/1083),IF(C2794="Técnico I",SUMIFS($D:$D,$A:$A,$A2794,$B:$B,"&lt;&gt;Patrícia Karla de Sousa Araújo",$B:$B,"&lt;&gt;Lorena Dias de Araujo",$B:$B,"&lt;&gt;Lucas Luiz Romero")*(23/1083),IF(C2794="JR",SUMIFS($D:$D,$A:$A,$A2794,$B:$B,"&lt;&gt;Patrícia Karla de Sousa Araújo",$B:$B,"&lt;&gt;Lorena Dias de Araujo",$B:$B,"&lt;&gt;Lucas Luiz Romero")*(20/1083),IF(C2794="Estágio",SUMIFS($D:$D,$A:$A,$A2794,$B:$B,"&lt;&gt;Patrícia Karla de Sousa Araújo",$B:$B,"&lt;&gt;Lorena Dias de Araujo",$B:$B,"&lt;&gt;Lucas Luiz Romero")*(10/1083),0)))))),0)</f>
        <v/>
      </c>
      <c r="K2794" s="3">
        <f>I2794-J2794</f>
        <v/>
      </c>
      <c r="L2794" s="3">
        <f>IF(K2794&lt;-5,"CRÍTICO",IF(K2794&lt;0,"ATENÇÃO",IF(K2794&lt;=5,"OPORTUNO","MUITO BOM")))</f>
        <v/>
      </c>
      <c r="M2794" s="3" t="n">
        <v>13</v>
      </c>
      <c r="N2794" s="3" t="n">
        <v>98.55</v>
      </c>
      <c r="O2794" s="12" t="n">
        <v>25.33783783783784</v>
      </c>
    </row>
    <row r="2795">
      <c r="A2795" s="10" t="n">
        <v>46087</v>
      </c>
      <c r="B2795" t="inlineStr">
        <is>
          <t>Sarah Steffanie de Lima Borges</t>
        </is>
      </c>
      <c r="C2795" s="1" t="inlineStr">
        <is>
          <t>Técnico III</t>
        </is>
      </c>
      <c r="D2795" s="3" t="n">
        <v>38</v>
      </c>
      <c r="E2795" s="3" t="n">
        <v>37</v>
      </c>
      <c r="F2795" s="3" t="n">
        <v>15.18</v>
      </c>
      <c r="G2795" s="3" t="n">
        <v>0</v>
      </c>
      <c r="H2795" s="3" t="n">
        <v>0</v>
      </c>
      <c r="I2795" s="3">
        <f>E2795+G2795+H2795</f>
        <v/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/>
      </c>
      <c r="K2795" s="3">
        <f>I2795-J2795</f>
        <v/>
      </c>
      <c r="L2795" s="3">
        <f>IF(K2795&lt;-5,"CRÍTICO",IF(K2795&lt;0,"ATENÇÃO",IF(K2795&lt;=5,"OPORTUNO","MUITO BOM")))</f>
        <v/>
      </c>
      <c r="M2795" s="3" t="n">
        <v>29</v>
      </c>
      <c r="N2795" s="3" t="n">
        <v>98.39</v>
      </c>
      <c r="O2795" s="12" t="n">
        <v>25.56390977443609</v>
      </c>
    </row>
    <row r="2796">
      <c r="A2796" s="10" t="n">
        <v>46090</v>
      </c>
      <c r="B2796" t="inlineStr">
        <is>
          <t>Alisson de Freitas Silva</t>
        </is>
      </c>
      <c r="C2796" s="1" t="inlineStr">
        <is>
          <t>Técnico II</t>
        </is>
      </c>
      <c r="D2796" s="3" t="n">
        <v>21</v>
      </c>
      <c r="E2796" s="3" t="n">
        <v>20</v>
      </c>
      <c r="F2796" s="3" t="n">
        <v>15.23</v>
      </c>
      <c r="G2796" s="3" t="n">
        <v>0</v>
      </c>
      <c r="H2796" s="3" t="n">
        <v>0</v>
      </c>
      <c r="I2796" s="3">
        <f>E2796+G2796+H2796</f>
        <v/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/>
      </c>
      <c r="K2796" s="3">
        <f>I2796-J2796</f>
        <v/>
      </c>
      <c r="L2796" s="3">
        <f>IF(K2796&lt;-5,"CRÍTICO",IF(K2796&lt;0,"ATENÇÃO",IF(K2796&lt;=5,"OPORTUNO","MUITO BOM")))</f>
        <v/>
      </c>
      <c r="M2796" s="3" t="n">
        <v>18</v>
      </c>
      <c r="N2796" s="3" t="n">
        <v>94.29000000000001</v>
      </c>
      <c r="O2796" s="12" t="n">
        <v>25.64766839378239</v>
      </c>
    </row>
    <row r="2797">
      <c r="A2797" s="10" t="n">
        <v>46090</v>
      </c>
      <c r="B2797" t="inlineStr">
        <is>
          <t>Amanda Moura Ferreira</t>
        </is>
      </c>
      <c r="C2797" s="1" t="inlineStr">
        <is>
          <t>Técnico III</t>
        </is>
      </c>
      <c r="D2797" s="3" t="n">
        <v>0</v>
      </c>
      <c r="E2797" s="3" t="n">
        <v>0</v>
      </c>
      <c r="F2797" s="3" t="n">
        <v>0</v>
      </c>
      <c r="G2797" s="3" t="n">
        <v>0</v>
      </c>
      <c r="H2797" s="3" t="n">
        <v>0</v>
      </c>
      <c r="I2797" s="3" t="n">
        <v>0</v>
      </c>
      <c r="J2797" s="3" t="n">
        <v>0</v>
      </c>
      <c r="K2797" s="3" t="n">
        <v>0</v>
      </c>
      <c r="L2797" s="3">
        <f>IF(K2797&lt;-5,"CRÍTICO",IF(K2797&lt;0,"ATENÇÃO",IF(K2797&lt;=5,"OPORTUNO","MUITO BOM")))</f>
        <v/>
      </c>
      <c r="M2797" s="3" t="n">
        <v>24</v>
      </c>
      <c r="N2797" s="3" t="n">
        <v>98.26000000000001</v>
      </c>
      <c r="O2797" s="12" t="n">
        <v>26.66666666666667</v>
      </c>
    </row>
    <row r="2798">
      <c r="A2798" s="10" t="n">
        <v>46090</v>
      </c>
      <c r="B2798" t="inlineStr">
        <is>
          <t>Ana Karollyne Souza Faria</t>
        </is>
      </c>
      <c r="C2798" s="1" t="inlineStr">
        <is>
          <t>Técnico I</t>
        </is>
      </c>
      <c r="D2798" s="3" t="n">
        <v>21</v>
      </c>
      <c r="E2798" s="3" t="n">
        <v>19</v>
      </c>
      <c r="F2798" s="3" t="n">
        <v>24.11</v>
      </c>
      <c r="G2798" s="3" t="n">
        <v>0</v>
      </c>
      <c r="H2798" s="3" t="n">
        <v>0</v>
      </c>
      <c r="I2798" s="3">
        <f>E2798+G2798+H2798</f>
        <v/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/>
      </c>
      <c r="K2798" s="3">
        <f>I2798-J2798</f>
        <v/>
      </c>
      <c r="L2798" s="3">
        <f>IF(K2798&lt;-5,"CRÍTICO",IF(K2798&lt;0,"ATENÇÃO",IF(K2798&lt;=5,"OPORTUNO","MUITO BOM")))</f>
        <v/>
      </c>
      <c r="M2798" s="3" t="n">
        <v>18</v>
      </c>
      <c r="N2798" s="3" t="n">
        <v>98.2</v>
      </c>
      <c r="O2798" s="12" t="n">
        <v>23.37962962962963</v>
      </c>
    </row>
    <row r="2799">
      <c r="A2799" s="10" t="n">
        <v>46090</v>
      </c>
      <c r="B2799" t="inlineStr">
        <is>
          <t>Ana Paula Da Luz Silva Aleixo</t>
        </is>
      </c>
      <c r="C2799" s="1" t="inlineStr">
        <is>
          <t>Técnico III</t>
        </is>
      </c>
      <c r="D2799" s="3" t="n">
        <v>23</v>
      </c>
      <c r="E2799" s="3" t="n">
        <v>23</v>
      </c>
      <c r="F2799" s="3" t="n">
        <v>23.58</v>
      </c>
      <c r="G2799" s="3" t="n">
        <v>0</v>
      </c>
      <c r="H2799" s="3" t="n">
        <v>0</v>
      </c>
      <c r="I2799" s="3">
        <f>E2799+G2799+H2799</f>
        <v/>
      </c>
      <c r="J2799" s="3">
        <f>ROUND(MIN(IF(C2799="Técnico III",35,IF(C2799="Técnico II",28,IF(C2799="Técnico I",23,IF(C2799="JR",20,IF(C2799="Estágio",10,0))))),IF(C2799="Técnico III",SUMIFS($D:$D,$A:$A,$A2799,$B:$B,"&lt;&gt;Patrícia Karla de Sousa Araújo",$B:$B,"&lt;&gt;Lorena Dias de Araujo",$B:$B,"&lt;&gt;Lucas Luiz Romero")*(35/1083),IF(C2799="Técnico II",SUMIFS($D:$D,$A:$A,$A2799,$B:$B,"&lt;&gt;Patrícia Karla de Sousa Araújo",$B:$B,"&lt;&gt;Lorena Dias de Araujo",$B:$B,"&lt;&gt;Lucas Luiz Romero")*(28/1083),IF(C2799="Técnico I",SUMIFS($D:$D,$A:$A,$A2799,$B:$B,"&lt;&gt;Patrícia Karla de Sousa Araújo",$B:$B,"&lt;&gt;Lorena Dias de Araujo",$B:$B,"&lt;&gt;Lucas Luiz Romero")*(23/1083),IF(C2799="JR",SUMIFS($D:$D,$A:$A,$A2799,$B:$B,"&lt;&gt;Patrícia Karla de Sousa Araújo",$B:$B,"&lt;&gt;Lorena Dias de Araujo",$B:$B,"&lt;&gt;Lucas Luiz Romero")*(20/1083),IF(C2799="Estágio",SUMIFS($D:$D,$A:$A,$A2799,$B:$B,"&lt;&gt;Patrícia Karla de Sousa Araújo",$B:$B,"&lt;&gt;Lorena Dias de Araujo",$B:$B,"&lt;&gt;Lucas Luiz Romero")*(10/1083),0)))))),0)</f>
        <v/>
      </c>
      <c r="K2799" s="3">
        <f>I2799-J2799</f>
        <v/>
      </c>
      <c r="L2799" s="3">
        <f>IF(K2799&lt;-5,"CRÍTICO",IF(K2799&lt;0,"ATENÇÃO",IF(K2799&lt;=5,"OPORTUNO","MUITO BOM")))</f>
        <v/>
      </c>
      <c r="M2799" s="3" t="n">
        <v>19</v>
      </c>
      <c r="N2799" s="3" t="n">
        <v>97.3</v>
      </c>
      <c r="O2799" s="12" t="n">
        <v>23.84769539078156</v>
      </c>
    </row>
    <row r="2800">
      <c r="A2800" s="10" t="n">
        <v>46090</v>
      </c>
      <c r="B2800" t="inlineStr">
        <is>
          <t>Anna Luiza Rezende Tavares</t>
        </is>
      </c>
      <c r="C2800" s="1" t="inlineStr">
        <is>
          <t>Estágio</t>
        </is>
      </c>
      <c r="D2800" s="3" t="n">
        <v>10</v>
      </c>
      <c r="E2800" s="3" t="n">
        <v>9</v>
      </c>
      <c r="F2800" s="3" t="n">
        <v>33.57</v>
      </c>
      <c r="G2800" s="3" t="n">
        <v>0</v>
      </c>
      <c r="H2800" s="3" t="n">
        <v>0</v>
      </c>
      <c r="I2800" s="3">
        <f>E2800+G2800+H2800</f>
        <v/>
      </c>
      <c r="J2800" s="3">
        <f>ROUND(MIN(IF(C2800="Técnico III",35,IF(C2800="Técnico II",28,IF(C2800="Técnico I",23,IF(C2800="JR",20,IF(C2800="Estágio",10,0))))),IF(C2800="Técnico III",SUMIFS($D:$D,$A:$A,$A2800,$B:$B,"&lt;&gt;Patrícia Karla de Sousa Araújo",$B:$B,"&lt;&gt;Lorena Dias de Araujo",$B:$B,"&lt;&gt;Lucas Luiz Romero")*(35/1083),IF(C2800="Técnico II",SUMIFS($D:$D,$A:$A,$A2800,$B:$B,"&lt;&gt;Patrícia Karla de Sousa Araújo",$B:$B,"&lt;&gt;Lorena Dias de Araujo",$B:$B,"&lt;&gt;Lucas Luiz Romero")*(28/1083),IF(C2800="Técnico I",SUMIFS($D:$D,$A:$A,$A2800,$B:$B,"&lt;&gt;Patrícia Karla de Sousa Araújo",$B:$B,"&lt;&gt;Lorena Dias de Araujo",$B:$B,"&lt;&gt;Lucas Luiz Romero")*(23/1083),IF(C2800="JR",SUMIFS($D:$D,$A:$A,$A2800,$B:$B,"&lt;&gt;Patrícia Karla de Sousa Araújo",$B:$B,"&lt;&gt;Lorena Dias de Araujo",$B:$B,"&lt;&gt;Lucas Luiz Romero")*(20/1083),IF(C2800="Estágio",SUMIFS($D:$D,$A:$A,$A2800,$B:$B,"&lt;&gt;Patrícia Karla de Sousa Araújo",$B:$B,"&lt;&gt;Lorena Dias de Araujo",$B:$B,"&lt;&gt;Lucas Luiz Romero")*(10/1083),0)))))),0)</f>
        <v/>
      </c>
      <c r="K2800" s="3">
        <f>I2800-J2800</f>
        <v/>
      </c>
      <c r="L2800" s="3">
        <f>IF(K2800&lt;-5,"CRÍTICO",IF(K2800&lt;0,"ATENÇÃO",IF(K2800&lt;=5,"OPORTUNO","MUITO BOM")))</f>
        <v/>
      </c>
      <c r="M2800" s="3" t="n">
        <v>8</v>
      </c>
      <c r="N2800" s="3" t="n">
        <v>100</v>
      </c>
      <c r="O2800" s="12" t="n">
        <v>25.26881720430108</v>
      </c>
    </row>
    <row r="2801">
      <c r="A2801" s="10" t="n">
        <v>46090</v>
      </c>
      <c r="B2801" t="inlineStr">
        <is>
          <t>Brenda de Menezes Silva</t>
        </is>
      </c>
      <c r="C2801" s="1" t="inlineStr">
        <is>
          <t>Técnico II</t>
        </is>
      </c>
      <c r="D2801" s="3" t="n">
        <v>37</v>
      </c>
      <c r="E2801" s="3" t="n">
        <v>36</v>
      </c>
      <c r="F2801" s="3" t="n">
        <v>17.36</v>
      </c>
      <c r="G2801" s="3" t="n">
        <v>0</v>
      </c>
      <c r="H2801" s="3" t="n">
        <v>0</v>
      </c>
      <c r="I2801" s="3">
        <f>E2801+G2801+H2801</f>
        <v/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/>
      </c>
      <c r="K2801" s="3">
        <f>I2801-J2801</f>
        <v/>
      </c>
      <c r="L2801" s="3">
        <f>IF(K2801&lt;-5,"CRÍTICO",IF(K2801&lt;0,"ATENÇÃO",IF(K2801&lt;=5,"OPORTUNO","MUITO BOM")))</f>
        <v/>
      </c>
      <c r="M2801" s="3" t="n">
        <v>36</v>
      </c>
      <c r="N2801" s="3" t="n">
        <v>99.31999999999999</v>
      </c>
      <c r="O2801" s="12" t="n">
        <v>22.82282282282282</v>
      </c>
    </row>
    <row r="2802">
      <c r="A2802" s="10" t="n">
        <v>46090</v>
      </c>
      <c r="B2802" t="inlineStr">
        <is>
          <t>Carlos Mateus Cassimiro Nunes</t>
        </is>
      </c>
      <c r="C2802" s="1" t="inlineStr">
        <is>
          <t>Técnico II</t>
        </is>
      </c>
      <c r="D2802" s="3" t="n">
        <v>8</v>
      </c>
      <c r="E2802" s="3" t="n">
        <v>7</v>
      </c>
      <c r="F2802" s="3" t="n">
        <v>59.02</v>
      </c>
      <c r="G2802" s="3" t="n">
        <v>0</v>
      </c>
      <c r="H2802" s="3" t="n">
        <v>0</v>
      </c>
      <c r="I2802" s="3">
        <f>E2802+G2802+H2802</f>
        <v/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/>
      </c>
      <c r="K2802" s="3">
        <f>I2802-J2802</f>
        <v/>
      </c>
      <c r="L2802" s="3">
        <f>IF(K2802&lt;-5,"CRÍTICO",IF(K2802&lt;0,"ATENÇÃO",IF(K2802&lt;=5,"OPORTUNO","MUITO BOM")))</f>
        <v/>
      </c>
      <c r="M2802" s="3" t="n">
        <v>9</v>
      </c>
      <c r="N2802" s="3" t="n">
        <v>100</v>
      </c>
      <c r="O2802" s="12" t="n">
        <v>27.96610169491525</v>
      </c>
    </row>
    <row r="2803">
      <c r="A2803" s="10" t="n">
        <v>46090</v>
      </c>
      <c r="B2803" t="inlineStr">
        <is>
          <t>Claudio de Sousa Velasco Filho</t>
        </is>
      </c>
      <c r="C2803" s="1" t="inlineStr">
        <is>
          <t>Estágio</t>
        </is>
      </c>
      <c r="D2803" s="3" t="n">
        <v>0</v>
      </c>
      <c r="E2803" s="3" t="n">
        <v>0</v>
      </c>
      <c r="F2803" s="3" t="n">
        <v>0</v>
      </c>
      <c r="G2803" s="3" t="n">
        <v>0</v>
      </c>
      <c r="H2803" s="3" t="n">
        <v>0</v>
      </c>
      <c r="I2803" s="3" t="n">
        <v>0</v>
      </c>
      <c r="J2803" s="3" t="n">
        <v>0</v>
      </c>
      <c r="K2803" s="3" t="n">
        <v>0</v>
      </c>
      <c r="L2803" s="3">
        <f>IF(K2803&lt;-5,"CRÍTICO",IF(K2803&lt;0,"ATENÇÃO",IF(K2803&lt;=5,"OPORTUNO","MUITO BOM")))</f>
        <v/>
      </c>
      <c r="M2803" s="3" t="n">
        <v>0</v>
      </c>
      <c r="N2803" s="3" t="n">
        <v>100</v>
      </c>
      <c r="O2803" s="12" t="n">
        <v>30.43478260869566</v>
      </c>
    </row>
    <row r="2804">
      <c r="A2804" s="10" t="n">
        <v>46090</v>
      </c>
      <c r="B2804" t="inlineStr">
        <is>
          <t>Clessiane Pereira dos Santos</t>
        </is>
      </c>
      <c r="C2804" s="1" t="inlineStr">
        <is>
          <t>Técnico I</t>
        </is>
      </c>
      <c r="D2804" s="3" t="n">
        <v>19</v>
      </c>
      <c r="E2804" s="3" t="n">
        <v>19</v>
      </c>
      <c r="F2804" s="3" t="n">
        <v>25.46</v>
      </c>
      <c r="G2804" s="3" t="n">
        <v>0</v>
      </c>
      <c r="H2804" s="3" t="n">
        <v>0</v>
      </c>
      <c r="I2804" s="3">
        <f>E2804+G2804+H2804</f>
        <v/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/>
      </c>
      <c r="K2804" s="3">
        <f>I2804-J2804</f>
        <v/>
      </c>
      <c r="L2804" s="3">
        <f>IF(K2804&lt;-5,"CRÍTICO",IF(K2804&lt;0,"ATENÇÃO",IF(K2804&lt;=5,"OPORTUNO","MUITO BOM")))</f>
        <v/>
      </c>
      <c r="M2804" s="3" t="n">
        <v>18</v>
      </c>
      <c r="N2804" s="3" t="n">
        <v>96.51000000000001</v>
      </c>
      <c r="O2804" s="12" t="n">
        <v>22.80285035629454</v>
      </c>
    </row>
    <row r="2805">
      <c r="A2805" s="10" t="n">
        <v>46090</v>
      </c>
      <c r="B2805" t="inlineStr">
        <is>
          <t>Cristiane Ramos da Silva Rocha</t>
        </is>
      </c>
      <c r="C2805" s="1" t="inlineStr">
        <is>
          <t>Técnico III</t>
        </is>
      </c>
      <c r="D2805" s="3" t="n">
        <v>35</v>
      </c>
      <c r="E2805" s="3" t="n">
        <v>33</v>
      </c>
      <c r="F2805" s="3" t="n">
        <v>15.3</v>
      </c>
      <c r="G2805" s="3" t="n">
        <v>0</v>
      </c>
      <c r="H2805" s="3" t="n">
        <v>0</v>
      </c>
      <c r="I2805" s="3">
        <f>E2805+G2805+H2805</f>
        <v/>
      </c>
      <c r="J2805" s="3">
        <f>ROUND(MIN(IF(C2805="Técnico III",35,IF(C2805="Técnico II",28,IF(C2805="Técnico I",23,IF(C2805="JR",20,IF(C2805="Estágio",10,0))))),IF(C2805="Técnico III",SUMIFS($D:$D,$A:$A,$A2805,$B:$B,"&lt;&gt;Patrícia Karla de Sousa Araújo",$B:$B,"&lt;&gt;Lorena Dias de Araujo",$B:$B,"&lt;&gt;Lucas Luiz Romero")*(35/1083),IF(C2805="Técnico II",SUMIFS($D:$D,$A:$A,$A2805,$B:$B,"&lt;&gt;Patrícia Karla de Sousa Araújo",$B:$B,"&lt;&gt;Lorena Dias de Araujo",$B:$B,"&lt;&gt;Lucas Luiz Romero")*(28/1083),IF(C2805="Técnico I",SUMIFS($D:$D,$A:$A,$A2805,$B:$B,"&lt;&gt;Patrícia Karla de Sousa Araújo",$B:$B,"&lt;&gt;Lorena Dias de Araujo",$B:$B,"&lt;&gt;Lucas Luiz Romero")*(23/1083),IF(C2805="JR",SUMIFS($D:$D,$A:$A,$A2805,$B:$B,"&lt;&gt;Patrícia Karla de Sousa Araújo",$B:$B,"&lt;&gt;Lorena Dias de Araujo",$B:$B,"&lt;&gt;Lucas Luiz Romero")*(20/1083),IF(C2805="Estágio",SUMIFS($D:$D,$A:$A,$A2805,$B:$B,"&lt;&gt;Patrícia Karla de Sousa Araújo",$B:$B,"&lt;&gt;Lorena Dias de Araujo",$B:$B,"&lt;&gt;Lucas Luiz Romero")*(10/1083),0)))))),0)</f>
        <v/>
      </c>
      <c r="K2805" s="3">
        <f>I2805-J2805</f>
        <v/>
      </c>
      <c r="L2805" s="3">
        <f>IF(K2805&lt;-5,"CRÍTICO",IF(K2805&lt;0,"ATENÇÃO",IF(K2805&lt;=5,"OPORTUNO","MUITO BOM")))</f>
        <v/>
      </c>
      <c r="M2805" s="3" t="n">
        <v>29</v>
      </c>
      <c r="N2805" s="3" t="n">
        <v>92.68000000000001</v>
      </c>
      <c r="O2805" s="12" t="n">
        <v>27.77777777777778</v>
      </c>
    </row>
    <row r="2806">
      <c r="A2806" s="10" t="n">
        <v>46090</v>
      </c>
      <c r="B2806" t="inlineStr">
        <is>
          <t>Damyllis Lorraine de Oliveira Gonçalves</t>
        </is>
      </c>
      <c r="C2806" s="1" t="inlineStr">
        <is>
          <t>Técnico II</t>
        </is>
      </c>
      <c r="D2806" s="3" t="n">
        <v>30</v>
      </c>
      <c r="E2806" s="3" t="n">
        <v>28</v>
      </c>
      <c r="F2806" s="3" t="n">
        <v>27.06</v>
      </c>
      <c r="G2806" s="3" t="n">
        <v>0</v>
      </c>
      <c r="H2806" s="3" t="n">
        <v>0</v>
      </c>
      <c r="I2806" s="3" t="n">
        <v>0</v>
      </c>
      <c r="J2806" s="3" t="n">
        <v>0</v>
      </c>
      <c r="K2806" s="3" t="n">
        <v>0</v>
      </c>
      <c r="L2806" s="3">
        <f>IF(K2806&lt;-5,"CRÍTICO",IF(K2806&lt;0,"ATENÇÃO",IF(K2806&lt;=5,"OPORTUNO","MUITO BOM")))</f>
        <v/>
      </c>
      <c r="M2806" s="3" t="n">
        <v>21</v>
      </c>
      <c r="N2806" s="3" t="n">
        <v>99.03</v>
      </c>
      <c r="O2806" s="12" t="n">
        <v>23.99150743099788</v>
      </c>
    </row>
    <row r="2807">
      <c r="A2807" s="10" t="n">
        <v>46090</v>
      </c>
      <c r="B2807" t="inlineStr">
        <is>
          <t>Daniel Gomes da Silva</t>
        </is>
      </c>
      <c r="C2807" s="1" t="inlineStr">
        <is>
          <t>Técnico I</t>
        </is>
      </c>
      <c r="D2807" s="3" t="n">
        <v>19</v>
      </c>
      <c r="E2807" s="3" t="n">
        <v>19</v>
      </c>
      <c r="F2807" s="3" t="n">
        <v>28.26</v>
      </c>
      <c r="G2807" s="3" t="n">
        <v>0</v>
      </c>
      <c r="H2807" s="3" t="n">
        <v>0</v>
      </c>
      <c r="I2807" s="3">
        <f>E2807+G2807+H2807</f>
        <v/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/>
      </c>
      <c r="K2807" s="3">
        <f>I2807-J2807</f>
        <v/>
      </c>
      <c r="L2807" s="3">
        <f>IF(K2807&lt;-5,"CRÍTICO",IF(K2807&lt;0,"ATENÇÃO",IF(K2807&lt;=5,"OPORTUNO","MUITO BOM")))</f>
        <v/>
      </c>
      <c r="M2807" s="3" t="n">
        <v>12</v>
      </c>
      <c r="N2807" s="3" t="n">
        <v>98.41</v>
      </c>
      <c r="O2807" s="12" t="n">
        <v>28.13852813852814</v>
      </c>
    </row>
    <row r="2808">
      <c r="A2808" s="10" t="n">
        <v>46090</v>
      </c>
      <c r="B2808" t="inlineStr">
        <is>
          <t>Davylla Rodrigues Freitas Silva</t>
        </is>
      </c>
      <c r="C2808" s="1" t="inlineStr">
        <is>
          <t>Técnico III</t>
        </is>
      </c>
      <c r="D2808" s="3" t="n">
        <v>18</v>
      </c>
      <c r="E2808" s="3" t="n">
        <v>17</v>
      </c>
      <c r="F2808" s="3" t="n">
        <v>30.04</v>
      </c>
      <c r="G2808" s="3" t="n">
        <v>0</v>
      </c>
      <c r="H2808" s="3" t="n">
        <v>0</v>
      </c>
      <c r="I2808" s="3" t="n">
        <v>0</v>
      </c>
      <c r="J2808" s="3" t="n">
        <v>0</v>
      </c>
      <c r="K2808" s="3" t="n">
        <v>0</v>
      </c>
      <c r="L2808" s="3">
        <f>IF(K2808&lt;-5,"CRÍTICO",IF(K2808&lt;0,"ATENÇÃO",IF(K2808&lt;=5,"OPORTUNO","MUITO BOM")))</f>
        <v/>
      </c>
      <c r="M2808" s="3" t="n">
        <v>18</v>
      </c>
      <c r="N2808" s="3" t="n">
        <v>98.73</v>
      </c>
      <c r="O2808" s="12" t="n">
        <v>29.14285714285714</v>
      </c>
    </row>
    <row r="2809">
      <c r="A2809" s="10" t="n">
        <v>46090</v>
      </c>
      <c r="B2809" t="inlineStr">
        <is>
          <t>Emilly Caylane Costa</t>
        </is>
      </c>
      <c r="C2809" s="1" t="inlineStr">
        <is>
          <t>Estágio</t>
        </is>
      </c>
      <c r="D2809" s="3" t="n">
        <v>9</v>
      </c>
      <c r="E2809" s="3" t="n">
        <v>8</v>
      </c>
      <c r="F2809" s="3" t="n">
        <v>55.38</v>
      </c>
      <c r="G2809" s="3" t="n">
        <v>0</v>
      </c>
      <c r="H2809" s="3" t="n">
        <v>0</v>
      </c>
      <c r="I2809" s="3">
        <f>E2809+G2809+H2809</f>
        <v/>
      </c>
      <c r="J2809" s="3">
        <f>ROUND(MIN(IF(C2809="Técnico III",35,IF(C2809="Técnico II",28,IF(C2809="Técnico I",23,IF(C2809="JR",20,IF(C2809="Estágio",10,0))))),IF(C2809="Técnico III",SUMIFS($D:$D,$A:$A,$A2809,$B:$B,"&lt;&gt;Patrícia Karla de Sousa Araújo",$B:$B,"&lt;&gt;Lorena Dias de Araujo",$B:$B,"&lt;&gt;Lucas Luiz Romero")*(35/1083),IF(C2809="Técnico II",SUMIFS($D:$D,$A:$A,$A2809,$B:$B,"&lt;&gt;Patrícia Karla de Sousa Araújo",$B:$B,"&lt;&gt;Lorena Dias de Araujo",$B:$B,"&lt;&gt;Lucas Luiz Romero")*(28/1083),IF(C2809="Técnico I",SUMIFS($D:$D,$A:$A,$A2809,$B:$B,"&lt;&gt;Patrícia Karla de Sousa Araújo",$B:$B,"&lt;&gt;Lorena Dias de Araujo",$B:$B,"&lt;&gt;Lucas Luiz Romero")*(23/1083),IF(C2809="JR",SUMIFS($D:$D,$A:$A,$A2809,$B:$B,"&lt;&gt;Patrícia Karla de Sousa Araújo",$B:$B,"&lt;&gt;Lorena Dias de Araujo",$B:$B,"&lt;&gt;Lucas Luiz Romero")*(20/1083),IF(C2809="Estágio",SUMIFS($D:$D,$A:$A,$A2809,$B:$B,"&lt;&gt;Patrícia Karla de Sousa Araújo",$B:$B,"&lt;&gt;Lorena Dias de Araujo",$B:$B,"&lt;&gt;Lucas Luiz Romero")*(10/1083),0)))))),0)</f>
        <v/>
      </c>
      <c r="K2809" s="3">
        <f>I2809-J2809</f>
        <v/>
      </c>
      <c r="L2809" s="3">
        <f>IF(K2809&lt;-5,"CRÍTICO",IF(K2809&lt;0,"ATENÇÃO",IF(K2809&lt;=5,"OPORTUNO","MUITO BOM")))</f>
        <v/>
      </c>
      <c r="M2809" s="3" t="n">
        <v>4</v>
      </c>
      <c r="N2809" s="3" t="n">
        <v>90.48</v>
      </c>
      <c r="O2809" s="12" t="n">
        <v>20.68965517241379</v>
      </c>
    </row>
    <row r="2810">
      <c r="A2810" s="10" t="n">
        <v>46090</v>
      </c>
      <c r="B2810" t="inlineStr">
        <is>
          <t>Emilly Kamilly Medeiros Miranda</t>
        </is>
      </c>
      <c r="C2810" s="1" t="inlineStr">
        <is>
          <t>Técnico II</t>
        </is>
      </c>
      <c r="D2810" s="3" t="n">
        <v>26</v>
      </c>
      <c r="E2810" s="3" t="n">
        <v>25</v>
      </c>
      <c r="F2810" s="3" t="n">
        <v>25.01</v>
      </c>
      <c r="G2810" s="3" t="n">
        <v>0</v>
      </c>
      <c r="H2810" s="3" t="n">
        <v>0</v>
      </c>
      <c r="I2810" s="3">
        <f>E2810+G2810+H2810</f>
        <v/>
      </c>
      <c r="J2810" s="3">
        <f>ROUND(MIN(IF(C2810="Técnico III",35,IF(C2810="Técnico II",28,IF(C2810="Técnico I",23,IF(C2810="JR",20,IF(C2810="Estágio",10,0))))),IF(C2810="Técnico III",SUMIFS($D:$D,$A:$A,$A2810,$B:$B,"&lt;&gt;Patrícia Karla de Sousa Araújo",$B:$B,"&lt;&gt;Lorena Dias de Araujo",$B:$B,"&lt;&gt;Lucas Luiz Romero")*(35/1083),IF(C2810="Técnico II",SUMIFS($D:$D,$A:$A,$A2810,$B:$B,"&lt;&gt;Patrícia Karla de Sousa Araújo",$B:$B,"&lt;&gt;Lorena Dias de Araujo",$B:$B,"&lt;&gt;Lucas Luiz Romero")*(28/1083),IF(C2810="Técnico I",SUMIFS($D:$D,$A:$A,$A2810,$B:$B,"&lt;&gt;Patrícia Karla de Sousa Araújo",$B:$B,"&lt;&gt;Lorena Dias de Araujo",$B:$B,"&lt;&gt;Lucas Luiz Romero")*(23/1083),IF(C2810="JR",SUMIFS($D:$D,$A:$A,$A2810,$B:$B,"&lt;&gt;Patrícia Karla de Sousa Araújo",$B:$B,"&lt;&gt;Lorena Dias de Araujo",$B:$B,"&lt;&gt;Lucas Luiz Romero")*(20/1083),IF(C2810="Estágio",SUMIFS($D:$D,$A:$A,$A2810,$B:$B,"&lt;&gt;Patrícia Karla de Sousa Araújo",$B:$B,"&lt;&gt;Lorena Dias de Araujo",$B:$B,"&lt;&gt;Lucas Luiz Romero")*(10/1083),0)))))),0)</f>
        <v/>
      </c>
      <c r="K2810" s="3">
        <f>I2810-J2810</f>
        <v/>
      </c>
      <c r="L2810" s="3">
        <f>IF(K2810&lt;-5,"CRÍTICO",IF(K2810&lt;0,"ATENÇÃO",IF(K2810&lt;=5,"OPORTUNO","MUITO BOM")))</f>
        <v/>
      </c>
      <c r="M2810" s="3" t="n">
        <v>23</v>
      </c>
      <c r="N2810" s="3" t="n">
        <v>98.06</v>
      </c>
      <c r="O2810" s="12" t="n">
        <v>24.78991596638656</v>
      </c>
    </row>
    <row r="2811">
      <c r="A2811" s="10" t="n">
        <v>46090</v>
      </c>
      <c r="B2811" t="inlineStr">
        <is>
          <t>Francielson de Oliveira</t>
        </is>
      </c>
      <c r="C2811" s="1" t="inlineStr">
        <is>
          <t>Técnico III</t>
        </is>
      </c>
      <c r="D2811" s="3" t="n">
        <v>26</v>
      </c>
      <c r="E2811" s="3" t="n">
        <v>26</v>
      </c>
      <c r="F2811" s="3" t="n">
        <v>28.37</v>
      </c>
      <c r="G2811" s="3" t="n">
        <v>0</v>
      </c>
      <c r="H2811" s="3" t="n">
        <v>0</v>
      </c>
      <c r="I2811" s="3">
        <f>E2811+G2811+H2811</f>
        <v/>
      </c>
      <c r="J2811" s="3">
        <f>ROUND(MIN(IF(C2811="Técnico III",35,IF(C2811="Técnico II",28,IF(C2811="Técnico I",23,IF(C2811="JR",20,IF(C2811="Estágio",10,0))))),IF(C2811="Técnico III",SUMIFS($D:$D,$A:$A,$A2811,$B:$B,"&lt;&gt;Patrícia Karla de Sousa Araújo",$B:$B,"&lt;&gt;Lorena Dias de Araujo",$B:$B,"&lt;&gt;Lucas Luiz Romero")*(35/1083),IF(C2811="Técnico II",SUMIFS($D:$D,$A:$A,$A2811,$B:$B,"&lt;&gt;Patrícia Karla de Sousa Araújo",$B:$B,"&lt;&gt;Lorena Dias de Araujo",$B:$B,"&lt;&gt;Lucas Luiz Romero")*(28/1083),IF(C2811="Técnico I",SUMIFS($D:$D,$A:$A,$A2811,$B:$B,"&lt;&gt;Patrícia Karla de Sousa Araújo",$B:$B,"&lt;&gt;Lorena Dias de Araujo",$B:$B,"&lt;&gt;Lucas Luiz Romero")*(23/1083),IF(C2811="JR",SUMIFS($D:$D,$A:$A,$A2811,$B:$B,"&lt;&gt;Patrícia Karla de Sousa Araújo",$B:$B,"&lt;&gt;Lorena Dias de Araujo",$B:$B,"&lt;&gt;Lucas Luiz Romero")*(20/1083),IF(C2811="Estágio",SUMIFS($D:$D,$A:$A,$A2811,$B:$B,"&lt;&gt;Patrícia Karla de Sousa Araújo",$B:$B,"&lt;&gt;Lorena Dias de Araujo",$B:$B,"&lt;&gt;Lucas Luiz Romero")*(10/1083),0)))))),0)</f>
        <v/>
      </c>
      <c r="K2811" s="3">
        <f>I2811-J2811</f>
        <v/>
      </c>
      <c r="L2811" s="3">
        <f>IF(K2811&lt;-5,"CRÍTICO",IF(K2811&lt;0,"ATENÇÃO",IF(K2811&lt;=5,"OPORTUNO","MUITO BOM")))</f>
        <v/>
      </c>
      <c r="M2811" s="3" t="n">
        <v>23</v>
      </c>
      <c r="N2811" s="3" t="n">
        <v>97.78</v>
      </c>
      <c r="O2811" s="12" t="n">
        <v>25.49407114624506</v>
      </c>
    </row>
    <row r="2812">
      <c r="A2812" s="10" t="n">
        <v>46090</v>
      </c>
      <c r="B2812" t="inlineStr">
        <is>
          <t>Francilene Ferreira de Jesus</t>
        </is>
      </c>
      <c r="C2812" s="1" t="inlineStr">
        <is>
          <t>Técnico II</t>
        </is>
      </c>
      <c r="D2812" s="3" t="n">
        <v>0</v>
      </c>
      <c r="E2812" s="3" t="n">
        <v>0</v>
      </c>
      <c r="F2812" s="3" t="n">
        <v>0</v>
      </c>
      <c r="G2812" s="3" t="n">
        <v>0</v>
      </c>
      <c r="H2812" s="3" t="n">
        <v>0</v>
      </c>
      <c r="I2812" s="3" t="n">
        <v>0</v>
      </c>
      <c r="J2812" s="3" t="n">
        <v>0</v>
      </c>
      <c r="K2812" s="3" t="n">
        <v>0</v>
      </c>
      <c r="L2812" s="3">
        <f>IF(K2812&lt;-5,"CRÍTICO",IF(K2812&lt;0,"ATENÇÃO",IF(K2812&lt;=5,"OPORTUNO","MUITO BOM")))</f>
        <v/>
      </c>
      <c r="M2812" s="3" t="n">
        <v>0</v>
      </c>
      <c r="N2812" s="3" t="n">
        <v>98.02</v>
      </c>
      <c r="O2812" s="12" t="n">
        <v>23.48484848484848</v>
      </c>
    </row>
    <row r="2813">
      <c r="A2813" s="10" t="n">
        <v>46122</v>
      </c>
      <c r="B2813" t="inlineStr">
        <is>
          <t>Gabriel Gomes de Andrade</t>
        </is>
      </c>
      <c r="C2813" s="1" t="inlineStr">
        <is>
          <t>Técnico I</t>
        </is>
      </c>
      <c r="D2813" s="3" t="n">
        <v>28</v>
      </c>
      <c r="E2813" s="3" t="n">
        <v>21</v>
      </c>
      <c r="F2813" s="3" t="n">
        <v>12.14</v>
      </c>
      <c r="G2813" s="3" t="n">
        <v>0</v>
      </c>
      <c r="H2813" s="3" t="n">
        <v>0</v>
      </c>
      <c r="I2813" s="3">
        <f>E2813+G2813+H2813</f>
        <v/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/>
      </c>
      <c r="K2813" s="3">
        <f>I2813-J2813</f>
        <v/>
      </c>
      <c r="L2813" s="3">
        <f>IF(K2813&lt;-5,"CRÍTICO",IF(K2813&lt;0,"ATENÇÃO",IF(K2813&lt;=5,"OPORTUNO","MUITO BOM")))</f>
        <v/>
      </c>
      <c r="M2813" s="3" t="n">
        <v>18</v>
      </c>
      <c r="N2813" s="3" t="n">
        <v>99.28</v>
      </c>
      <c r="O2813" s="12" t="n">
        <v>27.68924302788844</v>
      </c>
    </row>
    <row r="2814">
      <c r="A2814" s="10" t="n">
        <v>46090</v>
      </c>
      <c r="B2814" t="inlineStr">
        <is>
          <t>Isabella Borges de Oliveira</t>
        </is>
      </c>
      <c r="C2814" s="1" t="inlineStr">
        <is>
          <t>Técnico II</t>
        </is>
      </c>
      <c r="D2814" s="3" t="n">
        <v>19</v>
      </c>
      <c r="E2814" s="3" t="n">
        <v>17</v>
      </c>
      <c r="F2814" s="3" t="n">
        <v>25.53</v>
      </c>
      <c r="G2814" s="3" t="n">
        <v>0</v>
      </c>
      <c r="H2814" s="3" t="n">
        <v>0</v>
      </c>
      <c r="I2814" s="3">
        <f>E2814+G2814+H2814</f>
        <v/>
      </c>
      <c r="J2814" s="3">
        <f>ROUND(MIN(IF(C2814="Técnico III",35,IF(C2814="Técnico II",28,IF(C2814="Técnico I",23,IF(C2814="JR",20,IF(C2814="Estágio",10,0))))),IF(C2814="Técnico III",SUMIFS($D:$D,$A:$A,$A2814,$B:$B,"&lt;&gt;Patrícia Karla de Sousa Araújo",$B:$B,"&lt;&gt;Lorena Dias de Araujo",$B:$B,"&lt;&gt;Lucas Luiz Romero")*(35/1083),IF(C2814="Técnico II",SUMIFS($D:$D,$A:$A,$A2814,$B:$B,"&lt;&gt;Patrícia Karla de Sousa Araújo",$B:$B,"&lt;&gt;Lorena Dias de Araujo",$B:$B,"&lt;&gt;Lucas Luiz Romero")*(28/1083),IF(C2814="Técnico I",SUMIFS($D:$D,$A:$A,$A2814,$B:$B,"&lt;&gt;Patrícia Karla de Sousa Araújo",$B:$B,"&lt;&gt;Lorena Dias de Araujo",$B:$B,"&lt;&gt;Lucas Luiz Romero")*(23/1083),IF(C2814="JR",SUMIFS($D:$D,$A:$A,$A2814,$B:$B,"&lt;&gt;Patrícia Karla de Sousa Araújo",$B:$B,"&lt;&gt;Lorena Dias de Araujo",$B:$B,"&lt;&gt;Lucas Luiz Romero")*(20/1083),IF(C2814="Estágio",SUMIFS($D:$D,$A:$A,$A2814,$B:$B,"&lt;&gt;Patrícia Karla de Sousa Araújo",$B:$B,"&lt;&gt;Lorena Dias de Araujo",$B:$B,"&lt;&gt;Lucas Luiz Romero")*(10/1083),0)))))),0)</f>
        <v/>
      </c>
      <c r="K2814" s="3">
        <f>I2814-J2814</f>
        <v/>
      </c>
      <c r="L2814" s="3">
        <f>IF(K2814&lt;-5,"CRÍTICO",IF(K2814&lt;0,"ATENÇÃO",IF(K2814&lt;=5,"OPORTUNO","MUITO BOM")))</f>
        <v/>
      </c>
      <c r="M2814" s="3" t="n">
        <v>16</v>
      </c>
      <c r="N2814" s="3" t="n">
        <v>100</v>
      </c>
      <c r="O2814" s="12" t="n">
        <v>27.04918032786885</v>
      </c>
    </row>
    <row r="2815">
      <c r="A2815" s="10" t="n">
        <v>46090</v>
      </c>
      <c r="B2815" t="inlineStr">
        <is>
          <t>Janaina Lima dos Reis Urany</t>
        </is>
      </c>
      <c r="C2815" s="1" t="inlineStr">
        <is>
          <t>Técnico III</t>
        </is>
      </c>
      <c r="D2815" s="3" t="n">
        <v>43</v>
      </c>
      <c r="E2815" s="3" t="n">
        <v>39</v>
      </c>
      <c r="F2815" s="3" t="n">
        <v>15.06</v>
      </c>
      <c r="G2815" s="3" t="n">
        <v>0</v>
      </c>
      <c r="H2815" s="3" t="n">
        <v>0</v>
      </c>
      <c r="I2815" s="3">
        <f>E2815+G2815+H2815</f>
        <v/>
      </c>
      <c r="J2815" s="3">
        <f>ROUND(MIN(IF(C2815="Técnico III",35,IF(C2815="Técnico II",28,IF(C2815="Técnico I",23,IF(C2815="JR",20,IF(C2815="Estágio",10,0))))),IF(C2815="Técnico III",SUMIFS($D:$D,$A:$A,$A2815,$B:$B,"&lt;&gt;Patrícia Karla de Sousa Araújo",$B:$B,"&lt;&gt;Lorena Dias de Araujo",$B:$B,"&lt;&gt;Lucas Luiz Romero")*(35/1083),IF(C2815="Técnico II",SUMIFS($D:$D,$A:$A,$A2815,$B:$B,"&lt;&gt;Patrícia Karla de Sousa Araújo",$B:$B,"&lt;&gt;Lorena Dias de Araujo",$B:$B,"&lt;&gt;Lucas Luiz Romero")*(28/1083),IF(C2815="Técnico I",SUMIFS($D:$D,$A:$A,$A2815,$B:$B,"&lt;&gt;Patrícia Karla de Sousa Araújo",$B:$B,"&lt;&gt;Lorena Dias de Araujo",$B:$B,"&lt;&gt;Lucas Luiz Romero")*(23/1083),IF(C2815="JR",SUMIFS($D:$D,$A:$A,$A2815,$B:$B,"&lt;&gt;Patrícia Karla de Sousa Araújo",$B:$B,"&lt;&gt;Lorena Dias de Araujo",$B:$B,"&lt;&gt;Lucas Luiz Romero")*(20/1083),IF(C2815="Estágio",SUMIFS($D:$D,$A:$A,$A2815,$B:$B,"&lt;&gt;Patrícia Karla de Sousa Araújo",$B:$B,"&lt;&gt;Lorena Dias de Araujo",$B:$B,"&lt;&gt;Lucas Luiz Romero")*(10/1083),0)))))),0)</f>
        <v/>
      </c>
      <c r="K2815" s="3">
        <f>I2815-J2815</f>
        <v/>
      </c>
      <c r="L2815" s="3">
        <f>IF(K2815&lt;-5,"CRÍTICO",IF(K2815&lt;0,"ATENÇÃO",IF(K2815&lt;=5,"OPORTUNO","MUITO BOM")))</f>
        <v/>
      </c>
      <c r="M2815" s="3" t="n">
        <v>41</v>
      </c>
      <c r="N2815" s="3" t="n">
        <v>97.83</v>
      </c>
      <c r="O2815" s="12" t="n">
        <v>26.31578947368421</v>
      </c>
    </row>
    <row r="2816">
      <c r="A2816" s="10" t="n">
        <v>46090</v>
      </c>
      <c r="B2816" t="inlineStr">
        <is>
          <t>Jaqueline Evangelista da Silva Martins</t>
        </is>
      </c>
      <c r="C2816" s="1" t="inlineStr">
        <is>
          <t>Técnico III</t>
        </is>
      </c>
      <c r="D2816" s="3" t="n">
        <v>3</v>
      </c>
      <c r="E2816" s="3" t="n">
        <v>3</v>
      </c>
      <c r="F2816" s="3" t="n">
        <v>28.33</v>
      </c>
      <c r="G2816" s="3" t="n">
        <v>0</v>
      </c>
      <c r="H2816" s="3" t="n">
        <v>0</v>
      </c>
      <c r="I2816" s="3">
        <f>E2816+G2816+H2816</f>
        <v/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/>
      </c>
      <c r="K2816" s="3">
        <f>I2816-J2816</f>
        <v/>
      </c>
      <c r="L2816" s="3">
        <f>IF(K2816&lt;-5,"CRÍTICO",IF(K2816&lt;0,"ATENÇÃO",IF(K2816&lt;=5,"OPORTUNO","MUITO BOM")))</f>
        <v/>
      </c>
      <c r="M2816" s="3" t="n">
        <v>6</v>
      </c>
      <c r="N2816" s="3" t="n">
        <v>100</v>
      </c>
      <c r="O2816" s="12" t="n">
        <v>26.70157068062827</v>
      </c>
    </row>
    <row r="2817">
      <c r="A2817" s="10" t="n">
        <v>46090</v>
      </c>
      <c r="B2817" t="inlineStr">
        <is>
          <t>Jessica Faria da Silveira</t>
        </is>
      </c>
      <c r="C2817" s="1" t="inlineStr">
        <is>
          <t>Técnico II</t>
        </is>
      </c>
      <c r="D2817" s="3" t="n">
        <v>29</v>
      </c>
      <c r="E2817" s="3" t="n">
        <v>26</v>
      </c>
      <c r="F2817" s="3" t="n">
        <v>18.26</v>
      </c>
      <c r="G2817" s="3" t="n">
        <v>0</v>
      </c>
      <c r="H2817" s="3" t="n">
        <v>0</v>
      </c>
      <c r="I2817" s="3">
        <f>E2817+G2817+H2817</f>
        <v/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/>
      </c>
      <c r="K2817" s="3">
        <f>I2817-J2817</f>
        <v/>
      </c>
      <c r="L2817" s="3">
        <f>IF(K2817&lt;-5,"CRÍTICO",IF(K2817&lt;0,"ATENÇÃO",IF(K2817&lt;=5,"OPORTUNO","MUITO BOM")))</f>
        <v/>
      </c>
      <c r="M2817" s="3" t="n">
        <v>24</v>
      </c>
      <c r="N2817" s="3" t="n">
        <v>97.47</v>
      </c>
      <c r="O2817" s="12" t="n">
        <v>22.88732394366197</v>
      </c>
    </row>
    <row r="2818">
      <c r="A2818" s="10" t="n">
        <v>46090</v>
      </c>
      <c r="B2818" t="inlineStr">
        <is>
          <t>Jéssica Fé Moura</t>
        </is>
      </c>
      <c r="C2818" s="1" t="inlineStr">
        <is>
          <t>Técnico III</t>
        </is>
      </c>
      <c r="D2818" s="3" t="n">
        <v>0</v>
      </c>
      <c r="E2818" s="3" t="n">
        <v>0</v>
      </c>
      <c r="F2818" s="3" t="n">
        <v>0</v>
      </c>
      <c r="G2818" s="3" t="n">
        <v>0</v>
      </c>
      <c r="H2818" s="3" t="n">
        <v>0</v>
      </c>
      <c r="I2818" s="3" t="n">
        <v>0</v>
      </c>
      <c r="J2818" s="3" t="n">
        <v>0</v>
      </c>
      <c r="K2818" s="3" t="n">
        <v>0</v>
      </c>
      <c r="L2818" s="3">
        <f>IF(K2818&lt;-5,"CRÍTICO",IF(K2818&lt;0,"ATENÇÃO",IF(K2818&lt;=5,"OPORTUNO","MUITO BOM")))</f>
        <v/>
      </c>
      <c r="M2818" s="3" t="n">
        <v>0</v>
      </c>
      <c r="N2818" s="3" t="n">
        <v>0</v>
      </c>
      <c r="O2818" s="12" t="n">
        <v>0</v>
      </c>
    </row>
    <row r="2819">
      <c r="A2819" s="10" t="n">
        <v>46090</v>
      </c>
      <c r="B2819" t="inlineStr">
        <is>
          <t>Karina Gonçalves Martins</t>
        </is>
      </c>
      <c r="C2819" s="1" t="inlineStr">
        <is>
          <t>JR</t>
        </is>
      </c>
      <c r="D2819" s="3" t="n">
        <v>8</v>
      </c>
      <c r="E2819" s="3" t="n">
        <v>8</v>
      </c>
      <c r="F2819" s="3" t="n">
        <v>35.03</v>
      </c>
      <c r="G2819" s="3" t="n">
        <v>0</v>
      </c>
      <c r="H2819" s="3" t="n">
        <v>0</v>
      </c>
      <c r="I2819" s="3">
        <f>E2819+G2819+H2819</f>
        <v/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/>
      </c>
      <c r="K2819" s="3">
        <f>I2819-J2819</f>
        <v/>
      </c>
      <c r="L2819" s="3">
        <f>IF(K2819&lt;-5,"CRÍTICO",IF(K2819&lt;0,"ATENÇÃO",IF(K2819&lt;=5,"OPORTUNO","MUITO BOM")))</f>
        <v/>
      </c>
      <c r="M2819" s="3" t="n">
        <v>9</v>
      </c>
      <c r="N2819" s="3" t="n">
        <v>98.31</v>
      </c>
      <c r="O2819" s="12" t="n">
        <v>24.92012779552715</v>
      </c>
    </row>
    <row r="2820">
      <c r="A2820" s="10" t="n">
        <v>46090</v>
      </c>
      <c r="B2820" t="inlineStr">
        <is>
          <t>Kerollen Cristielly de Jesus Siqueira</t>
        </is>
      </c>
      <c r="C2820" s="1" t="inlineStr">
        <is>
          <t>Técnico III</t>
        </is>
      </c>
      <c r="D2820" s="3" t="n">
        <v>15</v>
      </c>
      <c r="E2820" s="3" t="n">
        <v>14</v>
      </c>
      <c r="F2820" s="3" t="n">
        <v>26.47</v>
      </c>
      <c r="G2820" s="3" t="n">
        <v>0</v>
      </c>
      <c r="H2820" s="3" t="n">
        <v>0</v>
      </c>
      <c r="I2820" s="3">
        <f>E2820+G2820+H2820</f>
        <v/>
      </c>
      <c r="J2820" s="3">
        <f>ROUND(MIN(IF(C2820="Técnico III",35,IF(C2820="Técnico II",28,IF(C2820="Técnico I",23,IF(C2820="JR",20,IF(C2820="Estágio",10,0))))),IF(C2820="Técnico III",SUMIFS($D:$D,$A:$A,$A2820,$B:$B,"&lt;&gt;Patrícia Karla de Sousa Araújo",$B:$B,"&lt;&gt;Lorena Dias de Araujo",$B:$B,"&lt;&gt;Lucas Luiz Romero")*(35/1083),IF(C2820="Técnico II",SUMIFS($D:$D,$A:$A,$A2820,$B:$B,"&lt;&gt;Patrícia Karla de Sousa Araújo",$B:$B,"&lt;&gt;Lorena Dias de Araujo",$B:$B,"&lt;&gt;Lucas Luiz Romero")*(28/1083),IF(C2820="Técnico I",SUMIFS($D:$D,$A:$A,$A2820,$B:$B,"&lt;&gt;Patrícia Karla de Sousa Araújo",$B:$B,"&lt;&gt;Lorena Dias de Araujo",$B:$B,"&lt;&gt;Lucas Luiz Romero")*(23/1083),IF(C2820="JR",SUMIFS($D:$D,$A:$A,$A2820,$B:$B,"&lt;&gt;Patrícia Karla de Sousa Araújo",$B:$B,"&lt;&gt;Lorena Dias de Araujo",$B:$B,"&lt;&gt;Lucas Luiz Romero")*(20/1083),IF(C2820="Estágio",SUMIFS($D:$D,$A:$A,$A2820,$B:$B,"&lt;&gt;Patrícia Karla de Sousa Araújo",$B:$B,"&lt;&gt;Lorena Dias de Araujo",$B:$B,"&lt;&gt;Lucas Luiz Romero")*(10/1083),0)))))),0)</f>
        <v/>
      </c>
      <c r="K2820" s="3">
        <f>I2820-J2820</f>
        <v/>
      </c>
      <c r="L2820" s="3">
        <f>IF(K2820&lt;-5,"CRÍTICO",IF(K2820&lt;0,"ATENÇÃO",IF(K2820&lt;=5,"OPORTUNO","MUITO BOM")))</f>
        <v/>
      </c>
      <c r="M2820" s="3" t="n">
        <v>12</v>
      </c>
      <c r="N2820" s="3" t="n">
        <v>96.81</v>
      </c>
      <c r="O2820" s="12" t="n">
        <v>32.36514522821577</v>
      </c>
    </row>
    <row r="2821">
      <c r="A2821" s="10" t="n">
        <v>46090</v>
      </c>
      <c r="B2821" t="inlineStr">
        <is>
          <t>Leandro de Souza Silva</t>
        </is>
      </c>
      <c r="C2821" s="1" t="inlineStr">
        <is>
          <t>JR</t>
        </is>
      </c>
      <c r="D2821" s="3" t="n">
        <v>5</v>
      </c>
      <c r="E2821" s="3" t="n">
        <v>5</v>
      </c>
      <c r="F2821" s="3" t="n">
        <v>43.59</v>
      </c>
      <c r="G2821" s="3" t="n">
        <v>0</v>
      </c>
      <c r="H2821" s="3" t="n">
        <v>0</v>
      </c>
      <c r="I2821" s="3">
        <f>E2821+G2821+H2821</f>
        <v/>
      </c>
      <c r="J2821" s="3">
        <f>ROUND(MIN(IF(C2821="Técnico III",35,IF(C2821="Técnico II",28,IF(C2821="Técnico I",23,IF(C2821="JR",20,IF(C2821="Estágio",10,0))))),IF(C2821="Técnico III",SUMIFS($D:$D,$A:$A,$A2821,$B:$B,"&lt;&gt;Patrícia Karla de Sousa Araújo",$B:$B,"&lt;&gt;Lorena Dias de Araujo",$B:$B,"&lt;&gt;Lucas Luiz Romero")*(35/1083),IF(C2821="Técnico II",SUMIFS($D:$D,$A:$A,$A2821,$B:$B,"&lt;&gt;Patrícia Karla de Sousa Araújo",$B:$B,"&lt;&gt;Lorena Dias de Araujo",$B:$B,"&lt;&gt;Lucas Luiz Romero")*(28/1083),IF(C2821="Técnico I",SUMIFS($D:$D,$A:$A,$A2821,$B:$B,"&lt;&gt;Patrícia Karla de Sousa Araújo",$B:$B,"&lt;&gt;Lorena Dias de Araujo",$B:$B,"&lt;&gt;Lucas Luiz Romero")*(23/1083),IF(C2821="JR",SUMIFS($D:$D,$A:$A,$A2821,$B:$B,"&lt;&gt;Patrícia Karla de Sousa Araújo",$B:$B,"&lt;&gt;Lorena Dias de Araujo",$B:$B,"&lt;&gt;Lucas Luiz Romero")*(20/1083),IF(C2821="Estágio",SUMIFS($D:$D,$A:$A,$A2821,$B:$B,"&lt;&gt;Patrícia Karla de Sousa Araújo",$B:$B,"&lt;&gt;Lorena Dias de Araujo",$B:$B,"&lt;&gt;Lucas Luiz Romero")*(10/1083),0)))))),0)</f>
        <v/>
      </c>
      <c r="K2821" s="3">
        <f>I2821-J2821</f>
        <v/>
      </c>
      <c r="L2821" s="3">
        <f>IF(K2821&lt;-5,"CRÍTICO",IF(K2821&lt;0,"ATENÇÃO",IF(K2821&lt;=5,"OPORTUNO","MUITO BOM")))</f>
        <v/>
      </c>
      <c r="M2821" s="3" t="n">
        <v>3</v>
      </c>
      <c r="N2821" s="3" t="n">
        <v>100</v>
      </c>
      <c r="O2821" s="12" t="n">
        <v>26.47058823529412</v>
      </c>
    </row>
    <row r="2822">
      <c r="A2822" s="10" t="n">
        <v>46090</v>
      </c>
      <c r="B2822" t="inlineStr">
        <is>
          <t>Leandro Oliveira de Sousa</t>
        </is>
      </c>
      <c r="C2822" s="1" t="inlineStr">
        <is>
          <t>Técnico III</t>
        </is>
      </c>
      <c r="D2822" s="3" t="n">
        <v>7</v>
      </c>
      <c r="E2822" s="3" t="n">
        <v>7</v>
      </c>
      <c r="F2822" s="3" t="n">
        <v>17.12</v>
      </c>
      <c r="G2822" s="3" t="n">
        <v>0</v>
      </c>
      <c r="H2822" s="3" t="n">
        <v>0</v>
      </c>
      <c r="I2822" s="3">
        <f>E2822+G2822+H2822</f>
        <v/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/>
      </c>
      <c r="K2822" s="3">
        <f>I2822-J2822</f>
        <v/>
      </c>
      <c r="L2822" s="3">
        <f>IF(K2822&lt;-5,"CRÍTICO",IF(K2822&lt;0,"ATENÇÃO",IF(K2822&lt;=5,"OPORTUNO","MUITO BOM")))</f>
        <v/>
      </c>
      <c r="M2822" s="3" t="n">
        <v>13</v>
      </c>
      <c r="N2822" s="3" t="n">
        <v>100</v>
      </c>
      <c r="O2822" s="12" t="n">
        <v>28.49002849002849</v>
      </c>
    </row>
    <row r="2823">
      <c r="A2823" s="10" t="n">
        <v>46090</v>
      </c>
      <c r="B2823" t="inlineStr">
        <is>
          <t>Lizandra Gomes Duarte</t>
        </is>
      </c>
      <c r="C2823" s="1" t="inlineStr">
        <is>
          <t>Técnico II</t>
        </is>
      </c>
      <c r="D2823" s="3" t="n">
        <v>23</v>
      </c>
      <c r="E2823" s="3" t="n">
        <v>21</v>
      </c>
      <c r="F2823" s="3" t="n">
        <v>18.3</v>
      </c>
      <c r="G2823" s="3" t="n">
        <v>0</v>
      </c>
      <c r="H2823" s="3" t="n">
        <v>0</v>
      </c>
      <c r="I2823" s="3">
        <f>E2823+G2823+H2823</f>
        <v/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/>
      </c>
      <c r="K2823" s="3">
        <f>I2823-J2823</f>
        <v/>
      </c>
      <c r="L2823" s="3">
        <f>IF(K2823&lt;-5,"CRÍTICO",IF(K2823&lt;0,"ATENÇÃO",IF(K2823&lt;=5,"OPORTUNO","MUITO BOM")))</f>
        <v/>
      </c>
      <c r="M2823" s="3" t="n">
        <v>12</v>
      </c>
      <c r="N2823" s="3" t="n">
        <v>99.14</v>
      </c>
      <c r="O2823" s="12" t="n">
        <v>27.2289156626506</v>
      </c>
    </row>
    <row r="2824">
      <c r="A2824" s="10" t="n">
        <v>46090</v>
      </c>
      <c r="B2824" t="inlineStr">
        <is>
          <t>Lorena Dias de Araujo</t>
        </is>
      </c>
      <c r="C2824" s="1" t="inlineStr">
        <is>
          <t>Técnico II</t>
        </is>
      </c>
      <c r="D2824" s="3" t="n">
        <v>9</v>
      </c>
      <c r="E2824" s="3" t="n">
        <v>8</v>
      </c>
      <c r="F2824" s="3" t="n">
        <v>32.04</v>
      </c>
      <c r="G2824" s="3" t="n">
        <v>0</v>
      </c>
      <c r="H2824" s="3" t="n">
        <v>0</v>
      </c>
      <c r="I2824" s="3" t="n">
        <v>0</v>
      </c>
      <c r="J2824" s="3" t="n">
        <v>0</v>
      </c>
      <c r="K2824" s="3" t="n">
        <v>0</v>
      </c>
      <c r="L2824" s="3">
        <f>IF(K2824&lt;-5,"CRÍTICO",IF(K2824&lt;0,"ATENÇÃO",IF(K2824&lt;=5,"OPORTUNO","MUITO BOM")))</f>
        <v/>
      </c>
      <c r="M2824" s="3" t="n">
        <v>8</v>
      </c>
      <c r="N2824" s="3" t="n">
        <v>97.52</v>
      </c>
      <c r="O2824" s="12" t="n">
        <v>28.2051282051282</v>
      </c>
    </row>
    <row r="2825">
      <c r="A2825" s="10" t="n">
        <v>46090</v>
      </c>
      <c r="B2825" t="inlineStr">
        <is>
          <t>Lucas Luiz Romero</t>
        </is>
      </c>
      <c r="C2825" s="1" t="inlineStr">
        <is>
          <t>Técnico III</t>
        </is>
      </c>
      <c r="D2825" s="3" t="n">
        <v>31</v>
      </c>
      <c r="E2825" s="3" t="n">
        <v>24</v>
      </c>
      <c r="F2825" s="3" t="n">
        <v>20.45</v>
      </c>
      <c r="G2825" s="3" t="n">
        <v>0</v>
      </c>
      <c r="H2825" s="3" t="n">
        <v>0</v>
      </c>
      <c r="I2825" s="3">
        <f>E2825+G2825+H2825</f>
        <v/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/>
      </c>
      <c r="K2825" s="3">
        <f>I2825-J2825</f>
        <v/>
      </c>
      <c r="L2825" s="3">
        <f>IF(K2825&lt;-5,"CRÍTICO",IF(K2825&lt;0,"ATENÇÃO",IF(K2825&lt;=5,"OPORTUNO","MUITO BOM")))</f>
        <v/>
      </c>
      <c r="M2825" s="3" t="n">
        <v>15</v>
      </c>
      <c r="N2825" s="3" t="n">
        <v>90</v>
      </c>
      <c r="O2825" s="12" t="n">
        <v>24.18604651162791</v>
      </c>
    </row>
    <row r="2826">
      <c r="A2826" s="10" t="n">
        <v>46090</v>
      </c>
      <c r="B2826" t="inlineStr">
        <is>
          <t>Luiz Fernando de Carvalho Junior</t>
        </is>
      </c>
      <c r="C2826" s="1" t="inlineStr">
        <is>
          <t>Técnico I</t>
        </is>
      </c>
      <c r="D2826" s="3" t="n">
        <v>23</v>
      </c>
      <c r="E2826" s="3" t="n">
        <v>23</v>
      </c>
      <c r="F2826" s="3" t="n">
        <v>23.52</v>
      </c>
      <c r="G2826" s="3" t="n">
        <v>0</v>
      </c>
      <c r="H2826" s="3" t="n">
        <v>0</v>
      </c>
      <c r="I2826" s="3">
        <f>E2826+G2826+H2826</f>
        <v/>
      </c>
      <c r="J2826" s="3">
        <f>ROUND(MIN(IF(C2826="Técnico III",35,IF(C2826="Técnico II",28,IF(C2826="Técnico I",23,IF(C2826="JR",20,IF(C2826="Estágio",10,0))))),IF(C2826="Técnico III",SUMIFS($D:$D,$A:$A,$A2826,$B:$B,"&lt;&gt;Patrícia Karla de Sousa Araújo",$B:$B,"&lt;&gt;Lorena Dias de Araujo",$B:$B,"&lt;&gt;Lucas Luiz Romero")*(35/1083),IF(C2826="Técnico II",SUMIFS($D:$D,$A:$A,$A2826,$B:$B,"&lt;&gt;Patrícia Karla de Sousa Araújo",$B:$B,"&lt;&gt;Lorena Dias de Araujo",$B:$B,"&lt;&gt;Lucas Luiz Romero")*(28/1083),IF(C2826="Técnico I",SUMIFS($D:$D,$A:$A,$A2826,$B:$B,"&lt;&gt;Patrícia Karla de Sousa Araújo",$B:$B,"&lt;&gt;Lorena Dias de Araujo",$B:$B,"&lt;&gt;Lucas Luiz Romero")*(23/1083),IF(C2826="JR",SUMIFS($D:$D,$A:$A,$A2826,$B:$B,"&lt;&gt;Patrícia Karla de Sousa Araújo",$B:$B,"&lt;&gt;Lorena Dias de Araujo",$B:$B,"&lt;&gt;Lucas Luiz Romero")*(20/1083),IF(C2826="Estágio",SUMIFS($D:$D,$A:$A,$A2826,$B:$B,"&lt;&gt;Patrícia Karla de Sousa Araújo",$B:$B,"&lt;&gt;Lorena Dias de Araujo",$B:$B,"&lt;&gt;Lucas Luiz Romero")*(10/1083),0)))))),0)</f>
        <v/>
      </c>
      <c r="K2826" s="3">
        <f>I2826-J2826</f>
        <v/>
      </c>
      <c r="L2826" s="3">
        <f>IF(K2826&lt;-5,"CRÍTICO",IF(K2826&lt;0,"ATENÇÃO",IF(K2826&lt;=5,"OPORTUNO","MUITO BOM")))</f>
        <v/>
      </c>
      <c r="M2826" s="3" t="n">
        <v>18</v>
      </c>
      <c r="N2826" s="3" t="n">
        <v>98.90000000000001</v>
      </c>
      <c r="O2826" s="12" t="n">
        <v>26.7639902676399</v>
      </c>
    </row>
    <row r="2827">
      <c r="A2827" s="10" t="n">
        <v>46090</v>
      </c>
      <c r="B2827" t="inlineStr">
        <is>
          <t>Maria Eduarda Sousa Costa</t>
        </is>
      </c>
      <c r="C2827" s="1" t="inlineStr">
        <is>
          <t>Estágio</t>
        </is>
      </c>
      <c r="D2827" s="3" t="n">
        <v>0</v>
      </c>
      <c r="E2827" s="3" t="n">
        <v>0</v>
      </c>
      <c r="F2827" s="3" t="n">
        <v>0</v>
      </c>
      <c r="G2827" s="3" t="n">
        <v>0</v>
      </c>
      <c r="H2827" s="3" t="n">
        <v>0</v>
      </c>
      <c r="I2827" s="3" t="n">
        <v>0</v>
      </c>
      <c r="J2827" s="3" t="n">
        <v>0</v>
      </c>
      <c r="K2827" s="3" t="n">
        <v>0</v>
      </c>
      <c r="L2827" s="3">
        <f>IF(K2827&lt;-5,"CRÍTICO",IF(K2827&lt;0,"ATENÇÃO",IF(K2827&lt;=5,"OPORTUNO","MUITO BOM")))</f>
        <v/>
      </c>
      <c r="M2827" s="3" t="n">
        <v>0</v>
      </c>
      <c r="N2827" s="3" t="n">
        <v>88.89</v>
      </c>
      <c r="O2827" s="12" t="n">
        <v>25.26315789473684</v>
      </c>
    </row>
    <row r="2828">
      <c r="A2828" s="10" t="n">
        <v>46108</v>
      </c>
      <c r="B2828" t="inlineStr">
        <is>
          <t>Matheus Farias De Souza</t>
        </is>
      </c>
      <c r="C2828" s="1" t="inlineStr">
        <is>
          <t>Técnico III</t>
        </is>
      </c>
      <c r="D2828" s="3" t="n">
        <v>29</v>
      </c>
      <c r="E2828" s="3" t="n">
        <v>27</v>
      </c>
      <c r="F2828" s="3" t="n">
        <v>14.01</v>
      </c>
      <c r="G2828" s="3" t="n">
        <v>0</v>
      </c>
      <c r="H2828" s="3" t="n">
        <v>0</v>
      </c>
      <c r="I2828" s="3">
        <f>E2828+G2828+H2828</f>
        <v/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/>
      </c>
      <c r="K2828" s="3">
        <f>I2828-J2828</f>
        <v/>
      </c>
      <c r="L2828" s="3">
        <f>IF(K2828&lt;-5,"CRÍTICO",IF(K2828&lt;0,"ATENÇÃO",IF(K2828&lt;=5,"OPORTUNO","MUITO BOM")))</f>
        <v/>
      </c>
      <c r="M2828" s="3" t="n">
        <v>24</v>
      </c>
      <c r="N2828" s="3" t="n">
        <v>98.86</v>
      </c>
      <c r="O2828" s="12" t="n">
        <v>28.95927601809955</v>
      </c>
    </row>
    <row r="2829">
      <c r="A2829" s="10" t="n">
        <v>46090</v>
      </c>
      <c r="B2829" t="inlineStr">
        <is>
          <t>Maysa Victoria Dias Moura</t>
        </is>
      </c>
      <c r="C2829" s="1" t="inlineStr">
        <is>
          <t>Técnico III</t>
        </is>
      </c>
      <c r="D2829" s="3" t="n">
        <v>27</v>
      </c>
      <c r="E2829" s="3" t="n">
        <v>23</v>
      </c>
      <c r="F2829" s="3" t="n">
        <v>19.06</v>
      </c>
      <c r="G2829" s="3" t="n">
        <v>0</v>
      </c>
      <c r="H2829" s="3" t="n">
        <v>0</v>
      </c>
      <c r="I2829" s="3">
        <f>E2829+G2829+H2829</f>
        <v/>
      </c>
      <c r="J2829" s="3">
        <f>ROUND(MIN(IF(C2829="Técnico III",35,IF(C2829="Técnico II",28,IF(C2829="Técnico I",23,IF(C2829="JR",20,IF(C2829="Estágio",10,0))))),IF(C2829="Técnico III",SUMIFS($D:$D,$A:$A,$A2829,$B:$B,"&lt;&gt;Patrícia Karla de Sousa Araújo",$B:$B,"&lt;&gt;Lorena Dias de Araujo",$B:$B,"&lt;&gt;Lucas Luiz Romero")*(35/1083),IF(C2829="Técnico II",SUMIFS($D:$D,$A:$A,$A2829,$B:$B,"&lt;&gt;Patrícia Karla de Sousa Araújo",$B:$B,"&lt;&gt;Lorena Dias de Araujo",$B:$B,"&lt;&gt;Lucas Luiz Romero")*(28/1083),IF(C2829="Técnico I",SUMIFS($D:$D,$A:$A,$A2829,$B:$B,"&lt;&gt;Patrícia Karla de Sousa Araújo",$B:$B,"&lt;&gt;Lorena Dias de Araujo",$B:$B,"&lt;&gt;Lucas Luiz Romero")*(23/1083),IF(C2829="JR",SUMIFS($D:$D,$A:$A,$A2829,$B:$B,"&lt;&gt;Patrícia Karla de Sousa Araújo",$B:$B,"&lt;&gt;Lorena Dias de Araujo",$B:$B,"&lt;&gt;Lucas Luiz Romero")*(20/1083),IF(C2829="Estágio",SUMIFS($D:$D,$A:$A,$A2829,$B:$B,"&lt;&gt;Patrícia Karla de Sousa Araújo",$B:$B,"&lt;&gt;Lorena Dias de Araujo",$B:$B,"&lt;&gt;Lucas Luiz Romero")*(10/1083),0)))))),0)</f>
        <v/>
      </c>
      <c r="K2829" s="3">
        <f>I2829-J2829</f>
        <v/>
      </c>
      <c r="L2829" s="3">
        <f>IF(K2829&lt;-5,"CRÍTICO",IF(K2829&lt;0,"ATENÇÃO",IF(K2829&lt;=5,"OPORTUNO","MUITO BOM")))</f>
        <v/>
      </c>
      <c r="M2829" s="3" t="n">
        <v>20</v>
      </c>
      <c r="N2829" s="3" t="n">
        <v>98.06</v>
      </c>
      <c r="O2829" s="12" t="n">
        <v>22.40566037735849</v>
      </c>
    </row>
    <row r="2830">
      <c r="A2830" s="10" t="n">
        <v>46118</v>
      </c>
      <c r="B2830" t="inlineStr">
        <is>
          <t>Michelle G Santos</t>
        </is>
      </c>
      <c r="C2830" s="1" t="inlineStr">
        <is>
          <t>Estágio</t>
        </is>
      </c>
      <c r="D2830" s="3" t="n">
        <v>7</v>
      </c>
      <c r="E2830" s="3" t="n">
        <v>5</v>
      </c>
      <c r="F2830" s="3" t="n">
        <v>20.12</v>
      </c>
      <c r="G2830" s="3" t="n">
        <v>0</v>
      </c>
      <c r="H2830" s="3" t="n">
        <v>0</v>
      </c>
      <c r="I2830" s="3">
        <f>E2830+G2830+H2830</f>
        <v/>
      </c>
      <c r="J2830" s="3">
        <f>ROUND(MIN(IF(C2830="Técnico III",35,IF(C2830="Técnico II",28,IF(C2830="Técnico I",23,IF(C2830="JR",20,IF(C2830="Estágio",10,0))))),IF(C2830="Técnico III",SUMIFS($D:$D,$A:$A,$A2830,$B:$B,"&lt;&gt;Patrícia Karla de Sousa Araújo",$B:$B,"&lt;&gt;Lorena Dias de Araujo",$B:$B,"&lt;&gt;Lucas Luiz Romero")*(35/1083),IF(C2830="Técnico II",SUMIFS($D:$D,$A:$A,$A2830,$B:$B,"&lt;&gt;Patrícia Karla de Sousa Araújo",$B:$B,"&lt;&gt;Lorena Dias de Araujo",$B:$B,"&lt;&gt;Lucas Luiz Romero")*(28/1083),IF(C2830="Técnico I",SUMIFS($D:$D,$A:$A,$A2830,$B:$B,"&lt;&gt;Patrícia Karla de Sousa Araújo",$B:$B,"&lt;&gt;Lorena Dias de Araujo",$B:$B,"&lt;&gt;Lucas Luiz Romero")*(23/1083),IF(C2830="JR",SUMIFS($D:$D,$A:$A,$A2830,$B:$B,"&lt;&gt;Patrícia Karla de Sousa Araújo",$B:$B,"&lt;&gt;Lorena Dias de Araujo",$B:$B,"&lt;&gt;Lucas Luiz Romero")*(20/1083),IF(C2830="Estágio",SUMIFS($D:$D,$A:$A,$A2830,$B:$B,"&lt;&gt;Patrícia Karla de Sousa Araújo",$B:$B,"&lt;&gt;Lorena Dias de Araujo",$B:$B,"&lt;&gt;Lucas Luiz Romero")*(10/1083),0)))))),0)</f>
        <v/>
      </c>
      <c r="K2830" s="3">
        <f>I2830-J2830</f>
        <v/>
      </c>
      <c r="L2830" s="3">
        <f>IF(K2830&lt;-5,"CRÍTICO",IF(K2830&lt;0,"ATENÇÃO",IF(K2830&lt;=5,"OPORTUNO","MUITO BOM")))</f>
        <v/>
      </c>
      <c r="M2830" s="3" t="n">
        <v>4</v>
      </c>
      <c r="N2830" s="3" t="n">
        <v>100</v>
      </c>
      <c r="O2830" s="12" t="n">
        <v>23.77622377622378</v>
      </c>
    </row>
    <row r="2831">
      <c r="A2831" s="10" t="n">
        <v>46090</v>
      </c>
      <c r="B2831" t="inlineStr">
        <is>
          <t>Milena Sales</t>
        </is>
      </c>
      <c r="C2831" s="1" t="inlineStr">
        <is>
          <t>JR</t>
        </is>
      </c>
      <c r="D2831" s="3" t="n">
        <v>0</v>
      </c>
      <c r="E2831" s="3" t="n">
        <v>0</v>
      </c>
      <c r="F2831" s="3" t="n">
        <v>0</v>
      </c>
      <c r="G2831" s="3" t="n">
        <v>0</v>
      </c>
      <c r="H2831" s="3" t="n">
        <v>0</v>
      </c>
      <c r="I2831" s="3" t="n">
        <v>0</v>
      </c>
      <c r="J2831" s="3" t="n">
        <v>0</v>
      </c>
      <c r="K2831" s="3" t="n">
        <v>0</v>
      </c>
      <c r="L2831" s="3">
        <f>IF(K2831&lt;-5,"CRÍTICO",IF(K2831&lt;0,"ATENÇÃO",IF(K2831&lt;=5,"OPORTUNO","MUITO BOM")))</f>
        <v/>
      </c>
      <c r="M2831" s="3" t="n">
        <v>0</v>
      </c>
      <c r="N2831" s="3" t="n">
        <v>100</v>
      </c>
      <c r="O2831" s="12" t="n">
        <v>15.38461538461539</v>
      </c>
    </row>
    <row r="2832">
      <c r="A2832" s="10" t="n">
        <v>46090</v>
      </c>
      <c r="B2832" t="inlineStr">
        <is>
          <t>Patrícia Karla de Sousa Araújo</t>
        </is>
      </c>
      <c r="C2832" s="1" t="inlineStr">
        <is>
          <t>Técnico II</t>
        </is>
      </c>
      <c r="D2832" s="3" t="n">
        <v>15</v>
      </c>
      <c r="E2832" s="3" t="n">
        <v>14</v>
      </c>
      <c r="F2832" s="3" t="n">
        <v>33.32</v>
      </c>
      <c r="G2832" s="3" t="n">
        <v>0</v>
      </c>
      <c r="H2832" s="3" t="n">
        <v>0</v>
      </c>
      <c r="I2832" s="3">
        <f>E2832+G2832+H2832</f>
        <v/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/>
      </c>
      <c r="K2832" s="3">
        <f>I2832-J2832</f>
        <v/>
      </c>
      <c r="L2832" s="3">
        <f>IF(K2832&lt;-5,"CRÍTICO",IF(K2832&lt;0,"ATENÇÃO",IF(K2832&lt;=5,"OPORTUNO","MUITO BOM")))</f>
        <v/>
      </c>
      <c r="M2832" s="3" t="n">
        <v>11</v>
      </c>
      <c r="N2832" s="3" t="n">
        <v>100</v>
      </c>
      <c r="O2832" s="12" t="n">
        <v>27.51479289940828</v>
      </c>
    </row>
    <row r="2833">
      <c r="A2833" s="10" t="n">
        <v>46090</v>
      </c>
      <c r="B2833" t="inlineStr">
        <is>
          <t>Paulo Ricardo Santos</t>
        </is>
      </c>
      <c r="C2833" s="1" t="inlineStr">
        <is>
          <t>JR</t>
        </is>
      </c>
      <c r="D2833" s="3" t="n">
        <v>4</v>
      </c>
      <c r="E2833" s="3" t="n">
        <v>4</v>
      </c>
      <c r="F2833" s="3" t="n">
        <v>62.16</v>
      </c>
      <c r="G2833" s="3" t="n">
        <v>0</v>
      </c>
      <c r="H2833" s="3" t="n">
        <v>0</v>
      </c>
      <c r="I2833" s="3">
        <f>E2833+G2833+H2833</f>
        <v/>
      </c>
      <c r="J2833" s="3">
        <f>ROUND(MIN(IF(C2833="Técnico III",35,IF(C2833="Técnico II",28,IF(C2833="Técnico I",23,IF(C2833="JR",20,IF(C2833="Estágio",10,0))))),IF(C2833="Técnico III",SUMIFS($D:$D,$A:$A,$A2833,$B:$B,"&lt;&gt;Patrícia Karla de Sousa Araújo",$B:$B,"&lt;&gt;Lorena Dias de Araujo",$B:$B,"&lt;&gt;Lucas Luiz Romero")*(35/1083),IF(C2833="Técnico II",SUMIFS($D:$D,$A:$A,$A2833,$B:$B,"&lt;&gt;Patrícia Karla de Sousa Araújo",$B:$B,"&lt;&gt;Lorena Dias de Araujo",$B:$B,"&lt;&gt;Lucas Luiz Romero")*(28/1083),IF(C2833="Técnico I",SUMIFS($D:$D,$A:$A,$A2833,$B:$B,"&lt;&gt;Patrícia Karla de Sousa Araújo",$B:$B,"&lt;&gt;Lorena Dias de Araujo",$B:$B,"&lt;&gt;Lucas Luiz Romero")*(23/1083),IF(C2833="JR",SUMIFS($D:$D,$A:$A,$A2833,$B:$B,"&lt;&gt;Patrícia Karla de Sousa Araújo",$B:$B,"&lt;&gt;Lorena Dias de Araujo",$B:$B,"&lt;&gt;Lucas Luiz Romero")*(20/1083),IF(C2833="Estágio",SUMIFS($D:$D,$A:$A,$A2833,$B:$B,"&lt;&gt;Patrícia Karla de Sousa Araújo",$B:$B,"&lt;&gt;Lorena Dias de Araujo",$B:$B,"&lt;&gt;Lucas Luiz Romero")*(10/1083),0)))))),0)</f>
        <v/>
      </c>
      <c r="K2833" s="3">
        <f>I2833-J2833</f>
        <v/>
      </c>
      <c r="L2833" s="3">
        <f>IF(K2833&lt;-5,"CRÍTICO",IF(K2833&lt;0,"ATENÇÃO",IF(K2833&lt;=5,"OPORTUNO","MUITO BOM")))</f>
        <v/>
      </c>
      <c r="M2833" s="3" t="n">
        <v>3</v>
      </c>
      <c r="N2833" s="3" t="n">
        <v>100</v>
      </c>
      <c r="O2833" s="12" t="n">
        <v>24.87562189054727</v>
      </c>
    </row>
    <row r="2834">
      <c r="A2834" s="10" t="n">
        <v>46090</v>
      </c>
      <c r="B2834" t="inlineStr">
        <is>
          <t>Pedro Luiz Mota Sousa</t>
        </is>
      </c>
      <c r="C2834" s="1" t="inlineStr">
        <is>
          <t>JR</t>
        </is>
      </c>
      <c r="D2834" s="3" t="n">
        <v>7</v>
      </c>
      <c r="E2834" s="3" t="n">
        <v>7</v>
      </c>
      <c r="F2834" s="3" t="n">
        <v>53.56</v>
      </c>
      <c r="G2834" s="3" t="n">
        <v>0</v>
      </c>
      <c r="H2834" s="3" t="n">
        <v>0</v>
      </c>
      <c r="I2834" s="3">
        <f>E2834+G2834+H2834</f>
        <v/>
      </c>
      <c r="J2834" s="3">
        <f>ROUND(MIN(IF(C2834="Técnico III",35,IF(C2834="Técnico II",28,IF(C2834="Técnico I",23,IF(C2834="JR",20,IF(C2834="Estágio",10,0))))),IF(C2834="Técnico III",SUMIFS($D:$D,$A:$A,$A2834,$B:$B,"&lt;&gt;Patrícia Karla de Sousa Araújo",$B:$B,"&lt;&gt;Lorena Dias de Araujo",$B:$B,"&lt;&gt;Lucas Luiz Romero")*(35/1083),IF(C2834="Técnico II",SUMIFS($D:$D,$A:$A,$A2834,$B:$B,"&lt;&gt;Patrícia Karla de Sousa Araújo",$B:$B,"&lt;&gt;Lorena Dias de Araujo",$B:$B,"&lt;&gt;Lucas Luiz Romero")*(28/1083),IF(C2834="Técnico I",SUMIFS($D:$D,$A:$A,$A2834,$B:$B,"&lt;&gt;Patrícia Karla de Sousa Araújo",$B:$B,"&lt;&gt;Lorena Dias de Araujo",$B:$B,"&lt;&gt;Lucas Luiz Romero")*(23/1083),IF(C2834="JR",SUMIFS($D:$D,$A:$A,$A2834,$B:$B,"&lt;&gt;Patrícia Karla de Sousa Araújo",$B:$B,"&lt;&gt;Lorena Dias de Araujo",$B:$B,"&lt;&gt;Lucas Luiz Romero")*(20/1083),IF(C2834="Estágio",SUMIFS($D:$D,$A:$A,$A2834,$B:$B,"&lt;&gt;Patrícia Karla de Sousa Araújo",$B:$B,"&lt;&gt;Lorena Dias de Araujo",$B:$B,"&lt;&gt;Lucas Luiz Romero")*(10/1083),0)))))),0)</f>
        <v/>
      </c>
      <c r="K2834" s="3">
        <f>I2834-J2834</f>
        <v/>
      </c>
      <c r="L2834" s="3">
        <f>IF(K2834&lt;-5,"CRÍTICO",IF(K2834&lt;0,"ATENÇÃO",IF(K2834&lt;=5,"OPORTUNO","MUITO BOM")))</f>
        <v/>
      </c>
      <c r="M2834" s="3" t="n">
        <v>4</v>
      </c>
      <c r="N2834" s="3" t="n">
        <v>100</v>
      </c>
      <c r="O2834" s="12" t="n">
        <v>28.10810810810811</v>
      </c>
    </row>
    <row r="2835">
      <c r="A2835" s="10" t="n">
        <v>46118</v>
      </c>
      <c r="B2835" t="inlineStr">
        <is>
          <t>Quirino Diogo Leite Torres</t>
        </is>
      </c>
      <c r="C2835" s="1" t="inlineStr">
        <is>
          <t>Estágio</t>
        </is>
      </c>
      <c r="D2835" s="3" t="n">
        <v>9</v>
      </c>
      <c r="E2835" s="3" t="n">
        <v>9</v>
      </c>
      <c r="F2835" s="3" t="n">
        <v>19.05</v>
      </c>
      <c r="G2835" s="3" t="n">
        <v>0</v>
      </c>
      <c r="H2835" s="3" t="n">
        <v>0</v>
      </c>
      <c r="I2835" s="3">
        <f>E2835+G2835+H2835</f>
        <v/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/>
      </c>
      <c r="K2835" s="3">
        <f>I2835-J2835</f>
        <v/>
      </c>
      <c r="L2835" s="3">
        <f>IF(K2835&lt;-5,"CRÍTICO",IF(K2835&lt;0,"ATENÇÃO",IF(K2835&lt;=5,"OPORTUNO","MUITO BOM")))</f>
        <v/>
      </c>
      <c r="M2835" s="3" t="n">
        <v>4</v>
      </c>
      <c r="N2835" s="3" t="n">
        <v>94.12</v>
      </c>
      <c r="O2835" s="12" t="n">
        <v>32.8</v>
      </c>
    </row>
    <row r="2836">
      <c r="A2836" s="10" t="n">
        <v>46090</v>
      </c>
      <c r="B2836" t="inlineStr">
        <is>
          <t>Raane Batista Matos</t>
        </is>
      </c>
      <c r="C2836" s="1" t="inlineStr">
        <is>
          <t>Técnico I</t>
        </is>
      </c>
      <c r="D2836" s="3" t="n">
        <v>1</v>
      </c>
      <c r="E2836" s="3" t="n">
        <v>1</v>
      </c>
      <c r="F2836" s="3" t="n">
        <v>73.31</v>
      </c>
      <c r="G2836" s="3" t="n">
        <v>0</v>
      </c>
      <c r="H2836" s="3" t="n">
        <v>0</v>
      </c>
      <c r="I2836" s="3">
        <f>E2836+G2836+H2836</f>
        <v/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/>
      </c>
      <c r="K2836" s="3">
        <f>I2836-J2836</f>
        <v/>
      </c>
      <c r="L2836" s="3">
        <f>IF(K2836&lt;-5,"CRÍTICO",IF(K2836&lt;0,"ATENÇÃO",IF(K2836&lt;=5,"OPORTUNO","MUITO BOM")))</f>
        <v/>
      </c>
      <c r="M2836" s="3" t="n">
        <v>0</v>
      </c>
      <c r="N2836" s="3" t="n">
        <v>95.34999999999999</v>
      </c>
      <c r="O2836" s="12" t="n">
        <v>28.61538461538461</v>
      </c>
    </row>
    <row r="2837">
      <c r="A2837" s="10" t="n">
        <v>46090</v>
      </c>
      <c r="B2837" t="inlineStr">
        <is>
          <t>Rafael Gomes de Morais</t>
        </is>
      </c>
      <c r="C2837" s="1" t="inlineStr">
        <is>
          <t>Técnico III</t>
        </is>
      </c>
      <c r="D2837" s="3" t="n">
        <v>33</v>
      </c>
      <c r="E2837" s="3" t="n">
        <v>32</v>
      </c>
      <c r="F2837" s="3" t="n">
        <v>15.46</v>
      </c>
      <c r="G2837" s="3" t="n">
        <v>0</v>
      </c>
      <c r="H2837" s="3" t="n">
        <v>0</v>
      </c>
      <c r="I2837" s="3">
        <f>E2837+G2837+H2837</f>
        <v/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/>
      </c>
      <c r="K2837" s="3">
        <f>I2837-J2837</f>
        <v/>
      </c>
      <c r="L2837" s="3">
        <f>IF(K2837&lt;-5,"CRÍTICO",IF(K2837&lt;0,"ATENÇÃO",IF(K2837&lt;=5,"OPORTUNO","MUITO BOM")))</f>
        <v/>
      </c>
      <c r="M2837" s="3" t="n">
        <v>32</v>
      </c>
      <c r="N2837" s="3" t="n">
        <v>98.26000000000001</v>
      </c>
      <c r="O2837" s="12" t="n">
        <v>27.54491017964072</v>
      </c>
    </row>
    <row r="2838">
      <c r="A2838" s="10" t="n">
        <v>46090</v>
      </c>
      <c r="B2838" t="inlineStr">
        <is>
          <t>Sara Maria Monteiro Lopes</t>
        </is>
      </c>
      <c r="C2838" s="1" t="inlineStr">
        <is>
          <t>Técnico I</t>
        </is>
      </c>
      <c r="D2838" s="3" t="n">
        <v>9</v>
      </c>
      <c r="E2838" s="3" t="n">
        <v>9</v>
      </c>
      <c r="F2838" s="3" t="n">
        <v>50.16</v>
      </c>
      <c r="G2838" s="3" t="n">
        <v>0</v>
      </c>
      <c r="H2838" s="3" t="n">
        <v>0</v>
      </c>
      <c r="I2838" s="3">
        <f>E2838+G2838+H2838</f>
        <v/>
      </c>
      <c r="J2838" s="3">
        <f>ROUND(MIN(IF(C2838="Técnico III",35,IF(C2838="Técnico II",28,IF(C2838="Técnico I",23,IF(C2838="JR",20,IF(C2838="Estágio",10,0))))),IF(C2838="Técnico III",SUMIFS($D:$D,$A:$A,$A2838,$B:$B,"&lt;&gt;Patrícia Karla de Sousa Araújo",$B:$B,"&lt;&gt;Lorena Dias de Araujo",$B:$B,"&lt;&gt;Lucas Luiz Romero")*(35/1083),IF(C2838="Técnico II",SUMIFS($D:$D,$A:$A,$A2838,$B:$B,"&lt;&gt;Patrícia Karla de Sousa Araújo",$B:$B,"&lt;&gt;Lorena Dias de Araujo",$B:$B,"&lt;&gt;Lucas Luiz Romero")*(28/1083),IF(C2838="Técnico I",SUMIFS($D:$D,$A:$A,$A2838,$B:$B,"&lt;&gt;Patrícia Karla de Sousa Araújo",$B:$B,"&lt;&gt;Lorena Dias de Araujo",$B:$B,"&lt;&gt;Lucas Luiz Romero")*(23/1083),IF(C2838="JR",SUMIFS($D:$D,$A:$A,$A2838,$B:$B,"&lt;&gt;Patrícia Karla de Sousa Araújo",$B:$B,"&lt;&gt;Lorena Dias de Araujo",$B:$B,"&lt;&gt;Lucas Luiz Romero")*(20/1083),IF(C2838="Estágio",SUMIFS($D:$D,$A:$A,$A2838,$B:$B,"&lt;&gt;Patrícia Karla de Sousa Araújo",$B:$B,"&lt;&gt;Lorena Dias de Araujo",$B:$B,"&lt;&gt;Lucas Luiz Romero")*(10/1083),0)))))),0)</f>
        <v/>
      </c>
      <c r="K2838" s="3">
        <f>I2838-J2838</f>
        <v/>
      </c>
      <c r="L2838" s="3">
        <f>IF(K2838&lt;-5,"CRÍTICO",IF(K2838&lt;0,"ATENÇÃO",IF(K2838&lt;=5,"OPORTUNO","MUITO BOM")))</f>
        <v/>
      </c>
      <c r="M2838" s="3" t="n">
        <v>8</v>
      </c>
      <c r="N2838" s="3" t="n">
        <v>98.55</v>
      </c>
      <c r="O2838" s="12" t="n">
        <v>25.33783783783784</v>
      </c>
    </row>
    <row r="2839">
      <c r="A2839" s="10" t="n">
        <v>46090</v>
      </c>
      <c r="B2839" t="inlineStr">
        <is>
          <t>Sarah Steffanie de Lima Borges</t>
        </is>
      </c>
      <c r="C2839" s="1" t="inlineStr">
        <is>
          <t>Técnico III</t>
        </is>
      </c>
      <c r="D2839" s="3" t="n">
        <v>23</v>
      </c>
      <c r="E2839" s="3" t="n">
        <v>22</v>
      </c>
      <c r="F2839" s="3" t="n">
        <v>21.45</v>
      </c>
      <c r="G2839" s="3" t="n">
        <v>0</v>
      </c>
      <c r="H2839" s="3" t="n">
        <v>0</v>
      </c>
      <c r="I2839" s="3">
        <f>E2839+G2839+H2839</f>
        <v/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/>
      </c>
      <c r="K2839" s="3">
        <f>I2839-J2839</f>
        <v/>
      </c>
      <c r="L2839" s="3">
        <f>IF(K2839&lt;-5,"CRÍTICO",IF(K2839&lt;0,"ATENÇÃO",IF(K2839&lt;=5,"OPORTUNO","MUITO BOM")))</f>
        <v/>
      </c>
      <c r="M2839" s="3" t="n">
        <v>22</v>
      </c>
      <c r="N2839" s="3" t="n">
        <v>98.39</v>
      </c>
      <c r="O2839" s="12" t="n">
        <v>25.56390977443609</v>
      </c>
    </row>
    <row r="2840">
      <c r="A2840" s="10" t="n">
        <v>46091</v>
      </c>
      <c r="B2840" t="inlineStr">
        <is>
          <t>Alisson de Freitas Silva</t>
        </is>
      </c>
      <c r="C2840" s="1" t="inlineStr">
        <is>
          <t>Técnico II</t>
        </is>
      </c>
      <c r="D2840" s="3" t="n">
        <v>37</v>
      </c>
      <c r="E2840" s="3" t="n">
        <v>32</v>
      </c>
      <c r="F2840" s="3" t="n">
        <v>17.05</v>
      </c>
      <c r="G2840" s="3" t="n">
        <v>0</v>
      </c>
      <c r="H2840" s="3" t="n">
        <v>0</v>
      </c>
      <c r="I2840" s="3">
        <f>E2840+G2840+H2840</f>
        <v/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/>
      </c>
      <c r="K2840" s="3">
        <f>I2840-J2840</f>
        <v/>
      </c>
      <c r="L2840" s="3">
        <f>IF(K2840&lt;-5,"CRÍTICO",IF(K2840&lt;0,"ATENÇÃO",IF(K2840&lt;=5,"OPORTUNO","MUITO BOM")))</f>
        <v/>
      </c>
      <c r="M2840" s="3" t="n">
        <v>20</v>
      </c>
      <c r="N2840" s="3" t="n">
        <v>94.29000000000001</v>
      </c>
      <c r="O2840" s="12" t="n">
        <v>25.64766839378239</v>
      </c>
    </row>
    <row r="2841">
      <c r="A2841" s="10" t="n">
        <v>46091</v>
      </c>
      <c r="B2841" t="inlineStr">
        <is>
          <t>Amanda Moura Ferreira</t>
        </is>
      </c>
      <c r="C2841" s="1" t="inlineStr">
        <is>
          <t>Técnico III</t>
        </is>
      </c>
      <c r="D2841" s="3" t="n">
        <v>0</v>
      </c>
      <c r="E2841" s="3" t="n">
        <v>0</v>
      </c>
      <c r="F2841" s="3" t="n">
        <v>0</v>
      </c>
      <c r="G2841" s="3" t="n">
        <v>0</v>
      </c>
      <c r="H2841" s="3" t="n">
        <v>0</v>
      </c>
      <c r="I2841" s="3" t="n">
        <v>0</v>
      </c>
      <c r="J2841" s="3" t="n">
        <v>0</v>
      </c>
      <c r="K2841" s="3" t="n">
        <v>0</v>
      </c>
      <c r="L2841" s="3">
        <f>IF(K2841&lt;-5,"CRÍTICO",IF(K2841&lt;0,"ATENÇÃO",IF(K2841&lt;=5,"OPORTUNO","MUITO BOM")))</f>
        <v/>
      </c>
      <c r="M2841" s="3" t="n">
        <v>24</v>
      </c>
      <c r="N2841" s="3" t="n">
        <v>98.26000000000001</v>
      </c>
      <c r="O2841" s="12" t="n">
        <v>26.66666666666667</v>
      </c>
    </row>
    <row r="2842">
      <c r="A2842" s="10" t="n">
        <v>46091</v>
      </c>
      <c r="B2842" t="inlineStr">
        <is>
          <t>Ana Karollyne Souza Faria</t>
        </is>
      </c>
      <c r="C2842" s="1" t="inlineStr">
        <is>
          <t>Técnico I</t>
        </is>
      </c>
      <c r="D2842" s="3" t="n">
        <v>20</v>
      </c>
      <c r="E2842" s="3" t="n">
        <v>18</v>
      </c>
      <c r="F2842" s="3" t="n">
        <v>25.06</v>
      </c>
      <c r="G2842" s="3" t="n">
        <v>0</v>
      </c>
      <c r="H2842" s="3" t="n">
        <v>0</v>
      </c>
      <c r="I2842" s="3">
        <f>E2842+G2842+H2842</f>
        <v/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/>
      </c>
      <c r="K2842" s="3">
        <f>I2842-J2842</f>
        <v/>
      </c>
      <c r="L2842" s="3">
        <f>IF(K2842&lt;-5,"CRÍTICO",IF(K2842&lt;0,"ATENÇÃO",IF(K2842&lt;=5,"OPORTUNO","MUITO BOM")))</f>
        <v/>
      </c>
      <c r="M2842" s="3" t="n">
        <v>17</v>
      </c>
      <c r="N2842" s="3" t="n">
        <v>98.2</v>
      </c>
      <c r="O2842" s="12" t="n">
        <v>23.37962962962963</v>
      </c>
    </row>
    <row r="2843">
      <c r="A2843" s="10" t="n">
        <v>46091</v>
      </c>
      <c r="B2843" t="inlineStr">
        <is>
          <t>Ana Paula Da Luz Silva Aleixo</t>
        </is>
      </c>
      <c r="C2843" s="1" t="inlineStr">
        <is>
          <t>Técnico III</t>
        </is>
      </c>
      <c r="D2843" s="3" t="n">
        <v>19</v>
      </c>
      <c r="E2843" s="3" t="n">
        <v>19</v>
      </c>
      <c r="F2843" s="3" t="n">
        <v>31.44</v>
      </c>
      <c r="G2843" s="3" t="n">
        <v>0</v>
      </c>
      <c r="H2843" s="3" t="n">
        <v>0</v>
      </c>
      <c r="I2843" s="3">
        <f>E2843+G2843+H2843</f>
        <v/>
      </c>
      <c r="J2843" s="3">
        <f>ROUND(MIN(IF(C2843="Técnico III",35,IF(C2843="Técnico II",28,IF(C2843="Técnico I",23,IF(C2843="JR",20,IF(C2843="Estágio",10,0))))),IF(C2843="Técnico III",SUMIFS($D:$D,$A:$A,$A2843,$B:$B,"&lt;&gt;Patrícia Karla de Sousa Araújo",$B:$B,"&lt;&gt;Lorena Dias de Araujo",$B:$B,"&lt;&gt;Lucas Luiz Romero")*(35/1083),IF(C2843="Técnico II",SUMIFS($D:$D,$A:$A,$A2843,$B:$B,"&lt;&gt;Patrícia Karla de Sousa Araújo",$B:$B,"&lt;&gt;Lorena Dias de Araujo",$B:$B,"&lt;&gt;Lucas Luiz Romero")*(28/1083),IF(C2843="Técnico I",SUMIFS($D:$D,$A:$A,$A2843,$B:$B,"&lt;&gt;Patrícia Karla de Sousa Araújo",$B:$B,"&lt;&gt;Lorena Dias de Araujo",$B:$B,"&lt;&gt;Lucas Luiz Romero")*(23/1083),IF(C2843="JR",SUMIFS($D:$D,$A:$A,$A2843,$B:$B,"&lt;&gt;Patrícia Karla de Sousa Araújo",$B:$B,"&lt;&gt;Lorena Dias de Araujo",$B:$B,"&lt;&gt;Lucas Luiz Romero")*(20/1083),IF(C2843="Estágio",SUMIFS($D:$D,$A:$A,$A2843,$B:$B,"&lt;&gt;Patrícia Karla de Sousa Araújo",$B:$B,"&lt;&gt;Lorena Dias de Araujo",$B:$B,"&lt;&gt;Lucas Luiz Romero")*(10/1083),0)))))),0)</f>
        <v/>
      </c>
      <c r="K2843" s="3">
        <f>I2843-J2843</f>
        <v/>
      </c>
      <c r="L2843" s="3">
        <f>IF(K2843&lt;-5,"CRÍTICO",IF(K2843&lt;0,"ATENÇÃO",IF(K2843&lt;=5,"OPORTUNO","MUITO BOM")))</f>
        <v/>
      </c>
      <c r="M2843" s="3" t="n">
        <v>17</v>
      </c>
      <c r="N2843" s="3" t="n">
        <v>97.3</v>
      </c>
      <c r="O2843" s="12" t="n">
        <v>23.84769539078156</v>
      </c>
    </row>
    <row r="2844">
      <c r="A2844" s="10" t="n">
        <v>46091</v>
      </c>
      <c r="B2844" t="inlineStr">
        <is>
          <t>Anna Luiza Rezende Tavares</t>
        </is>
      </c>
      <c r="C2844" s="1" t="inlineStr">
        <is>
          <t>Estágio</t>
        </is>
      </c>
      <c r="D2844" s="3" t="n">
        <v>10</v>
      </c>
      <c r="E2844" s="3" t="n">
        <v>10</v>
      </c>
      <c r="F2844" s="3" t="n">
        <v>20.57</v>
      </c>
      <c r="G2844" s="3" t="n">
        <v>0</v>
      </c>
      <c r="H2844" s="3" t="n">
        <v>0</v>
      </c>
      <c r="I2844" s="3">
        <f>E2844+G2844+H2844</f>
        <v/>
      </c>
      <c r="J2844" s="3">
        <f>ROUND(MIN(IF(C2844="Técnico III",35,IF(C2844="Técnico II",28,IF(C2844="Técnico I",23,IF(C2844="JR",20,IF(C2844="Estágio",10,0))))),IF(C2844="Técnico III",SUMIFS($D:$D,$A:$A,$A2844,$B:$B,"&lt;&gt;Patrícia Karla de Sousa Araújo",$B:$B,"&lt;&gt;Lorena Dias de Araujo",$B:$B,"&lt;&gt;Lucas Luiz Romero")*(35/1083),IF(C2844="Técnico II",SUMIFS($D:$D,$A:$A,$A2844,$B:$B,"&lt;&gt;Patrícia Karla de Sousa Araújo",$B:$B,"&lt;&gt;Lorena Dias de Araujo",$B:$B,"&lt;&gt;Lucas Luiz Romero")*(28/1083),IF(C2844="Técnico I",SUMIFS($D:$D,$A:$A,$A2844,$B:$B,"&lt;&gt;Patrícia Karla de Sousa Araújo",$B:$B,"&lt;&gt;Lorena Dias de Araujo",$B:$B,"&lt;&gt;Lucas Luiz Romero")*(23/1083),IF(C2844="JR",SUMIFS($D:$D,$A:$A,$A2844,$B:$B,"&lt;&gt;Patrícia Karla de Sousa Araújo",$B:$B,"&lt;&gt;Lorena Dias de Araujo",$B:$B,"&lt;&gt;Lucas Luiz Romero")*(20/1083),IF(C2844="Estágio",SUMIFS($D:$D,$A:$A,$A2844,$B:$B,"&lt;&gt;Patrícia Karla de Sousa Araújo",$B:$B,"&lt;&gt;Lorena Dias de Araujo",$B:$B,"&lt;&gt;Lucas Luiz Romero")*(10/1083),0)))))),0)</f>
        <v/>
      </c>
      <c r="K2844" s="3">
        <f>I2844-J2844</f>
        <v/>
      </c>
      <c r="L2844" s="3">
        <f>IF(K2844&lt;-5,"CRÍTICO",IF(K2844&lt;0,"ATENÇÃO",IF(K2844&lt;=5,"OPORTUNO","MUITO BOM")))</f>
        <v/>
      </c>
      <c r="M2844" s="3" t="n">
        <v>7</v>
      </c>
      <c r="N2844" s="3" t="n">
        <v>100</v>
      </c>
      <c r="O2844" s="12" t="n">
        <v>25.26881720430108</v>
      </c>
    </row>
    <row r="2845">
      <c r="A2845" s="10" t="n">
        <v>46091</v>
      </c>
      <c r="B2845" t="inlineStr">
        <is>
          <t>Brenda de Menezes Silva</t>
        </is>
      </c>
      <c r="C2845" s="1" t="inlineStr">
        <is>
          <t>Técnico II</t>
        </is>
      </c>
      <c r="D2845" s="3" t="n">
        <v>45</v>
      </c>
      <c r="E2845" s="3" t="n">
        <v>34</v>
      </c>
      <c r="F2845" s="3" t="n">
        <v>13.21</v>
      </c>
      <c r="G2845" s="3" t="n">
        <v>0</v>
      </c>
      <c r="H2845" s="3" t="n">
        <v>0</v>
      </c>
      <c r="I2845" s="3">
        <f>E2845+G2845+H2845</f>
        <v/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/>
      </c>
      <c r="K2845" s="3">
        <f>I2845-J2845</f>
        <v/>
      </c>
      <c r="L2845" s="3">
        <f>IF(K2845&lt;-5,"CRÍTICO",IF(K2845&lt;0,"ATENÇÃO",IF(K2845&lt;=5,"OPORTUNO","MUITO BOM")))</f>
        <v/>
      </c>
      <c r="M2845" s="3" t="n">
        <v>33</v>
      </c>
      <c r="N2845" s="3" t="n">
        <v>99.31999999999999</v>
      </c>
      <c r="O2845" s="12" t="n">
        <v>22.82282282282282</v>
      </c>
    </row>
    <row r="2846">
      <c r="A2846" s="10" t="n">
        <v>46091</v>
      </c>
      <c r="B2846" t="inlineStr">
        <is>
          <t>Carlos Mateus Cassimiro Nunes</t>
        </is>
      </c>
      <c r="C2846" s="1" t="inlineStr">
        <is>
          <t>Técnico II</t>
        </is>
      </c>
      <c r="D2846" s="3" t="n">
        <v>15</v>
      </c>
      <c r="E2846" s="3" t="n">
        <v>15</v>
      </c>
      <c r="F2846" s="3" t="n">
        <v>48.55</v>
      </c>
      <c r="G2846" s="3" t="n">
        <v>0</v>
      </c>
      <c r="H2846" s="3" t="n">
        <v>0</v>
      </c>
      <c r="I2846" s="3">
        <f>E2846+G2846+H2846</f>
        <v/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/>
      </c>
      <c r="K2846" s="3">
        <f>I2846-J2846</f>
        <v/>
      </c>
      <c r="L2846" s="3">
        <f>IF(K2846&lt;-5,"CRÍTICO",IF(K2846&lt;0,"ATENÇÃO",IF(K2846&lt;=5,"OPORTUNO","MUITO BOM")))</f>
        <v/>
      </c>
      <c r="M2846" s="3" t="n">
        <v>18</v>
      </c>
      <c r="N2846" s="3" t="n">
        <v>100</v>
      </c>
      <c r="O2846" s="12" t="n">
        <v>27.96610169491525</v>
      </c>
    </row>
    <row r="2847">
      <c r="A2847" s="10" t="n">
        <v>46091</v>
      </c>
      <c r="B2847" t="inlineStr">
        <is>
          <t>Claudio de Sousa Velasco Filho</t>
        </is>
      </c>
      <c r="C2847" s="1" t="inlineStr">
        <is>
          <t>Estágio</t>
        </is>
      </c>
      <c r="D2847" s="3" t="n">
        <v>0</v>
      </c>
      <c r="E2847" s="3" t="n">
        <v>0</v>
      </c>
      <c r="F2847" s="3" t="n">
        <v>0</v>
      </c>
      <c r="G2847" s="3" t="n">
        <v>0</v>
      </c>
      <c r="H2847" s="3" t="n">
        <v>0</v>
      </c>
      <c r="I2847" s="3" t="n">
        <v>0</v>
      </c>
      <c r="J2847" s="3" t="n">
        <v>0</v>
      </c>
      <c r="K2847" s="3" t="n">
        <v>0</v>
      </c>
      <c r="L2847" s="3">
        <f>IF(K2847&lt;-5,"CRÍTICO",IF(K2847&lt;0,"ATENÇÃO",IF(K2847&lt;=5,"OPORTUNO","MUITO BOM")))</f>
        <v/>
      </c>
      <c r="M2847" s="3" t="n">
        <v>0</v>
      </c>
      <c r="N2847" s="3" t="n">
        <v>100</v>
      </c>
      <c r="O2847" s="12" t="n">
        <v>30.43478260869566</v>
      </c>
    </row>
    <row r="2848">
      <c r="A2848" s="10" t="n">
        <v>46091</v>
      </c>
      <c r="B2848" t="inlineStr">
        <is>
          <t>Clessiane Pereira dos Santos</t>
        </is>
      </c>
      <c r="C2848" s="1" t="inlineStr">
        <is>
          <t>Técnico I</t>
        </is>
      </c>
      <c r="D2848" s="3" t="n">
        <v>26</v>
      </c>
      <c r="E2848" s="3" t="n">
        <v>24</v>
      </c>
      <c r="F2848" s="3" t="n">
        <v>25.42</v>
      </c>
      <c r="G2848" s="3" t="n">
        <v>0</v>
      </c>
      <c r="H2848" s="3" t="n">
        <v>0</v>
      </c>
      <c r="I2848" s="3">
        <f>E2848+G2848+H2848</f>
        <v/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/>
      </c>
      <c r="K2848" s="3">
        <f>I2848-J2848</f>
        <v/>
      </c>
      <c r="L2848" s="3">
        <f>IF(K2848&lt;-5,"CRÍTICO",IF(K2848&lt;0,"ATENÇÃO",IF(K2848&lt;=5,"OPORTUNO","MUITO BOM")))</f>
        <v/>
      </c>
      <c r="M2848" s="3" t="n">
        <v>23</v>
      </c>
      <c r="N2848" s="3" t="n">
        <v>96.51000000000001</v>
      </c>
      <c r="O2848" s="12" t="n">
        <v>22.80285035629454</v>
      </c>
    </row>
    <row r="2849">
      <c r="A2849" s="10" t="n">
        <v>46091</v>
      </c>
      <c r="B2849" t="inlineStr">
        <is>
          <t>Cristiane Ramos da Silva Rocha</t>
        </is>
      </c>
      <c r="C2849" s="1" t="inlineStr">
        <is>
          <t>Técnico III</t>
        </is>
      </c>
      <c r="D2849" s="3" t="n">
        <v>16</v>
      </c>
      <c r="E2849" s="3" t="n">
        <v>15</v>
      </c>
      <c r="F2849" s="3" t="n">
        <v>22.2</v>
      </c>
      <c r="G2849" s="3" t="n">
        <v>0</v>
      </c>
      <c r="H2849" s="3" t="n">
        <v>0</v>
      </c>
      <c r="I2849" s="3">
        <f>E2849+G2849+H2849</f>
        <v/>
      </c>
      <c r="J2849" s="3">
        <f>ROUND(MIN(IF(C2849="Técnico III",35,IF(C2849="Técnico II",28,IF(C2849="Técnico I",23,IF(C2849="JR",20,IF(C2849="Estágio",10,0))))),IF(C2849="Técnico III",SUMIFS($D:$D,$A:$A,$A2849,$B:$B,"&lt;&gt;Patrícia Karla de Sousa Araújo",$B:$B,"&lt;&gt;Lorena Dias de Araujo",$B:$B,"&lt;&gt;Lucas Luiz Romero")*(35/1083),IF(C2849="Técnico II",SUMIFS($D:$D,$A:$A,$A2849,$B:$B,"&lt;&gt;Patrícia Karla de Sousa Araújo",$B:$B,"&lt;&gt;Lorena Dias de Araujo",$B:$B,"&lt;&gt;Lucas Luiz Romero")*(28/1083),IF(C2849="Técnico I",SUMIFS($D:$D,$A:$A,$A2849,$B:$B,"&lt;&gt;Patrícia Karla de Sousa Araújo",$B:$B,"&lt;&gt;Lorena Dias de Araujo",$B:$B,"&lt;&gt;Lucas Luiz Romero")*(23/1083),IF(C2849="JR",SUMIFS($D:$D,$A:$A,$A2849,$B:$B,"&lt;&gt;Patrícia Karla de Sousa Araújo",$B:$B,"&lt;&gt;Lorena Dias de Araujo",$B:$B,"&lt;&gt;Lucas Luiz Romero")*(20/1083),IF(C2849="Estágio",SUMIFS($D:$D,$A:$A,$A2849,$B:$B,"&lt;&gt;Patrícia Karla de Sousa Araújo",$B:$B,"&lt;&gt;Lorena Dias de Araujo",$B:$B,"&lt;&gt;Lucas Luiz Romero")*(10/1083),0)))))),0)</f>
        <v/>
      </c>
      <c r="K2849" s="3">
        <f>I2849-J2849</f>
        <v/>
      </c>
      <c r="L2849" s="3">
        <f>IF(K2849&lt;-5,"CRÍTICO",IF(K2849&lt;0,"ATENÇÃO",IF(K2849&lt;=5,"OPORTUNO","MUITO BOM")))</f>
        <v/>
      </c>
      <c r="M2849" s="3" t="n">
        <v>20</v>
      </c>
      <c r="N2849" s="3" t="n">
        <v>92.68000000000001</v>
      </c>
      <c r="O2849" s="12" t="n">
        <v>27.77777777777778</v>
      </c>
    </row>
    <row r="2850">
      <c r="A2850" s="10" t="n">
        <v>46091</v>
      </c>
      <c r="B2850" t="inlineStr">
        <is>
          <t>Damyllis Lorraine de Oliveira Gonçalves</t>
        </is>
      </c>
      <c r="C2850" s="1" t="inlineStr">
        <is>
          <t>Técnico II</t>
        </is>
      </c>
      <c r="D2850" s="3" t="n">
        <v>18</v>
      </c>
      <c r="E2850" s="3" t="n">
        <v>18</v>
      </c>
      <c r="F2850" s="3" t="n">
        <v>23.31</v>
      </c>
      <c r="G2850" s="3" t="n">
        <v>0</v>
      </c>
      <c r="H2850" s="3" t="n">
        <v>0</v>
      </c>
      <c r="I2850" s="3" t="n">
        <v>0</v>
      </c>
      <c r="J2850" s="3" t="n">
        <v>0</v>
      </c>
      <c r="K2850" s="3" t="n">
        <v>0</v>
      </c>
      <c r="L2850" s="3">
        <f>IF(K2850&lt;-5,"CRÍTICO",IF(K2850&lt;0,"ATENÇÃO",IF(K2850&lt;=5,"OPORTUNO","MUITO BOM")))</f>
        <v/>
      </c>
      <c r="M2850" s="3" t="n">
        <v>19</v>
      </c>
      <c r="N2850" s="3" t="n">
        <v>99.03</v>
      </c>
      <c r="O2850" s="12" t="n">
        <v>23.99150743099788</v>
      </c>
    </row>
    <row r="2851">
      <c r="A2851" s="10" t="n">
        <v>46091</v>
      </c>
      <c r="B2851" t="inlineStr">
        <is>
          <t>Daniel Gomes da Silva</t>
        </is>
      </c>
      <c r="C2851" s="1" t="inlineStr">
        <is>
          <t>Técnico I</t>
        </is>
      </c>
      <c r="D2851" s="3" t="n">
        <v>22</v>
      </c>
      <c r="E2851" s="3" t="n">
        <v>22</v>
      </c>
      <c r="F2851" s="3" t="n">
        <v>30.08</v>
      </c>
      <c r="G2851" s="3" t="n">
        <v>0</v>
      </c>
      <c r="H2851" s="3" t="n">
        <v>0</v>
      </c>
      <c r="I2851" s="3">
        <f>E2851+G2851+H2851</f>
        <v/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/>
      </c>
      <c r="K2851" s="3">
        <f>I2851-J2851</f>
        <v/>
      </c>
      <c r="L2851" s="3">
        <f>IF(K2851&lt;-5,"CRÍTICO",IF(K2851&lt;0,"ATENÇÃO",IF(K2851&lt;=5,"OPORTUNO","MUITO BOM")))</f>
        <v/>
      </c>
      <c r="M2851" s="3" t="n">
        <v>12</v>
      </c>
      <c r="N2851" s="3" t="n">
        <v>98.41</v>
      </c>
      <c r="O2851" s="12" t="n">
        <v>28.13852813852814</v>
      </c>
    </row>
    <row r="2852">
      <c r="A2852" s="10" t="n">
        <v>46091</v>
      </c>
      <c r="B2852" t="inlineStr">
        <is>
          <t>Davylla Rodrigues Freitas Silva</t>
        </is>
      </c>
      <c r="C2852" s="1" t="inlineStr">
        <is>
          <t>Técnico III</t>
        </is>
      </c>
      <c r="D2852" s="3" t="n">
        <v>28</v>
      </c>
      <c r="E2852" s="3" t="n">
        <v>28</v>
      </c>
      <c r="F2852" s="3" t="n">
        <v>22.2</v>
      </c>
      <c r="G2852" s="3" t="n">
        <v>0</v>
      </c>
      <c r="H2852" s="3" t="n">
        <v>0</v>
      </c>
      <c r="I2852" s="3" t="n">
        <v>0</v>
      </c>
      <c r="J2852" s="3" t="n">
        <v>0</v>
      </c>
      <c r="K2852" s="3" t="n">
        <v>0</v>
      </c>
      <c r="L2852" s="3">
        <f>IF(K2852&lt;-5,"CRÍTICO",IF(K2852&lt;0,"ATENÇÃO",IF(K2852&lt;=5,"OPORTUNO","MUITO BOM")))</f>
        <v/>
      </c>
      <c r="M2852" s="3" t="n">
        <v>31</v>
      </c>
      <c r="N2852" s="3" t="n">
        <v>98.73</v>
      </c>
      <c r="O2852" s="12" t="n">
        <v>29.14285714285714</v>
      </c>
    </row>
    <row r="2853">
      <c r="A2853" s="10" t="n">
        <v>46091</v>
      </c>
      <c r="B2853" t="inlineStr">
        <is>
          <t>Emilly Caylane Costa</t>
        </is>
      </c>
      <c r="C2853" s="1" t="inlineStr">
        <is>
          <t>Estágio</t>
        </is>
      </c>
      <c r="D2853" s="3" t="n">
        <v>6</v>
      </c>
      <c r="E2853" s="3" t="n">
        <v>6</v>
      </c>
      <c r="F2853" s="3" t="n">
        <v>54.19</v>
      </c>
      <c r="G2853" s="3" t="n">
        <v>0</v>
      </c>
      <c r="H2853" s="3" t="n">
        <v>0</v>
      </c>
      <c r="I2853" s="3">
        <f>E2853+G2853+H2853</f>
        <v/>
      </c>
      <c r="J2853" s="3">
        <f>ROUND(MIN(IF(C2853="Técnico III",35,IF(C2853="Técnico II",28,IF(C2853="Técnico I",23,IF(C2853="JR",20,IF(C2853="Estágio",10,0))))),IF(C2853="Técnico III",SUMIFS($D:$D,$A:$A,$A2853,$B:$B,"&lt;&gt;Patrícia Karla de Sousa Araújo",$B:$B,"&lt;&gt;Lorena Dias de Araujo",$B:$B,"&lt;&gt;Lucas Luiz Romero")*(35/1083),IF(C2853="Técnico II",SUMIFS($D:$D,$A:$A,$A2853,$B:$B,"&lt;&gt;Patrícia Karla de Sousa Araújo",$B:$B,"&lt;&gt;Lorena Dias de Araujo",$B:$B,"&lt;&gt;Lucas Luiz Romero")*(28/1083),IF(C2853="Técnico I",SUMIFS($D:$D,$A:$A,$A2853,$B:$B,"&lt;&gt;Patrícia Karla de Sousa Araújo",$B:$B,"&lt;&gt;Lorena Dias de Araujo",$B:$B,"&lt;&gt;Lucas Luiz Romero")*(23/1083),IF(C2853="JR",SUMIFS($D:$D,$A:$A,$A2853,$B:$B,"&lt;&gt;Patrícia Karla de Sousa Araújo",$B:$B,"&lt;&gt;Lorena Dias de Araujo",$B:$B,"&lt;&gt;Lucas Luiz Romero")*(20/1083),IF(C2853="Estágio",SUMIFS($D:$D,$A:$A,$A2853,$B:$B,"&lt;&gt;Patrícia Karla de Sousa Araújo",$B:$B,"&lt;&gt;Lorena Dias de Araujo",$B:$B,"&lt;&gt;Lucas Luiz Romero")*(10/1083),0)))))),0)</f>
        <v/>
      </c>
      <c r="K2853" s="3">
        <f>I2853-J2853</f>
        <v/>
      </c>
      <c r="L2853" s="3">
        <f>IF(K2853&lt;-5,"CRÍTICO",IF(K2853&lt;0,"ATENÇÃO",IF(K2853&lt;=5,"OPORTUNO","MUITO BOM")))</f>
        <v/>
      </c>
      <c r="M2853" s="3" t="n">
        <v>5</v>
      </c>
      <c r="N2853" s="3" t="n">
        <v>90.48</v>
      </c>
      <c r="O2853" s="12" t="n">
        <v>20.68965517241379</v>
      </c>
    </row>
    <row r="2854">
      <c r="A2854" s="10" t="n">
        <v>46091</v>
      </c>
      <c r="B2854" t="inlineStr">
        <is>
          <t>Emilly Kamilly Medeiros Miranda</t>
        </is>
      </c>
      <c r="C2854" s="1" t="inlineStr">
        <is>
          <t>Técnico II</t>
        </is>
      </c>
      <c r="D2854" s="3" t="n">
        <v>16</v>
      </c>
      <c r="E2854" s="3" t="n">
        <v>15</v>
      </c>
      <c r="F2854" s="3" t="n">
        <v>36.4</v>
      </c>
      <c r="G2854" s="3" t="n">
        <v>0</v>
      </c>
      <c r="H2854" s="3" t="n">
        <v>0</v>
      </c>
      <c r="I2854" s="3">
        <f>E2854+G2854+H2854</f>
        <v/>
      </c>
      <c r="J2854" s="3">
        <f>ROUND(MIN(IF(C2854="Técnico III",35,IF(C2854="Técnico II",28,IF(C2854="Técnico I",23,IF(C2854="JR",20,IF(C2854="Estágio",10,0))))),IF(C2854="Técnico III",SUMIFS($D:$D,$A:$A,$A2854,$B:$B,"&lt;&gt;Patrícia Karla de Sousa Araújo",$B:$B,"&lt;&gt;Lorena Dias de Araujo",$B:$B,"&lt;&gt;Lucas Luiz Romero")*(35/1083),IF(C2854="Técnico II",SUMIFS($D:$D,$A:$A,$A2854,$B:$B,"&lt;&gt;Patrícia Karla de Sousa Araújo",$B:$B,"&lt;&gt;Lorena Dias de Araujo",$B:$B,"&lt;&gt;Lucas Luiz Romero")*(28/1083),IF(C2854="Técnico I",SUMIFS($D:$D,$A:$A,$A2854,$B:$B,"&lt;&gt;Patrícia Karla de Sousa Araújo",$B:$B,"&lt;&gt;Lorena Dias de Araujo",$B:$B,"&lt;&gt;Lucas Luiz Romero")*(23/1083),IF(C2854="JR",SUMIFS($D:$D,$A:$A,$A2854,$B:$B,"&lt;&gt;Patrícia Karla de Sousa Araújo",$B:$B,"&lt;&gt;Lorena Dias de Araujo",$B:$B,"&lt;&gt;Lucas Luiz Romero")*(20/1083),IF(C2854="Estágio",SUMIFS($D:$D,$A:$A,$A2854,$B:$B,"&lt;&gt;Patrícia Karla de Sousa Araújo",$B:$B,"&lt;&gt;Lorena Dias de Araujo",$B:$B,"&lt;&gt;Lucas Luiz Romero")*(10/1083),0)))))),0)</f>
        <v/>
      </c>
      <c r="K2854" s="3">
        <f>I2854-J2854</f>
        <v/>
      </c>
      <c r="L2854" s="3">
        <f>IF(K2854&lt;-5,"CRÍTICO",IF(K2854&lt;0,"ATENÇÃO",IF(K2854&lt;=5,"OPORTUNO","MUITO BOM")))</f>
        <v/>
      </c>
      <c r="M2854" s="3" t="n">
        <v>14</v>
      </c>
      <c r="N2854" s="3" t="n">
        <v>98.06</v>
      </c>
      <c r="O2854" s="12" t="n">
        <v>24.78991596638656</v>
      </c>
    </row>
    <row r="2855">
      <c r="A2855" s="10" t="n">
        <v>46091</v>
      </c>
      <c r="B2855" t="inlineStr">
        <is>
          <t>Francielson de Oliveira</t>
        </is>
      </c>
      <c r="C2855" s="1" t="inlineStr">
        <is>
          <t>Técnico III</t>
        </is>
      </c>
      <c r="D2855" s="3" t="n">
        <v>12</v>
      </c>
      <c r="E2855" s="3" t="n">
        <v>12</v>
      </c>
      <c r="F2855" s="3" t="n">
        <v>24.06</v>
      </c>
      <c r="G2855" s="3" t="n">
        <v>0</v>
      </c>
      <c r="H2855" s="3" t="n">
        <v>0</v>
      </c>
      <c r="I2855" s="3">
        <f>E2855+G2855+H2855</f>
        <v/>
      </c>
      <c r="J2855" s="3">
        <f>ROUND(MIN(IF(C2855="Técnico III",35,IF(C2855="Técnico II",28,IF(C2855="Técnico I",23,IF(C2855="JR",20,IF(C2855="Estágio",10,0))))),IF(C2855="Técnico III",SUMIFS($D:$D,$A:$A,$A2855,$B:$B,"&lt;&gt;Patrícia Karla de Sousa Araújo",$B:$B,"&lt;&gt;Lorena Dias de Araujo",$B:$B,"&lt;&gt;Lucas Luiz Romero")*(35/1083),IF(C2855="Técnico II",SUMIFS($D:$D,$A:$A,$A2855,$B:$B,"&lt;&gt;Patrícia Karla de Sousa Araújo",$B:$B,"&lt;&gt;Lorena Dias de Araujo",$B:$B,"&lt;&gt;Lucas Luiz Romero")*(28/1083),IF(C2855="Técnico I",SUMIFS($D:$D,$A:$A,$A2855,$B:$B,"&lt;&gt;Patrícia Karla de Sousa Araújo",$B:$B,"&lt;&gt;Lorena Dias de Araujo",$B:$B,"&lt;&gt;Lucas Luiz Romero")*(23/1083),IF(C2855="JR",SUMIFS($D:$D,$A:$A,$A2855,$B:$B,"&lt;&gt;Patrícia Karla de Sousa Araújo",$B:$B,"&lt;&gt;Lorena Dias de Araujo",$B:$B,"&lt;&gt;Lucas Luiz Romero")*(20/1083),IF(C2855="Estágio",SUMIFS($D:$D,$A:$A,$A2855,$B:$B,"&lt;&gt;Patrícia Karla de Sousa Araújo",$B:$B,"&lt;&gt;Lorena Dias de Araujo",$B:$B,"&lt;&gt;Lucas Luiz Romero")*(10/1083),0)))))),0)</f>
        <v/>
      </c>
      <c r="K2855" s="3">
        <f>I2855-J2855</f>
        <v/>
      </c>
      <c r="L2855" s="3">
        <f>IF(K2855&lt;-5,"CRÍTICO",IF(K2855&lt;0,"ATENÇÃO",IF(K2855&lt;=5,"OPORTUNO","MUITO BOM")))</f>
        <v/>
      </c>
      <c r="M2855" s="3" t="n">
        <v>12</v>
      </c>
      <c r="N2855" s="3" t="n">
        <v>97.78</v>
      </c>
      <c r="O2855" s="12" t="n">
        <v>25.49407114624506</v>
      </c>
    </row>
    <row r="2856">
      <c r="A2856" s="10" t="n">
        <v>46091</v>
      </c>
      <c r="B2856" t="inlineStr">
        <is>
          <t>Francilene Ferreira de Jesus</t>
        </is>
      </c>
      <c r="C2856" s="1" t="inlineStr">
        <is>
          <t>Técnico II</t>
        </is>
      </c>
      <c r="D2856" s="3" t="n">
        <v>16</v>
      </c>
      <c r="E2856" s="3" t="n">
        <v>15</v>
      </c>
      <c r="F2856" s="3" t="n">
        <v>45.24</v>
      </c>
      <c r="G2856" s="3" t="n">
        <v>0</v>
      </c>
      <c r="H2856" s="3" t="n">
        <v>0</v>
      </c>
      <c r="I2856" s="3">
        <f>E2856+G2856+H2856</f>
        <v/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/>
      </c>
      <c r="K2856" s="3">
        <f>I2856-J2856</f>
        <v/>
      </c>
      <c r="L2856" s="3">
        <f>IF(K2856&lt;-5,"CRÍTICO",IF(K2856&lt;0,"ATENÇÃO",IF(K2856&lt;=5,"OPORTUNO","MUITO BOM")))</f>
        <v/>
      </c>
      <c r="M2856" s="3" t="n">
        <v>14</v>
      </c>
      <c r="N2856" s="3" t="n">
        <v>98.02</v>
      </c>
      <c r="O2856" s="12" t="n">
        <v>23.48484848484848</v>
      </c>
    </row>
    <row r="2857">
      <c r="A2857" s="10" t="n">
        <v>46125</v>
      </c>
      <c r="B2857" t="inlineStr">
        <is>
          <t>Gabriel Gomes de Andrade</t>
        </is>
      </c>
      <c r="C2857" s="1" t="inlineStr">
        <is>
          <t>Técnico I</t>
        </is>
      </c>
      <c r="D2857" s="3" t="n">
        <v>27</v>
      </c>
      <c r="E2857" s="3" t="n">
        <v>24</v>
      </c>
      <c r="F2857" s="3" t="n">
        <v>15.42</v>
      </c>
      <c r="G2857" s="3" t="n">
        <v>0</v>
      </c>
      <c r="H2857" s="3" t="n">
        <v>0</v>
      </c>
      <c r="I2857" s="3">
        <f>E2857+G2857+H2857</f>
        <v/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/>
      </c>
      <c r="K2857" s="3">
        <f>I2857-J2857</f>
        <v/>
      </c>
      <c r="L2857" s="3">
        <f>IF(K2857&lt;-5,"CRÍTICO",IF(K2857&lt;0,"ATENÇÃO",IF(K2857&lt;=5,"OPORTUNO","MUITO BOM")))</f>
        <v/>
      </c>
      <c r="M2857" s="3" t="n">
        <v>22</v>
      </c>
      <c r="N2857" s="3" t="n">
        <v>99.28</v>
      </c>
      <c r="O2857" s="12" t="n">
        <v>27.68924302788844</v>
      </c>
    </row>
    <row r="2858">
      <c r="A2858" s="10" t="n">
        <v>46091</v>
      </c>
      <c r="B2858" t="inlineStr">
        <is>
          <t>Isabella Borges de Oliveira</t>
        </is>
      </c>
      <c r="C2858" s="1" t="inlineStr">
        <is>
          <t>Técnico II</t>
        </is>
      </c>
      <c r="D2858" s="3" t="n">
        <v>24</v>
      </c>
      <c r="E2858" s="3" t="n">
        <v>24</v>
      </c>
      <c r="F2858" s="3" t="n">
        <v>27.22</v>
      </c>
      <c r="G2858" s="3" t="n">
        <v>0</v>
      </c>
      <c r="H2858" s="3" t="n">
        <v>0</v>
      </c>
      <c r="I2858" s="3">
        <f>E2858+G2858+H2858</f>
        <v/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/>
      </c>
      <c r="K2858" s="3">
        <f>I2858-J2858</f>
        <v/>
      </c>
      <c r="L2858" s="3">
        <f>IF(K2858&lt;-5,"CRÍTICO",IF(K2858&lt;0,"ATENÇÃO",IF(K2858&lt;=5,"OPORTUNO","MUITO BOM")))</f>
        <v/>
      </c>
      <c r="M2858" s="3" t="n">
        <v>23</v>
      </c>
      <c r="N2858" s="3" t="n">
        <v>100</v>
      </c>
      <c r="O2858" s="12" t="n">
        <v>27.04918032786885</v>
      </c>
    </row>
    <row r="2859">
      <c r="A2859" s="10" t="n">
        <v>46091</v>
      </c>
      <c r="B2859" t="inlineStr">
        <is>
          <t>Janaina Lima dos Reis Urany</t>
        </is>
      </c>
      <c r="C2859" s="1" t="inlineStr">
        <is>
          <t>Técnico III</t>
        </is>
      </c>
      <c r="D2859" s="3" t="n">
        <v>40</v>
      </c>
      <c r="E2859" s="3" t="n">
        <v>36</v>
      </c>
      <c r="F2859" s="3" t="n">
        <v>16.46</v>
      </c>
      <c r="G2859" s="3" t="n">
        <v>0</v>
      </c>
      <c r="H2859" s="3" t="n">
        <v>0</v>
      </c>
      <c r="I2859" s="3">
        <f>E2859+G2859+H2859</f>
        <v/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/>
      </c>
      <c r="K2859" s="3">
        <f>I2859-J2859</f>
        <v/>
      </c>
      <c r="L2859" s="3">
        <f>IF(K2859&lt;-5,"CRÍTICO",IF(K2859&lt;0,"ATENÇÃO",IF(K2859&lt;=5,"OPORTUNO","MUITO BOM")))</f>
        <v/>
      </c>
      <c r="M2859" s="3" t="n">
        <v>35</v>
      </c>
      <c r="N2859" s="3" t="n">
        <v>97.83</v>
      </c>
      <c r="O2859" s="12" t="n">
        <v>26.31578947368421</v>
      </c>
    </row>
    <row r="2860">
      <c r="A2860" s="10" t="n">
        <v>46091</v>
      </c>
      <c r="B2860" t="inlineStr">
        <is>
          <t>Jaqueline Evangelista da Silva Martins</t>
        </is>
      </c>
      <c r="C2860" s="1" t="inlineStr">
        <is>
          <t>Técnico III</t>
        </is>
      </c>
      <c r="D2860" s="3" t="n">
        <v>9</v>
      </c>
      <c r="E2860" s="3" t="n">
        <v>9</v>
      </c>
      <c r="F2860" s="3" t="n">
        <v>25.5</v>
      </c>
      <c r="G2860" s="3" t="n">
        <v>0</v>
      </c>
      <c r="H2860" s="3" t="n">
        <v>0</v>
      </c>
      <c r="I2860" s="3">
        <f>E2860+G2860+H2860</f>
        <v/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/>
      </c>
      <c r="K2860" s="3">
        <f>I2860-J2860</f>
        <v/>
      </c>
      <c r="L2860" s="3">
        <f>IF(K2860&lt;-5,"CRÍTICO",IF(K2860&lt;0,"ATENÇÃO",IF(K2860&lt;=5,"OPORTUNO","MUITO BOM")))</f>
        <v/>
      </c>
      <c r="M2860" s="3" t="n">
        <v>10</v>
      </c>
      <c r="N2860" s="3" t="n">
        <v>100</v>
      </c>
      <c r="O2860" s="12" t="n">
        <v>26.70157068062827</v>
      </c>
    </row>
    <row r="2861">
      <c r="A2861" s="10" t="n">
        <v>46091</v>
      </c>
      <c r="B2861" t="inlineStr">
        <is>
          <t>Jessica Faria da Silveira</t>
        </is>
      </c>
      <c r="C2861" s="1" t="inlineStr">
        <is>
          <t>Técnico II</t>
        </is>
      </c>
      <c r="D2861" s="3" t="n">
        <v>22</v>
      </c>
      <c r="E2861" s="3" t="n">
        <v>19</v>
      </c>
      <c r="F2861" s="3" t="n">
        <v>23.29</v>
      </c>
      <c r="G2861" s="3" t="n">
        <v>0</v>
      </c>
      <c r="H2861" s="3" t="n">
        <v>0</v>
      </c>
      <c r="I2861" s="3">
        <f>E2861+G2861+H2861</f>
        <v/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/>
      </c>
      <c r="K2861" s="3">
        <f>I2861-J2861</f>
        <v/>
      </c>
      <c r="L2861" s="3">
        <f>IF(K2861&lt;-5,"CRÍTICO",IF(K2861&lt;0,"ATENÇÃO",IF(K2861&lt;=5,"OPORTUNO","MUITO BOM")))</f>
        <v/>
      </c>
      <c r="M2861" s="3" t="n">
        <v>16</v>
      </c>
      <c r="N2861" s="3" t="n">
        <v>97.47</v>
      </c>
      <c r="O2861" s="12" t="n">
        <v>22.88732394366197</v>
      </c>
    </row>
    <row r="2862">
      <c r="A2862" s="10" t="n">
        <v>46091</v>
      </c>
      <c r="B2862" t="inlineStr">
        <is>
          <t>Jéssica Fé Moura</t>
        </is>
      </c>
      <c r="C2862" s="1" t="inlineStr">
        <is>
          <t>Técnico III</t>
        </is>
      </c>
      <c r="D2862" s="3" t="n">
        <v>0</v>
      </c>
      <c r="E2862" s="3" t="n">
        <v>0</v>
      </c>
      <c r="F2862" s="3" t="n">
        <v>0</v>
      </c>
      <c r="G2862" s="3" t="n">
        <v>0</v>
      </c>
      <c r="H2862" s="3" t="n">
        <v>0</v>
      </c>
      <c r="I2862" s="3" t="n">
        <v>0</v>
      </c>
      <c r="J2862" s="3" t="n">
        <v>0</v>
      </c>
      <c r="K2862" s="3" t="n">
        <v>0</v>
      </c>
      <c r="L2862" s="3">
        <f>IF(K2862&lt;-5,"CRÍTICO",IF(K2862&lt;0,"ATENÇÃO",IF(K2862&lt;=5,"OPORTUNO","MUITO BOM")))</f>
        <v/>
      </c>
      <c r="M2862" s="3" t="n">
        <v>0</v>
      </c>
      <c r="N2862" s="3" t="n">
        <v>0</v>
      </c>
      <c r="O2862" s="12" t="n">
        <v>0</v>
      </c>
    </row>
    <row r="2863">
      <c r="A2863" s="10" t="n">
        <v>46091</v>
      </c>
      <c r="B2863" t="inlineStr">
        <is>
          <t>Karina Gonçalves Martins</t>
        </is>
      </c>
      <c r="C2863" s="1" t="inlineStr">
        <is>
          <t>JR</t>
        </is>
      </c>
      <c r="D2863" s="3" t="n">
        <v>8</v>
      </c>
      <c r="E2863" s="3" t="n">
        <v>8</v>
      </c>
      <c r="F2863" s="3" t="n">
        <v>33.2</v>
      </c>
      <c r="G2863" s="3" t="n">
        <v>0</v>
      </c>
      <c r="H2863" s="3" t="n">
        <v>0</v>
      </c>
      <c r="I2863" s="3">
        <f>E2863+G2863+H2863</f>
        <v/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/>
      </c>
      <c r="K2863" s="3">
        <f>I2863-J2863</f>
        <v/>
      </c>
      <c r="L2863" s="3">
        <f>IF(K2863&lt;-5,"CRÍTICO",IF(K2863&lt;0,"ATENÇÃO",IF(K2863&lt;=5,"OPORTUNO","MUITO BOM")))</f>
        <v/>
      </c>
      <c r="M2863" s="3" t="n">
        <v>8</v>
      </c>
      <c r="N2863" s="3" t="n">
        <v>98.31</v>
      </c>
      <c r="O2863" s="12" t="n">
        <v>24.92012779552715</v>
      </c>
    </row>
    <row r="2864">
      <c r="A2864" s="10" t="n">
        <v>46091</v>
      </c>
      <c r="B2864" t="inlineStr">
        <is>
          <t>Kerollen Cristielly de Jesus Siqueira</t>
        </is>
      </c>
      <c r="C2864" s="1" t="inlineStr">
        <is>
          <t>Técnico III</t>
        </is>
      </c>
      <c r="D2864" s="3" t="n">
        <v>1</v>
      </c>
      <c r="E2864" s="3" t="n">
        <v>1</v>
      </c>
      <c r="F2864" s="3" t="n">
        <v>43.44</v>
      </c>
      <c r="G2864" s="3" t="n">
        <v>0</v>
      </c>
      <c r="H2864" s="3" t="n">
        <v>0</v>
      </c>
      <c r="I2864" s="3">
        <f>E2864+G2864+H2864</f>
        <v/>
      </c>
      <c r="J2864" s="3">
        <f>ROUND(MIN(IF(C2864="Técnico III",35,IF(C2864="Técnico II",28,IF(C2864="Técnico I",23,IF(C2864="JR",20,IF(C2864="Estágio",10,0))))),IF(C2864="Técnico III",SUMIFS($D:$D,$A:$A,$A2864,$B:$B,"&lt;&gt;Patrícia Karla de Sousa Araújo",$B:$B,"&lt;&gt;Lorena Dias de Araujo",$B:$B,"&lt;&gt;Lucas Luiz Romero")*(35/1083),IF(C2864="Técnico II",SUMIFS($D:$D,$A:$A,$A2864,$B:$B,"&lt;&gt;Patrícia Karla de Sousa Araújo",$B:$B,"&lt;&gt;Lorena Dias de Araujo",$B:$B,"&lt;&gt;Lucas Luiz Romero")*(28/1083),IF(C2864="Técnico I",SUMIFS($D:$D,$A:$A,$A2864,$B:$B,"&lt;&gt;Patrícia Karla de Sousa Araújo",$B:$B,"&lt;&gt;Lorena Dias de Araujo",$B:$B,"&lt;&gt;Lucas Luiz Romero")*(23/1083),IF(C2864="JR",SUMIFS($D:$D,$A:$A,$A2864,$B:$B,"&lt;&gt;Patrícia Karla de Sousa Araújo",$B:$B,"&lt;&gt;Lorena Dias de Araujo",$B:$B,"&lt;&gt;Lucas Luiz Romero")*(20/1083),IF(C2864="Estágio",SUMIFS($D:$D,$A:$A,$A2864,$B:$B,"&lt;&gt;Patrícia Karla de Sousa Araújo",$B:$B,"&lt;&gt;Lorena Dias de Araujo",$B:$B,"&lt;&gt;Lucas Luiz Romero")*(10/1083),0)))))),0)</f>
        <v/>
      </c>
      <c r="K2864" s="3">
        <f>I2864-J2864</f>
        <v/>
      </c>
      <c r="L2864" s="3">
        <f>IF(K2864&lt;-5,"CRÍTICO",IF(K2864&lt;0,"ATENÇÃO",IF(K2864&lt;=5,"OPORTUNO","MUITO BOM")))</f>
        <v/>
      </c>
      <c r="M2864" s="3" t="n">
        <v>14</v>
      </c>
      <c r="N2864" s="3" t="n">
        <v>96.81</v>
      </c>
      <c r="O2864" s="12" t="n">
        <v>32.36514522821577</v>
      </c>
    </row>
    <row r="2865">
      <c r="A2865" s="10" t="n">
        <v>46091</v>
      </c>
      <c r="B2865" t="inlineStr">
        <is>
          <t>Leandro de Souza Silva</t>
        </is>
      </c>
      <c r="C2865" s="1" t="inlineStr">
        <is>
          <t>JR</t>
        </is>
      </c>
      <c r="D2865" s="3" t="n">
        <v>16</v>
      </c>
      <c r="E2865" s="3" t="n">
        <v>12</v>
      </c>
      <c r="F2865" s="3" t="n">
        <v>25.06</v>
      </c>
      <c r="G2865" s="3" t="n">
        <v>0</v>
      </c>
      <c r="H2865" s="3" t="n">
        <v>0</v>
      </c>
      <c r="I2865" s="3">
        <f>E2865+G2865+H2865</f>
        <v/>
      </c>
      <c r="J2865" s="3">
        <f>ROUND(MIN(IF(C2865="Técnico III",35,IF(C2865="Técnico II",28,IF(C2865="Técnico I",23,IF(C2865="JR",20,IF(C2865="Estágio",10,0))))),IF(C2865="Técnico III",SUMIFS($D:$D,$A:$A,$A2865,$B:$B,"&lt;&gt;Patrícia Karla de Sousa Araújo",$B:$B,"&lt;&gt;Lorena Dias de Araujo",$B:$B,"&lt;&gt;Lucas Luiz Romero")*(35/1083),IF(C2865="Técnico II",SUMIFS($D:$D,$A:$A,$A2865,$B:$B,"&lt;&gt;Patrícia Karla de Sousa Araújo",$B:$B,"&lt;&gt;Lorena Dias de Araujo",$B:$B,"&lt;&gt;Lucas Luiz Romero")*(28/1083),IF(C2865="Técnico I",SUMIFS($D:$D,$A:$A,$A2865,$B:$B,"&lt;&gt;Patrícia Karla de Sousa Araújo",$B:$B,"&lt;&gt;Lorena Dias de Araujo",$B:$B,"&lt;&gt;Lucas Luiz Romero")*(23/1083),IF(C2865="JR",SUMIFS($D:$D,$A:$A,$A2865,$B:$B,"&lt;&gt;Patrícia Karla de Sousa Araújo",$B:$B,"&lt;&gt;Lorena Dias de Araujo",$B:$B,"&lt;&gt;Lucas Luiz Romero")*(20/1083),IF(C2865="Estágio",SUMIFS($D:$D,$A:$A,$A2865,$B:$B,"&lt;&gt;Patrícia Karla de Sousa Araújo",$B:$B,"&lt;&gt;Lorena Dias de Araujo",$B:$B,"&lt;&gt;Lucas Luiz Romero")*(10/1083),0)))))),0)</f>
        <v/>
      </c>
      <c r="K2865" s="3">
        <f>I2865-J2865</f>
        <v/>
      </c>
      <c r="L2865" s="3">
        <f>IF(K2865&lt;-5,"CRÍTICO",IF(K2865&lt;0,"ATENÇÃO",IF(K2865&lt;=5,"OPORTUNO","MUITO BOM")))</f>
        <v/>
      </c>
      <c r="M2865" s="3" t="n">
        <v>10</v>
      </c>
      <c r="N2865" s="3" t="n">
        <v>100</v>
      </c>
      <c r="O2865" s="12" t="n">
        <v>26.47058823529412</v>
      </c>
    </row>
    <row r="2866">
      <c r="A2866" s="10" t="n">
        <v>46091</v>
      </c>
      <c r="B2866" t="inlineStr">
        <is>
          <t>Leandro Oliveira de Sousa</t>
        </is>
      </c>
      <c r="C2866" s="1" t="inlineStr">
        <is>
          <t>Técnico III</t>
        </is>
      </c>
      <c r="D2866" s="3" t="n">
        <v>15</v>
      </c>
      <c r="E2866" s="3" t="n">
        <v>13</v>
      </c>
      <c r="F2866" s="3" t="n">
        <v>20.18</v>
      </c>
      <c r="G2866" s="3" t="n">
        <v>0</v>
      </c>
      <c r="H2866" s="3" t="n">
        <v>0</v>
      </c>
      <c r="I2866" s="3">
        <f>E2866+G2866+H2866</f>
        <v/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/>
      </c>
      <c r="K2866" s="3">
        <f>I2866-J2866</f>
        <v/>
      </c>
      <c r="L2866" s="3">
        <f>IF(K2866&lt;-5,"CRÍTICO",IF(K2866&lt;0,"ATENÇÃO",IF(K2866&lt;=5,"OPORTUNO","MUITO BOM")))</f>
        <v/>
      </c>
      <c r="M2866" s="3" t="n">
        <v>19</v>
      </c>
      <c r="N2866" s="3" t="n">
        <v>100</v>
      </c>
      <c r="O2866" s="12" t="n">
        <v>28.49002849002849</v>
      </c>
    </row>
    <row r="2867">
      <c r="A2867" s="10" t="n">
        <v>46091</v>
      </c>
      <c r="B2867" t="inlineStr">
        <is>
          <t>Lizandra Gomes Duarte</t>
        </is>
      </c>
      <c r="C2867" s="1" t="inlineStr">
        <is>
          <t>Técnico II</t>
        </is>
      </c>
      <c r="D2867" s="3" t="n">
        <v>24</v>
      </c>
      <c r="E2867" s="3" t="n">
        <v>22</v>
      </c>
      <c r="F2867" s="3" t="n">
        <v>25.13</v>
      </c>
      <c r="G2867" s="3" t="n">
        <v>0</v>
      </c>
      <c r="H2867" s="3" t="n">
        <v>0</v>
      </c>
      <c r="I2867" s="3">
        <f>E2867+G2867+H2867</f>
        <v/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/>
      </c>
      <c r="K2867" s="3">
        <f>I2867-J2867</f>
        <v/>
      </c>
      <c r="L2867" s="3">
        <f>IF(K2867&lt;-5,"CRÍTICO",IF(K2867&lt;0,"ATENÇÃO",IF(K2867&lt;=5,"OPORTUNO","MUITO BOM")))</f>
        <v/>
      </c>
      <c r="M2867" s="3" t="n">
        <v>16</v>
      </c>
      <c r="N2867" s="3" t="n">
        <v>99.14</v>
      </c>
      <c r="O2867" s="12" t="n">
        <v>27.2289156626506</v>
      </c>
    </row>
    <row r="2868">
      <c r="A2868" s="10" t="n">
        <v>46091</v>
      </c>
      <c r="B2868" t="inlineStr">
        <is>
          <t>Lorena Dias de Araujo</t>
        </is>
      </c>
      <c r="C2868" s="1" t="inlineStr">
        <is>
          <t>Técnico II</t>
        </is>
      </c>
      <c r="D2868" s="3" t="n">
        <v>30</v>
      </c>
      <c r="E2868" s="3" t="n">
        <v>29</v>
      </c>
      <c r="F2868" s="3" t="n">
        <v>21.51</v>
      </c>
      <c r="G2868" s="3" t="n">
        <v>0</v>
      </c>
      <c r="H2868" s="3" t="n">
        <v>0</v>
      </c>
      <c r="I2868" s="3" t="n">
        <v>0</v>
      </c>
      <c r="J2868" s="3" t="n">
        <v>0</v>
      </c>
      <c r="K2868" s="3" t="n">
        <v>0</v>
      </c>
      <c r="L2868" s="3">
        <f>IF(K2868&lt;-5,"CRÍTICO",IF(K2868&lt;0,"ATENÇÃO",IF(K2868&lt;=5,"OPORTUNO","MUITO BOM")))</f>
        <v/>
      </c>
      <c r="M2868" s="3" t="n">
        <v>27</v>
      </c>
      <c r="N2868" s="3" t="n">
        <v>97.52</v>
      </c>
      <c r="O2868" s="12" t="n">
        <v>28.2051282051282</v>
      </c>
    </row>
    <row r="2869">
      <c r="A2869" s="10" t="n">
        <v>46091</v>
      </c>
      <c r="B2869" t="inlineStr">
        <is>
          <t>Lucas Luiz Romero</t>
        </is>
      </c>
      <c r="C2869" s="1" t="inlineStr">
        <is>
          <t>Técnico III</t>
        </is>
      </c>
      <c r="D2869" s="3" t="n">
        <v>37</v>
      </c>
      <c r="E2869" s="3" t="n">
        <v>30</v>
      </c>
      <c r="F2869" s="3" t="n">
        <v>13.52</v>
      </c>
      <c r="G2869" s="3" t="n">
        <v>0</v>
      </c>
      <c r="H2869" s="3" t="n">
        <v>0</v>
      </c>
      <c r="I2869" s="3">
        <f>E2869+G2869+H2869</f>
        <v/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/>
      </c>
      <c r="K2869" s="3">
        <f>I2869-J2869</f>
        <v/>
      </c>
      <c r="L2869" s="3">
        <f>IF(K2869&lt;-5,"CRÍTICO",IF(K2869&lt;0,"ATENÇÃO",IF(K2869&lt;=5,"OPORTUNO","MUITO BOM")))</f>
        <v/>
      </c>
      <c r="M2869" s="3" t="n">
        <v>17</v>
      </c>
      <c r="N2869" s="3" t="n">
        <v>90</v>
      </c>
      <c r="O2869" s="12" t="n">
        <v>24.18604651162791</v>
      </c>
    </row>
    <row r="2870">
      <c r="A2870" s="10" t="n">
        <v>46091</v>
      </c>
      <c r="B2870" t="inlineStr">
        <is>
          <t>Luiz Fernando de Carvalho Junior</t>
        </is>
      </c>
      <c r="C2870" s="1" t="inlineStr">
        <is>
          <t>Técnico I</t>
        </is>
      </c>
      <c r="D2870" s="3" t="n">
        <v>20</v>
      </c>
      <c r="E2870" s="3" t="n">
        <v>19</v>
      </c>
      <c r="F2870" s="3" t="n">
        <v>30.04</v>
      </c>
      <c r="G2870" s="3" t="n">
        <v>0</v>
      </c>
      <c r="H2870" s="3" t="n">
        <v>0</v>
      </c>
      <c r="I2870" s="3">
        <f>E2870+G2870+H2870</f>
        <v/>
      </c>
      <c r="J2870" s="3">
        <f>ROUND(MIN(IF(C2870="Técnico III",35,IF(C2870="Técnico II",28,IF(C2870="Técnico I",23,IF(C2870="JR",20,IF(C2870="Estágio",10,0))))),IF(C2870="Técnico III",SUMIFS($D:$D,$A:$A,$A2870,$B:$B,"&lt;&gt;Patrícia Karla de Sousa Araújo",$B:$B,"&lt;&gt;Lorena Dias de Araujo",$B:$B,"&lt;&gt;Lucas Luiz Romero")*(35/1083),IF(C2870="Técnico II",SUMIFS($D:$D,$A:$A,$A2870,$B:$B,"&lt;&gt;Patrícia Karla de Sousa Araújo",$B:$B,"&lt;&gt;Lorena Dias de Araujo",$B:$B,"&lt;&gt;Lucas Luiz Romero")*(28/1083),IF(C2870="Técnico I",SUMIFS($D:$D,$A:$A,$A2870,$B:$B,"&lt;&gt;Patrícia Karla de Sousa Araújo",$B:$B,"&lt;&gt;Lorena Dias de Araujo",$B:$B,"&lt;&gt;Lucas Luiz Romero")*(23/1083),IF(C2870="JR",SUMIFS($D:$D,$A:$A,$A2870,$B:$B,"&lt;&gt;Patrícia Karla de Sousa Araújo",$B:$B,"&lt;&gt;Lorena Dias de Araujo",$B:$B,"&lt;&gt;Lucas Luiz Romero")*(20/1083),IF(C2870="Estágio",SUMIFS($D:$D,$A:$A,$A2870,$B:$B,"&lt;&gt;Patrícia Karla de Sousa Araújo",$B:$B,"&lt;&gt;Lorena Dias de Araujo",$B:$B,"&lt;&gt;Lucas Luiz Romero")*(10/1083),0)))))),0)</f>
        <v/>
      </c>
      <c r="K2870" s="3">
        <f>I2870-J2870</f>
        <v/>
      </c>
      <c r="L2870" s="3">
        <f>IF(K2870&lt;-5,"CRÍTICO",IF(K2870&lt;0,"ATENÇÃO",IF(K2870&lt;=5,"OPORTUNO","MUITO BOM")))</f>
        <v/>
      </c>
      <c r="M2870" s="3" t="n">
        <v>17</v>
      </c>
      <c r="N2870" s="3" t="n">
        <v>98.90000000000001</v>
      </c>
      <c r="O2870" s="12" t="n">
        <v>26.7639902676399</v>
      </c>
    </row>
    <row r="2871">
      <c r="A2871" s="10" t="n">
        <v>46091</v>
      </c>
      <c r="B2871" t="inlineStr">
        <is>
          <t>Maria Eduarda Sousa Costa</t>
        </is>
      </c>
      <c r="C2871" s="1" t="inlineStr">
        <is>
          <t>Estágio</t>
        </is>
      </c>
      <c r="D2871" s="3" t="n">
        <v>10</v>
      </c>
      <c r="E2871" s="3" t="n">
        <v>8</v>
      </c>
      <c r="F2871" s="3" t="n">
        <v>33.5</v>
      </c>
      <c r="G2871" s="3" t="n">
        <v>0</v>
      </c>
      <c r="H2871" s="3" t="n">
        <v>0</v>
      </c>
      <c r="I2871" s="3">
        <f>E2871+G2871+H2871</f>
        <v/>
      </c>
      <c r="J2871" s="3">
        <f>ROUND(MIN(IF(C2871="Técnico III",35,IF(C2871="Técnico II",28,IF(C2871="Técnico I",23,IF(C2871="JR",20,IF(C2871="Estágio",10,0))))),IF(C2871="Técnico III",SUMIFS($D:$D,$A:$A,$A2871,$B:$B,"&lt;&gt;Patrícia Karla de Sousa Araújo",$B:$B,"&lt;&gt;Lorena Dias de Araujo",$B:$B,"&lt;&gt;Lucas Luiz Romero")*(35/1083),IF(C2871="Técnico II",SUMIFS($D:$D,$A:$A,$A2871,$B:$B,"&lt;&gt;Patrícia Karla de Sousa Araújo",$B:$B,"&lt;&gt;Lorena Dias de Araujo",$B:$B,"&lt;&gt;Lucas Luiz Romero")*(28/1083),IF(C2871="Técnico I",SUMIFS($D:$D,$A:$A,$A2871,$B:$B,"&lt;&gt;Patrícia Karla de Sousa Araújo",$B:$B,"&lt;&gt;Lorena Dias de Araujo",$B:$B,"&lt;&gt;Lucas Luiz Romero")*(23/1083),IF(C2871="JR",SUMIFS($D:$D,$A:$A,$A2871,$B:$B,"&lt;&gt;Patrícia Karla de Sousa Araújo",$B:$B,"&lt;&gt;Lorena Dias de Araujo",$B:$B,"&lt;&gt;Lucas Luiz Romero")*(20/1083),IF(C2871="Estágio",SUMIFS($D:$D,$A:$A,$A2871,$B:$B,"&lt;&gt;Patrícia Karla de Sousa Araújo",$B:$B,"&lt;&gt;Lorena Dias de Araujo",$B:$B,"&lt;&gt;Lucas Luiz Romero")*(10/1083),0)))))),0)</f>
        <v/>
      </c>
      <c r="K2871" s="3">
        <f>I2871-J2871</f>
        <v/>
      </c>
      <c r="L2871" s="3">
        <f>IF(K2871&lt;-5,"CRÍTICO",IF(K2871&lt;0,"ATENÇÃO",IF(K2871&lt;=5,"OPORTUNO","MUITO BOM")))</f>
        <v/>
      </c>
      <c r="M2871" s="3" t="n">
        <v>6</v>
      </c>
      <c r="N2871" s="3" t="n">
        <v>88.89</v>
      </c>
      <c r="O2871" s="12" t="n">
        <v>25.26315789473684</v>
      </c>
    </row>
    <row r="2872">
      <c r="A2872" s="10" t="n">
        <v>46111</v>
      </c>
      <c r="B2872" t="inlineStr">
        <is>
          <t>Matheus Farias De Souza</t>
        </is>
      </c>
      <c r="C2872" s="1" t="inlineStr">
        <is>
          <t>Técnico III</t>
        </is>
      </c>
      <c r="D2872" s="3" t="n">
        <v>35</v>
      </c>
      <c r="E2872" s="3" t="n">
        <v>31</v>
      </c>
      <c r="F2872" s="3" t="n">
        <v>15.5</v>
      </c>
      <c r="G2872" s="3" t="n">
        <v>0</v>
      </c>
      <c r="H2872" s="3" t="n">
        <v>0</v>
      </c>
      <c r="I2872" s="3">
        <f>E2872+G2872+H2872</f>
        <v/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/>
      </c>
      <c r="K2872" s="3">
        <f>I2872-J2872</f>
        <v/>
      </c>
      <c r="L2872" s="3">
        <f>IF(K2872&lt;-5,"CRÍTICO",IF(K2872&lt;0,"ATENÇÃO",IF(K2872&lt;=5,"OPORTUNO","MUITO BOM")))</f>
        <v/>
      </c>
      <c r="M2872" s="3" t="n">
        <v>33</v>
      </c>
      <c r="N2872" s="3" t="n">
        <v>98.86</v>
      </c>
      <c r="O2872" s="12" t="n">
        <v>28.95927601809955</v>
      </c>
    </row>
    <row r="2873">
      <c r="A2873" s="10" t="n">
        <v>46091</v>
      </c>
      <c r="B2873" t="inlineStr">
        <is>
          <t>Maysa Victoria Dias Moura</t>
        </is>
      </c>
      <c r="C2873" s="1" t="inlineStr">
        <is>
          <t>Técnico III</t>
        </is>
      </c>
      <c r="D2873" s="3" t="n">
        <v>30</v>
      </c>
      <c r="E2873" s="3" t="n">
        <v>30</v>
      </c>
      <c r="F2873" s="3" t="n">
        <v>17.24</v>
      </c>
      <c r="G2873" s="3" t="n">
        <v>0</v>
      </c>
      <c r="H2873" s="3" t="n">
        <v>0</v>
      </c>
      <c r="I2873" s="3">
        <f>E2873+G2873+H2873</f>
        <v/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/>
      </c>
      <c r="K2873" s="3">
        <f>I2873-J2873</f>
        <v/>
      </c>
      <c r="L2873" s="3">
        <f>IF(K2873&lt;-5,"CRÍTICO",IF(K2873&lt;0,"ATENÇÃO",IF(K2873&lt;=5,"OPORTUNO","MUITO BOM")))</f>
        <v/>
      </c>
      <c r="M2873" s="3" t="n">
        <v>24</v>
      </c>
      <c r="N2873" s="3" t="n">
        <v>98.06</v>
      </c>
      <c r="O2873" s="12" t="n">
        <v>22.40566037735849</v>
      </c>
    </row>
    <row r="2874">
      <c r="A2874" s="10" t="n">
        <v>46119</v>
      </c>
      <c r="B2874" t="inlineStr">
        <is>
          <t>Michelle G Santos</t>
        </is>
      </c>
      <c r="C2874" s="1" t="inlineStr">
        <is>
          <t>Estágio</t>
        </is>
      </c>
      <c r="D2874" s="3" t="n">
        <v>11</v>
      </c>
      <c r="E2874" s="3" t="n">
        <v>10</v>
      </c>
      <c r="F2874" s="3" t="n">
        <v>17.02</v>
      </c>
      <c r="G2874" s="3" t="n">
        <v>0</v>
      </c>
      <c r="H2874" s="3" t="n">
        <v>0</v>
      </c>
      <c r="I2874" s="3">
        <f>E2874+G2874+H2874</f>
        <v/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/>
      </c>
      <c r="K2874" s="3">
        <f>I2874-J2874</f>
        <v/>
      </c>
      <c r="L2874" s="3">
        <f>IF(K2874&lt;-5,"CRÍTICO",IF(K2874&lt;0,"ATENÇÃO",IF(K2874&lt;=5,"OPORTUNO","MUITO BOM")))</f>
        <v/>
      </c>
      <c r="M2874" s="3" t="n">
        <v>9</v>
      </c>
      <c r="N2874" s="3" t="n">
        <v>100</v>
      </c>
      <c r="O2874" s="12" t="n">
        <v>23.77622377622378</v>
      </c>
    </row>
    <row r="2875">
      <c r="A2875" s="10" t="n">
        <v>46091</v>
      </c>
      <c r="B2875" t="inlineStr">
        <is>
          <t>Milena Sales</t>
        </is>
      </c>
      <c r="C2875" s="1" t="inlineStr">
        <is>
          <t>JR</t>
        </is>
      </c>
      <c r="D2875" s="3" t="n">
        <v>0</v>
      </c>
      <c r="E2875" s="3" t="n">
        <v>0</v>
      </c>
      <c r="F2875" s="3" t="n">
        <v>0</v>
      </c>
      <c r="G2875" s="3" t="n">
        <v>0</v>
      </c>
      <c r="H2875" s="3" t="n">
        <v>0</v>
      </c>
      <c r="I2875" s="3" t="n">
        <v>0</v>
      </c>
      <c r="J2875" s="3" t="n">
        <v>0</v>
      </c>
      <c r="K2875" s="3" t="n">
        <v>0</v>
      </c>
      <c r="L2875" s="3">
        <f>IF(K2875&lt;-5,"CRÍTICO",IF(K2875&lt;0,"ATENÇÃO",IF(K2875&lt;=5,"OPORTUNO","MUITO BOM")))</f>
        <v/>
      </c>
      <c r="M2875" s="3" t="n">
        <v>0</v>
      </c>
      <c r="N2875" s="3" t="n">
        <v>100</v>
      </c>
      <c r="O2875" s="12" t="n">
        <v>15.38461538461539</v>
      </c>
    </row>
    <row r="2876">
      <c r="A2876" s="10" t="n">
        <v>46091</v>
      </c>
      <c r="B2876" t="inlineStr">
        <is>
          <t>Patrícia Karla de Sousa Araújo</t>
        </is>
      </c>
      <c r="C2876" s="1" t="inlineStr">
        <is>
          <t>Técnico II</t>
        </is>
      </c>
      <c r="D2876" s="3" t="n">
        <v>22</v>
      </c>
      <c r="E2876" s="3" t="n">
        <v>22</v>
      </c>
      <c r="F2876" s="3" t="n">
        <v>24.05</v>
      </c>
      <c r="G2876" s="3" t="n">
        <v>0</v>
      </c>
      <c r="H2876" s="3" t="n">
        <v>0</v>
      </c>
      <c r="I2876" s="3">
        <f>E2876+G2876+H2876</f>
        <v/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/>
      </c>
      <c r="K2876" s="3">
        <f>I2876-J2876</f>
        <v/>
      </c>
      <c r="L2876" s="3">
        <f>IF(K2876&lt;-5,"CRÍTICO",IF(K2876&lt;0,"ATENÇÃO",IF(K2876&lt;=5,"OPORTUNO","MUITO BOM")))</f>
        <v/>
      </c>
      <c r="M2876" s="3" t="n">
        <v>16</v>
      </c>
      <c r="N2876" s="3" t="n">
        <v>100</v>
      </c>
      <c r="O2876" s="12" t="n">
        <v>27.51479289940828</v>
      </c>
    </row>
    <row r="2877">
      <c r="A2877" s="10" t="n">
        <v>46091</v>
      </c>
      <c r="B2877" t="inlineStr">
        <is>
          <t>Paulo Ricardo Santos</t>
        </is>
      </c>
      <c r="C2877" s="1" t="inlineStr">
        <is>
          <t>JR</t>
        </is>
      </c>
      <c r="D2877" s="3" t="n">
        <v>7</v>
      </c>
      <c r="E2877" s="3" t="n">
        <v>6</v>
      </c>
      <c r="F2877" s="3" t="n">
        <v>48.48</v>
      </c>
      <c r="G2877" s="3" t="n">
        <v>0</v>
      </c>
      <c r="H2877" s="3" t="n">
        <v>0</v>
      </c>
      <c r="I2877" s="3">
        <f>E2877+G2877+H2877</f>
        <v/>
      </c>
      <c r="J2877" s="3">
        <f>ROUND(MIN(IF(C2877="Técnico III",35,IF(C2877="Técnico II",28,IF(C2877="Técnico I",23,IF(C2877="JR",20,IF(C2877="Estágio",10,0))))),IF(C2877="Técnico III",SUMIFS($D:$D,$A:$A,$A2877,$B:$B,"&lt;&gt;Patrícia Karla de Sousa Araújo",$B:$B,"&lt;&gt;Lorena Dias de Araujo",$B:$B,"&lt;&gt;Lucas Luiz Romero")*(35/1083),IF(C2877="Técnico II",SUMIFS($D:$D,$A:$A,$A2877,$B:$B,"&lt;&gt;Patrícia Karla de Sousa Araújo",$B:$B,"&lt;&gt;Lorena Dias de Araujo",$B:$B,"&lt;&gt;Lucas Luiz Romero")*(28/1083),IF(C2877="Técnico I",SUMIFS($D:$D,$A:$A,$A2877,$B:$B,"&lt;&gt;Patrícia Karla de Sousa Araújo",$B:$B,"&lt;&gt;Lorena Dias de Araujo",$B:$B,"&lt;&gt;Lucas Luiz Romero")*(23/1083),IF(C2877="JR",SUMIFS($D:$D,$A:$A,$A2877,$B:$B,"&lt;&gt;Patrícia Karla de Sousa Araújo",$B:$B,"&lt;&gt;Lorena Dias de Araujo",$B:$B,"&lt;&gt;Lucas Luiz Romero")*(20/1083),IF(C2877="Estágio",SUMIFS($D:$D,$A:$A,$A2877,$B:$B,"&lt;&gt;Patrícia Karla de Sousa Araújo",$B:$B,"&lt;&gt;Lorena Dias de Araujo",$B:$B,"&lt;&gt;Lucas Luiz Romero")*(10/1083),0)))))),0)</f>
        <v/>
      </c>
      <c r="K2877" s="3">
        <f>I2877-J2877</f>
        <v/>
      </c>
      <c r="L2877" s="3">
        <f>IF(K2877&lt;-5,"CRÍTICO",IF(K2877&lt;0,"ATENÇÃO",IF(K2877&lt;=5,"OPORTUNO","MUITO BOM")))</f>
        <v/>
      </c>
      <c r="M2877" s="3" t="n">
        <v>6</v>
      </c>
      <c r="N2877" s="3" t="n">
        <v>100</v>
      </c>
      <c r="O2877" s="12" t="n">
        <v>24.87562189054727</v>
      </c>
    </row>
    <row r="2878">
      <c r="A2878" s="10" t="n">
        <v>46091</v>
      </c>
      <c r="B2878" t="inlineStr">
        <is>
          <t>Pedro Luiz Mota Sousa</t>
        </is>
      </c>
      <c r="C2878" s="1" t="inlineStr">
        <is>
          <t>JR</t>
        </is>
      </c>
      <c r="D2878" s="3" t="n">
        <v>8</v>
      </c>
      <c r="E2878" s="3" t="n">
        <v>8</v>
      </c>
      <c r="F2878" s="3" t="n">
        <v>55.01</v>
      </c>
      <c r="G2878" s="3" t="n">
        <v>0</v>
      </c>
      <c r="H2878" s="3" t="n">
        <v>0</v>
      </c>
      <c r="I2878" s="3">
        <f>E2878+G2878+H2878</f>
        <v/>
      </c>
      <c r="J2878" s="3">
        <f>ROUND(MIN(IF(C2878="Técnico III",35,IF(C2878="Técnico II",28,IF(C2878="Técnico I",23,IF(C2878="JR",20,IF(C2878="Estágio",10,0))))),IF(C2878="Técnico III",SUMIFS($D:$D,$A:$A,$A2878,$B:$B,"&lt;&gt;Patrícia Karla de Sousa Araújo",$B:$B,"&lt;&gt;Lorena Dias de Araujo",$B:$B,"&lt;&gt;Lucas Luiz Romero")*(35/1083),IF(C2878="Técnico II",SUMIFS($D:$D,$A:$A,$A2878,$B:$B,"&lt;&gt;Patrícia Karla de Sousa Araújo",$B:$B,"&lt;&gt;Lorena Dias de Araujo",$B:$B,"&lt;&gt;Lucas Luiz Romero")*(28/1083),IF(C2878="Técnico I",SUMIFS($D:$D,$A:$A,$A2878,$B:$B,"&lt;&gt;Patrícia Karla de Sousa Araújo",$B:$B,"&lt;&gt;Lorena Dias de Araujo",$B:$B,"&lt;&gt;Lucas Luiz Romero")*(23/1083),IF(C2878="JR",SUMIFS($D:$D,$A:$A,$A2878,$B:$B,"&lt;&gt;Patrícia Karla de Sousa Araújo",$B:$B,"&lt;&gt;Lorena Dias de Araujo",$B:$B,"&lt;&gt;Lucas Luiz Romero")*(20/1083),IF(C2878="Estágio",SUMIFS($D:$D,$A:$A,$A2878,$B:$B,"&lt;&gt;Patrícia Karla de Sousa Araújo",$B:$B,"&lt;&gt;Lorena Dias de Araujo",$B:$B,"&lt;&gt;Lucas Luiz Romero")*(10/1083),0)))))),0)</f>
        <v/>
      </c>
      <c r="K2878" s="3">
        <f>I2878-J2878</f>
        <v/>
      </c>
      <c r="L2878" s="3">
        <f>IF(K2878&lt;-5,"CRÍTICO",IF(K2878&lt;0,"ATENÇÃO",IF(K2878&lt;=5,"OPORTUNO","MUITO BOM")))</f>
        <v/>
      </c>
      <c r="M2878" s="3" t="n">
        <v>8</v>
      </c>
      <c r="N2878" s="3" t="n">
        <v>100</v>
      </c>
      <c r="O2878" s="12" t="n">
        <v>28.10810810810811</v>
      </c>
    </row>
    <row r="2879">
      <c r="A2879" s="10" t="n">
        <v>46119</v>
      </c>
      <c r="B2879" t="inlineStr">
        <is>
          <t>Quirino Diogo Leite Torres</t>
        </is>
      </c>
      <c r="C2879" s="1" t="inlineStr">
        <is>
          <t>Estágio</t>
        </is>
      </c>
      <c r="D2879" s="3" t="n">
        <v>10</v>
      </c>
      <c r="E2879" s="3" t="n">
        <v>9</v>
      </c>
      <c r="F2879" s="3" t="n">
        <v>18.21</v>
      </c>
      <c r="G2879" s="3" t="n">
        <v>0</v>
      </c>
      <c r="H2879" s="3" t="n">
        <v>0</v>
      </c>
      <c r="I2879" s="3">
        <f>E2879+G2879+H2879</f>
        <v/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/>
      </c>
      <c r="K2879" s="3">
        <f>I2879-J2879</f>
        <v/>
      </c>
      <c r="L2879" s="3">
        <f>IF(K2879&lt;-5,"CRÍTICO",IF(K2879&lt;0,"ATENÇÃO",IF(K2879&lt;=5,"OPORTUNO","MUITO BOM")))</f>
        <v/>
      </c>
      <c r="M2879" s="3" t="n">
        <v>5</v>
      </c>
      <c r="N2879" s="3" t="n">
        <v>94.12</v>
      </c>
      <c r="O2879" s="12" t="n">
        <v>32.8</v>
      </c>
    </row>
    <row r="2880">
      <c r="A2880" s="10" t="n">
        <v>46091</v>
      </c>
      <c r="B2880" t="inlineStr">
        <is>
          <t>Raane Batista Matos</t>
        </is>
      </c>
      <c r="C2880" s="1" t="inlineStr">
        <is>
          <t>Técnico I</t>
        </is>
      </c>
      <c r="D2880" s="3" t="n">
        <v>0</v>
      </c>
      <c r="E2880" s="3" t="n">
        <v>0</v>
      </c>
      <c r="F2880" s="3" t="n">
        <v>0</v>
      </c>
      <c r="G2880" s="3" t="n">
        <v>0</v>
      </c>
      <c r="H2880" s="3" t="n">
        <v>0</v>
      </c>
      <c r="I2880" s="3" t="n">
        <v>0</v>
      </c>
      <c r="J2880" s="3" t="n">
        <v>0</v>
      </c>
      <c r="K2880" s="3" t="n">
        <v>0</v>
      </c>
      <c r="L2880" s="3">
        <f>IF(K2880&lt;-5,"CRÍTICO",IF(K2880&lt;0,"ATENÇÃO",IF(K2880&lt;=5,"OPORTUNO","MUITO BOM")))</f>
        <v/>
      </c>
      <c r="M2880" s="3" t="n">
        <v>0</v>
      </c>
      <c r="N2880" s="3" t="n">
        <v>95.34999999999999</v>
      </c>
      <c r="O2880" s="12" t="n">
        <v>28.61538461538461</v>
      </c>
    </row>
    <row r="2881">
      <c r="A2881" s="10" t="n">
        <v>46091</v>
      </c>
      <c r="B2881" t="inlineStr">
        <is>
          <t>Rafael Gomes de Morais</t>
        </is>
      </c>
      <c r="C2881" s="1" t="inlineStr">
        <is>
          <t>Técnico III</t>
        </is>
      </c>
      <c r="D2881" s="3" t="n">
        <v>40</v>
      </c>
      <c r="E2881" s="3" t="n">
        <v>39</v>
      </c>
      <c r="F2881" s="3" t="n">
        <v>15.33</v>
      </c>
      <c r="G2881" s="3" t="n">
        <v>0</v>
      </c>
      <c r="H2881" s="3" t="n">
        <v>0</v>
      </c>
      <c r="I2881" s="3">
        <f>E2881+G2881+H2881</f>
        <v/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/>
      </c>
      <c r="K2881" s="3">
        <f>I2881-J2881</f>
        <v/>
      </c>
      <c r="L2881" s="3">
        <f>IF(K2881&lt;-5,"CRÍTICO",IF(K2881&lt;0,"ATENÇÃO",IF(K2881&lt;=5,"OPORTUNO","MUITO BOM")))</f>
        <v/>
      </c>
      <c r="M2881" s="3" t="n">
        <v>38</v>
      </c>
      <c r="N2881" s="3" t="n">
        <v>98.26000000000001</v>
      </c>
      <c r="O2881" s="12" t="n">
        <v>27.54491017964072</v>
      </c>
    </row>
    <row r="2882">
      <c r="A2882" s="10" t="n">
        <v>46091</v>
      </c>
      <c r="B2882" t="inlineStr">
        <is>
          <t>Sara Maria Monteiro Lopes</t>
        </is>
      </c>
      <c r="C2882" s="1" t="inlineStr">
        <is>
          <t>Técnico I</t>
        </is>
      </c>
      <c r="D2882" s="3" t="n">
        <v>15</v>
      </c>
      <c r="E2882" s="3" t="n">
        <v>14</v>
      </c>
      <c r="F2882" s="3" t="n">
        <v>40.23</v>
      </c>
      <c r="G2882" s="3" t="n">
        <v>0</v>
      </c>
      <c r="H2882" s="3" t="n">
        <v>0</v>
      </c>
      <c r="I2882" s="3">
        <f>E2882+G2882+H2882</f>
        <v/>
      </c>
      <c r="J2882" s="3">
        <f>ROUND(MIN(IF(C2882="Técnico III",35,IF(C2882="Técnico II",28,IF(C2882="Técnico I",23,IF(C2882="JR",20,IF(C2882="Estágio",10,0))))),IF(C2882="Técnico III",SUMIFS($D:$D,$A:$A,$A2882,$B:$B,"&lt;&gt;Patrícia Karla de Sousa Araújo",$B:$B,"&lt;&gt;Lorena Dias de Araujo",$B:$B,"&lt;&gt;Lucas Luiz Romero")*(35/1083),IF(C2882="Técnico II",SUMIFS($D:$D,$A:$A,$A2882,$B:$B,"&lt;&gt;Patrícia Karla de Sousa Araújo",$B:$B,"&lt;&gt;Lorena Dias de Araujo",$B:$B,"&lt;&gt;Lucas Luiz Romero")*(28/1083),IF(C2882="Técnico I",SUMIFS($D:$D,$A:$A,$A2882,$B:$B,"&lt;&gt;Patrícia Karla de Sousa Araújo",$B:$B,"&lt;&gt;Lorena Dias de Araujo",$B:$B,"&lt;&gt;Lucas Luiz Romero")*(23/1083),IF(C2882="JR",SUMIFS($D:$D,$A:$A,$A2882,$B:$B,"&lt;&gt;Patrícia Karla de Sousa Araújo",$B:$B,"&lt;&gt;Lorena Dias de Araujo",$B:$B,"&lt;&gt;Lucas Luiz Romero")*(20/1083),IF(C2882="Estágio",SUMIFS($D:$D,$A:$A,$A2882,$B:$B,"&lt;&gt;Patrícia Karla de Sousa Araújo",$B:$B,"&lt;&gt;Lorena Dias de Araujo",$B:$B,"&lt;&gt;Lucas Luiz Romero")*(10/1083),0)))))),0)</f>
        <v/>
      </c>
      <c r="K2882" s="3">
        <f>I2882-J2882</f>
        <v/>
      </c>
      <c r="L2882" s="3">
        <f>IF(K2882&lt;-5,"CRÍTICO",IF(K2882&lt;0,"ATENÇÃO",IF(K2882&lt;=5,"OPORTUNO","MUITO BOM")))</f>
        <v/>
      </c>
      <c r="M2882" s="3" t="n">
        <v>14</v>
      </c>
      <c r="N2882" s="3" t="n">
        <v>98.55</v>
      </c>
      <c r="O2882" s="12" t="n">
        <v>25.33783783783784</v>
      </c>
    </row>
    <row r="2883">
      <c r="A2883" s="10" t="n">
        <v>46091</v>
      </c>
      <c r="B2883" t="inlineStr">
        <is>
          <t>Sarah Steffanie de Lima Borges</t>
        </is>
      </c>
      <c r="C2883" s="1" t="inlineStr">
        <is>
          <t>Técnico III</t>
        </is>
      </c>
      <c r="D2883" s="3" t="n">
        <v>24</v>
      </c>
      <c r="E2883" s="3" t="n">
        <v>22</v>
      </c>
      <c r="F2883" s="3" t="n">
        <v>20.4</v>
      </c>
      <c r="G2883" s="3" t="n">
        <v>0</v>
      </c>
      <c r="H2883" s="3" t="n">
        <v>0</v>
      </c>
      <c r="I2883" s="3">
        <f>E2883+G2883+H2883</f>
        <v/>
      </c>
      <c r="J2883" s="3">
        <f>ROUND(MIN(IF(C2883="Técnico III",35,IF(C2883="Técnico II",28,IF(C2883="Técnico I",23,IF(C2883="JR",20,IF(C2883="Estágio",10,0))))),IF(C2883="Técnico III",SUMIFS($D:$D,$A:$A,$A2883,$B:$B,"&lt;&gt;Patrícia Karla de Sousa Araújo",$B:$B,"&lt;&gt;Lorena Dias de Araujo",$B:$B,"&lt;&gt;Lucas Luiz Romero")*(35/1083),IF(C2883="Técnico II",SUMIFS($D:$D,$A:$A,$A2883,$B:$B,"&lt;&gt;Patrícia Karla de Sousa Araújo",$B:$B,"&lt;&gt;Lorena Dias de Araujo",$B:$B,"&lt;&gt;Lucas Luiz Romero")*(28/1083),IF(C2883="Técnico I",SUMIFS($D:$D,$A:$A,$A2883,$B:$B,"&lt;&gt;Patrícia Karla de Sousa Araújo",$B:$B,"&lt;&gt;Lorena Dias de Araujo",$B:$B,"&lt;&gt;Lucas Luiz Romero")*(23/1083),IF(C2883="JR",SUMIFS($D:$D,$A:$A,$A2883,$B:$B,"&lt;&gt;Patrícia Karla de Sousa Araújo",$B:$B,"&lt;&gt;Lorena Dias de Araujo",$B:$B,"&lt;&gt;Lucas Luiz Romero")*(20/1083),IF(C2883="Estágio",SUMIFS($D:$D,$A:$A,$A2883,$B:$B,"&lt;&gt;Patrícia Karla de Sousa Araújo",$B:$B,"&lt;&gt;Lorena Dias de Araujo",$B:$B,"&lt;&gt;Lucas Luiz Romero")*(10/1083),0)))))),0)</f>
        <v/>
      </c>
      <c r="K2883" s="3">
        <f>I2883-J2883</f>
        <v/>
      </c>
      <c r="L2883" s="3">
        <f>IF(K2883&lt;-5,"CRÍTICO",IF(K2883&lt;0,"ATENÇÃO",IF(K2883&lt;=5,"OPORTUNO","MUITO BOM")))</f>
        <v/>
      </c>
      <c r="M2883" s="3" t="n">
        <v>18</v>
      </c>
      <c r="N2883" s="3" t="n">
        <v>98.39</v>
      </c>
      <c r="O2883" s="12" t="n">
        <v>25.56390977443609</v>
      </c>
    </row>
    <row r="2884">
      <c r="A2884" s="10" t="n">
        <v>46092</v>
      </c>
      <c r="B2884" t="inlineStr">
        <is>
          <t>Alisson de Freitas Silva</t>
        </is>
      </c>
      <c r="C2884" s="1" t="inlineStr">
        <is>
          <t>Técnico II</t>
        </is>
      </c>
      <c r="D2884" s="3" t="n">
        <v>43</v>
      </c>
      <c r="E2884" s="3" t="n">
        <v>33</v>
      </c>
      <c r="F2884" s="3" t="n">
        <v>13.21</v>
      </c>
      <c r="G2884" s="3" t="n">
        <v>0</v>
      </c>
      <c r="H2884" s="3" t="n">
        <v>0</v>
      </c>
      <c r="I2884" s="3">
        <f>E2884+G2884+H2884</f>
        <v/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/>
      </c>
      <c r="K2884" s="3">
        <f>I2884-J2884</f>
        <v/>
      </c>
      <c r="L2884" s="3">
        <f>IF(K2884&lt;-5,"CRÍTICO",IF(K2884&lt;0,"ATENÇÃO",IF(K2884&lt;=5,"OPORTUNO","MUITO BOM")))</f>
        <v/>
      </c>
      <c r="M2884" s="3" t="n">
        <v>24</v>
      </c>
      <c r="N2884" s="3" t="n">
        <v>94.29000000000001</v>
      </c>
      <c r="O2884" s="12" t="n">
        <v>25.64766839378239</v>
      </c>
    </row>
    <row r="2885">
      <c r="A2885" s="10" t="n">
        <v>46092</v>
      </c>
      <c r="B2885" t="inlineStr">
        <is>
          <t>Amanda Moura Ferreira</t>
        </is>
      </c>
      <c r="C2885" s="1" t="inlineStr">
        <is>
          <t>Técnico III</t>
        </is>
      </c>
      <c r="D2885" s="3" t="n">
        <v>0</v>
      </c>
      <c r="E2885" s="3" t="n">
        <v>0</v>
      </c>
      <c r="F2885" s="3" t="n">
        <v>0</v>
      </c>
      <c r="G2885" s="3" t="n">
        <v>0</v>
      </c>
      <c r="H2885" s="3" t="n">
        <v>0</v>
      </c>
      <c r="I2885" s="3" t="n">
        <v>0</v>
      </c>
      <c r="J2885" s="3" t="n">
        <v>0</v>
      </c>
      <c r="K2885" s="3" t="n">
        <v>0</v>
      </c>
      <c r="L2885" s="3">
        <f>IF(K2885&lt;-5,"CRÍTICO",IF(K2885&lt;0,"ATENÇÃO",IF(K2885&lt;=5,"OPORTUNO","MUITO BOM")))</f>
        <v/>
      </c>
      <c r="M2885" s="3" t="n">
        <v>18</v>
      </c>
      <c r="N2885" s="3" t="n">
        <v>98.26000000000001</v>
      </c>
      <c r="O2885" s="12" t="n">
        <v>26.66666666666667</v>
      </c>
    </row>
    <row r="2886">
      <c r="A2886" s="10" t="n">
        <v>46092</v>
      </c>
      <c r="B2886" t="inlineStr">
        <is>
          <t>Ana Karollyne Souza Faria</t>
        </is>
      </c>
      <c r="C2886" s="1" t="inlineStr">
        <is>
          <t>Técnico I</t>
        </is>
      </c>
      <c r="D2886" s="3" t="n">
        <v>19</v>
      </c>
      <c r="E2886" s="3" t="n">
        <v>17</v>
      </c>
      <c r="F2886" s="3" t="n">
        <v>29.08</v>
      </c>
      <c r="G2886" s="3" t="n">
        <v>0</v>
      </c>
      <c r="H2886" s="3" t="n">
        <v>0</v>
      </c>
      <c r="I2886" s="3">
        <f>E2886+G2886+H2886</f>
        <v/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/>
      </c>
      <c r="K2886" s="3">
        <f>I2886-J2886</f>
        <v/>
      </c>
      <c r="L2886" s="3">
        <f>IF(K2886&lt;-5,"CRÍTICO",IF(K2886&lt;0,"ATENÇÃO",IF(K2886&lt;=5,"OPORTUNO","MUITO BOM")))</f>
        <v/>
      </c>
      <c r="M2886" s="3" t="n">
        <v>16</v>
      </c>
      <c r="N2886" s="3" t="n">
        <v>98.2</v>
      </c>
      <c r="O2886" s="12" t="n">
        <v>23.37962962962963</v>
      </c>
    </row>
    <row r="2887">
      <c r="A2887" s="10" t="n">
        <v>46092</v>
      </c>
      <c r="B2887" t="inlineStr">
        <is>
          <t>Ana Paula Da Luz Silva Aleixo</t>
        </is>
      </c>
      <c r="C2887" s="1" t="inlineStr">
        <is>
          <t>Técnico III</t>
        </is>
      </c>
      <c r="D2887" s="3" t="n">
        <v>36</v>
      </c>
      <c r="E2887" s="3" t="n">
        <v>29</v>
      </c>
      <c r="F2887" s="3" t="n">
        <v>12.22</v>
      </c>
      <c r="G2887" s="3" t="n">
        <v>0</v>
      </c>
      <c r="H2887" s="3" t="n">
        <v>0</v>
      </c>
      <c r="I2887" s="3">
        <f>E2887+G2887+H2887</f>
        <v/>
      </c>
      <c r="J2887" s="3">
        <f>ROUND(MIN(IF(C2887="Técnico III",35,IF(C2887="Técnico II",28,IF(C2887="Técnico I",23,IF(C2887="JR",20,IF(C2887="Estágio",10,0))))),IF(C2887="Técnico III",SUMIFS($D:$D,$A:$A,$A2887,$B:$B,"&lt;&gt;Patrícia Karla de Sousa Araújo",$B:$B,"&lt;&gt;Lorena Dias de Araujo",$B:$B,"&lt;&gt;Lucas Luiz Romero")*(35/1083),IF(C2887="Técnico II",SUMIFS($D:$D,$A:$A,$A2887,$B:$B,"&lt;&gt;Patrícia Karla de Sousa Araújo",$B:$B,"&lt;&gt;Lorena Dias de Araujo",$B:$B,"&lt;&gt;Lucas Luiz Romero")*(28/1083),IF(C2887="Técnico I",SUMIFS($D:$D,$A:$A,$A2887,$B:$B,"&lt;&gt;Patrícia Karla de Sousa Araújo",$B:$B,"&lt;&gt;Lorena Dias de Araujo",$B:$B,"&lt;&gt;Lucas Luiz Romero")*(23/1083),IF(C2887="JR",SUMIFS($D:$D,$A:$A,$A2887,$B:$B,"&lt;&gt;Patrícia Karla de Sousa Araújo",$B:$B,"&lt;&gt;Lorena Dias de Araujo",$B:$B,"&lt;&gt;Lucas Luiz Romero")*(20/1083),IF(C2887="Estágio",SUMIFS($D:$D,$A:$A,$A2887,$B:$B,"&lt;&gt;Patrícia Karla de Sousa Araújo",$B:$B,"&lt;&gt;Lorena Dias de Araujo",$B:$B,"&lt;&gt;Lucas Luiz Romero")*(10/1083),0)))))),0)</f>
        <v/>
      </c>
      <c r="K2887" s="3">
        <f>I2887-J2887</f>
        <v/>
      </c>
      <c r="L2887" s="3">
        <f>IF(K2887&lt;-5,"CRÍTICO",IF(K2887&lt;0,"ATENÇÃO",IF(K2887&lt;=5,"OPORTUNO","MUITO BOM")))</f>
        <v/>
      </c>
      <c r="M2887" s="3" t="n">
        <v>24</v>
      </c>
      <c r="N2887" s="3" t="n">
        <v>97.3</v>
      </c>
      <c r="O2887" s="12" t="n">
        <v>23.84769539078156</v>
      </c>
    </row>
    <row r="2888">
      <c r="A2888" s="10" t="n">
        <v>46092</v>
      </c>
      <c r="B2888" t="inlineStr">
        <is>
          <t>Anna Luiza Rezende Tavares</t>
        </is>
      </c>
      <c r="C2888" s="1" t="inlineStr">
        <is>
          <t>Estágio</t>
        </is>
      </c>
      <c r="D2888" s="3" t="n">
        <v>11</v>
      </c>
      <c r="E2888" s="3" t="n">
        <v>8</v>
      </c>
      <c r="F2888" s="3" t="n">
        <v>25.38</v>
      </c>
      <c r="G2888" s="3" t="n">
        <v>0</v>
      </c>
      <c r="H2888" s="3" t="n">
        <v>0</v>
      </c>
      <c r="I2888" s="3">
        <f>E2888+G2888+H2888</f>
        <v/>
      </c>
      <c r="J2888" s="3">
        <f>ROUND(MIN(IF(C2888="Técnico III",35,IF(C2888="Técnico II",28,IF(C2888="Técnico I",23,IF(C2888="JR",20,IF(C2888="Estágio",10,0))))),IF(C2888="Técnico III",SUMIFS($D:$D,$A:$A,$A2888,$B:$B,"&lt;&gt;Patrícia Karla de Sousa Araújo",$B:$B,"&lt;&gt;Lorena Dias de Araujo",$B:$B,"&lt;&gt;Lucas Luiz Romero")*(35/1083),IF(C2888="Técnico II",SUMIFS($D:$D,$A:$A,$A2888,$B:$B,"&lt;&gt;Patrícia Karla de Sousa Araújo",$B:$B,"&lt;&gt;Lorena Dias de Araujo",$B:$B,"&lt;&gt;Lucas Luiz Romero")*(28/1083),IF(C2888="Técnico I",SUMIFS($D:$D,$A:$A,$A2888,$B:$B,"&lt;&gt;Patrícia Karla de Sousa Araújo",$B:$B,"&lt;&gt;Lorena Dias de Araujo",$B:$B,"&lt;&gt;Lucas Luiz Romero")*(23/1083),IF(C2888="JR",SUMIFS($D:$D,$A:$A,$A2888,$B:$B,"&lt;&gt;Patrícia Karla de Sousa Araújo",$B:$B,"&lt;&gt;Lorena Dias de Araujo",$B:$B,"&lt;&gt;Lucas Luiz Romero")*(20/1083),IF(C2888="Estágio",SUMIFS($D:$D,$A:$A,$A2888,$B:$B,"&lt;&gt;Patrícia Karla de Sousa Araújo",$B:$B,"&lt;&gt;Lorena Dias de Araujo",$B:$B,"&lt;&gt;Lucas Luiz Romero")*(10/1083),0)))))),0)</f>
        <v/>
      </c>
      <c r="K2888" s="3">
        <f>I2888-J2888</f>
        <v/>
      </c>
      <c r="L2888" s="3">
        <f>IF(K2888&lt;-5,"CRÍTICO",IF(K2888&lt;0,"ATENÇÃO",IF(K2888&lt;=5,"OPORTUNO","MUITO BOM")))</f>
        <v/>
      </c>
      <c r="M2888" s="3" t="n">
        <v>7</v>
      </c>
      <c r="N2888" s="3" t="n">
        <v>100</v>
      </c>
      <c r="O2888" s="12" t="n">
        <v>25.26881720430108</v>
      </c>
    </row>
    <row r="2889">
      <c r="A2889" s="10" t="n">
        <v>46092</v>
      </c>
      <c r="B2889" t="inlineStr">
        <is>
          <t>Brenda de Menezes Silva</t>
        </is>
      </c>
      <c r="C2889" s="1" t="inlineStr">
        <is>
          <t>Técnico II</t>
        </is>
      </c>
      <c r="D2889" s="3" t="n">
        <v>38</v>
      </c>
      <c r="E2889" s="3" t="n">
        <v>33</v>
      </c>
      <c r="F2889" s="3" t="n">
        <v>15.41</v>
      </c>
      <c r="G2889" s="3" t="n">
        <v>0</v>
      </c>
      <c r="H2889" s="3" t="n">
        <v>0</v>
      </c>
      <c r="I2889" s="3">
        <f>E2889+G2889+H2889</f>
        <v/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/>
      </c>
      <c r="K2889" s="3">
        <f>I2889-J2889</f>
        <v/>
      </c>
      <c r="L2889" s="3">
        <f>IF(K2889&lt;-5,"CRÍTICO",IF(K2889&lt;0,"ATENÇÃO",IF(K2889&lt;=5,"OPORTUNO","MUITO BOM")))</f>
        <v/>
      </c>
      <c r="M2889" s="3" t="n">
        <v>33</v>
      </c>
      <c r="N2889" s="3" t="n">
        <v>99.31999999999999</v>
      </c>
      <c r="O2889" s="12" t="n">
        <v>22.82282282282282</v>
      </c>
    </row>
    <row r="2890">
      <c r="A2890" s="10" t="n">
        <v>46092</v>
      </c>
      <c r="B2890" t="inlineStr">
        <is>
          <t>Carlos Mateus Cassimiro Nunes</t>
        </is>
      </c>
      <c r="C2890" s="1" t="inlineStr">
        <is>
          <t>Técnico II</t>
        </is>
      </c>
      <c r="D2890" s="3" t="n">
        <v>11</v>
      </c>
      <c r="E2890" s="3" t="n">
        <v>11</v>
      </c>
      <c r="F2890" s="3" t="n">
        <v>33.31</v>
      </c>
      <c r="G2890" s="3" t="n">
        <v>0</v>
      </c>
      <c r="H2890" s="3" t="n">
        <v>0</v>
      </c>
      <c r="I2890" s="3">
        <f>E2890+G2890+H2890</f>
        <v/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/>
      </c>
      <c r="K2890" s="3">
        <f>I2890-J2890</f>
        <v/>
      </c>
      <c r="L2890" s="3">
        <f>IF(K2890&lt;-5,"CRÍTICO",IF(K2890&lt;0,"ATENÇÃO",IF(K2890&lt;=5,"OPORTUNO","MUITO BOM")))</f>
        <v/>
      </c>
      <c r="M2890" s="3" t="n">
        <v>11</v>
      </c>
      <c r="N2890" s="3" t="n">
        <v>100</v>
      </c>
      <c r="O2890" s="12" t="n">
        <v>27.96610169491525</v>
      </c>
    </row>
    <row r="2891">
      <c r="A2891" s="10" t="n">
        <v>46092</v>
      </c>
      <c r="B2891" t="inlineStr">
        <is>
          <t>Claudio de Sousa Velasco Filho</t>
        </is>
      </c>
      <c r="C2891" s="1" t="inlineStr">
        <is>
          <t>Estágio</t>
        </is>
      </c>
      <c r="D2891" s="3" t="n">
        <v>0</v>
      </c>
      <c r="E2891" s="3" t="n">
        <v>0</v>
      </c>
      <c r="F2891" s="3" t="n">
        <v>0</v>
      </c>
      <c r="G2891" s="3" t="n">
        <v>0</v>
      </c>
      <c r="H2891" s="3" t="n">
        <v>0</v>
      </c>
      <c r="I2891" s="3" t="n">
        <v>0</v>
      </c>
      <c r="J2891" s="3" t="n">
        <v>0</v>
      </c>
      <c r="K2891" s="3" t="n">
        <v>0</v>
      </c>
      <c r="L2891" s="3">
        <f>IF(K2891&lt;-5,"CRÍTICO",IF(K2891&lt;0,"ATENÇÃO",IF(K2891&lt;=5,"OPORTUNO","MUITO BOM")))</f>
        <v/>
      </c>
      <c r="M2891" s="3" t="n">
        <v>0</v>
      </c>
      <c r="N2891" s="3" t="n">
        <v>100</v>
      </c>
      <c r="O2891" s="12" t="n">
        <v>30.43478260869566</v>
      </c>
    </row>
    <row r="2892">
      <c r="A2892" s="10" t="n">
        <v>46092</v>
      </c>
      <c r="B2892" t="inlineStr">
        <is>
          <t>Clessiane Pereira dos Santos</t>
        </is>
      </c>
      <c r="C2892" s="1" t="inlineStr">
        <is>
          <t>Técnico I</t>
        </is>
      </c>
      <c r="D2892" s="3" t="n">
        <v>23</v>
      </c>
      <c r="E2892" s="3" t="n">
        <v>18</v>
      </c>
      <c r="F2892" s="3" t="n">
        <v>25.53</v>
      </c>
      <c r="G2892" s="3" t="n">
        <v>0</v>
      </c>
      <c r="H2892" s="3" t="n">
        <v>0</v>
      </c>
      <c r="I2892" s="3">
        <f>E2892+G2892+H2892</f>
        <v/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/>
      </c>
      <c r="K2892" s="3">
        <f>I2892-J2892</f>
        <v/>
      </c>
      <c r="L2892" s="3">
        <f>IF(K2892&lt;-5,"CRÍTICO",IF(K2892&lt;0,"ATENÇÃO",IF(K2892&lt;=5,"OPORTUNO","MUITO BOM")))</f>
        <v/>
      </c>
      <c r="M2892" s="3" t="n">
        <v>17</v>
      </c>
      <c r="N2892" s="3" t="n">
        <v>96.51000000000001</v>
      </c>
      <c r="O2892" s="12" t="n">
        <v>22.80285035629454</v>
      </c>
    </row>
    <row r="2893">
      <c r="A2893" s="10" t="n">
        <v>46092</v>
      </c>
      <c r="B2893" t="inlineStr">
        <is>
          <t>Cristiane Ramos da Silva Rocha</t>
        </is>
      </c>
      <c r="C2893" s="1" t="inlineStr">
        <is>
          <t>Técnico III</t>
        </is>
      </c>
      <c r="D2893" s="3" t="n">
        <v>0</v>
      </c>
      <c r="E2893" s="3" t="n">
        <v>0</v>
      </c>
      <c r="F2893" s="3" t="n">
        <v>0</v>
      </c>
      <c r="G2893" s="3" t="n">
        <v>0</v>
      </c>
      <c r="H2893" s="3" t="n">
        <v>0</v>
      </c>
      <c r="I2893" s="3" t="n">
        <v>0</v>
      </c>
      <c r="J2893" s="3" t="n">
        <v>0</v>
      </c>
      <c r="K2893" s="3" t="n">
        <v>0</v>
      </c>
      <c r="L2893" s="3">
        <f>IF(K2893&lt;-5,"CRÍTICO",IF(K2893&lt;0,"ATENÇÃO",IF(K2893&lt;=5,"OPORTUNO","MUITO BOM")))</f>
        <v/>
      </c>
      <c r="M2893" s="3" t="n">
        <v>12</v>
      </c>
      <c r="N2893" s="3" t="n">
        <v>92.68000000000001</v>
      </c>
      <c r="O2893" s="12" t="n">
        <v>27.77777777777778</v>
      </c>
    </row>
    <row r="2894">
      <c r="A2894" s="10" t="n">
        <v>46092</v>
      </c>
      <c r="B2894" t="inlineStr">
        <is>
          <t>Damyllis Lorraine de Oliveira Gonçalves</t>
        </is>
      </c>
      <c r="C2894" s="1" t="inlineStr">
        <is>
          <t>Técnico II</t>
        </is>
      </c>
      <c r="D2894" s="3" t="n">
        <v>25</v>
      </c>
      <c r="E2894" s="3" t="n">
        <v>22</v>
      </c>
      <c r="F2894" s="3" t="n">
        <v>24.08</v>
      </c>
      <c r="G2894" s="3" t="n">
        <v>0</v>
      </c>
      <c r="H2894" s="3" t="n">
        <v>0</v>
      </c>
      <c r="I2894" s="3" t="n">
        <v>0</v>
      </c>
      <c r="J2894" s="3" t="n">
        <v>0</v>
      </c>
      <c r="K2894" s="3" t="n">
        <v>0</v>
      </c>
      <c r="L2894" s="3">
        <f>IF(K2894&lt;-5,"CRÍTICO",IF(K2894&lt;0,"ATENÇÃO",IF(K2894&lt;=5,"OPORTUNO","MUITO BOM")))</f>
        <v/>
      </c>
      <c r="M2894" s="3" t="n">
        <v>18</v>
      </c>
      <c r="N2894" s="3" t="n">
        <v>99.03</v>
      </c>
      <c r="O2894" s="12" t="n">
        <v>23.99150743099788</v>
      </c>
    </row>
    <row r="2895">
      <c r="A2895" s="10" t="n">
        <v>46092</v>
      </c>
      <c r="B2895" t="inlineStr">
        <is>
          <t>Daniel Gomes da Silva</t>
        </is>
      </c>
      <c r="C2895" s="1" t="inlineStr">
        <is>
          <t>Técnico I</t>
        </is>
      </c>
      <c r="D2895" s="3" t="n">
        <v>16</v>
      </c>
      <c r="E2895" s="3" t="n">
        <v>15</v>
      </c>
      <c r="F2895" s="3" t="n">
        <v>29.04</v>
      </c>
      <c r="G2895" s="3" t="n">
        <v>0</v>
      </c>
      <c r="H2895" s="3" t="n">
        <v>0</v>
      </c>
      <c r="I2895" s="3">
        <f>E2895+G2895+H2895</f>
        <v/>
      </c>
      <c r="J2895" s="3">
        <f>ROUND(MIN(IF(C2895="Técnico III",35,IF(C2895="Técnico II",28,IF(C2895="Técnico I",23,IF(C2895="JR",20,IF(C2895="Estágio",10,0))))),IF(C2895="Técnico III",SUMIFS($D:$D,$A:$A,$A2895,$B:$B,"&lt;&gt;Patrícia Karla de Sousa Araújo",$B:$B,"&lt;&gt;Lorena Dias de Araujo",$B:$B,"&lt;&gt;Lucas Luiz Romero")*(35/1083),IF(C2895="Técnico II",SUMIFS($D:$D,$A:$A,$A2895,$B:$B,"&lt;&gt;Patrícia Karla de Sousa Araújo",$B:$B,"&lt;&gt;Lorena Dias de Araujo",$B:$B,"&lt;&gt;Lucas Luiz Romero")*(28/1083),IF(C2895="Técnico I",SUMIFS($D:$D,$A:$A,$A2895,$B:$B,"&lt;&gt;Patrícia Karla de Sousa Araújo",$B:$B,"&lt;&gt;Lorena Dias de Araujo",$B:$B,"&lt;&gt;Lucas Luiz Romero")*(23/1083),IF(C2895="JR",SUMIFS($D:$D,$A:$A,$A2895,$B:$B,"&lt;&gt;Patrícia Karla de Sousa Araújo",$B:$B,"&lt;&gt;Lorena Dias de Araujo",$B:$B,"&lt;&gt;Lucas Luiz Romero")*(20/1083),IF(C2895="Estágio",SUMIFS($D:$D,$A:$A,$A2895,$B:$B,"&lt;&gt;Patrícia Karla de Sousa Araújo",$B:$B,"&lt;&gt;Lorena Dias de Araujo",$B:$B,"&lt;&gt;Lucas Luiz Romero")*(10/1083),0)))))),0)</f>
        <v/>
      </c>
      <c r="K2895" s="3">
        <f>I2895-J2895</f>
        <v/>
      </c>
      <c r="L2895" s="3">
        <f>IF(K2895&lt;-5,"CRÍTICO",IF(K2895&lt;0,"ATENÇÃO",IF(K2895&lt;=5,"OPORTUNO","MUITO BOM")))</f>
        <v/>
      </c>
      <c r="M2895" s="3" t="n">
        <v>11</v>
      </c>
      <c r="N2895" s="3" t="n">
        <v>98.41</v>
      </c>
      <c r="O2895" s="12" t="n">
        <v>28.13852813852814</v>
      </c>
    </row>
    <row r="2896">
      <c r="A2896" s="10" t="n">
        <v>46092</v>
      </c>
      <c r="B2896" t="inlineStr">
        <is>
          <t>Davylla Rodrigues Freitas Silva</t>
        </is>
      </c>
      <c r="C2896" s="1" t="inlineStr">
        <is>
          <t>Técnico III</t>
        </is>
      </c>
      <c r="D2896" s="3" t="n">
        <v>28</v>
      </c>
      <c r="E2896" s="3" t="n">
        <v>26</v>
      </c>
      <c r="F2896" s="3" t="n">
        <v>26.51</v>
      </c>
      <c r="G2896" s="3" t="n">
        <v>0</v>
      </c>
      <c r="H2896" s="3" t="n">
        <v>0</v>
      </c>
      <c r="I2896" s="3" t="n">
        <v>0</v>
      </c>
      <c r="J2896" s="3" t="n">
        <v>0</v>
      </c>
      <c r="K2896" s="3" t="n">
        <v>0</v>
      </c>
      <c r="L2896" s="3">
        <f>IF(K2896&lt;-5,"CRÍTICO",IF(K2896&lt;0,"ATENÇÃO",IF(K2896&lt;=5,"OPORTUNO","MUITO BOM")))</f>
        <v/>
      </c>
      <c r="M2896" s="3" t="n">
        <v>28</v>
      </c>
      <c r="N2896" s="3" t="n">
        <v>98.73</v>
      </c>
      <c r="O2896" s="12" t="n">
        <v>29.14285714285714</v>
      </c>
    </row>
    <row r="2897">
      <c r="A2897" s="10" t="n">
        <v>46092</v>
      </c>
      <c r="B2897" t="inlineStr">
        <is>
          <t>Emilly Caylane Costa</t>
        </is>
      </c>
      <c r="C2897" s="1" t="inlineStr">
        <is>
          <t>Estágio</t>
        </is>
      </c>
      <c r="D2897" s="3" t="n">
        <v>7</v>
      </c>
      <c r="E2897" s="3" t="n">
        <v>6</v>
      </c>
      <c r="F2897" s="3" t="n">
        <v>55.59</v>
      </c>
      <c r="G2897" s="3" t="n">
        <v>0</v>
      </c>
      <c r="H2897" s="3" t="n">
        <v>0</v>
      </c>
      <c r="I2897" s="3">
        <f>E2897+G2897+H2897</f>
        <v/>
      </c>
      <c r="J2897" s="3">
        <f>ROUND(MIN(IF(C2897="Técnico III",35,IF(C2897="Técnico II",28,IF(C2897="Técnico I",23,IF(C2897="JR",20,IF(C2897="Estágio",10,0))))),IF(C2897="Técnico III",SUMIFS($D:$D,$A:$A,$A2897,$B:$B,"&lt;&gt;Patrícia Karla de Sousa Araújo",$B:$B,"&lt;&gt;Lorena Dias de Araujo",$B:$B,"&lt;&gt;Lucas Luiz Romero")*(35/1083),IF(C2897="Técnico II",SUMIFS($D:$D,$A:$A,$A2897,$B:$B,"&lt;&gt;Patrícia Karla de Sousa Araújo",$B:$B,"&lt;&gt;Lorena Dias de Araujo",$B:$B,"&lt;&gt;Lucas Luiz Romero")*(28/1083),IF(C2897="Técnico I",SUMIFS($D:$D,$A:$A,$A2897,$B:$B,"&lt;&gt;Patrícia Karla de Sousa Araújo",$B:$B,"&lt;&gt;Lorena Dias de Araujo",$B:$B,"&lt;&gt;Lucas Luiz Romero")*(23/1083),IF(C2897="JR",SUMIFS($D:$D,$A:$A,$A2897,$B:$B,"&lt;&gt;Patrícia Karla de Sousa Araújo",$B:$B,"&lt;&gt;Lorena Dias de Araujo",$B:$B,"&lt;&gt;Lucas Luiz Romero")*(20/1083),IF(C2897="Estágio",SUMIFS($D:$D,$A:$A,$A2897,$B:$B,"&lt;&gt;Patrícia Karla de Sousa Araújo",$B:$B,"&lt;&gt;Lorena Dias de Araujo",$B:$B,"&lt;&gt;Lucas Luiz Romero")*(10/1083),0)))))),0)</f>
        <v/>
      </c>
      <c r="K2897" s="3">
        <f>I2897-J2897</f>
        <v/>
      </c>
      <c r="L2897" s="3">
        <f>IF(K2897&lt;-5,"CRÍTICO",IF(K2897&lt;0,"ATENÇÃO",IF(K2897&lt;=5,"OPORTUNO","MUITO BOM")))</f>
        <v/>
      </c>
      <c r="M2897" s="3" t="n">
        <v>5</v>
      </c>
      <c r="N2897" s="3" t="n">
        <v>90.48</v>
      </c>
      <c r="O2897" s="12" t="n">
        <v>20.68965517241379</v>
      </c>
    </row>
    <row r="2898">
      <c r="A2898" s="10" t="n">
        <v>46092</v>
      </c>
      <c r="B2898" t="inlineStr">
        <is>
          <t>Emilly Kamilly Medeiros Miranda</t>
        </is>
      </c>
      <c r="C2898" s="1" t="inlineStr">
        <is>
          <t>Técnico II</t>
        </is>
      </c>
      <c r="D2898" s="3" t="n">
        <v>23</v>
      </c>
      <c r="E2898" s="3" t="n">
        <v>16</v>
      </c>
      <c r="F2898" s="3" t="n">
        <v>19.13</v>
      </c>
      <c r="G2898" s="3" t="n">
        <v>0</v>
      </c>
      <c r="H2898" s="3" t="n">
        <v>0</v>
      </c>
      <c r="I2898" s="3">
        <f>E2898+G2898+H2898</f>
        <v/>
      </c>
      <c r="J2898" s="3">
        <f>ROUND(MIN(IF(C2898="Técnico III",35,IF(C2898="Técnico II",28,IF(C2898="Técnico I",23,IF(C2898="JR",20,IF(C2898="Estágio",10,0))))),IF(C2898="Técnico III",SUMIFS($D:$D,$A:$A,$A2898,$B:$B,"&lt;&gt;Patrícia Karla de Sousa Araújo",$B:$B,"&lt;&gt;Lorena Dias de Araujo",$B:$B,"&lt;&gt;Lucas Luiz Romero")*(35/1083),IF(C2898="Técnico II",SUMIFS($D:$D,$A:$A,$A2898,$B:$B,"&lt;&gt;Patrícia Karla de Sousa Araújo",$B:$B,"&lt;&gt;Lorena Dias de Araujo",$B:$B,"&lt;&gt;Lucas Luiz Romero")*(28/1083),IF(C2898="Técnico I",SUMIFS($D:$D,$A:$A,$A2898,$B:$B,"&lt;&gt;Patrícia Karla de Sousa Araújo",$B:$B,"&lt;&gt;Lorena Dias de Araujo",$B:$B,"&lt;&gt;Lucas Luiz Romero")*(23/1083),IF(C2898="JR",SUMIFS($D:$D,$A:$A,$A2898,$B:$B,"&lt;&gt;Patrícia Karla de Sousa Araújo",$B:$B,"&lt;&gt;Lorena Dias de Araujo",$B:$B,"&lt;&gt;Lucas Luiz Romero")*(20/1083),IF(C2898="Estágio",SUMIFS($D:$D,$A:$A,$A2898,$B:$B,"&lt;&gt;Patrícia Karla de Sousa Araújo",$B:$B,"&lt;&gt;Lorena Dias de Araujo",$B:$B,"&lt;&gt;Lucas Luiz Romero")*(10/1083),0)))))),0)</f>
        <v/>
      </c>
      <c r="K2898" s="3">
        <f>I2898-J2898</f>
        <v/>
      </c>
      <c r="L2898" s="3">
        <f>IF(K2898&lt;-5,"CRÍTICO",IF(K2898&lt;0,"ATENÇÃO",IF(K2898&lt;=5,"OPORTUNO","MUITO BOM")))</f>
        <v/>
      </c>
      <c r="M2898" s="3" t="n">
        <v>14</v>
      </c>
      <c r="N2898" s="3" t="n">
        <v>98.06</v>
      </c>
      <c r="O2898" s="12" t="n">
        <v>24.78991596638656</v>
      </c>
    </row>
    <row r="2899">
      <c r="A2899" s="10" t="n">
        <v>46092</v>
      </c>
      <c r="B2899" t="inlineStr">
        <is>
          <t>Francielson de Oliveira</t>
        </is>
      </c>
      <c r="C2899" s="1" t="inlineStr">
        <is>
          <t>Técnico III</t>
        </is>
      </c>
      <c r="D2899" s="3" t="n">
        <v>31</v>
      </c>
      <c r="E2899" s="3" t="n">
        <v>28</v>
      </c>
      <c r="F2899" s="3" t="n">
        <v>17.32</v>
      </c>
      <c r="G2899" s="3" t="n">
        <v>0</v>
      </c>
      <c r="H2899" s="3" t="n">
        <v>0</v>
      </c>
      <c r="I2899" s="3">
        <f>E2899+G2899+H2899</f>
        <v/>
      </c>
      <c r="J2899" s="3">
        <f>ROUND(MIN(IF(C2899="Técnico III",35,IF(C2899="Técnico II",28,IF(C2899="Técnico I",23,IF(C2899="JR",20,IF(C2899="Estágio",10,0))))),IF(C2899="Técnico III",SUMIFS($D:$D,$A:$A,$A2899,$B:$B,"&lt;&gt;Patrícia Karla de Sousa Araújo",$B:$B,"&lt;&gt;Lorena Dias de Araujo",$B:$B,"&lt;&gt;Lucas Luiz Romero")*(35/1083),IF(C2899="Técnico II",SUMIFS($D:$D,$A:$A,$A2899,$B:$B,"&lt;&gt;Patrícia Karla de Sousa Araújo",$B:$B,"&lt;&gt;Lorena Dias de Araujo",$B:$B,"&lt;&gt;Lucas Luiz Romero")*(28/1083),IF(C2899="Técnico I",SUMIFS($D:$D,$A:$A,$A2899,$B:$B,"&lt;&gt;Patrícia Karla de Sousa Araújo",$B:$B,"&lt;&gt;Lorena Dias de Araujo",$B:$B,"&lt;&gt;Lucas Luiz Romero")*(23/1083),IF(C2899="JR",SUMIFS($D:$D,$A:$A,$A2899,$B:$B,"&lt;&gt;Patrícia Karla de Sousa Araújo",$B:$B,"&lt;&gt;Lorena Dias de Araujo",$B:$B,"&lt;&gt;Lucas Luiz Romero")*(20/1083),IF(C2899="Estágio",SUMIFS($D:$D,$A:$A,$A2899,$B:$B,"&lt;&gt;Patrícia Karla de Sousa Araújo",$B:$B,"&lt;&gt;Lorena Dias de Araujo",$B:$B,"&lt;&gt;Lucas Luiz Romero")*(10/1083),0)))))),0)</f>
        <v/>
      </c>
      <c r="K2899" s="3">
        <f>I2899-J2899</f>
        <v/>
      </c>
      <c r="L2899" s="3">
        <f>IF(K2899&lt;-5,"CRÍTICO",IF(K2899&lt;0,"ATENÇÃO",IF(K2899&lt;=5,"OPORTUNO","MUITO BOM")))</f>
        <v/>
      </c>
      <c r="M2899" s="3" t="n">
        <v>26</v>
      </c>
      <c r="N2899" s="3" t="n">
        <v>97.78</v>
      </c>
      <c r="O2899" s="12" t="n">
        <v>25.49407114624506</v>
      </c>
    </row>
    <row r="2900">
      <c r="A2900" s="10" t="n">
        <v>46092</v>
      </c>
      <c r="B2900" t="inlineStr">
        <is>
          <t>Francilene Ferreira de Jesus</t>
        </is>
      </c>
      <c r="C2900" s="1" t="inlineStr">
        <is>
          <t>Técnico II</t>
        </is>
      </c>
      <c r="D2900" s="3" t="n">
        <v>46</v>
      </c>
      <c r="E2900" s="3" t="n">
        <v>33</v>
      </c>
      <c r="F2900" s="3" t="n">
        <v>14.02</v>
      </c>
      <c r="G2900" s="3" t="n">
        <v>0</v>
      </c>
      <c r="H2900" s="3" t="n">
        <v>0</v>
      </c>
      <c r="I2900" s="3">
        <f>E2900+G2900+H2900</f>
        <v/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/>
      </c>
      <c r="K2900" s="3">
        <f>I2900-J2900</f>
        <v/>
      </c>
      <c r="L2900" s="3">
        <f>IF(K2900&lt;-5,"CRÍTICO",IF(K2900&lt;0,"ATENÇÃO",IF(K2900&lt;=5,"OPORTUNO","MUITO BOM")))</f>
        <v/>
      </c>
      <c r="M2900" s="3" t="n">
        <v>27</v>
      </c>
      <c r="N2900" s="3" t="n">
        <v>98.02</v>
      </c>
      <c r="O2900" s="12" t="n">
        <v>23.48484848484848</v>
      </c>
    </row>
    <row r="2901">
      <c r="A2901" s="10" t="n">
        <v>46126</v>
      </c>
      <c r="B2901" t="inlineStr">
        <is>
          <t>Gabriel Gomes de Andrade</t>
        </is>
      </c>
      <c r="C2901" s="1" t="inlineStr">
        <is>
          <t>Técnico I</t>
        </is>
      </c>
      <c r="D2901" s="3" t="n">
        <v>33</v>
      </c>
      <c r="E2901" s="3" t="n">
        <v>29</v>
      </c>
      <c r="F2901" s="3" t="n">
        <v>13.25</v>
      </c>
      <c r="G2901" s="3" t="n">
        <v>0</v>
      </c>
      <c r="H2901" s="3" t="n">
        <v>0</v>
      </c>
      <c r="I2901" s="3">
        <f>E2901+G2901+H2901</f>
        <v/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/>
      </c>
      <c r="K2901" s="3">
        <f>I2901-J2901</f>
        <v/>
      </c>
      <c r="L2901" s="3">
        <f>IF(K2901&lt;-5,"CRÍTICO",IF(K2901&lt;0,"ATENÇÃO",IF(K2901&lt;=5,"OPORTUNO","MUITO BOM")))</f>
        <v/>
      </c>
      <c r="M2901" s="3" t="n">
        <v>27</v>
      </c>
      <c r="N2901" s="3" t="n">
        <v>99.28</v>
      </c>
      <c r="O2901" s="12" t="n">
        <v>27.68924302788844</v>
      </c>
    </row>
    <row r="2902">
      <c r="A2902" s="10" t="n">
        <v>46092</v>
      </c>
      <c r="B2902" t="inlineStr">
        <is>
          <t>Isabella Borges de Oliveira</t>
        </is>
      </c>
      <c r="C2902" s="1" t="inlineStr">
        <is>
          <t>Técnico II</t>
        </is>
      </c>
      <c r="D2902" s="3" t="n">
        <v>29</v>
      </c>
      <c r="E2902" s="3" t="n">
        <v>24</v>
      </c>
      <c r="F2902" s="3" t="n">
        <v>16.43</v>
      </c>
      <c r="G2902" s="3" t="n">
        <v>0</v>
      </c>
      <c r="H2902" s="3" t="n">
        <v>0</v>
      </c>
      <c r="I2902" s="3">
        <f>E2902+G2902+H2902</f>
        <v/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/>
      </c>
      <c r="K2902" s="3">
        <f>I2902-J2902</f>
        <v/>
      </c>
      <c r="L2902" s="3">
        <f>IF(K2902&lt;-5,"CRÍTICO",IF(K2902&lt;0,"ATENÇÃO",IF(K2902&lt;=5,"OPORTUNO","MUITO BOM")))</f>
        <v/>
      </c>
      <c r="M2902" s="3" t="n">
        <v>20</v>
      </c>
      <c r="N2902" s="3" t="n">
        <v>100</v>
      </c>
      <c r="O2902" s="12" t="n">
        <v>27.04918032786885</v>
      </c>
    </row>
    <row r="2903">
      <c r="A2903" s="10" t="n">
        <v>46092</v>
      </c>
      <c r="B2903" t="inlineStr">
        <is>
          <t>Janaina Lima dos Reis Urany</t>
        </is>
      </c>
      <c r="C2903" s="1" t="inlineStr">
        <is>
          <t>Técnico III</t>
        </is>
      </c>
      <c r="D2903" s="3" t="n">
        <v>43</v>
      </c>
      <c r="E2903" s="3" t="n">
        <v>39</v>
      </c>
      <c r="F2903" s="3" t="n">
        <v>17.24</v>
      </c>
      <c r="G2903" s="3" t="n">
        <v>0</v>
      </c>
      <c r="H2903" s="3" t="n">
        <v>0</v>
      </c>
      <c r="I2903" s="3">
        <f>E2903+G2903+H2903</f>
        <v/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/>
      </c>
      <c r="K2903" s="3">
        <f>I2903-J2903</f>
        <v/>
      </c>
      <c r="L2903" s="3">
        <f>IF(K2903&lt;-5,"CRÍTICO",IF(K2903&lt;0,"ATENÇÃO",IF(K2903&lt;=5,"OPORTUNO","MUITO BOM")))</f>
        <v/>
      </c>
      <c r="M2903" s="3" t="n">
        <v>33</v>
      </c>
      <c r="N2903" s="3" t="n">
        <v>97.83</v>
      </c>
      <c r="O2903" s="12" t="n">
        <v>26.31578947368421</v>
      </c>
    </row>
    <row r="2904">
      <c r="A2904" s="10" t="n">
        <v>46092</v>
      </c>
      <c r="B2904" t="inlineStr">
        <is>
          <t>Jaqueline Evangelista da Silva Martins</t>
        </is>
      </c>
      <c r="C2904" s="1" t="inlineStr">
        <is>
          <t>Técnico III</t>
        </is>
      </c>
      <c r="D2904" s="3" t="n">
        <v>0</v>
      </c>
      <c r="E2904" s="3" t="n">
        <v>0</v>
      </c>
      <c r="F2904" s="3" t="n">
        <v>0</v>
      </c>
      <c r="G2904" s="3" t="n">
        <v>0</v>
      </c>
      <c r="H2904" s="3" t="n">
        <v>0</v>
      </c>
      <c r="I2904" s="3" t="n">
        <v>0</v>
      </c>
      <c r="J2904" s="3" t="n">
        <v>0</v>
      </c>
      <c r="K2904" s="3" t="n">
        <v>0</v>
      </c>
      <c r="L2904" s="3">
        <f>IF(K2904&lt;-5,"CRÍTICO",IF(K2904&lt;0,"ATENÇÃO",IF(K2904&lt;=5,"OPORTUNO","MUITO BOM")))</f>
        <v/>
      </c>
      <c r="M2904" s="3" t="n">
        <v>6</v>
      </c>
      <c r="N2904" s="3" t="n">
        <v>100</v>
      </c>
      <c r="O2904" s="12" t="n">
        <v>26.70157068062827</v>
      </c>
    </row>
    <row r="2905">
      <c r="A2905" s="10" t="n">
        <v>46092</v>
      </c>
      <c r="B2905" t="inlineStr">
        <is>
          <t>Jessica Faria da Silveira</t>
        </is>
      </c>
      <c r="C2905" s="1" t="inlineStr">
        <is>
          <t>Técnico II</t>
        </is>
      </c>
      <c r="D2905" s="3" t="n">
        <v>29</v>
      </c>
      <c r="E2905" s="3" t="n">
        <v>24</v>
      </c>
      <c r="F2905" s="3" t="n">
        <v>20.36</v>
      </c>
      <c r="G2905" s="3" t="n">
        <v>0</v>
      </c>
      <c r="H2905" s="3" t="n">
        <v>0</v>
      </c>
      <c r="I2905" s="3">
        <f>E2905+G2905+H2905</f>
        <v/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/>
      </c>
      <c r="K2905" s="3">
        <f>I2905-J2905</f>
        <v/>
      </c>
      <c r="L2905" s="3">
        <f>IF(K2905&lt;-5,"CRÍTICO",IF(K2905&lt;0,"ATENÇÃO",IF(K2905&lt;=5,"OPORTUNO","MUITO BOM")))</f>
        <v/>
      </c>
      <c r="M2905" s="3" t="n">
        <v>19</v>
      </c>
      <c r="N2905" s="3" t="n">
        <v>97.47</v>
      </c>
      <c r="O2905" s="12" t="n">
        <v>22.88732394366197</v>
      </c>
    </row>
    <row r="2906">
      <c r="A2906" s="10" t="n">
        <v>46092</v>
      </c>
      <c r="B2906" t="inlineStr">
        <is>
          <t>Jéssica Fé Moura</t>
        </is>
      </c>
      <c r="C2906" s="1" t="inlineStr">
        <is>
          <t>Técnico III</t>
        </is>
      </c>
      <c r="D2906" s="3" t="n">
        <v>0</v>
      </c>
      <c r="E2906" s="3" t="n">
        <v>0</v>
      </c>
      <c r="F2906" s="3" t="n">
        <v>0</v>
      </c>
      <c r="G2906" s="3" t="n">
        <v>0</v>
      </c>
      <c r="H2906" s="3" t="n">
        <v>0</v>
      </c>
      <c r="I2906" s="3" t="n">
        <v>0</v>
      </c>
      <c r="J2906" s="3" t="n">
        <v>0</v>
      </c>
      <c r="K2906" s="3" t="n">
        <v>0</v>
      </c>
      <c r="L2906" s="3">
        <f>IF(K2906&lt;-5,"CRÍTICO",IF(K2906&lt;0,"ATENÇÃO",IF(K2906&lt;=5,"OPORTUNO","MUITO BOM")))</f>
        <v/>
      </c>
      <c r="M2906" s="3" t="n">
        <v>0</v>
      </c>
      <c r="N2906" s="3" t="n">
        <v>0</v>
      </c>
      <c r="O2906" s="12" t="n">
        <v>0</v>
      </c>
    </row>
    <row r="2907">
      <c r="A2907" s="10" t="n">
        <v>46092</v>
      </c>
      <c r="B2907" t="inlineStr">
        <is>
          <t>Karina Gonçalves Martins</t>
        </is>
      </c>
      <c r="C2907" s="1" t="inlineStr">
        <is>
          <t>JR</t>
        </is>
      </c>
      <c r="D2907" s="3" t="n">
        <v>6</v>
      </c>
      <c r="E2907" s="3" t="n">
        <v>6</v>
      </c>
      <c r="F2907" s="3" t="n">
        <v>55.21</v>
      </c>
      <c r="G2907" s="3" t="n">
        <v>0</v>
      </c>
      <c r="H2907" s="3" t="n">
        <v>0</v>
      </c>
      <c r="I2907" s="3">
        <f>E2907+G2907+H2907</f>
        <v/>
      </c>
      <c r="J2907" s="3">
        <f>ROUND(MIN(IF(C2907="Técnico III",35,IF(C2907="Técnico II",28,IF(C2907="Técnico I",23,IF(C2907="JR",20,IF(C2907="Estágio",10,0))))),IF(C2907="Técnico III",SUMIFS($D:$D,$A:$A,$A2907,$B:$B,"&lt;&gt;Patrícia Karla de Sousa Araújo",$B:$B,"&lt;&gt;Lorena Dias de Araujo",$B:$B,"&lt;&gt;Lucas Luiz Romero")*(35/1083),IF(C2907="Técnico II",SUMIFS($D:$D,$A:$A,$A2907,$B:$B,"&lt;&gt;Patrícia Karla de Sousa Araújo",$B:$B,"&lt;&gt;Lorena Dias de Araujo",$B:$B,"&lt;&gt;Lucas Luiz Romero")*(28/1083),IF(C2907="Técnico I",SUMIFS($D:$D,$A:$A,$A2907,$B:$B,"&lt;&gt;Patrícia Karla de Sousa Araújo",$B:$B,"&lt;&gt;Lorena Dias de Araujo",$B:$B,"&lt;&gt;Lucas Luiz Romero")*(23/1083),IF(C2907="JR",SUMIFS($D:$D,$A:$A,$A2907,$B:$B,"&lt;&gt;Patrícia Karla de Sousa Araújo",$B:$B,"&lt;&gt;Lorena Dias de Araujo",$B:$B,"&lt;&gt;Lucas Luiz Romero")*(20/1083),IF(C2907="Estágio",SUMIFS($D:$D,$A:$A,$A2907,$B:$B,"&lt;&gt;Patrícia Karla de Sousa Araújo",$B:$B,"&lt;&gt;Lorena Dias de Araujo",$B:$B,"&lt;&gt;Lucas Luiz Romero")*(10/1083),0)))))),0)</f>
        <v/>
      </c>
      <c r="K2907" s="3">
        <f>I2907-J2907</f>
        <v/>
      </c>
      <c r="L2907" s="3">
        <f>IF(K2907&lt;-5,"CRÍTICO",IF(K2907&lt;0,"ATENÇÃO",IF(K2907&lt;=5,"OPORTUNO","MUITO BOM")))</f>
        <v/>
      </c>
      <c r="M2907" s="3" t="n">
        <v>6</v>
      </c>
      <c r="N2907" s="3" t="n">
        <v>98.31</v>
      </c>
      <c r="O2907" s="12" t="n">
        <v>24.92012779552715</v>
      </c>
    </row>
    <row r="2908">
      <c r="A2908" s="10" t="n">
        <v>46092</v>
      </c>
      <c r="B2908" t="inlineStr">
        <is>
          <t>Kerollen Cristielly de Jesus Siqueira</t>
        </is>
      </c>
      <c r="C2908" s="1" t="inlineStr">
        <is>
          <t>Técnico III</t>
        </is>
      </c>
      <c r="D2908" s="3" t="n">
        <v>0</v>
      </c>
      <c r="E2908" s="3" t="n">
        <v>0</v>
      </c>
      <c r="F2908" s="3" t="n">
        <v>0</v>
      </c>
      <c r="G2908" s="3" t="n">
        <v>0</v>
      </c>
      <c r="H2908" s="3" t="n">
        <v>0</v>
      </c>
      <c r="I2908" s="3" t="n">
        <v>0</v>
      </c>
      <c r="J2908" s="3" t="n">
        <v>0</v>
      </c>
      <c r="K2908" s="3" t="n">
        <v>0</v>
      </c>
      <c r="L2908" s="3">
        <f>IF(K2908&lt;-5,"CRÍTICO",IF(K2908&lt;0,"ATENÇÃO",IF(K2908&lt;=5,"OPORTUNO","MUITO BOM")))</f>
        <v/>
      </c>
      <c r="M2908" s="3" t="n">
        <v>1</v>
      </c>
      <c r="N2908" s="3" t="n">
        <v>96.81</v>
      </c>
      <c r="O2908" s="12" t="n">
        <v>32.36514522821577</v>
      </c>
    </row>
    <row r="2909">
      <c r="A2909" s="10" t="n">
        <v>46092</v>
      </c>
      <c r="B2909" t="inlineStr">
        <is>
          <t>Leandro de Souza Silva</t>
        </is>
      </c>
      <c r="C2909" s="1" t="inlineStr">
        <is>
          <t>JR</t>
        </is>
      </c>
      <c r="D2909" s="3" t="n">
        <v>12</v>
      </c>
      <c r="E2909" s="3" t="n">
        <v>11</v>
      </c>
      <c r="F2909" s="3" t="n">
        <v>45</v>
      </c>
      <c r="G2909" s="3" t="n">
        <v>0</v>
      </c>
      <c r="H2909" s="3" t="n">
        <v>0</v>
      </c>
      <c r="I2909" s="3">
        <f>E2909+G2909+H2909</f>
        <v/>
      </c>
      <c r="J2909" s="3">
        <f>ROUND(MIN(IF(C2909="Técnico III",35,IF(C2909="Técnico II",28,IF(C2909="Técnico I",23,IF(C2909="JR",20,IF(C2909="Estágio",10,0))))),IF(C2909="Técnico III",SUMIFS($D:$D,$A:$A,$A2909,$B:$B,"&lt;&gt;Patrícia Karla de Sousa Araújo",$B:$B,"&lt;&gt;Lorena Dias de Araujo",$B:$B,"&lt;&gt;Lucas Luiz Romero")*(35/1083),IF(C2909="Técnico II",SUMIFS($D:$D,$A:$A,$A2909,$B:$B,"&lt;&gt;Patrícia Karla de Sousa Araújo",$B:$B,"&lt;&gt;Lorena Dias de Araujo",$B:$B,"&lt;&gt;Lucas Luiz Romero")*(28/1083),IF(C2909="Técnico I",SUMIFS($D:$D,$A:$A,$A2909,$B:$B,"&lt;&gt;Patrícia Karla de Sousa Araújo",$B:$B,"&lt;&gt;Lorena Dias de Araujo",$B:$B,"&lt;&gt;Lucas Luiz Romero")*(23/1083),IF(C2909="JR",SUMIFS($D:$D,$A:$A,$A2909,$B:$B,"&lt;&gt;Patrícia Karla de Sousa Araújo",$B:$B,"&lt;&gt;Lorena Dias de Araujo",$B:$B,"&lt;&gt;Lucas Luiz Romero")*(20/1083),IF(C2909="Estágio",SUMIFS($D:$D,$A:$A,$A2909,$B:$B,"&lt;&gt;Patrícia Karla de Sousa Araújo",$B:$B,"&lt;&gt;Lorena Dias de Araujo",$B:$B,"&lt;&gt;Lucas Luiz Romero")*(10/1083),0)))))),0)</f>
        <v/>
      </c>
      <c r="K2909" s="3">
        <f>I2909-J2909</f>
        <v/>
      </c>
      <c r="L2909" s="3">
        <f>IF(K2909&lt;-5,"CRÍTICO",IF(K2909&lt;0,"ATENÇÃO",IF(K2909&lt;=5,"OPORTUNO","MUITO BOM")))</f>
        <v/>
      </c>
      <c r="M2909" s="3" t="n">
        <v>7</v>
      </c>
      <c r="N2909" s="3" t="n">
        <v>100</v>
      </c>
      <c r="O2909" s="12" t="n">
        <v>26.47058823529412</v>
      </c>
    </row>
    <row r="2910">
      <c r="A2910" s="10" t="n">
        <v>46092</v>
      </c>
      <c r="B2910" t="inlineStr">
        <is>
          <t>Leandro Oliveira de Sousa</t>
        </is>
      </c>
      <c r="C2910" s="1" t="inlineStr">
        <is>
          <t>Técnico III</t>
        </is>
      </c>
      <c r="D2910" s="3" t="n">
        <v>0</v>
      </c>
      <c r="E2910" s="3" t="n">
        <v>0</v>
      </c>
      <c r="F2910" s="3" t="n">
        <v>0</v>
      </c>
      <c r="G2910" s="3" t="n">
        <v>0</v>
      </c>
      <c r="H2910" s="3" t="n">
        <v>0</v>
      </c>
      <c r="I2910" s="3" t="n">
        <v>0</v>
      </c>
      <c r="J2910" s="3" t="n">
        <v>0</v>
      </c>
      <c r="K2910" s="3" t="n">
        <v>0</v>
      </c>
      <c r="L2910" s="3">
        <f>IF(K2910&lt;-5,"CRÍTICO",IF(K2910&lt;0,"ATENÇÃO",IF(K2910&lt;=5,"OPORTUNO","MUITO BOM")))</f>
        <v/>
      </c>
      <c r="M2910" s="3" t="n">
        <v>5</v>
      </c>
      <c r="N2910" s="3" t="n">
        <v>100</v>
      </c>
      <c r="O2910" s="12" t="n">
        <v>28.49002849002849</v>
      </c>
    </row>
    <row r="2911">
      <c r="A2911" s="10" t="n">
        <v>46092</v>
      </c>
      <c r="B2911" t="inlineStr">
        <is>
          <t>Lizandra Gomes Duarte</t>
        </is>
      </c>
      <c r="C2911" s="1" t="inlineStr">
        <is>
          <t>Técnico II</t>
        </is>
      </c>
      <c r="D2911" s="3" t="n">
        <v>36</v>
      </c>
      <c r="E2911" s="3" t="n">
        <v>34</v>
      </c>
      <c r="F2911" s="3" t="n">
        <v>17.37</v>
      </c>
      <c r="G2911" s="3" t="n">
        <v>0</v>
      </c>
      <c r="H2911" s="3" t="n">
        <v>0</v>
      </c>
      <c r="I2911" s="3">
        <f>E2911+G2911+H2911</f>
        <v/>
      </c>
      <c r="J2911" s="3">
        <f>ROUND(MIN(IF(C2911="Técnico III",35,IF(C2911="Técnico II",28,IF(C2911="Técnico I",23,IF(C2911="JR",20,IF(C2911="Estágio",10,0))))),IF(C2911="Técnico III",SUMIFS($D:$D,$A:$A,$A2911,$B:$B,"&lt;&gt;Patrícia Karla de Sousa Araújo",$B:$B,"&lt;&gt;Lorena Dias de Araujo",$B:$B,"&lt;&gt;Lucas Luiz Romero")*(35/1083),IF(C2911="Técnico II",SUMIFS($D:$D,$A:$A,$A2911,$B:$B,"&lt;&gt;Patrícia Karla de Sousa Araújo",$B:$B,"&lt;&gt;Lorena Dias de Araujo",$B:$B,"&lt;&gt;Lucas Luiz Romero")*(28/1083),IF(C2911="Técnico I",SUMIFS($D:$D,$A:$A,$A2911,$B:$B,"&lt;&gt;Patrícia Karla de Sousa Araújo",$B:$B,"&lt;&gt;Lorena Dias de Araujo",$B:$B,"&lt;&gt;Lucas Luiz Romero")*(23/1083),IF(C2911="JR",SUMIFS($D:$D,$A:$A,$A2911,$B:$B,"&lt;&gt;Patrícia Karla de Sousa Araújo",$B:$B,"&lt;&gt;Lorena Dias de Araujo",$B:$B,"&lt;&gt;Lucas Luiz Romero")*(20/1083),IF(C2911="Estágio",SUMIFS($D:$D,$A:$A,$A2911,$B:$B,"&lt;&gt;Patrícia Karla de Sousa Araújo",$B:$B,"&lt;&gt;Lorena Dias de Araujo",$B:$B,"&lt;&gt;Lucas Luiz Romero")*(10/1083),0)))))),0)</f>
        <v/>
      </c>
      <c r="K2911" s="3">
        <f>I2911-J2911</f>
        <v/>
      </c>
      <c r="L2911" s="3">
        <f>IF(K2911&lt;-5,"CRÍTICO",IF(K2911&lt;0,"ATENÇÃO",IF(K2911&lt;=5,"OPORTUNO","MUITO BOM")))</f>
        <v/>
      </c>
      <c r="M2911" s="3" t="n">
        <v>18</v>
      </c>
      <c r="N2911" s="3" t="n">
        <v>99.14</v>
      </c>
      <c r="O2911" s="12" t="n">
        <v>27.2289156626506</v>
      </c>
    </row>
    <row r="2912">
      <c r="A2912" s="10" t="n">
        <v>46092</v>
      </c>
      <c r="B2912" t="inlineStr">
        <is>
          <t>Lorena Dias de Araujo</t>
        </is>
      </c>
      <c r="C2912" s="1" t="inlineStr">
        <is>
          <t>Técnico II</t>
        </is>
      </c>
      <c r="D2912" s="3" t="n">
        <v>29</v>
      </c>
      <c r="E2912" s="3" t="n">
        <v>26</v>
      </c>
      <c r="F2912" s="3" t="n">
        <v>20.59</v>
      </c>
      <c r="G2912" s="3" t="n">
        <v>0</v>
      </c>
      <c r="H2912" s="3" t="n">
        <v>0</v>
      </c>
      <c r="I2912" s="3" t="n">
        <v>0</v>
      </c>
      <c r="J2912" s="3" t="n">
        <v>0</v>
      </c>
      <c r="K2912" s="3" t="n">
        <v>0</v>
      </c>
      <c r="L2912" s="3">
        <f>IF(K2912&lt;-5,"CRÍTICO",IF(K2912&lt;0,"ATENÇÃO",IF(K2912&lt;=5,"OPORTUNO","MUITO BOM")))</f>
        <v/>
      </c>
      <c r="M2912" s="3" t="n">
        <v>18</v>
      </c>
      <c r="N2912" s="3" t="n">
        <v>97.52</v>
      </c>
      <c r="O2912" s="12" t="n">
        <v>28.2051282051282</v>
      </c>
    </row>
    <row r="2913">
      <c r="A2913" s="10" t="n">
        <v>46092</v>
      </c>
      <c r="B2913" t="inlineStr">
        <is>
          <t>Lucas Luiz Romero</t>
        </is>
      </c>
      <c r="C2913" s="1" t="inlineStr">
        <is>
          <t>Técnico III</t>
        </is>
      </c>
      <c r="D2913" s="3" t="n">
        <v>60</v>
      </c>
      <c r="E2913" s="3" t="n">
        <v>50</v>
      </c>
      <c r="F2913" s="3" t="n">
        <v>12.09</v>
      </c>
      <c r="G2913" s="3" t="n">
        <v>0</v>
      </c>
      <c r="H2913" s="3" t="n">
        <v>0</v>
      </c>
      <c r="I2913" s="3">
        <f>E2913+G2913+H2913</f>
        <v/>
      </c>
      <c r="J2913" s="3">
        <f>ROUND(MIN(IF(C2913="Técnico III",35,IF(C2913="Técnico II",28,IF(C2913="Técnico I",23,IF(C2913="JR",20,IF(C2913="Estágio",10,0))))),IF(C2913="Técnico III",SUMIFS($D:$D,$A:$A,$A2913,$B:$B,"&lt;&gt;Patrícia Karla de Sousa Araújo",$B:$B,"&lt;&gt;Lorena Dias de Araujo",$B:$B,"&lt;&gt;Lucas Luiz Romero")*(35/1083),IF(C2913="Técnico II",SUMIFS($D:$D,$A:$A,$A2913,$B:$B,"&lt;&gt;Patrícia Karla de Sousa Araújo",$B:$B,"&lt;&gt;Lorena Dias de Araujo",$B:$B,"&lt;&gt;Lucas Luiz Romero")*(28/1083),IF(C2913="Técnico I",SUMIFS($D:$D,$A:$A,$A2913,$B:$B,"&lt;&gt;Patrícia Karla de Sousa Araújo",$B:$B,"&lt;&gt;Lorena Dias de Araujo",$B:$B,"&lt;&gt;Lucas Luiz Romero")*(23/1083),IF(C2913="JR",SUMIFS($D:$D,$A:$A,$A2913,$B:$B,"&lt;&gt;Patrícia Karla de Sousa Araújo",$B:$B,"&lt;&gt;Lorena Dias de Araujo",$B:$B,"&lt;&gt;Lucas Luiz Romero")*(20/1083),IF(C2913="Estágio",SUMIFS($D:$D,$A:$A,$A2913,$B:$B,"&lt;&gt;Patrícia Karla de Sousa Araújo",$B:$B,"&lt;&gt;Lorena Dias de Araujo",$B:$B,"&lt;&gt;Lucas Luiz Romero")*(10/1083),0)))))),0)</f>
        <v/>
      </c>
      <c r="K2913" s="3">
        <f>I2913-J2913</f>
        <v/>
      </c>
      <c r="L2913" s="3">
        <f>IF(K2913&lt;-5,"CRÍTICO",IF(K2913&lt;0,"ATENÇÃO",IF(K2913&lt;=5,"OPORTUNO","MUITO BOM")))</f>
        <v/>
      </c>
      <c r="M2913" s="3" t="n">
        <v>25</v>
      </c>
      <c r="N2913" s="3" t="n">
        <v>90</v>
      </c>
      <c r="O2913" s="12" t="n">
        <v>24.18604651162791</v>
      </c>
    </row>
    <row r="2914">
      <c r="A2914" s="10" t="n">
        <v>46092</v>
      </c>
      <c r="B2914" t="inlineStr">
        <is>
          <t>Luiz Fernando de Carvalho Junior</t>
        </is>
      </c>
      <c r="C2914" s="1" t="inlineStr">
        <is>
          <t>Técnico I</t>
        </is>
      </c>
      <c r="D2914" s="3" t="n">
        <v>15</v>
      </c>
      <c r="E2914" s="3" t="n">
        <v>14</v>
      </c>
      <c r="F2914" s="3" t="n">
        <v>38.46</v>
      </c>
      <c r="G2914" s="3" t="n">
        <v>0</v>
      </c>
      <c r="H2914" s="3" t="n">
        <v>0</v>
      </c>
      <c r="I2914" s="3">
        <f>E2914+G2914+H2914</f>
        <v/>
      </c>
      <c r="J2914" s="3">
        <f>ROUND(MIN(IF(C2914="Técnico III",35,IF(C2914="Técnico II",28,IF(C2914="Técnico I",23,IF(C2914="JR",20,IF(C2914="Estágio",10,0))))),IF(C2914="Técnico III",SUMIFS($D:$D,$A:$A,$A2914,$B:$B,"&lt;&gt;Patrícia Karla de Sousa Araújo",$B:$B,"&lt;&gt;Lorena Dias de Araujo",$B:$B,"&lt;&gt;Lucas Luiz Romero")*(35/1083),IF(C2914="Técnico II",SUMIFS($D:$D,$A:$A,$A2914,$B:$B,"&lt;&gt;Patrícia Karla de Sousa Araújo",$B:$B,"&lt;&gt;Lorena Dias de Araujo",$B:$B,"&lt;&gt;Lucas Luiz Romero")*(28/1083),IF(C2914="Técnico I",SUMIFS($D:$D,$A:$A,$A2914,$B:$B,"&lt;&gt;Patrícia Karla de Sousa Araújo",$B:$B,"&lt;&gt;Lorena Dias de Araujo",$B:$B,"&lt;&gt;Lucas Luiz Romero")*(23/1083),IF(C2914="JR",SUMIFS($D:$D,$A:$A,$A2914,$B:$B,"&lt;&gt;Patrícia Karla de Sousa Araújo",$B:$B,"&lt;&gt;Lorena Dias de Araujo",$B:$B,"&lt;&gt;Lucas Luiz Romero")*(20/1083),IF(C2914="Estágio",SUMIFS($D:$D,$A:$A,$A2914,$B:$B,"&lt;&gt;Patrícia Karla de Sousa Araújo",$B:$B,"&lt;&gt;Lorena Dias de Araujo",$B:$B,"&lt;&gt;Lucas Luiz Romero")*(10/1083),0)))))),0)</f>
        <v/>
      </c>
      <c r="K2914" s="3">
        <f>I2914-J2914</f>
        <v/>
      </c>
      <c r="L2914" s="3">
        <f>IF(K2914&lt;-5,"CRÍTICO",IF(K2914&lt;0,"ATENÇÃO",IF(K2914&lt;=5,"OPORTUNO","MUITO BOM")))</f>
        <v/>
      </c>
      <c r="M2914" s="3" t="n">
        <v>12</v>
      </c>
      <c r="N2914" s="3" t="n">
        <v>98.90000000000001</v>
      </c>
      <c r="O2914" s="12" t="n">
        <v>26.7639902676399</v>
      </c>
    </row>
    <row r="2915">
      <c r="A2915" s="10" t="n">
        <v>46092</v>
      </c>
      <c r="B2915" t="inlineStr">
        <is>
          <t>Maria Eduarda Sousa Costa</t>
        </is>
      </c>
      <c r="C2915" s="1" t="inlineStr">
        <is>
          <t>Estágio</t>
        </is>
      </c>
      <c r="D2915" s="3" t="n">
        <v>0</v>
      </c>
      <c r="E2915" s="3" t="n">
        <v>0</v>
      </c>
      <c r="F2915" s="3" t="n">
        <v>0</v>
      </c>
      <c r="G2915" s="3" t="n">
        <v>0</v>
      </c>
      <c r="H2915" s="3" t="n">
        <v>0</v>
      </c>
      <c r="I2915" s="3" t="n">
        <v>0</v>
      </c>
      <c r="J2915" s="3" t="n">
        <v>0</v>
      </c>
      <c r="K2915" s="3" t="n">
        <v>0</v>
      </c>
      <c r="L2915" s="3">
        <f>IF(K2915&lt;-5,"CRÍTICO",IF(K2915&lt;0,"ATENÇÃO",IF(K2915&lt;=5,"OPORTUNO","MUITO BOM")))</f>
        <v/>
      </c>
      <c r="M2915" s="3" t="n">
        <v>0</v>
      </c>
      <c r="N2915" s="3" t="n">
        <v>88.89</v>
      </c>
      <c r="O2915" s="12" t="n">
        <v>25.26315789473684</v>
      </c>
    </row>
    <row r="2916">
      <c r="A2916" s="10" t="n">
        <v>46112</v>
      </c>
      <c r="B2916" t="inlineStr">
        <is>
          <t>Matheus Farias De Souza</t>
        </is>
      </c>
      <c r="C2916" s="1" t="inlineStr">
        <is>
          <t>Técnico III</t>
        </is>
      </c>
      <c r="D2916" s="3" t="n">
        <v>34</v>
      </c>
      <c r="E2916" s="3" t="n">
        <v>30</v>
      </c>
      <c r="F2916" s="3" t="n">
        <v>15.39</v>
      </c>
      <c r="G2916" s="3" t="n">
        <v>0</v>
      </c>
      <c r="H2916" s="3" t="n">
        <v>0</v>
      </c>
      <c r="I2916" s="3">
        <f>E2916+G2916+H2916</f>
        <v/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/>
      </c>
      <c r="K2916" s="3">
        <f>I2916-J2916</f>
        <v/>
      </c>
      <c r="L2916" s="3">
        <f>IF(K2916&lt;-5,"CRÍTICO",IF(K2916&lt;0,"ATENÇÃO",IF(K2916&lt;=5,"OPORTUNO","MUITO BOM")))</f>
        <v/>
      </c>
      <c r="M2916" s="3" t="n">
        <v>28</v>
      </c>
      <c r="N2916" s="3" t="n">
        <v>98.86</v>
      </c>
      <c r="O2916" s="12" t="n">
        <v>28.95927601809955</v>
      </c>
    </row>
    <row r="2917">
      <c r="A2917" s="10" t="n">
        <v>46092</v>
      </c>
      <c r="B2917" t="inlineStr">
        <is>
          <t>Maysa Victoria Dias Moura</t>
        </is>
      </c>
      <c r="C2917" s="1" t="inlineStr">
        <is>
          <t>Técnico III</t>
        </is>
      </c>
      <c r="D2917" s="3" t="n">
        <v>33</v>
      </c>
      <c r="E2917" s="3" t="n">
        <v>29</v>
      </c>
      <c r="F2917" s="3" t="n">
        <v>17.15</v>
      </c>
      <c r="G2917" s="3" t="n">
        <v>0</v>
      </c>
      <c r="H2917" s="3" t="n">
        <v>0</v>
      </c>
      <c r="I2917" s="3">
        <f>E2917+G2917+H2917</f>
        <v/>
      </c>
      <c r="J2917" s="3">
        <f>ROUND(MIN(IF(C2917="Técnico III",35,IF(C2917="Técnico II",28,IF(C2917="Técnico I",23,IF(C2917="JR",20,IF(C2917="Estágio",10,0))))),IF(C2917="Técnico III",SUMIFS($D:$D,$A:$A,$A2917,$B:$B,"&lt;&gt;Patrícia Karla de Sousa Araújo",$B:$B,"&lt;&gt;Lorena Dias de Araujo",$B:$B,"&lt;&gt;Lucas Luiz Romero")*(35/1083),IF(C2917="Técnico II",SUMIFS($D:$D,$A:$A,$A2917,$B:$B,"&lt;&gt;Patrícia Karla de Sousa Araújo",$B:$B,"&lt;&gt;Lorena Dias de Araujo",$B:$B,"&lt;&gt;Lucas Luiz Romero")*(28/1083),IF(C2917="Técnico I",SUMIFS($D:$D,$A:$A,$A2917,$B:$B,"&lt;&gt;Patrícia Karla de Sousa Araújo",$B:$B,"&lt;&gt;Lorena Dias de Araujo",$B:$B,"&lt;&gt;Lucas Luiz Romero")*(23/1083),IF(C2917="JR",SUMIFS($D:$D,$A:$A,$A2917,$B:$B,"&lt;&gt;Patrícia Karla de Sousa Araújo",$B:$B,"&lt;&gt;Lorena Dias de Araujo",$B:$B,"&lt;&gt;Lucas Luiz Romero")*(20/1083),IF(C2917="Estágio",SUMIFS($D:$D,$A:$A,$A2917,$B:$B,"&lt;&gt;Patrícia Karla de Sousa Araújo",$B:$B,"&lt;&gt;Lorena Dias de Araujo",$B:$B,"&lt;&gt;Lucas Luiz Romero")*(10/1083),0)))))),0)</f>
        <v/>
      </c>
      <c r="K2917" s="3">
        <f>I2917-J2917</f>
        <v/>
      </c>
      <c r="L2917" s="3">
        <f>IF(K2917&lt;-5,"CRÍTICO",IF(K2917&lt;0,"ATENÇÃO",IF(K2917&lt;=5,"OPORTUNO","MUITO BOM")))</f>
        <v/>
      </c>
      <c r="M2917" s="3" t="n">
        <v>23</v>
      </c>
      <c r="N2917" s="3" t="n">
        <v>98.06</v>
      </c>
      <c r="O2917" s="12" t="n">
        <v>22.40566037735849</v>
      </c>
    </row>
    <row r="2918">
      <c r="A2918" s="10" t="n">
        <v>46120</v>
      </c>
      <c r="B2918" t="inlineStr">
        <is>
          <t>Michelle G Santos</t>
        </is>
      </c>
      <c r="C2918" s="1" t="inlineStr">
        <is>
          <t>Estágio</t>
        </is>
      </c>
      <c r="D2918" s="3" t="n">
        <v>6</v>
      </c>
      <c r="E2918" s="3" t="n">
        <v>5</v>
      </c>
      <c r="F2918" s="3" t="n">
        <v>20.09</v>
      </c>
      <c r="G2918" s="3" t="n">
        <v>0</v>
      </c>
      <c r="H2918" s="3" t="n">
        <v>0</v>
      </c>
      <c r="I2918" s="3">
        <f>E2918+G2918+H2918</f>
        <v/>
      </c>
      <c r="J2918" s="3">
        <f>ROUND(MIN(IF(C2918="Técnico III",35,IF(C2918="Técnico II",28,IF(C2918="Técnico I",23,IF(C2918="JR",20,IF(C2918="Estágio",10,0))))),IF(C2918="Técnico III",SUMIFS($D:$D,$A:$A,$A2918,$B:$B,"&lt;&gt;Patrícia Karla de Sousa Araújo",$B:$B,"&lt;&gt;Lorena Dias de Araujo",$B:$B,"&lt;&gt;Lucas Luiz Romero")*(35/1083),IF(C2918="Técnico II",SUMIFS($D:$D,$A:$A,$A2918,$B:$B,"&lt;&gt;Patrícia Karla de Sousa Araújo",$B:$B,"&lt;&gt;Lorena Dias de Araujo",$B:$B,"&lt;&gt;Lucas Luiz Romero")*(28/1083),IF(C2918="Técnico I",SUMIFS($D:$D,$A:$A,$A2918,$B:$B,"&lt;&gt;Patrícia Karla de Sousa Araújo",$B:$B,"&lt;&gt;Lorena Dias de Araujo",$B:$B,"&lt;&gt;Lucas Luiz Romero")*(23/1083),IF(C2918="JR",SUMIFS($D:$D,$A:$A,$A2918,$B:$B,"&lt;&gt;Patrícia Karla de Sousa Araújo",$B:$B,"&lt;&gt;Lorena Dias de Araujo",$B:$B,"&lt;&gt;Lucas Luiz Romero")*(20/1083),IF(C2918="Estágio",SUMIFS($D:$D,$A:$A,$A2918,$B:$B,"&lt;&gt;Patrícia Karla de Sousa Araújo",$B:$B,"&lt;&gt;Lorena Dias de Araujo",$B:$B,"&lt;&gt;Lucas Luiz Romero")*(10/1083),0)))))),0)</f>
        <v/>
      </c>
      <c r="K2918" s="3">
        <f>I2918-J2918</f>
        <v/>
      </c>
      <c r="L2918" s="3">
        <f>IF(K2918&lt;-5,"CRÍTICO",IF(K2918&lt;0,"ATENÇÃO",IF(K2918&lt;=5,"OPORTUNO","MUITO BOM")))</f>
        <v/>
      </c>
      <c r="M2918" s="3" t="n">
        <v>2</v>
      </c>
      <c r="N2918" s="3" t="n">
        <v>100</v>
      </c>
      <c r="O2918" s="12" t="n">
        <v>23.77622377622378</v>
      </c>
    </row>
    <row r="2919">
      <c r="A2919" s="10" t="n">
        <v>46092</v>
      </c>
      <c r="B2919" t="inlineStr">
        <is>
          <t>Milena Sales</t>
        </is>
      </c>
      <c r="C2919" s="1" t="inlineStr">
        <is>
          <t>JR</t>
        </is>
      </c>
      <c r="D2919" s="3" t="n">
        <v>0</v>
      </c>
      <c r="E2919" s="3" t="n">
        <v>0</v>
      </c>
      <c r="F2919" s="3" t="n">
        <v>0</v>
      </c>
      <c r="G2919" s="3" t="n">
        <v>0</v>
      </c>
      <c r="H2919" s="3" t="n">
        <v>0</v>
      </c>
      <c r="I2919" s="3" t="n">
        <v>0</v>
      </c>
      <c r="J2919" s="3" t="n">
        <v>0</v>
      </c>
      <c r="K2919" s="3" t="n">
        <v>0</v>
      </c>
      <c r="L2919" s="3">
        <f>IF(K2919&lt;-5,"CRÍTICO",IF(K2919&lt;0,"ATENÇÃO",IF(K2919&lt;=5,"OPORTUNO","MUITO BOM")))</f>
        <v/>
      </c>
      <c r="M2919" s="3" t="n">
        <v>0</v>
      </c>
      <c r="N2919" s="3" t="n">
        <v>100</v>
      </c>
      <c r="O2919" s="12" t="n">
        <v>15.38461538461539</v>
      </c>
    </row>
    <row r="2920">
      <c r="A2920" s="10" t="n">
        <v>46092</v>
      </c>
      <c r="B2920" t="inlineStr">
        <is>
          <t>Patrícia Karla de Sousa Araújo</t>
        </is>
      </c>
      <c r="C2920" s="1" t="inlineStr">
        <is>
          <t>Técnico II</t>
        </is>
      </c>
      <c r="D2920" s="3" t="n">
        <v>12</v>
      </c>
      <c r="E2920" s="3" t="n">
        <v>11</v>
      </c>
      <c r="F2920" s="3" t="n">
        <v>20.49</v>
      </c>
      <c r="G2920" s="3" t="n">
        <v>0</v>
      </c>
      <c r="H2920" s="3" t="n">
        <v>0</v>
      </c>
      <c r="I2920" s="3">
        <f>E2920+G2920+H2920</f>
        <v/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/>
      </c>
      <c r="K2920" s="3">
        <f>I2920-J2920</f>
        <v/>
      </c>
      <c r="L2920" s="3">
        <f>IF(K2920&lt;-5,"CRÍTICO",IF(K2920&lt;0,"ATENÇÃO",IF(K2920&lt;=5,"OPORTUNO","MUITO BOM")))</f>
        <v/>
      </c>
      <c r="M2920" s="3" t="n">
        <v>9</v>
      </c>
      <c r="N2920" s="3" t="n">
        <v>100</v>
      </c>
      <c r="O2920" s="12" t="n">
        <v>27.51479289940828</v>
      </c>
    </row>
    <row r="2921">
      <c r="A2921" s="10" t="n">
        <v>46092</v>
      </c>
      <c r="B2921" t="inlineStr">
        <is>
          <t>Paulo Ricardo Santos</t>
        </is>
      </c>
      <c r="C2921" s="1" t="inlineStr">
        <is>
          <t>JR</t>
        </is>
      </c>
      <c r="D2921" s="3" t="n">
        <v>9</v>
      </c>
      <c r="E2921" s="3" t="n">
        <v>8</v>
      </c>
      <c r="F2921" s="3" t="n">
        <v>40.11</v>
      </c>
      <c r="G2921" s="3" t="n">
        <v>0</v>
      </c>
      <c r="H2921" s="3" t="n">
        <v>0</v>
      </c>
      <c r="I2921" s="3">
        <f>E2921+G2921+H2921</f>
        <v/>
      </c>
      <c r="J2921" s="3">
        <f>ROUND(MIN(IF(C2921="Técnico III",35,IF(C2921="Técnico II",28,IF(C2921="Técnico I",23,IF(C2921="JR",20,IF(C2921="Estágio",10,0))))),IF(C2921="Técnico III",SUMIFS($D:$D,$A:$A,$A2921,$B:$B,"&lt;&gt;Patrícia Karla de Sousa Araújo",$B:$B,"&lt;&gt;Lorena Dias de Araujo",$B:$B,"&lt;&gt;Lucas Luiz Romero")*(35/1083),IF(C2921="Técnico II",SUMIFS($D:$D,$A:$A,$A2921,$B:$B,"&lt;&gt;Patrícia Karla de Sousa Araújo",$B:$B,"&lt;&gt;Lorena Dias de Araujo",$B:$B,"&lt;&gt;Lucas Luiz Romero")*(28/1083),IF(C2921="Técnico I",SUMIFS($D:$D,$A:$A,$A2921,$B:$B,"&lt;&gt;Patrícia Karla de Sousa Araújo",$B:$B,"&lt;&gt;Lorena Dias de Araujo",$B:$B,"&lt;&gt;Lucas Luiz Romero")*(23/1083),IF(C2921="JR",SUMIFS($D:$D,$A:$A,$A2921,$B:$B,"&lt;&gt;Patrícia Karla de Sousa Araújo",$B:$B,"&lt;&gt;Lorena Dias de Araujo",$B:$B,"&lt;&gt;Lucas Luiz Romero")*(20/1083),IF(C2921="Estágio",SUMIFS($D:$D,$A:$A,$A2921,$B:$B,"&lt;&gt;Patrícia Karla de Sousa Araújo",$B:$B,"&lt;&gt;Lorena Dias de Araujo",$B:$B,"&lt;&gt;Lucas Luiz Romero")*(10/1083),0)))))),0)</f>
        <v/>
      </c>
      <c r="K2921" s="3">
        <f>I2921-J2921</f>
        <v/>
      </c>
      <c r="L2921" s="3">
        <f>IF(K2921&lt;-5,"CRÍTICO",IF(K2921&lt;0,"ATENÇÃO",IF(K2921&lt;=5,"OPORTUNO","MUITO BOM")))</f>
        <v/>
      </c>
      <c r="M2921" s="3" t="n">
        <v>7</v>
      </c>
      <c r="N2921" s="3" t="n">
        <v>100</v>
      </c>
      <c r="O2921" s="12" t="n">
        <v>24.87562189054727</v>
      </c>
    </row>
    <row r="2922">
      <c r="A2922" s="10" t="n">
        <v>46092</v>
      </c>
      <c r="B2922" t="inlineStr">
        <is>
          <t>Pedro Luiz Mota Sousa</t>
        </is>
      </c>
      <c r="C2922" s="1" t="inlineStr">
        <is>
          <t>JR</t>
        </is>
      </c>
      <c r="D2922" s="3" t="n">
        <v>13</v>
      </c>
      <c r="E2922" s="3" t="n">
        <v>13</v>
      </c>
      <c r="F2922" s="3" t="n">
        <v>34.16</v>
      </c>
      <c r="G2922" s="3" t="n">
        <v>0</v>
      </c>
      <c r="H2922" s="3" t="n">
        <v>0</v>
      </c>
      <c r="I2922" s="3">
        <f>E2922+G2922+H2922</f>
        <v/>
      </c>
      <c r="J2922" s="3">
        <f>ROUND(MIN(IF(C2922="Técnico III",35,IF(C2922="Técnico II",28,IF(C2922="Técnico I",23,IF(C2922="JR",20,IF(C2922="Estágio",10,0))))),IF(C2922="Técnico III",SUMIFS($D:$D,$A:$A,$A2922,$B:$B,"&lt;&gt;Patrícia Karla de Sousa Araújo",$B:$B,"&lt;&gt;Lorena Dias de Araujo",$B:$B,"&lt;&gt;Lucas Luiz Romero")*(35/1083),IF(C2922="Técnico II",SUMIFS($D:$D,$A:$A,$A2922,$B:$B,"&lt;&gt;Patrícia Karla de Sousa Araújo",$B:$B,"&lt;&gt;Lorena Dias de Araujo",$B:$B,"&lt;&gt;Lucas Luiz Romero")*(28/1083),IF(C2922="Técnico I",SUMIFS($D:$D,$A:$A,$A2922,$B:$B,"&lt;&gt;Patrícia Karla de Sousa Araújo",$B:$B,"&lt;&gt;Lorena Dias de Araujo",$B:$B,"&lt;&gt;Lucas Luiz Romero")*(23/1083),IF(C2922="JR",SUMIFS($D:$D,$A:$A,$A2922,$B:$B,"&lt;&gt;Patrícia Karla de Sousa Araújo",$B:$B,"&lt;&gt;Lorena Dias de Araujo",$B:$B,"&lt;&gt;Lucas Luiz Romero")*(20/1083),IF(C2922="Estágio",SUMIFS($D:$D,$A:$A,$A2922,$B:$B,"&lt;&gt;Patrícia Karla de Sousa Araújo",$B:$B,"&lt;&gt;Lorena Dias de Araujo",$B:$B,"&lt;&gt;Lucas Luiz Romero")*(10/1083),0)))))),0)</f>
        <v/>
      </c>
      <c r="K2922" s="3">
        <f>I2922-J2922</f>
        <v/>
      </c>
      <c r="L2922" s="3">
        <f>IF(K2922&lt;-5,"CRÍTICO",IF(K2922&lt;0,"ATENÇÃO",IF(K2922&lt;=5,"OPORTUNO","MUITO BOM")))</f>
        <v/>
      </c>
      <c r="M2922" s="3" t="n">
        <v>10</v>
      </c>
      <c r="N2922" s="3" t="n">
        <v>100</v>
      </c>
      <c r="O2922" s="12" t="n">
        <v>28.10810810810811</v>
      </c>
    </row>
    <row r="2923">
      <c r="A2923" s="10" t="n">
        <v>46120</v>
      </c>
      <c r="B2923" t="inlineStr">
        <is>
          <t>Quirino Diogo Leite Torres</t>
        </is>
      </c>
      <c r="C2923" s="1" t="inlineStr">
        <is>
          <t>Estágio</t>
        </is>
      </c>
      <c r="D2923" s="3" t="n">
        <v>6</v>
      </c>
      <c r="E2923" s="3" t="n">
        <v>6</v>
      </c>
      <c r="F2923" s="3" t="n">
        <v>30</v>
      </c>
      <c r="G2923" s="3" t="n">
        <v>0</v>
      </c>
      <c r="H2923" s="3" t="n">
        <v>0</v>
      </c>
      <c r="I2923" s="3">
        <f>E2923+G2923+H2923</f>
        <v/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/>
      </c>
      <c r="K2923" s="3">
        <f>I2923-J2923</f>
        <v/>
      </c>
      <c r="L2923" s="3">
        <f>IF(K2923&lt;-5,"CRÍTICO",IF(K2923&lt;0,"ATENÇÃO",IF(K2923&lt;=5,"OPORTUNO","MUITO BOM")))</f>
        <v/>
      </c>
      <c r="M2923" s="3" t="n">
        <v>7</v>
      </c>
      <c r="N2923" s="3" t="n">
        <v>94.12</v>
      </c>
      <c r="O2923" s="12" t="n">
        <v>32.8</v>
      </c>
    </row>
    <row r="2924">
      <c r="A2924" s="10" t="n">
        <v>46092</v>
      </c>
      <c r="B2924" t="inlineStr">
        <is>
          <t>Raane Batista Matos</t>
        </is>
      </c>
      <c r="C2924" s="1" t="inlineStr">
        <is>
          <t>Técnico I</t>
        </is>
      </c>
      <c r="D2924" s="3" t="n">
        <v>34</v>
      </c>
      <c r="E2924" s="3" t="n">
        <v>27</v>
      </c>
      <c r="F2924" s="3" t="n">
        <v>22.3</v>
      </c>
      <c r="G2924" s="3" t="n">
        <v>0</v>
      </c>
      <c r="H2924" s="3" t="n">
        <v>0</v>
      </c>
      <c r="I2924" s="3">
        <f>E2924+G2924+H2924</f>
        <v/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/>
      </c>
      <c r="K2924" s="3">
        <f>I2924-J2924</f>
        <v/>
      </c>
      <c r="L2924" s="3">
        <f>IF(K2924&lt;-5,"CRÍTICO",IF(K2924&lt;0,"ATENÇÃO",IF(K2924&lt;=5,"OPORTUNO","MUITO BOM")))</f>
        <v/>
      </c>
      <c r="M2924" s="3" t="n">
        <v>19</v>
      </c>
      <c r="N2924" s="3" t="n">
        <v>95.34999999999999</v>
      </c>
      <c r="O2924" s="12" t="n">
        <v>28.61538461538461</v>
      </c>
    </row>
    <row r="2925">
      <c r="A2925" s="10" t="n">
        <v>46092</v>
      </c>
      <c r="B2925" t="inlineStr">
        <is>
          <t>Rafael Gomes de Morais</t>
        </is>
      </c>
      <c r="C2925" s="1" t="inlineStr">
        <is>
          <t>Técnico III</t>
        </is>
      </c>
      <c r="D2925" s="3" t="n">
        <v>49</v>
      </c>
      <c r="E2925" s="3" t="n">
        <v>44</v>
      </c>
      <c r="F2925" s="3" t="n">
        <v>15.2</v>
      </c>
      <c r="G2925" s="3" t="n">
        <v>0</v>
      </c>
      <c r="H2925" s="3" t="n">
        <v>0</v>
      </c>
      <c r="I2925" s="3">
        <f>E2925+G2925+H2925</f>
        <v/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/>
      </c>
      <c r="K2925" s="3">
        <f>I2925-J2925</f>
        <v/>
      </c>
      <c r="L2925" s="3">
        <f>IF(K2925&lt;-5,"CRÍTICO",IF(K2925&lt;0,"ATENÇÃO",IF(K2925&lt;=5,"OPORTUNO","MUITO BOM")))</f>
        <v/>
      </c>
      <c r="M2925" s="3" t="n">
        <v>27</v>
      </c>
      <c r="N2925" s="3" t="n">
        <v>98.26000000000001</v>
      </c>
      <c r="O2925" s="12" t="n">
        <v>27.54491017964072</v>
      </c>
    </row>
    <row r="2926">
      <c r="A2926" s="10" t="n">
        <v>46092</v>
      </c>
      <c r="B2926" t="inlineStr">
        <is>
          <t>Sara Maria Monteiro Lopes</t>
        </is>
      </c>
      <c r="C2926" s="1" t="inlineStr">
        <is>
          <t>Técnico I</t>
        </is>
      </c>
      <c r="D2926" s="3" t="n">
        <v>17</v>
      </c>
      <c r="E2926" s="3" t="n">
        <v>17</v>
      </c>
      <c r="F2926" s="3" t="n">
        <v>30.11</v>
      </c>
      <c r="G2926" s="3" t="n">
        <v>0</v>
      </c>
      <c r="H2926" s="3" t="n">
        <v>0</v>
      </c>
      <c r="I2926" s="3">
        <f>E2926+G2926+H2926</f>
        <v/>
      </c>
      <c r="J2926" s="3">
        <f>ROUND(MIN(IF(C2926="Técnico III",35,IF(C2926="Técnico II",28,IF(C2926="Técnico I",23,IF(C2926="JR",20,IF(C2926="Estágio",10,0))))),IF(C2926="Técnico III",SUMIFS($D:$D,$A:$A,$A2926,$B:$B,"&lt;&gt;Patrícia Karla de Sousa Araújo",$B:$B,"&lt;&gt;Lorena Dias de Araujo",$B:$B,"&lt;&gt;Lucas Luiz Romero")*(35/1083),IF(C2926="Técnico II",SUMIFS($D:$D,$A:$A,$A2926,$B:$B,"&lt;&gt;Patrícia Karla de Sousa Araújo",$B:$B,"&lt;&gt;Lorena Dias de Araujo",$B:$B,"&lt;&gt;Lucas Luiz Romero")*(28/1083),IF(C2926="Técnico I",SUMIFS($D:$D,$A:$A,$A2926,$B:$B,"&lt;&gt;Patrícia Karla de Sousa Araújo",$B:$B,"&lt;&gt;Lorena Dias de Araujo",$B:$B,"&lt;&gt;Lucas Luiz Romero")*(23/1083),IF(C2926="JR",SUMIFS($D:$D,$A:$A,$A2926,$B:$B,"&lt;&gt;Patrícia Karla de Sousa Araújo",$B:$B,"&lt;&gt;Lorena Dias de Araujo",$B:$B,"&lt;&gt;Lucas Luiz Romero")*(20/1083),IF(C2926="Estágio",SUMIFS($D:$D,$A:$A,$A2926,$B:$B,"&lt;&gt;Patrícia Karla de Sousa Araújo",$B:$B,"&lt;&gt;Lorena Dias de Araujo",$B:$B,"&lt;&gt;Lucas Luiz Romero")*(10/1083),0)))))),0)</f>
        <v/>
      </c>
      <c r="K2926" s="3">
        <f>I2926-J2926</f>
        <v/>
      </c>
      <c r="L2926" s="3">
        <f>IF(K2926&lt;-5,"CRÍTICO",IF(K2926&lt;0,"ATENÇÃO",IF(K2926&lt;=5,"OPORTUNO","MUITO BOM")))</f>
        <v/>
      </c>
      <c r="M2926" s="3" t="n">
        <v>15</v>
      </c>
      <c r="N2926" s="3" t="n">
        <v>98.55</v>
      </c>
      <c r="O2926" s="12" t="n">
        <v>25.33783783783784</v>
      </c>
    </row>
    <row r="2927">
      <c r="A2927" s="10" t="n">
        <v>46092</v>
      </c>
      <c r="B2927" t="inlineStr">
        <is>
          <t>Sarah Steffanie de Lima Borges</t>
        </is>
      </c>
      <c r="C2927" s="1" t="inlineStr">
        <is>
          <t>Técnico III</t>
        </is>
      </c>
      <c r="D2927" s="3" t="n">
        <v>37</v>
      </c>
      <c r="E2927" s="3" t="n">
        <v>32</v>
      </c>
      <c r="F2927" s="3" t="n">
        <v>14.03</v>
      </c>
      <c r="G2927" s="3" t="n">
        <v>0</v>
      </c>
      <c r="H2927" s="3" t="n">
        <v>0</v>
      </c>
      <c r="I2927" s="3">
        <f>E2927+G2927+H2927</f>
        <v/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/>
      </c>
      <c r="K2927" s="3">
        <f>I2927-J2927</f>
        <v/>
      </c>
      <c r="L2927" s="3">
        <f>IF(K2927&lt;-5,"CRÍTICO",IF(K2927&lt;0,"ATENÇÃO",IF(K2927&lt;=5,"OPORTUNO","MUITO BOM")))</f>
        <v/>
      </c>
      <c r="M2927" s="3" t="n">
        <v>27</v>
      </c>
      <c r="N2927" s="3" t="n">
        <v>98.39</v>
      </c>
      <c r="O2927" s="12" t="n">
        <v>25.56390977443609</v>
      </c>
    </row>
    <row r="2928">
      <c r="A2928" s="10" t="n">
        <v>46093</v>
      </c>
      <c r="B2928" t="inlineStr">
        <is>
          <t>Alisson de Freitas Silva</t>
        </is>
      </c>
      <c r="C2928" s="1" t="inlineStr">
        <is>
          <t>Técnico II</t>
        </is>
      </c>
      <c r="D2928" s="3" t="n">
        <v>14</v>
      </c>
      <c r="E2928" s="3" t="n">
        <v>11</v>
      </c>
      <c r="F2928" s="3" t="n">
        <v>25.59</v>
      </c>
      <c r="G2928" s="3" t="n">
        <v>0</v>
      </c>
      <c r="H2928" s="3" t="n">
        <v>0</v>
      </c>
      <c r="I2928" s="3">
        <f>E2928+G2928+H2928</f>
        <v/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/>
      </c>
      <c r="K2928" s="3">
        <f>I2928-J2928</f>
        <v/>
      </c>
      <c r="L2928" s="3">
        <f>IF(K2928&lt;-5,"CRÍTICO",IF(K2928&lt;0,"ATENÇÃO",IF(K2928&lt;=5,"OPORTUNO","MUITO BOM")))</f>
        <v/>
      </c>
      <c r="M2928" s="3" t="n">
        <v>8</v>
      </c>
      <c r="N2928" s="3" t="n">
        <v>94.29000000000001</v>
      </c>
      <c r="O2928" s="12" t="n">
        <v>25.64766839378239</v>
      </c>
    </row>
    <row r="2929">
      <c r="A2929" s="10" t="n">
        <v>46093</v>
      </c>
      <c r="B2929" t="inlineStr">
        <is>
          <t>Amanda Moura Ferreira</t>
        </is>
      </c>
      <c r="C2929" s="1" t="inlineStr">
        <is>
          <t>Técnico III</t>
        </is>
      </c>
      <c r="D2929" s="3" t="n">
        <v>0</v>
      </c>
      <c r="E2929" s="3" t="n">
        <v>0</v>
      </c>
      <c r="F2929" s="3" t="n">
        <v>0</v>
      </c>
      <c r="G2929" s="3" t="n">
        <v>0</v>
      </c>
      <c r="H2929" s="3" t="n">
        <v>0</v>
      </c>
      <c r="I2929" s="3" t="n">
        <v>0</v>
      </c>
      <c r="J2929" s="3" t="n">
        <v>0</v>
      </c>
      <c r="K2929" s="3" t="n">
        <v>0</v>
      </c>
      <c r="L2929" s="3">
        <f>IF(K2929&lt;-5,"CRÍTICO",IF(K2929&lt;0,"ATENÇÃO",IF(K2929&lt;=5,"OPORTUNO","MUITO BOM")))</f>
        <v/>
      </c>
      <c r="M2929" s="3" t="n">
        <v>22</v>
      </c>
      <c r="N2929" s="3" t="n">
        <v>98.26000000000001</v>
      </c>
      <c r="O2929" s="12" t="n">
        <v>26.66666666666667</v>
      </c>
    </row>
    <row r="2930">
      <c r="A2930" s="10" t="n">
        <v>46093</v>
      </c>
      <c r="B2930" t="inlineStr">
        <is>
          <t>Ana Karollyne Souza Faria</t>
        </is>
      </c>
      <c r="C2930" s="1" t="inlineStr">
        <is>
          <t>Técnico I</t>
        </is>
      </c>
      <c r="D2930" s="3" t="n">
        <v>20</v>
      </c>
      <c r="E2930" s="3" t="n">
        <v>17</v>
      </c>
      <c r="F2930" s="3" t="n">
        <v>28.43</v>
      </c>
      <c r="G2930" s="3" t="n">
        <v>0</v>
      </c>
      <c r="H2930" s="3" t="n">
        <v>0</v>
      </c>
      <c r="I2930" s="3">
        <f>E2930+G2930+H2930</f>
        <v/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/>
      </c>
      <c r="K2930" s="3">
        <f>I2930-J2930</f>
        <v/>
      </c>
      <c r="L2930" s="3">
        <f>IF(K2930&lt;-5,"CRÍTICO",IF(K2930&lt;0,"ATENÇÃO",IF(K2930&lt;=5,"OPORTUNO","MUITO BOM")))</f>
        <v/>
      </c>
      <c r="M2930" s="3" t="n">
        <v>15</v>
      </c>
      <c r="N2930" s="3" t="n">
        <v>98.2</v>
      </c>
      <c r="O2930" s="12" t="n">
        <v>23.37962962962963</v>
      </c>
    </row>
    <row r="2931">
      <c r="A2931" s="10" t="n">
        <v>46093</v>
      </c>
      <c r="B2931" t="inlineStr">
        <is>
          <t>Ana Paula Da Luz Silva Aleixo</t>
        </is>
      </c>
      <c r="C2931" s="1" t="inlineStr">
        <is>
          <t>Técnico III</t>
        </is>
      </c>
      <c r="D2931" s="3" t="n">
        <v>26</v>
      </c>
      <c r="E2931" s="3" t="n">
        <v>24</v>
      </c>
      <c r="F2931" s="3" t="n">
        <v>20.03</v>
      </c>
      <c r="G2931" s="3" t="n">
        <v>0</v>
      </c>
      <c r="H2931" s="3" t="n">
        <v>0</v>
      </c>
      <c r="I2931" s="3">
        <f>E2931+G2931+H2931</f>
        <v/>
      </c>
      <c r="J2931" s="3">
        <f>ROUND(MIN(IF(C2931="Técnico III",35,IF(C2931="Técnico II",28,IF(C2931="Técnico I",23,IF(C2931="JR",20,IF(C2931="Estágio",10,0))))),IF(C2931="Técnico III",SUMIFS($D:$D,$A:$A,$A2931,$B:$B,"&lt;&gt;Patrícia Karla de Sousa Araújo",$B:$B,"&lt;&gt;Lorena Dias de Araujo",$B:$B,"&lt;&gt;Lucas Luiz Romero")*(35/1083),IF(C2931="Técnico II",SUMIFS($D:$D,$A:$A,$A2931,$B:$B,"&lt;&gt;Patrícia Karla de Sousa Araújo",$B:$B,"&lt;&gt;Lorena Dias de Araujo",$B:$B,"&lt;&gt;Lucas Luiz Romero")*(28/1083),IF(C2931="Técnico I",SUMIFS($D:$D,$A:$A,$A2931,$B:$B,"&lt;&gt;Patrícia Karla de Sousa Araújo",$B:$B,"&lt;&gt;Lorena Dias de Araujo",$B:$B,"&lt;&gt;Lucas Luiz Romero")*(23/1083),IF(C2931="JR",SUMIFS($D:$D,$A:$A,$A2931,$B:$B,"&lt;&gt;Patrícia Karla de Sousa Araújo",$B:$B,"&lt;&gt;Lorena Dias de Araujo",$B:$B,"&lt;&gt;Lucas Luiz Romero")*(20/1083),IF(C2931="Estágio",SUMIFS($D:$D,$A:$A,$A2931,$B:$B,"&lt;&gt;Patrícia Karla de Sousa Araújo",$B:$B,"&lt;&gt;Lorena Dias de Araujo",$B:$B,"&lt;&gt;Lucas Luiz Romero")*(10/1083),0)))))),0)</f>
        <v/>
      </c>
      <c r="K2931" s="3">
        <f>I2931-J2931</f>
        <v/>
      </c>
      <c r="L2931" s="3">
        <f>IF(K2931&lt;-5,"CRÍTICO",IF(K2931&lt;0,"ATENÇÃO",IF(K2931&lt;=5,"OPORTUNO","MUITO BOM")))</f>
        <v/>
      </c>
      <c r="M2931" s="3" t="n">
        <v>23</v>
      </c>
      <c r="N2931" s="3" t="n">
        <v>97.3</v>
      </c>
      <c r="O2931" s="12" t="n">
        <v>23.84769539078156</v>
      </c>
    </row>
    <row r="2932">
      <c r="A2932" s="10" t="n">
        <v>46093</v>
      </c>
      <c r="B2932" t="inlineStr">
        <is>
          <t>Anna Luiza Rezende Tavares</t>
        </is>
      </c>
      <c r="C2932" s="1" t="inlineStr">
        <is>
          <t>Estágio</t>
        </is>
      </c>
      <c r="D2932" s="3" t="n">
        <v>11</v>
      </c>
      <c r="E2932" s="3" t="n">
        <v>10</v>
      </c>
      <c r="F2932" s="3" t="n">
        <v>30.13</v>
      </c>
      <c r="G2932" s="3" t="n">
        <v>0</v>
      </c>
      <c r="H2932" s="3" t="n">
        <v>0</v>
      </c>
      <c r="I2932" s="3">
        <f>E2932+G2932+H2932</f>
        <v/>
      </c>
      <c r="J2932" s="3">
        <f>ROUND(MIN(IF(C2932="Técnico III",35,IF(C2932="Técnico II",28,IF(C2932="Técnico I",23,IF(C2932="JR",20,IF(C2932="Estágio",10,0))))),IF(C2932="Técnico III",SUMIFS($D:$D,$A:$A,$A2932,$B:$B,"&lt;&gt;Patrícia Karla de Sousa Araújo",$B:$B,"&lt;&gt;Lorena Dias de Araujo",$B:$B,"&lt;&gt;Lucas Luiz Romero")*(35/1083),IF(C2932="Técnico II",SUMIFS($D:$D,$A:$A,$A2932,$B:$B,"&lt;&gt;Patrícia Karla de Sousa Araújo",$B:$B,"&lt;&gt;Lorena Dias de Araujo",$B:$B,"&lt;&gt;Lucas Luiz Romero")*(28/1083),IF(C2932="Técnico I",SUMIFS($D:$D,$A:$A,$A2932,$B:$B,"&lt;&gt;Patrícia Karla de Sousa Araújo",$B:$B,"&lt;&gt;Lorena Dias de Araujo",$B:$B,"&lt;&gt;Lucas Luiz Romero")*(23/1083),IF(C2932="JR",SUMIFS($D:$D,$A:$A,$A2932,$B:$B,"&lt;&gt;Patrícia Karla de Sousa Araújo",$B:$B,"&lt;&gt;Lorena Dias de Araujo",$B:$B,"&lt;&gt;Lucas Luiz Romero")*(20/1083),IF(C2932="Estágio",SUMIFS($D:$D,$A:$A,$A2932,$B:$B,"&lt;&gt;Patrícia Karla de Sousa Araújo",$B:$B,"&lt;&gt;Lorena Dias de Araujo",$B:$B,"&lt;&gt;Lucas Luiz Romero")*(10/1083),0)))))),0)</f>
        <v/>
      </c>
      <c r="K2932" s="3">
        <f>I2932-J2932</f>
        <v/>
      </c>
      <c r="L2932" s="3">
        <f>IF(K2932&lt;-5,"CRÍTICO",IF(K2932&lt;0,"ATENÇÃO",IF(K2932&lt;=5,"OPORTUNO","MUITO BOM")))</f>
        <v/>
      </c>
      <c r="M2932" s="3" t="n">
        <v>8</v>
      </c>
      <c r="N2932" s="3" t="n">
        <v>100</v>
      </c>
      <c r="O2932" s="12" t="n">
        <v>25.26881720430108</v>
      </c>
    </row>
    <row r="2933">
      <c r="A2933" s="10" t="n">
        <v>46093</v>
      </c>
      <c r="B2933" t="inlineStr">
        <is>
          <t>Brenda de Menezes Silva</t>
        </is>
      </c>
      <c r="C2933" s="1" t="inlineStr">
        <is>
          <t>Técnico II</t>
        </is>
      </c>
      <c r="D2933" s="3" t="n">
        <v>37</v>
      </c>
      <c r="E2933" s="3" t="n">
        <v>35</v>
      </c>
      <c r="F2933" s="3" t="n">
        <v>18.51</v>
      </c>
      <c r="G2933" s="3" t="n">
        <v>0</v>
      </c>
      <c r="H2933" s="3" t="n">
        <v>0</v>
      </c>
      <c r="I2933" s="3">
        <f>E2933+G2933+H2933</f>
        <v/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/>
      </c>
      <c r="K2933" s="3">
        <f>I2933-J2933</f>
        <v/>
      </c>
      <c r="L2933" s="3">
        <f>IF(K2933&lt;-5,"CRÍTICO",IF(K2933&lt;0,"ATENÇÃO",IF(K2933&lt;=5,"OPORTUNO","MUITO BOM")))</f>
        <v/>
      </c>
      <c r="M2933" s="3" t="n">
        <v>34</v>
      </c>
      <c r="N2933" s="3" t="n">
        <v>99.31999999999999</v>
      </c>
      <c r="O2933" s="12" t="n">
        <v>22.82282282282282</v>
      </c>
    </row>
    <row r="2934">
      <c r="A2934" s="10" t="n">
        <v>46093</v>
      </c>
      <c r="B2934" t="inlineStr">
        <is>
          <t>Carlos Mateus Cassimiro Nunes</t>
        </is>
      </c>
      <c r="C2934" s="1" t="inlineStr">
        <is>
          <t>Técnico II</t>
        </is>
      </c>
      <c r="D2934" s="3" t="n">
        <v>9</v>
      </c>
      <c r="E2934" s="3" t="n">
        <v>9</v>
      </c>
      <c r="F2934" s="3" t="n">
        <v>56.55</v>
      </c>
      <c r="G2934" s="3" t="n">
        <v>0</v>
      </c>
      <c r="H2934" s="3" t="n">
        <v>0</v>
      </c>
      <c r="I2934" s="3">
        <f>E2934+G2934+H2934</f>
        <v/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/>
      </c>
      <c r="K2934" s="3">
        <f>I2934-J2934</f>
        <v/>
      </c>
      <c r="L2934" s="3">
        <f>IF(K2934&lt;-5,"CRÍTICO",IF(K2934&lt;0,"ATENÇÃO",IF(K2934&lt;=5,"OPORTUNO","MUITO BOM")))</f>
        <v/>
      </c>
      <c r="M2934" s="3" t="n">
        <v>13</v>
      </c>
      <c r="N2934" s="3" t="n">
        <v>100</v>
      </c>
      <c r="O2934" s="12" t="n">
        <v>27.96610169491525</v>
      </c>
    </row>
    <row r="2935">
      <c r="A2935" s="10" t="n">
        <v>46093</v>
      </c>
      <c r="B2935" t="inlineStr">
        <is>
          <t>Claudio de Sousa Velasco Filho</t>
        </is>
      </c>
      <c r="C2935" s="1" t="inlineStr">
        <is>
          <t>Estágio</t>
        </is>
      </c>
      <c r="D2935" s="3" t="n">
        <v>0</v>
      </c>
      <c r="E2935" s="3" t="n">
        <v>0</v>
      </c>
      <c r="F2935" s="3" t="n">
        <v>0</v>
      </c>
      <c r="G2935" s="3" t="n">
        <v>0</v>
      </c>
      <c r="H2935" s="3" t="n">
        <v>0</v>
      </c>
      <c r="I2935" s="3" t="n">
        <v>0</v>
      </c>
      <c r="J2935" s="3" t="n">
        <v>0</v>
      </c>
      <c r="K2935" s="3" t="n">
        <v>0</v>
      </c>
      <c r="L2935" s="3">
        <f>IF(K2935&lt;-5,"CRÍTICO",IF(K2935&lt;0,"ATENÇÃO",IF(K2935&lt;=5,"OPORTUNO","MUITO BOM")))</f>
        <v/>
      </c>
      <c r="M2935" s="3" t="n">
        <v>0</v>
      </c>
      <c r="N2935" s="3" t="n">
        <v>100</v>
      </c>
      <c r="O2935" s="12" t="n">
        <v>30.43478260869566</v>
      </c>
    </row>
    <row r="2936">
      <c r="A2936" s="10" t="n">
        <v>46093</v>
      </c>
      <c r="B2936" t="inlineStr">
        <is>
          <t>Clessiane Pereira dos Santos</t>
        </is>
      </c>
      <c r="C2936" s="1" t="inlineStr">
        <is>
          <t>Técnico I</t>
        </is>
      </c>
      <c r="D2936" s="3" t="n">
        <v>15</v>
      </c>
      <c r="E2936" s="3" t="n">
        <v>14</v>
      </c>
      <c r="F2936" s="3" t="n">
        <v>35.05</v>
      </c>
      <c r="G2936" s="3" t="n">
        <v>0</v>
      </c>
      <c r="H2936" s="3" t="n">
        <v>0</v>
      </c>
      <c r="I2936" s="3">
        <f>E2936+G2936+H2936</f>
        <v/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/>
      </c>
      <c r="K2936" s="3">
        <f>I2936-J2936</f>
        <v/>
      </c>
      <c r="L2936" s="3">
        <f>IF(K2936&lt;-5,"CRÍTICO",IF(K2936&lt;0,"ATENÇÃO",IF(K2936&lt;=5,"OPORTUNO","MUITO BOM")))</f>
        <v/>
      </c>
      <c r="M2936" s="3" t="n">
        <v>14</v>
      </c>
      <c r="N2936" s="3" t="n">
        <v>96.51000000000001</v>
      </c>
      <c r="O2936" s="12" t="n">
        <v>22.80285035629454</v>
      </c>
    </row>
    <row r="2937">
      <c r="A2937" s="10" t="n">
        <v>46093</v>
      </c>
      <c r="B2937" t="inlineStr">
        <is>
          <t>Cristiane Ramos da Silva Rocha</t>
        </is>
      </c>
      <c r="C2937" s="1" t="inlineStr">
        <is>
          <t>Técnico III</t>
        </is>
      </c>
      <c r="D2937" s="3" t="n">
        <v>0</v>
      </c>
      <c r="E2937" s="3" t="n">
        <v>0</v>
      </c>
      <c r="F2937" s="3" t="n">
        <v>0</v>
      </c>
      <c r="G2937" s="3" t="n">
        <v>0</v>
      </c>
      <c r="H2937" s="3" t="n">
        <v>0</v>
      </c>
      <c r="I2937" s="3" t="n">
        <v>0</v>
      </c>
      <c r="J2937" s="3" t="n">
        <v>0</v>
      </c>
      <c r="K2937" s="3" t="n">
        <v>0</v>
      </c>
      <c r="L2937" s="3">
        <f>IF(K2937&lt;-5,"CRÍTICO",IF(K2937&lt;0,"ATENÇÃO",IF(K2937&lt;=5,"OPORTUNO","MUITO BOM")))</f>
        <v/>
      </c>
      <c r="M2937" s="3" t="n">
        <v>12</v>
      </c>
      <c r="N2937" s="3" t="n">
        <v>92.68000000000001</v>
      </c>
      <c r="O2937" s="12" t="n">
        <v>27.77777777777778</v>
      </c>
    </row>
    <row r="2938">
      <c r="A2938" s="10" t="n">
        <v>46093</v>
      </c>
      <c r="B2938" t="inlineStr">
        <is>
          <t>Damyllis Lorraine de Oliveira Gonçalves</t>
        </is>
      </c>
      <c r="C2938" s="1" t="inlineStr">
        <is>
          <t>Técnico II</t>
        </is>
      </c>
      <c r="D2938" s="3" t="n">
        <v>30</v>
      </c>
      <c r="E2938" s="3" t="n">
        <v>28</v>
      </c>
      <c r="F2938" s="3" t="n">
        <v>20.08</v>
      </c>
      <c r="G2938" s="3" t="n">
        <v>0</v>
      </c>
      <c r="H2938" s="3" t="n">
        <v>0</v>
      </c>
      <c r="I2938" s="3" t="n">
        <v>0</v>
      </c>
      <c r="J2938" s="3" t="n">
        <v>0</v>
      </c>
      <c r="K2938" s="3" t="n">
        <v>0</v>
      </c>
      <c r="L2938" s="3">
        <f>IF(K2938&lt;-5,"CRÍTICO",IF(K2938&lt;0,"ATENÇÃO",IF(K2938&lt;=5,"OPORTUNO","MUITO BOM")))</f>
        <v/>
      </c>
      <c r="M2938" s="3" t="n">
        <v>25</v>
      </c>
      <c r="N2938" s="3" t="n">
        <v>99.03</v>
      </c>
      <c r="O2938" s="12" t="n">
        <v>23.99150743099788</v>
      </c>
    </row>
    <row r="2939">
      <c r="A2939" s="10" t="n">
        <v>46093</v>
      </c>
      <c r="B2939" t="inlineStr">
        <is>
          <t>Daniel Gomes da Silva</t>
        </is>
      </c>
      <c r="C2939" s="1" t="inlineStr">
        <is>
          <t>Técnico I</t>
        </is>
      </c>
      <c r="D2939" s="3" t="n">
        <v>27</v>
      </c>
      <c r="E2939" s="3" t="n">
        <v>26</v>
      </c>
      <c r="F2939" s="3" t="n">
        <v>25.51</v>
      </c>
      <c r="G2939" s="3" t="n">
        <v>0</v>
      </c>
      <c r="H2939" s="3" t="n">
        <v>0</v>
      </c>
      <c r="I2939" s="3">
        <f>E2939+G2939+H2939</f>
        <v/>
      </c>
      <c r="J2939" s="3">
        <f>ROUND(MIN(IF(C2939="Técnico III",35,IF(C2939="Técnico II",28,IF(C2939="Técnico I",23,IF(C2939="JR",20,IF(C2939="Estágio",10,0))))),IF(C2939="Técnico III",SUMIFS($D:$D,$A:$A,$A2939,$B:$B,"&lt;&gt;Patrícia Karla de Sousa Araújo",$B:$B,"&lt;&gt;Lorena Dias de Araujo",$B:$B,"&lt;&gt;Lucas Luiz Romero")*(35/1083),IF(C2939="Técnico II",SUMIFS($D:$D,$A:$A,$A2939,$B:$B,"&lt;&gt;Patrícia Karla de Sousa Araújo",$B:$B,"&lt;&gt;Lorena Dias de Araujo",$B:$B,"&lt;&gt;Lucas Luiz Romero")*(28/1083),IF(C2939="Técnico I",SUMIFS($D:$D,$A:$A,$A2939,$B:$B,"&lt;&gt;Patrícia Karla de Sousa Araújo",$B:$B,"&lt;&gt;Lorena Dias de Araujo",$B:$B,"&lt;&gt;Lucas Luiz Romero")*(23/1083),IF(C2939="JR",SUMIFS($D:$D,$A:$A,$A2939,$B:$B,"&lt;&gt;Patrícia Karla de Sousa Araújo",$B:$B,"&lt;&gt;Lorena Dias de Araujo",$B:$B,"&lt;&gt;Lucas Luiz Romero")*(20/1083),IF(C2939="Estágio",SUMIFS($D:$D,$A:$A,$A2939,$B:$B,"&lt;&gt;Patrícia Karla de Sousa Araújo",$B:$B,"&lt;&gt;Lorena Dias de Araujo",$B:$B,"&lt;&gt;Lucas Luiz Romero")*(10/1083),0)))))),0)</f>
        <v/>
      </c>
      <c r="K2939" s="3">
        <f>I2939-J2939</f>
        <v/>
      </c>
      <c r="L2939" s="3">
        <f>IF(K2939&lt;-5,"CRÍTICO",IF(K2939&lt;0,"ATENÇÃO",IF(K2939&lt;=5,"OPORTUNO","MUITO BOM")))</f>
        <v/>
      </c>
      <c r="M2939" s="3" t="n">
        <v>13</v>
      </c>
      <c r="N2939" s="3" t="n">
        <v>98.41</v>
      </c>
      <c r="O2939" s="12" t="n">
        <v>28.13852813852814</v>
      </c>
    </row>
    <row r="2940">
      <c r="A2940" s="10" t="n">
        <v>46093</v>
      </c>
      <c r="B2940" t="inlineStr">
        <is>
          <t>Davylla Rodrigues Freitas Silva</t>
        </is>
      </c>
      <c r="C2940" s="1" t="inlineStr">
        <is>
          <t>Técnico III</t>
        </is>
      </c>
      <c r="D2940" s="3" t="n">
        <v>29</v>
      </c>
      <c r="E2940" s="3" t="n">
        <v>28</v>
      </c>
      <c r="F2940" s="3" t="n">
        <v>25.59</v>
      </c>
      <c r="G2940" s="3" t="n">
        <v>0</v>
      </c>
      <c r="H2940" s="3" t="n">
        <v>0</v>
      </c>
      <c r="I2940" s="3" t="n">
        <v>0</v>
      </c>
      <c r="J2940" s="3" t="n">
        <v>0</v>
      </c>
      <c r="K2940" s="3" t="n">
        <v>0</v>
      </c>
      <c r="L2940" s="3">
        <f>IF(K2940&lt;-5,"CRÍTICO",IF(K2940&lt;0,"ATENÇÃO",IF(K2940&lt;=5,"OPORTUNO","MUITO BOM")))</f>
        <v/>
      </c>
      <c r="M2940" s="3" t="n">
        <v>29</v>
      </c>
      <c r="N2940" s="3" t="n">
        <v>98.73</v>
      </c>
      <c r="O2940" s="12" t="n">
        <v>29.14285714285714</v>
      </c>
    </row>
    <row r="2941">
      <c r="A2941" s="10" t="n">
        <v>46093</v>
      </c>
      <c r="B2941" t="inlineStr">
        <is>
          <t>Emilly Caylane Costa</t>
        </is>
      </c>
      <c r="C2941" s="1" t="inlineStr">
        <is>
          <t>Estágio</t>
        </is>
      </c>
      <c r="D2941" s="3" t="n">
        <v>10</v>
      </c>
      <c r="E2941" s="3" t="n">
        <v>9</v>
      </c>
      <c r="F2941" s="3" t="n">
        <v>37.2</v>
      </c>
      <c r="G2941" s="3" t="n">
        <v>0</v>
      </c>
      <c r="H2941" s="3" t="n">
        <v>0</v>
      </c>
      <c r="I2941" s="3">
        <f>E2941+G2941+H2941</f>
        <v/>
      </c>
      <c r="J2941" s="3">
        <f>ROUND(MIN(IF(C2941="Técnico III",35,IF(C2941="Técnico II",28,IF(C2941="Técnico I",23,IF(C2941="JR",20,IF(C2941="Estágio",10,0))))),IF(C2941="Técnico III",SUMIFS($D:$D,$A:$A,$A2941,$B:$B,"&lt;&gt;Patrícia Karla de Sousa Araújo",$B:$B,"&lt;&gt;Lorena Dias de Araujo",$B:$B,"&lt;&gt;Lucas Luiz Romero")*(35/1083),IF(C2941="Técnico II",SUMIFS($D:$D,$A:$A,$A2941,$B:$B,"&lt;&gt;Patrícia Karla de Sousa Araújo",$B:$B,"&lt;&gt;Lorena Dias de Araujo",$B:$B,"&lt;&gt;Lucas Luiz Romero")*(28/1083),IF(C2941="Técnico I",SUMIFS($D:$D,$A:$A,$A2941,$B:$B,"&lt;&gt;Patrícia Karla de Sousa Araújo",$B:$B,"&lt;&gt;Lorena Dias de Araujo",$B:$B,"&lt;&gt;Lucas Luiz Romero")*(23/1083),IF(C2941="JR",SUMIFS($D:$D,$A:$A,$A2941,$B:$B,"&lt;&gt;Patrícia Karla de Sousa Araújo",$B:$B,"&lt;&gt;Lorena Dias de Araujo",$B:$B,"&lt;&gt;Lucas Luiz Romero")*(20/1083),IF(C2941="Estágio",SUMIFS($D:$D,$A:$A,$A2941,$B:$B,"&lt;&gt;Patrícia Karla de Sousa Araújo",$B:$B,"&lt;&gt;Lorena Dias de Araujo",$B:$B,"&lt;&gt;Lucas Luiz Romero")*(10/1083),0)))))),0)</f>
        <v/>
      </c>
      <c r="K2941" s="3">
        <f>I2941-J2941</f>
        <v/>
      </c>
      <c r="L2941" s="3">
        <f>IF(K2941&lt;-5,"CRÍTICO",IF(K2941&lt;0,"ATENÇÃO",IF(K2941&lt;=5,"OPORTUNO","MUITO BOM")))</f>
        <v/>
      </c>
      <c r="M2941" s="3" t="n">
        <v>7</v>
      </c>
      <c r="N2941" s="3" t="n">
        <v>90.48</v>
      </c>
      <c r="O2941" s="12" t="n">
        <v>20.68965517241379</v>
      </c>
    </row>
    <row r="2942">
      <c r="A2942" s="10" t="n">
        <v>46093</v>
      </c>
      <c r="B2942" t="inlineStr">
        <is>
          <t>Emilly Kamilly Medeiros Miranda</t>
        </is>
      </c>
      <c r="C2942" s="1" t="inlineStr">
        <is>
          <t>Técnico II</t>
        </is>
      </c>
      <c r="D2942" s="3" t="n">
        <v>24</v>
      </c>
      <c r="E2942" s="3" t="n">
        <v>24</v>
      </c>
      <c r="F2942" s="3" t="n">
        <v>29.17</v>
      </c>
      <c r="G2942" s="3" t="n">
        <v>0</v>
      </c>
      <c r="H2942" s="3" t="n">
        <v>0</v>
      </c>
      <c r="I2942" s="3">
        <f>E2942+G2942+H2942</f>
        <v/>
      </c>
      <c r="J2942" s="3">
        <f>ROUND(MIN(IF(C2942="Técnico III",35,IF(C2942="Técnico II",28,IF(C2942="Técnico I",23,IF(C2942="JR",20,IF(C2942="Estágio",10,0))))),IF(C2942="Técnico III",SUMIFS($D:$D,$A:$A,$A2942,$B:$B,"&lt;&gt;Patrícia Karla de Sousa Araújo",$B:$B,"&lt;&gt;Lorena Dias de Araujo",$B:$B,"&lt;&gt;Lucas Luiz Romero")*(35/1083),IF(C2942="Técnico II",SUMIFS($D:$D,$A:$A,$A2942,$B:$B,"&lt;&gt;Patrícia Karla de Sousa Araújo",$B:$B,"&lt;&gt;Lorena Dias de Araujo",$B:$B,"&lt;&gt;Lucas Luiz Romero")*(28/1083),IF(C2942="Técnico I",SUMIFS($D:$D,$A:$A,$A2942,$B:$B,"&lt;&gt;Patrícia Karla de Sousa Araújo",$B:$B,"&lt;&gt;Lorena Dias de Araujo",$B:$B,"&lt;&gt;Lucas Luiz Romero")*(23/1083),IF(C2942="JR",SUMIFS($D:$D,$A:$A,$A2942,$B:$B,"&lt;&gt;Patrícia Karla de Sousa Araújo",$B:$B,"&lt;&gt;Lorena Dias de Araujo",$B:$B,"&lt;&gt;Lucas Luiz Romero")*(20/1083),IF(C2942="Estágio",SUMIFS($D:$D,$A:$A,$A2942,$B:$B,"&lt;&gt;Patrícia Karla de Sousa Araújo",$B:$B,"&lt;&gt;Lorena Dias de Araujo",$B:$B,"&lt;&gt;Lucas Luiz Romero")*(10/1083),0)))))),0)</f>
        <v/>
      </c>
      <c r="K2942" s="3">
        <f>I2942-J2942</f>
        <v/>
      </c>
      <c r="L2942" s="3">
        <f>IF(K2942&lt;-5,"CRÍTICO",IF(K2942&lt;0,"ATENÇÃO",IF(K2942&lt;=5,"OPORTUNO","MUITO BOM")))</f>
        <v/>
      </c>
      <c r="M2942" s="3" t="n">
        <v>19</v>
      </c>
      <c r="N2942" s="3" t="n">
        <v>98.06</v>
      </c>
      <c r="O2942" s="12" t="n">
        <v>24.78991596638656</v>
      </c>
    </row>
    <row r="2943">
      <c r="A2943" s="10" t="n">
        <v>46093</v>
      </c>
      <c r="B2943" t="inlineStr">
        <is>
          <t>Francielson de Oliveira</t>
        </is>
      </c>
      <c r="C2943" s="1" t="inlineStr">
        <is>
          <t>Técnico III</t>
        </is>
      </c>
      <c r="D2943" s="3" t="n">
        <v>27</v>
      </c>
      <c r="E2943" s="3" t="n">
        <v>27</v>
      </c>
      <c r="F2943" s="3" t="n">
        <v>20.31</v>
      </c>
      <c r="G2943" s="3" t="n">
        <v>0</v>
      </c>
      <c r="H2943" s="3" t="n">
        <v>0</v>
      </c>
      <c r="I2943" s="3">
        <f>E2943+G2943+H2943</f>
        <v/>
      </c>
      <c r="J2943" s="3">
        <f>ROUND(MIN(IF(C2943="Técnico III",35,IF(C2943="Técnico II",28,IF(C2943="Técnico I",23,IF(C2943="JR",20,IF(C2943="Estágio",10,0))))),IF(C2943="Técnico III",SUMIFS($D:$D,$A:$A,$A2943,$B:$B,"&lt;&gt;Patrícia Karla de Sousa Araújo",$B:$B,"&lt;&gt;Lorena Dias de Araujo",$B:$B,"&lt;&gt;Lucas Luiz Romero")*(35/1083),IF(C2943="Técnico II",SUMIFS($D:$D,$A:$A,$A2943,$B:$B,"&lt;&gt;Patrícia Karla de Sousa Araújo",$B:$B,"&lt;&gt;Lorena Dias de Araujo",$B:$B,"&lt;&gt;Lucas Luiz Romero")*(28/1083),IF(C2943="Técnico I",SUMIFS($D:$D,$A:$A,$A2943,$B:$B,"&lt;&gt;Patrícia Karla de Sousa Araújo",$B:$B,"&lt;&gt;Lorena Dias de Araujo",$B:$B,"&lt;&gt;Lucas Luiz Romero")*(23/1083),IF(C2943="JR",SUMIFS($D:$D,$A:$A,$A2943,$B:$B,"&lt;&gt;Patrícia Karla de Sousa Araújo",$B:$B,"&lt;&gt;Lorena Dias de Araujo",$B:$B,"&lt;&gt;Lucas Luiz Romero")*(20/1083),IF(C2943="Estágio",SUMIFS($D:$D,$A:$A,$A2943,$B:$B,"&lt;&gt;Patrícia Karla de Sousa Araújo",$B:$B,"&lt;&gt;Lorena Dias de Araujo",$B:$B,"&lt;&gt;Lucas Luiz Romero")*(10/1083),0)))))),0)</f>
        <v/>
      </c>
      <c r="K2943" s="3">
        <f>I2943-J2943</f>
        <v/>
      </c>
      <c r="L2943" s="3">
        <f>IF(K2943&lt;-5,"CRÍTICO",IF(K2943&lt;0,"ATENÇÃO",IF(K2943&lt;=5,"OPORTUNO","MUITO BOM")))</f>
        <v/>
      </c>
      <c r="M2943" s="3" t="n">
        <v>27</v>
      </c>
      <c r="N2943" s="3" t="n">
        <v>97.78</v>
      </c>
      <c r="O2943" s="12" t="n">
        <v>25.49407114624506</v>
      </c>
    </row>
    <row r="2944">
      <c r="A2944" s="10" t="n">
        <v>46093</v>
      </c>
      <c r="B2944" t="inlineStr">
        <is>
          <t>Francilene Ferreira de Jesus</t>
        </is>
      </c>
      <c r="C2944" s="1" t="inlineStr">
        <is>
          <t>Técnico II</t>
        </is>
      </c>
      <c r="D2944" s="3" t="n">
        <v>28</v>
      </c>
      <c r="E2944" s="3" t="n">
        <v>25</v>
      </c>
      <c r="F2944" s="3" t="n">
        <v>26.46</v>
      </c>
      <c r="G2944" s="3" t="n">
        <v>0</v>
      </c>
      <c r="H2944" s="3" t="n">
        <v>0</v>
      </c>
      <c r="I2944" s="3">
        <f>E2944+G2944+H2944</f>
        <v/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/>
      </c>
      <c r="K2944" s="3">
        <f>I2944-J2944</f>
        <v/>
      </c>
      <c r="L2944" s="3">
        <f>IF(K2944&lt;-5,"CRÍTICO",IF(K2944&lt;0,"ATENÇÃO",IF(K2944&lt;=5,"OPORTUNO","MUITO BOM")))</f>
        <v/>
      </c>
      <c r="M2944" s="3" t="n">
        <v>20</v>
      </c>
      <c r="N2944" s="3" t="n">
        <v>98.02</v>
      </c>
      <c r="O2944" s="12" t="n">
        <v>23.48484848484848</v>
      </c>
    </row>
    <row r="2945">
      <c r="A2945" s="10" t="n">
        <v>46127</v>
      </c>
      <c r="B2945" t="inlineStr">
        <is>
          <t>Gabriel Gomes de Andrade</t>
        </is>
      </c>
      <c r="C2945" s="1" t="inlineStr">
        <is>
          <t>Técnico I</t>
        </is>
      </c>
      <c r="D2945" s="3" t="n">
        <v>44</v>
      </c>
      <c r="E2945" s="3" t="n">
        <v>38</v>
      </c>
      <c r="F2945" s="3" t="n">
        <v>12.23</v>
      </c>
      <c r="G2945" s="3" t="n">
        <v>0</v>
      </c>
      <c r="H2945" s="3" t="n">
        <v>0</v>
      </c>
      <c r="I2945" s="3">
        <f>E2945+G2945+H2945</f>
        <v/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/>
      </c>
      <c r="K2945" s="3">
        <f>I2945-J2945</f>
        <v/>
      </c>
      <c r="L2945" s="3">
        <f>IF(K2945&lt;-5,"CRÍTICO",IF(K2945&lt;0,"ATENÇÃO",IF(K2945&lt;=5,"OPORTUNO","MUITO BOM")))</f>
        <v/>
      </c>
      <c r="M2945" s="3" t="n">
        <v>39</v>
      </c>
      <c r="N2945" s="3" t="n">
        <v>99.28</v>
      </c>
      <c r="O2945" s="12" t="n">
        <v>27.68924302788844</v>
      </c>
    </row>
    <row r="2946">
      <c r="A2946" s="10" t="n">
        <v>46093</v>
      </c>
      <c r="B2946" t="inlineStr">
        <is>
          <t>Isabella Borges de Oliveira</t>
        </is>
      </c>
      <c r="C2946" s="1" t="inlineStr">
        <is>
          <t>Técnico II</t>
        </is>
      </c>
      <c r="D2946" s="3" t="n">
        <v>23</v>
      </c>
      <c r="E2946" s="3" t="n">
        <v>21</v>
      </c>
      <c r="F2946" s="3" t="n">
        <v>22.1</v>
      </c>
      <c r="G2946" s="3" t="n">
        <v>0</v>
      </c>
      <c r="H2946" s="3" t="n">
        <v>0</v>
      </c>
      <c r="I2946" s="3">
        <f>E2946+G2946+H2946</f>
        <v/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/>
      </c>
      <c r="K2946" s="3">
        <f>I2946-J2946</f>
        <v/>
      </c>
      <c r="L2946" s="3">
        <f>IF(K2946&lt;-5,"CRÍTICO",IF(K2946&lt;0,"ATENÇÃO",IF(K2946&lt;=5,"OPORTUNO","MUITO BOM")))</f>
        <v/>
      </c>
      <c r="M2946" s="3" t="n">
        <v>17</v>
      </c>
      <c r="N2946" s="3" t="n">
        <v>100</v>
      </c>
      <c r="O2946" s="12" t="n">
        <v>27.04918032786885</v>
      </c>
    </row>
    <row r="2947">
      <c r="A2947" s="10" t="n">
        <v>46093</v>
      </c>
      <c r="B2947" t="inlineStr">
        <is>
          <t>Janaina Lima dos Reis Urany</t>
        </is>
      </c>
      <c r="C2947" s="1" t="inlineStr">
        <is>
          <t>Técnico III</t>
        </is>
      </c>
      <c r="D2947" s="3" t="n">
        <v>46</v>
      </c>
      <c r="E2947" s="3" t="n">
        <v>42</v>
      </c>
      <c r="F2947" s="3" t="n">
        <v>11.51</v>
      </c>
      <c r="G2947" s="3" t="n">
        <v>0</v>
      </c>
      <c r="H2947" s="3" t="n">
        <v>0</v>
      </c>
      <c r="I2947" s="3">
        <f>E2947+G2947+H2947</f>
        <v/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/>
      </c>
      <c r="K2947" s="3">
        <f>I2947-J2947</f>
        <v/>
      </c>
      <c r="L2947" s="3">
        <f>IF(K2947&lt;-5,"CRÍTICO",IF(K2947&lt;0,"ATENÇÃO",IF(K2947&lt;=5,"OPORTUNO","MUITO BOM")))</f>
        <v/>
      </c>
      <c r="M2947" s="3" t="n">
        <v>39</v>
      </c>
      <c r="N2947" s="3" t="n">
        <v>97.83</v>
      </c>
      <c r="O2947" s="12" t="n">
        <v>26.31578947368421</v>
      </c>
    </row>
    <row r="2948">
      <c r="A2948" s="10" t="n">
        <v>46093</v>
      </c>
      <c r="B2948" t="inlineStr">
        <is>
          <t>Jaqueline Evangelista da Silva Martins</t>
        </is>
      </c>
      <c r="C2948" s="1" t="inlineStr">
        <is>
          <t>Técnico III</t>
        </is>
      </c>
      <c r="D2948" s="3" t="n">
        <v>0</v>
      </c>
      <c r="E2948" s="3" t="n">
        <v>0</v>
      </c>
      <c r="F2948" s="3" t="n">
        <v>0</v>
      </c>
      <c r="G2948" s="3" t="n">
        <v>0</v>
      </c>
      <c r="H2948" s="3" t="n">
        <v>0</v>
      </c>
      <c r="I2948" s="3" t="n">
        <v>0</v>
      </c>
      <c r="J2948" s="3" t="n">
        <v>0</v>
      </c>
      <c r="K2948" s="3" t="n">
        <v>0</v>
      </c>
      <c r="L2948" s="3">
        <f>IF(K2948&lt;-5,"CRÍTICO",IF(K2948&lt;0,"ATENÇÃO",IF(K2948&lt;=5,"OPORTUNO","MUITO BOM")))</f>
        <v/>
      </c>
      <c r="M2948" s="3" t="n">
        <v>6</v>
      </c>
      <c r="N2948" s="3" t="n">
        <v>100</v>
      </c>
      <c r="O2948" s="12" t="n">
        <v>26.70157068062827</v>
      </c>
    </row>
    <row r="2949">
      <c r="A2949" s="10" t="n">
        <v>46093</v>
      </c>
      <c r="B2949" t="inlineStr">
        <is>
          <t>Jessica Faria da Silveira</t>
        </is>
      </c>
      <c r="C2949" s="1" t="inlineStr">
        <is>
          <t>Técnico II</t>
        </is>
      </c>
      <c r="D2949" s="3" t="n">
        <v>28</v>
      </c>
      <c r="E2949" s="3" t="n">
        <v>23</v>
      </c>
      <c r="F2949" s="3" t="n">
        <v>18.52</v>
      </c>
      <c r="G2949" s="3" t="n">
        <v>0</v>
      </c>
      <c r="H2949" s="3" t="n">
        <v>0</v>
      </c>
      <c r="I2949" s="3">
        <f>E2949+G2949+H2949</f>
        <v/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/>
      </c>
      <c r="K2949" s="3">
        <f>I2949-J2949</f>
        <v/>
      </c>
      <c r="L2949" s="3">
        <f>IF(K2949&lt;-5,"CRÍTICO",IF(K2949&lt;0,"ATENÇÃO",IF(K2949&lt;=5,"OPORTUNO","MUITO BOM")))</f>
        <v/>
      </c>
      <c r="M2949" s="3" t="n">
        <v>21</v>
      </c>
      <c r="N2949" s="3" t="n">
        <v>97.47</v>
      </c>
      <c r="O2949" s="12" t="n">
        <v>22.88732394366197</v>
      </c>
    </row>
    <row r="2950">
      <c r="A2950" s="10" t="n">
        <v>46093</v>
      </c>
      <c r="B2950" t="inlineStr">
        <is>
          <t>Jéssica Fé Moura</t>
        </is>
      </c>
      <c r="C2950" s="1" t="inlineStr">
        <is>
          <t>Técnico III</t>
        </is>
      </c>
      <c r="D2950" s="3" t="n">
        <v>0</v>
      </c>
      <c r="E2950" s="3" t="n">
        <v>0</v>
      </c>
      <c r="F2950" s="3" t="n">
        <v>0</v>
      </c>
      <c r="G2950" s="3" t="n">
        <v>0</v>
      </c>
      <c r="H2950" s="3" t="n">
        <v>0</v>
      </c>
      <c r="I2950" s="3" t="n">
        <v>0</v>
      </c>
      <c r="J2950" s="3" t="n">
        <v>0</v>
      </c>
      <c r="K2950" s="3" t="n">
        <v>0</v>
      </c>
      <c r="L2950" s="3">
        <f>IF(K2950&lt;-5,"CRÍTICO",IF(K2950&lt;0,"ATENÇÃO",IF(K2950&lt;=5,"OPORTUNO","MUITO BOM")))</f>
        <v/>
      </c>
      <c r="M2950" s="3" t="n">
        <v>0</v>
      </c>
      <c r="N2950" s="3" t="n">
        <v>0</v>
      </c>
      <c r="O2950" s="12" t="n">
        <v>0</v>
      </c>
    </row>
    <row r="2951">
      <c r="A2951" s="10" t="n">
        <v>46093</v>
      </c>
      <c r="B2951" t="inlineStr">
        <is>
          <t>Karina Gonçalves Martins</t>
        </is>
      </c>
      <c r="C2951" s="1" t="inlineStr">
        <is>
          <t>JR</t>
        </is>
      </c>
      <c r="D2951" s="3" t="n">
        <v>12</v>
      </c>
      <c r="E2951" s="3" t="n">
        <v>11</v>
      </c>
      <c r="F2951" s="3" t="n">
        <v>27.26</v>
      </c>
      <c r="G2951" s="3" t="n">
        <v>0</v>
      </c>
      <c r="H2951" s="3" t="n">
        <v>0</v>
      </c>
      <c r="I2951" s="3">
        <f>E2951+G2951+H2951</f>
        <v/>
      </c>
      <c r="J2951" s="3">
        <f>ROUND(MIN(IF(C2951="Técnico III",35,IF(C2951="Técnico II",28,IF(C2951="Técnico I",23,IF(C2951="JR",20,IF(C2951="Estágio",10,0))))),IF(C2951="Técnico III",SUMIFS($D:$D,$A:$A,$A2951,$B:$B,"&lt;&gt;Patrícia Karla de Sousa Araújo",$B:$B,"&lt;&gt;Lorena Dias de Araujo",$B:$B,"&lt;&gt;Lucas Luiz Romero")*(35/1083),IF(C2951="Técnico II",SUMIFS($D:$D,$A:$A,$A2951,$B:$B,"&lt;&gt;Patrícia Karla de Sousa Araújo",$B:$B,"&lt;&gt;Lorena Dias de Araujo",$B:$B,"&lt;&gt;Lucas Luiz Romero")*(28/1083),IF(C2951="Técnico I",SUMIFS($D:$D,$A:$A,$A2951,$B:$B,"&lt;&gt;Patrícia Karla de Sousa Araújo",$B:$B,"&lt;&gt;Lorena Dias de Araujo",$B:$B,"&lt;&gt;Lucas Luiz Romero")*(23/1083),IF(C2951="JR",SUMIFS($D:$D,$A:$A,$A2951,$B:$B,"&lt;&gt;Patrícia Karla de Sousa Araújo",$B:$B,"&lt;&gt;Lorena Dias de Araujo",$B:$B,"&lt;&gt;Lucas Luiz Romero")*(20/1083),IF(C2951="Estágio",SUMIFS($D:$D,$A:$A,$A2951,$B:$B,"&lt;&gt;Patrícia Karla de Sousa Araújo",$B:$B,"&lt;&gt;Lorena Dias de Araujo",$B:$B,"&lt;&gt;Lucas Luiz Romero")*(10/1083),0)))))),0)</f>
        <v/>
      </c>
      <c r="K2951" s="3">
        <f>I2951-J2951</f>
        <v/>
      </c>
      <c r="L2951" s="3">
        <f>IF(K2951&lt;-5,"CRÍTICO",IF(K2951&lt;0,"ATENÇÃO",IF(K2951&lt;=5,"OPORTUNO","MUITO BOM")))</f>
        <v/>
      </c>
      <c r="M2951" s="3" t="n">
        <v>10</v>
      </c>
      <c r="N2951" s="3" t="n">
        <v>98.31</v>
      </c>
      <c r="O2951" s="12" t="n">
        <v>24.92012779552715</v>
      </c>
    </row>
    <row r="2952">
      <c r="A2952" s="10" t="n">
        <v>46093</v>
      </c>
      <c r="B2952" t="inlineStr">
        <is>
          <t>Kerollen Cristielly de Jesus Siqueira</t>
        </is>
      </c>
      <c r="C2952" s="1" t="inlineStr">
        <is>
          <t>Técnico III</t>
        </is>
      </c>
      <c r="D2952" s="3" t="n">
        <v>0</v>
      </c>
      <c r="E2952" s="3" t="n">
        <v>0</v>
      </c>
      <c r="F2952" s="3" t="n">
        <v>0</v>
      </c>
      <c r="G2952" s="3" t="n">
        <v>0</v>
      </c>
      <c r="H2952" s="3" t="n">
        <v>0</v>
      </c>
      <c r="I2952" s="3" t="n">
        <v>0</v>
      </c>
      <c r="J2952" s="3" t="n">
        <v>0</v>
      </c>
      <c r="K2952" s="3" t="n">
        <v>0</v>
      </c>
      <c r="L2952" s="3">
        <f>IF(K2952&lt;-5,"CRÍTICO",IF(K2952&lt;0,"ATENÇÃO",IF(K2952&lt;=5,"OPORTUNO","MUITO BOM")))</f>
        <v/>
      </c>
      <c r="M2952" s="3" t="n">
        <v>1</v>
      </c>
      <c r="N2952" s="3" t="n">
        <v>96.81</v>
      </c>
      <c r="O2952" s="12" t="n">
        <v>32.36514522821577</v>
      </c>
    </row>
    <row r="2953">
      <c r="A2953" s="10" t="n">
        <v>46093</v>
      </c>
      <c r="B2953" t="inlineStr">
        <is>
          <t>Leandro de Souza Silva</t>
        </is>
      </c>
      <c r="C2953" s="1" t="inlineStr">
        <is>
          <t>JR</t>
        </is>
      </c>
      <c r="D2953" s="3" t="n">
        <v>13</v>
      </c>
      <c r="E2953" s="3" t="n">
        <v>12</v>
      </c>
      <c r="F2953" s="3" t="n">
        <v>43.58</v>
      </c>
      <c r="G2953" s="3" t="n">
        <v>0</v>
      </c>
      <c r="H2953" s="3" t="n">
        <v>0</v>
      </c>
      <c r="I2953" s="3">
        <f>E2953+G2953+H2953</f>
        <v/>
      </c>
      <c r="J2953" s="3">
        <f>ROUND(MIN(IF(C2953="Técnico III",35,IF(C2953="Técnico II",28,IF(C2953="Técnico I",23,IF(C2953="JR",20,IF(C2953="Estágio",10,0))))),IF(C2953="Técnico III",SUMIFS($D:$D,$A:$A,$A2953,$B:$B,"&lt;&gt;Patrícia Karla de Sousa Araújo",$B:$B,"&lt;&gt;Lorena Dias de Araujo",$B:$B,"&lt;&gt;Lucas Luiz Romero")*(35/1083),IF(C2953="Técnico II",SUMIFS($D:$D,$A:$A,$A2953,$B:$B,"&lt;&gt;Patrícia Karla de Sousa Araújo",$B:$B,"&lt;&gt;Lorena Dias de Araujo",$B:$B,"&lt;&gt;Lucas Luiz Romero")*(28/1083),IF(C2953="Técnico I",SUMIFS($D:$D,$A:$A,$A2953,$B:$B,"&lt;&gt;Patrícia Karla de Sousa Araújo",$B:$B,"&lt;&gt;Lorena Dias de Araujo",$B:$B,"&lt;&gt;Lucas Luiz Romero")*(23/1083),IF(C2953="JR",SUMIFS($D:$D,$A:$A,$A2953,$B:$B,"&lt;&gt;Patrícia Karla de Sousa Araújo",$B:$B,"&lt;&gt;Lorena Dias de Araujo",$B:$B,"&lt;&gt;Lucas Luiz Romero")*(20/1083),IF(C2953="Estágio",SUMIFS($D:$D,$A:$A,$A2953,$B:$B,"&lt;&gt;Patrícia Karla de Sousa Araújo",$B:$B,"&lt;&gt;Lorena Dias de Araujo",$B:$B,"&lt;&gt;Lucas Luiz Romero")*(10/1083),0)))))),0)</f>
        <v/>
      </c>
      <c r="K2953" s="3">
        <f>I2953-J2953</f>
        <v/>
      </c>
      <c r="L2953" s="3">
        <f>IF(K2953&lt;-5,"CRÍTICO",IF(K2953&lt;0,"ATENÇÃO",IF(K2953&lt;=5,"OPORTUNO","MUITO BOM")))</f>
        <v/>
      </c>
      <c r="M2953" s="3" t="n">
        <v>7</v>
      </c>
      <c r="N2953" s="3" t="n">
        <v>100</v>
      </c>
      <c r="O2953" s="12" t="n">
        <v>26.47058823529412</v>
      </c>
    </row>
    <row r="2954">
      <c r="A2954" s="10" t="n">
        <v>46093</v>
      </c>
      <c r="B2954" t="inlineStr">
        <is>
          <t>Leandro Oliveira de Sousa</t>
        </is>
      </c>
      <c r="C2954" s="1" t="inlineStr">
        <is>
          <t>Técnico III</t>
        </is>
      </c>
      <c r="D2954" s="3" t="n">
        <v>0</v>
      </c>
      <c r="E2954" s="3" t="n">
        <v>0</v>
      </c>
      <c r="F2954" s="3" t="n">
        <v>0</v>
      </c>
      <c r="G2954" s="3" t="n">
        <v>0</v>
      </c>
      <c r="H2954" s="3" t="n">
        <v>0</v>
      </c>
      <c r="I2954" s="3" t="n">
        <v>0</v>
      </c>
      <c r="J2954" s="3" t="n">
        <v>0</v>
      </c>
      <c r="K2954" s="3" t="n">
        <v>0</v>
      </c>
      <c r="L2954" s="3">
        <f>IF(K2954&lt;-5,"CRÍTICO",IF(K2954&lt;0,"ATENÇÃO",IF(K2954&lt;=5,"OPORTUNO","MUITO BOM")))</f>
        <v/>
      </c>
      <c r="M2954" s="3" t="n">
        <v>8</v>
      </c>
      <c r="N2954" s="3" t="n">
        <v>100</v>
      </c>
      <c r="O2954" s="12" t="n">
        <v>28.49002849002849</v>
      </c>
    </row>
    <row r="2955">
      <c r="A2955" s="10" t="n">
        <v>46093</v>
      </c>
      <c r="B2955" t="inlineStr">
        <is>
          <t>Lizandra Gomes Duarte</t>
        </is>
      </c>
      <c r="C2955" s="1" t="inlineStr">
        <is>
          <t>Técnico II</t>
        </is>
      </c>
      <c r="D2955" s="3" t="n">
        <v>16</v>
      </c>
      <c r="E2955" s="3" t="n">
        <v>14</v>
      </c>
      <c r="F2955" s="3" t="n">
        <v>38.26</v>
      </c>
      <c r="G2955" s="3" t="n">
        <v>0</v>
      </c>
      <c r="H2955" s="3" t="n">
        <v>0</v>
      </c>
      <c r="I2955" s="3">
        <f>E2955+G2955+H2955</f>
        <v/>
      </c>
      <c r="J2955" s="3">
        <f>ROUND(MIN(IF(C2955="Técnico III",35,IF(C2955="Técnico II",28,IF(C2955="Técnico I",23,IF(C2955="JR",20,IF(C2955="Estágio",10,0))))),IF(C2955="Técnico III",SUMIFS($D:$D,$A:$A,$A2955,$B:$B,"&lt;&gt;Patrícia Karla de Sousa Araújo",$B:$B,"&lt;&gt;Lorena Dias de Araujo",$B:$B,"&lt;&gt;Lucas Luiz Romero")*(35/1083),IF(C2955="Técnico II",SUMIFS($D:$D,$A:$A,$A2955,$B:$B,"&lt;&gt;Patrícia Karla de Sousa Araújo",$B:$B,"&lt;&gt;Lorena Dias de Araujo",$B:$B,"&lt;&gt;Lucas Luiz Romero")*(28/1083),IF(C2955="Técnico I",SUMIFS($D:$D,$A:$A,$A2955,$B:$B,"&lt;&gt;Patrícia Karla de Sousa Araújo",$B:$B,"&lt;&gt;Lorena Dias de Araujo",$B:$B,"&lt;&gt;Lucas Luiz Romero")*(23/1083),IF(C2955="JR",SUMIFS($D:$D,$A:$A,$A2955,$B:$B,"&lt;&gt;Patrícia Karla de Sousa Araújo",$B:$B,"&lt;&gt;Lorena Dias de Araujo",$B:$B,"&lt;&gt;Lucas Luiz Romero")*(20/1083),IF(C2955="Estágio",SUMIFS($D:$D,$A:$A,$A2955,$B:$B,"&lt;&gt;Patrícia Karla de Sousa Araújo",$B:$B,"&lt;&gt;Lorena Dias de Araujo",$B:$B,"&lt;&gt;Lucas Luiz Romero")*(10/1083),0)))))),0)</f>
        <v/>
      </c>
      <c r="K2955" s="3">
        <f>I2955-J2955</f>
        <v/>
      </c>
      <c r="L2955" s="3">
        <f>IF(K2955&lt;-5,"CRÍTICO",IF(K2955&lt;0,"ATENÇÃO",IF(K2955&lt;=5,"OPORTUNO","MUITO BOM")))</f>
        <v/>
      </c>
      <c r="M2955" s="3" t="n">
        <v>14</v>
      </c>
      <c r="N2955" s="3" t="n">
        <v>99.14</v>
      </c>
      <c r="O2955" s="12" t="n">
        <v>27.2289156626506</v>
      </c>
    </row>
    <row r="2956">
      <c r="A2956" s="10" t="n">
        <v>46093</v>
      </c>
      <c r="B2956" t="inlineStr">
        <is>
          <t>Lorena Dias de Araujo</t>
        </is>
      </c>
      <c r="C2956" s="1" t="inlineStr">
        <is>
          <t>Técnico II</t>
        </is>
      </c>
      <c r="D2956" s="3" t="n">
        <v>16</v>
      </c>
      <c r="E2956" s="3" t="n">
        <v>16</v>
      </c>
      <c r="F2956" s="3" t="n">
        <v>33.42</v>
      </c>
      <c r="G2956" s="3" t="n">
        <v>0</v>
      </c>
      <c r="H2956" s="3" t="n">
        <v>0</v>
      </c>
      <c r="I2956" s="3" t="n">
        <v>0</v>
      </c>
      <c r="J2956" s="3" t="n">
        <v>0</v>
      </c>
      <c r="K2956" s="3" t="n">
        <v>0</v>
      </c>
      <c r="L2956" s="3">
        <f>IF(K2956&lt;-5,"CRÍTICO",IF(K2956&lt;0,"ATENÇÃO",IF(K2956&lt;=5,"OPORTUNO","MUITO BOM")))</f>
        <v/>
      </c>
      <c r="M2956" s="3" t="n">
        <v>16</v>
      </c>
      <c r="N2956" s="3" t="n">
        <v>97.52</v>
      </c>
      <c r="O2956" s="12" t="n">
        <v>28.2051282051282</v>
      </c>
    </row>
    <row r="2957">
      <c r="A2957" s="10" t="n">
        <v>46093</v>
      </c>
      <c r="B2957" t="inlineStr">
        <is>
          <t>Lucas Luiz Romero</t>
        </is>
      </c>
      <c r="C2957" s="1" t="inlineStr">
        <is>
          <t>Técnico III</t>
        </is>
      </c>
      <c r="D2957" s="3" t="n">
        <v>24</v>
      </c>
      <c r="E2957" s="3" t="n">
        <v>21</v>
      </c>
      <c r="F2957" s="3" t="n">
        <v>29.1</v>
      </c>
      <c r="G2957" s="3" t="n">
        <v>0</v>
      </c>
      <c r="H2957" s="3" t="n">
        <v>0</v>
      </c>
      <c r="I2957" s="3">
        <f>E2957+G2957+H2957</f>
        <v/>
      </c>
      <c r="J2957" s="3">
        <f>ROUND(MIN(IF(C2957="Técnico III",35,IF(C2957="Técnico II",28,IF(C2957="Técnico I",23,IF(C2957="JR",20,IF(C2957="Estágio",10,0))))),IF(C2957="Técnico III",SUMIFS($D:$D,$A:$A,$A2957,$B:$B,"&lt;&gt;Patrícia Karla de Sousa Araújo",$B:$B,"&lt;&gt;Lorena Dias de Araujo",$B:$B,"&lt;&gt;Lucas Luiz Romero")*(35/1083),IF(C2957="Técnico II",SUMIFS($D:$D,$A:$A,$A2957,$B:$B,"&lt;&gt;Patrícia Karla de Sousa Araújo",$B:$B,"&lt;&gt;Lorena Dias de Araujo",$B:$B,"&lt;&gt;Lucas Luiz Romero")*(28/1083),IF(C2957="Técnico I",SUMIFS($D:$D,$A:$A,$A2957,$B:$B,"&lt;&gt;Patrícia Karla de Sousa Araújo",$B:$B,"&lt;&gt;Lorena Dias de Araujo",$B:$B,"&lt;&gt;Lucas Luiz Romero")*(23/1083),IF(C2957="JR",SUMIFS($D:$D,$A:$A,$A2957,$B:$B,"&lt;&gt;Patrícia Karla de Sousa Araújo",$B:$B,"&lt;&gt;Lorena Dias de Araujo",$B:$B,"&lt;&gt;Lucas Luiz Romero")*(20/1083),IF(C2957="Estágio",SUMIFS($D:$D,$A:$A,$A2957,$B:$B,"&lt;&gt;Patrícia Karla de Sousa Araújo",$B:$B,"&lt;&gt;Lorena Dias de Araujo",$B:$B,"&lt;&gt;Lucas Luiz Romero")*(10/1083),0)))))),0)</f>
        <v/>
      </c>
      <c r="K2957" s="3">
        <f>I2957-J2957</f>
        <v/>
      </c>
      <c r="L2957" s="3">
        <f>IF(K2957&lt;-5,"CRÍTICO",IF(K2957&lt;0,"ATENÇÃO",IF(K2957&lt;=5,"OPORTUNO","MUITO BOM")))</f>
        <v/>
      </c>
      <c r="M2957" s="3" t="n">
        <v>17</v>
      </c>
      <c r="N2957" s="3" t="n">
        <v>90</v>
      </c>
      <c r="O2957" s="12" t="n">
        <v>24.18604651162791</v>
      </c>
    </row>
    <row r="2958">
      <c r="A2958" s="10" t="n">
        <v>46093</v>
      </c>
      <c r="B2958" t="inlineStr">
        <is>
          <t>Luiz Fernando de Carvalho Junior</t>
        </is>
      </c>
      <c r="C2958" s="1" t="inlineStr">
        <is>
          <t>Técnico I</t>
        </is>
      </c>
      <c r="D2958" s="3" t="n">
        <v>22</v>
      </c>
      <c r="E2958" s="3" t="n">
        <v>21</v>
      </c>
      <c r="F2958" s="3" t="n">
        <v>20.32</v>
      </c>
      <c r="G2958" s="3" t="n">
        <v>0</v>
      </c>
      <c r="H2958" s="3" t="n">
        <v>0</v>
      </c>
      <c r="I2958" s="3">
        <f>E2958+G2958+H2958</f>
        <v/>
      </c>
      <c r="J2958" s="3">
        <f>ROUND(MIN(IF(C2958="Técnico III",35,IF(C2958="Técnico II",28,IF(C2958="Técnico I",23,IF(C2958="JR",20,IF(C2958="Estágio",10,0))))),IF(C2958="Técnico III",SUMIFS($D:$D,$A:$A,$A2958,$B:$B,"&lt;&gt;Patrícia Karla de Sousa Araújo",$B:$B,"&lt;&gt;Lorena Dias de Araujo",$B:$B,"&lt;&gt;Lucas Luiz Romero")*(35/1083),IF(C2958="Técnico II",SUMIFS($D:$D,$A:$A,$A2958,$B:$B,"&lt;&gt;Patrícia Karla de Sousa Araújo",$B:$B,"&lt;&gt;Lorena Dias de Araujo",$B:$B,"&lt;&gt;Lucas Luiz Romero")*(28/1083),IF(C2958="Técnico I",SUMIFS($D:$D,$A:$A,$A2958,$B:$B,"&lt;&gt;Patrícia Karla de Sousa Araújo",$B:$B,"&lt;&gt;Lorena Dias de Araujo",$B:$B,"&lt;&gt;Lucas Luiz Romero")*(23/1083),IF(C2958="JR",SUMIFS($D:$D,$A:$A,$A2958,$B:$B,"&lt;&gt;Patrícia Karla de Sousa Araújo",$B:$B,"&lt;&gt;Lorena Dias de Araujo",$B:$B,"&lt;&gt;Lucas Luiz Romero")*(20/1083),IF(C2958="Estágio",SUMIFS($D:$D,$A:$A,$A2958,$B:$B,"&lt;&gt;Patrícia Karla de Sousa Araújo",$B:$B,"&lt;&gt;Lorena Dias de Araujo",$B:$B,"&lt;&gt;Lucas Luiz Romero")*(10/1083),0)))))),0)</f>
        <v/>
      </c>
      <c r="K2958" s="3">
        <f>I2958-J2958</f>
        <v/>
      </c>
      <c r="L2958" s="3">
        <f>IF(K2958&lt;-5,"CRÍTICO",IF(K2958&lt;0,"ATENÇÃO",IF(K2958&lt;=5,"OPORTUNO","MUITO BOM")))</f>
        <v/>
      </c>
      <c r="M2958" s="3" t="n">
        <v>17</v>
      </c>
      <c r="N2958" s="3" t="n">
        <v>98.90000000000001</v>
      </c>
      <c r="O2958" s="12" t="n">
        <v>26.7639902676399</v>
      </c>
    </row>
    <row r="2959">
      <c r="A2959" s="10" t="n">
        <v>46093</v>
      </c>
      <c r="B2959" t="inlineStr">
        <is>
          <t>Maria Eduarda Sousa Costa</t>
        </is>
      </c>
      <c r="C2959" s="1" t="inlineStr">
        <is>
          <t>Estágio</t>
        </is>
      </c>
      <c r="D2959" s="3" t="n">
        <v>4</v>
      </c>
      <c r="E2959" s="3" t="n">
        <v>4</v>
      </c>
      <c r="F2959" s="3" t="n">
        <v>85.44</v>
      </c>
      <c r="G2959" s="3" t="n">
        <v>0</v>
      </c>
      <c r="H2959" s="3" t="n">
        <v>0</v>
      </c>
      <c r="I2959" s="3">
        <f>E2959+G2959+H2959</f>
        <v/>
      </c>
      <c r="J2959" s="3">
        <f>ROUND(MIN(IF(C2959="Técnico III",35,IF(C2959="Técnico II",28,IF(C2959="Técnico I",23,IF(C2959="JR",20,IF(C2959="Estágio",10,0))))),IF(C2959="Técnico III",SUMIFS($D:$D,$A:$A,$A2959,$B:$B,"&lt;&gt;Patrícia Karla de Sousa Araújo",$B:$B,"&lt;&gt;Lorena Dias de Araujo",$B:$B,"&lt;&gt;Lucas Luiz Romero")*(35/1083),IF(C2959="Técnico II",SUMIFS($D:$D,$A:$A,$A2959,$B:$B,"&lt;&gt;Patrícia Karla de Sousa Araújo",$B:$B,"&lt;&gt;Lorena Dias de Araujo",$B:$B,"&lt;&gt;Lucas Luiz Romero")*(28/1083),IF(C2959="Técnico I",SUMIFS($D:$D,$A:$A,$A2959,$B:$B,"&lt;&gt;Patrícia Karla de Sousa Araújo",$B:$B,"&lt;&gt;Lorena Dias de Araujo",$B:$B,"&lt;&gt;Lucas Luiz Romero")*(23/1083),IF(C2959="JR",SUMIFS($D:$D,$A:$A,$A2959,$B:$B,"&lt;&gt;Patrícia Karla de Sousa Araújo",$B:$B,"&lt;&gt;Lorena Dias de Araujo",$B:$B,"&lt;&gt;Lucas Luiz Romero")*(20/1083),IF(C2959="Estágio",SUMIFS($D:$D,$A:$A,$A2959,$B:$B,"&lt;&gt;Patrícia Karla de Sousa Araújo",$B:$B,"&lt;&gt;Lorena Dias de Araujo",$B:$B,"&lt;&gt;Lucas Luiz Romero")*(10/1083),0)))))),0)</f>
        <v/>
      </c>
      <c r="K2959" s="3">
        <f>I2959-J2959</f>
        <v/>
      </c>
      <c r="L2959" s="3">
        <f>IF(K2959&lt;-5,"CRÍTICO",IF(K2959&lt;0,"ATENÇÃO",IF(K2959&lt;=5,"OPORTUNO","MUITO BOM")))</f>
        <v/>
      </c>
      <c r="M2959" s="3" t="n">
        <v>3</v>
      </c>
      <c r="N2959" s="3" t="n">
        <v>88.89</v>
      </c>
      <c r="O2959" s="12" t="n">
        <v>25.26315789473684</v>
      </c>
    </row>
    <row r="2960">
      <c r="A2960" s="10" t="n">
        <v>46113</v>
      </c>
      <c r="B2960" t="inlineStr">
        <is>
          <t>Matheus Farias De Souza</t>
        </is>
      </c>
      <c r="C2960" s="1" t="inlineStr">
        <is>
          <t>Técnico III</t>
        </is>
      </c>
      <c r="D2960" s="3" t="n">
        <v>50</v>
      </c>
      <c r="E2960" s="3" t="n">
        <v>48</v>
      </c>
      <c r="F2960" s="3" t="n">
        <v>12.04</v>
      </c>
      <c r="G2960" s="3" t="n">
        <v>0</v>
      </c>
      <c r="H2960" s="3" t="n">
        <v>0</v>
      </c>
      <c r="I2960" s="3">
        <f>E2960+G2960+H2960</f>
        <v/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/>
      </c>
      <c r="K2960" s="3">
        <f>I2960-J2960</f>
        <v/>
      </c>
      <c r="L2960" s="3">
        <f>IF(K2960&lt;-5,"CRÍTICO",IF(K2960&lt;0,"ATENÇÃO",IF(K2960&lt;=5,"OPORTUNO","MUITO BOM")))</f>
        <v/>
      </c>
      <c r="M2960" s="3" t="n">
        <v>47</v>
      </c>
      <c r="N2960" s="3" t="n">
        <v>100</v>
      </c>
      <c r="O2960" s="12" t="n">
        <v>23.9870340356564</v>
      </c>
    </row>
    <row r="2961">
      <c r="A2961" s="10" t="n">
        <v>46093</v>
      </c>
      <c r="B2961" t="inlineStr">
        <is>
          <t>Maysa Victoria Dias Moura</t>
        </is>
      </c>
      <c r="C2961" s="1" t="inlineStr">
        <is>
          <t>Técnico III</t>
        </is>
      </c>
      <c r="D2961" s="3" t="n">
        <v>33</v>
      </c>
      <c r="E2961" s="3" t="n">
        <v>26</v>
      </c>
      <c r="F2961" s="3" t="n">
        <v>12.22</v>
      </c>
      <c r="G2961" s="3" t="n">
        <v>0</v>
      </c>
      <c r="H2961" s="3" t="n">
        <v>0</v>
      </c>
      <c r="I2961" s="3">
        <f>E2961+G2961+H2961</f>
        <v/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/>
      </c>
      <c r="K2961" s="3">
        <f>I2961-J2961</f>
        <v/>
      </c>
      <c r="L2961" s="3">
        <f>IF(K2961&lt;-5,"CRÍTICO",IF(K2961&lt;0,"ATENÇÃO",IF(K2961&lt;=5,"OPORTUNO","MUITO BOM")))</f>
        <v/>
      </c>
      <c r="M2961" s="3" t="n">
        <v>22</v>
      </c>
      <c r="N2961" s="3" t="n">
        <v>98.06</v>
      </c>
      <c r="O2961" s="12" t="n">
        <v>22.40566037735849</v>
      </c>
    </row>
    <row r="2962">
      <c r="A2962" s="10" t="n">
        <v>46121</v>
      </c>
      <c r="B2962" t="inlineStr">
        <is>
          <t>Michelle G Santos</t>
        </is>
      </c>
      <c r="C2962" s="1" t="inlineStr">
        <is>
          <t>Estágio</t>
        </is>
      </c>
      <c r="D2962" s="3" t="n">
        <v>13</v>
      </c>
      <c r="E2962" s="3" t="n">
        <v>12</v>
      </c>
      <c r="F2962" s="3" t="n">
        <v>24.15</v>
      </c>
      <c r="G2962" s="3" t="n">
        <v>0</v>
      </c>
      <c r="H2962" s="3" t="n">
        <v>0</v>
      </c>
      <c r="I2962" s="3">
        <f>E2962+G2962+H2962</f>
        <v/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/>
      </c>
      <c r="K2962" s="3">
        <f>I2962-J2962</f>
        <v/>
      </c>
      <c r="L2962" s="3">
        <f>IF(K2962&lt;-5,"CRÍTICO",IF(K2962&lt;0,"ATENÇÃO",IF(K2962&lt;=5,"OPORTUNO","MUITO BOM")))</f>
        <v/>
      </c>
      <c r="M2962" s="3" t="n">
        <v>8</v>
      </c>
      <c r="N2962" s="3" t="n">
        <v>100</v>
      </c>
      <c r="O2962" s="12" t="n">
        <v>23.77622377622378</v>
      </c>
    </row>
    <row r="2963">
      <c r="A2963" s="10" t="n">
        <v>46093</v>
      </c>
      <c r="B2963" t="inlineStr">
        <is>
          <t>Milena Sales</t>
        </is>
      </c>
      <c r="C2963" s="1" t="inlineStr">
        <is>
          <t>JR</t>
        </is>
      </c>
      <c r="D2963" s="3" t="n">
        <v>0</v>
      </c>
      <c r="E2963" s="3" t="n">
        <v>0</v>
      </c>
      <c r="F2963" s="3" t="n">
        <v>0</v>
      </c>
      <c r="G2963" s="3" t="n">
        <v>0</v>
      </c>
      <c r="H2963" s="3" t="n">
        <v>0</v>
      </c>
      <c r="I2963" s="3" t="n">
        <v>0</v>
      </c>
      <c r="J2963" s="3" t="n">
        <v>0</v>
      </c>
      <c r="K2963" s="3" t="n">
        <v>0</v>
      </c>
      <c r="L2963" s="3">
        <f>IF(K2963&lt;-5,"CRÍTICO",IF(K2963&lt;0,"ATENÇÃO",IF(K2963&lt;=5,"OPORTUNO","MUITO BOM")))</f>
        <v/>
      </c>
      <c r="M2963" s="3" t="n">
        <v>0</v>
      </c>
      <c r="N2963" s="3" t="n">
        <v>100</v>
      </c>
      <c r="O2963" s="12" t="n">
        <v>15.38461538461539</v>
      </c>
    </row>
    <row r="2964">
      <c r="A2964" s="10" t="n">
        <v>46093</v>
      </c>
      <c r="B2964" t="inlineStr">
        <is>
          <t>Patrícia Karla de Sousa Araújo</t>
        </is>
      </c>
      <c r="C2964" s="1" t="inlineStr">
        <is>
          <t>Técnico II</t>
        </is>
      </c>
      <c r="D2964" s="3" t="n">
        <v>13</v>
      </c>
      <c r="E2964" s="3" t="n">
        <v>12</v>
      </c>
      <c r="F2964" s="3" t="n">
        <v>25.35</v>
      </c>
      <c r="G2964" s="3" t="n">
        <v>0</v>
      </c>
      <c r="H2964" s="3" t="n">
        <v>0</v>
      </c>
      <c r="I2964" s="3">
        <f>E2964+G2964+H2964</f>
        <v/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/>
      </c>
      <c r="K2964" s="3">
        <f>I2964-J2964</f>
        <v/>
      </c>
      <c r="L2964" s="3">
        <f>IF(K2964&lt;-5,"CRÍTICO",IF(K2964&lt;0,"ATENÇÃO",IF(K2964&lt;=5,"OPORTUNO","MUITO BOM")))</f>
        <v/>
      </c>
      <c r="M2964" s="3" t="n">
        <v>11</v>
      </c>
      <c r="N2964" s="3" t="n">
        <v>100</v>
      </c>
      <c r="O2964" s="12" t="n">
        <v>27.51479289940828</v>
      </c>
    </row>
    <row r="2965">
      <c r="A2965" s="10" t="n">
        <v>46093</v>
      </c>
      <c r="B2965" t="inlineStr">
        <is>
          <t>Paulo Ricardo Santos</t>
        </is>
      </c>
      <c r="C2965" s="1" t="inlineStr">
        <is>
          <t>JR</t>
        </is>
      </c>
      <c r="D2965" s="3" t="n">
        <v>14</v>
      </c>
      <c r="E2965" s="3" t="n">
        <v>11</v>
      </c>
      <c r="F2965" s="3" t="n">
        <v>18.59</v>
      </c>
      <c r="G2965" s="3" t="n">
        <v>0</v>
      </c>
      <c r="H2965" s="3" t="n">
        <v>0</v>
      </c>
      <c r="I2965" s="3">
        <f>E2965+G2965+H2965</f>
        <v/>
      </c>
      <c r="J2965" s="3">
        <f>ROUND(MIN(IF(C2965="Técnico III",35,IF(C2965="Técnico II",28,IF(C2965="Técnico I",23,IF(C2965="JR",20,IF(C2965="Estágio",10,0))))),IF(C2965="Técnico III",SUMIFS($D:$D,$A:$A,$A2965,$B:$B,"&lt;&gt;Patrícia Karla de Sousa Araújo",$B:$B,"&lt;&gt;Lorena Dias de Araujo",$B:$B,"&lt;&gt;Lucas Luiz Romero")*(35/1083),IF(C2965="Técnico II",SUMIFS($D:$D,$A:$A,$A2965,$B:$B,"&lt;&gt;Patrícia Karla de Sousa Araújo",$B:$B,"&lt;&gt;Lorena Dias de Araujo",$B:$B,"&lt;&gt;Lucas Luiz Romero")*(28/1083),IF(C2965="Técnico I",SUMIFS($D:$D,$A:$A,$A2965,$B:$B,"&lt;&gt;Patrícia Karla de Sousa Araújo",$B:$B,"&lt;&gt;Lorena Dias de Araujo",$B:$B,"&lt;&gt;Lucas Luiz Romero")*(23/1083),IF(C2965="JR",SUMIFS($D:$D,$A:$A,$A2965,$B:$B,"&lt;&gt;Patrícia Karla de Sousa Araújo",$B:$B,"&lt;&gt;Lorena Dias de Araujo",$B:$B,"&lt;&gt;Lucas Luiz Romero")*(20/1083),IF(C2965="Estágio",SUMIFS($D:$D,$A:$A,$A2965,$B:$B,"&lt;&gt;Patrícia Karla de Sousa Araújo",$B:$B,"&lt;&gt;Lorena Dias de Araujo",$B:$B,"&lt;&gt;Lucas Luiz Romero")*(10/1083),0)))))),0)</f>
        <v/>
      </c>
      <c r="K2965" s="3">
        <f>I2965-J2965</f>
        <v/>
      </c>
      <c r="L2965" s="3">
        <f>IF(K2965&lt;-5,"CRÍTICO",IF(K2965&lt;0,"ATENÇÃO",IF(K2965&lt;=5,"OPORTUNO","MUITO BOM")))</f>
        <v/>
      </c>
      <c r="M2965" s="3" t="n">
        <v>10</v>
      </c>
      <c r="N2965" s="3" t="n">
        <v>100</v>
      </c>
      <c r="O2965" s="12" t="n">
        <v>24.87562189054727</v>
      </c>
    </row>
    <row r="2966">
      <c r="A2966" s="10" t="n">
        <v>46093</v>
      </c>
      <c r="B2966" t="inlineStr">
        <is>
          <t>Pedro Luiz Mota Sousa</t>
        </is>
      </c>
      <c r="C2966" s="1" t="inlineStr">
        <is>
          <t>JR</t>
        </is>
      </c>
      <c r="D2966" s="3" t="n">
        <v>11</v>
      </c>
      <c r="E2966" s="3" t="n">
        <v>11</v>
      </c>
      <c r="F2966" s="3" t="n">
        <v>52.06</v>
      </c>
      <c r="G2966" s="3" t="n">
        <v>0</v>
      </c>
      <c r="H2966" s="3" t="n">
        <v>0</v>
      </c>
      <c r="I2966" s="3">
        <f>E2966+G2966+H2966</f>
        <v/>
      </c>
      <c r="J2966" s="3">
        <f>ROUND(MIN(IF(C2966="Técnico III",35,IF(C2966="Técnico II",28,IF(C2966="Técnico I",23,IF(C2966="JR",20,IF(C2966="Estágio",10,0))))),IF(C2966="Técnico III",SUMIFS($D:$D,$A:$A,$A2966,$B:$B,"&lt;&gt;Patrícia Karla de Sousa Araújo",$B:$B,"&lt;&gt;Lorena Dias de Araujo",$B:$B,"&lt;&gt;Lucas Luiz Romero")*(35/1083),IF(C2966="Técnico II",SUMIFS($D:$D,$A:$A,$A2966,$B:$B,"&lt;&gt;Patrícia Karla de Sousa Araújo",$B:$B,"&lt;&gt;Lorena Dias de Araujo",$B:$B,"&lt;&gt;Lucas Luiz Romero")*(28/1083),IF(C2966="Técnico I",SUMIFS($D:$D,$A:$A,$A2966,$B:$B,"&lt;&gt;Patrícia Karla de Sousa Araújo",$B:$B,"&lt;&gt;Lorena Dias de Araujo",$B:$B,"&lt;&gt;Lucas Luiz Romero")*(23/1083),IF(C2966="JR",SUMIFS($D:$D,$A:$A,$A2966,$B:$B,"&lt;&gt;Patrícia Karla de Sousa Araújo",$B:$B,"&lt;&gt;Lorena Dias de Araujo",$B:$B,"&lt;&gt;Lucas Luiz Romero")*(20/1083),IF(C2966="Estágio",SUMIFS($D:$D,$A:$A,$A2966,$B:$B,"&lt;&gt;Patrícia Karla de Sousa Araújo",$B:$B,"&lt;&gt;Lorena Dias de Araujo",$B:$B,"&lt;&gt;Lucas Luiz Romero")*(10/1083),0)))))),0)</f>
        <v/>
      </c>
      <c r="K2966" s="3">
        <f>I2966-J2966</f>
        <v/>
      </c>
      <c r="L2966" s="3">
        <f>IF(K2966&lt;-5,"CRÍTICO",IF(K2966&lt;0,"ATENÇÃO",IF(K2966&lt;=5,"OPORTUNO","MUITO BOM")))</f>
        <v/>
      </c>
      <c r="M2966" s="3" t="n">
        <v>6</v>
      </c>
      <c r="N2966" s="3" t="n">
        <v>100</v>
      </c>
      <c r="O2966" s="12" t="n">
        <v>28.10810810810811</v>
      </c>
    </row>
    <row r="2967">
      <c r="A2967" s="10" t="n">
        <v>46121</v>
      </c>
      <c r="B2967" t="inlineStr">
        <is>
          <t>Quirino Diogo Leite Torres</t>
        </is>
      </c>
      <c r="C2967" s="1" t="inlineStr">
        <is>
          <t>Estágio</t>
        </is>
      </c>
      <c r="D2967" s="3" t="n">
        <v>6</v>
      </c>
      <c r="E2967" s="3" t="n">
        <v>6</v>
      </c>
      <c r="F2967" s="3" t="n">
        <v>27.12</v>
      </c>
      <c r="G2967" s="3" t="n">
        <v>0</v>
      </c>
      <c r="H2967" s="3" t="n">
        <v>0</v>
      </c>
      <c r="I2967" s="3">
        <f>E2967+G2967+H2967</f>
        <v/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/>
      </c>
      <c r="K2967" s="3">
        <f>I2967-J2967</f>
        <v/>
      </c>
      <c r="L2967" s="3">
        <f>IF(K2967&lt;-5,"CRÍTICO",IF(K2967&lt;0,"ATENÇÃO",IF(K2967&lt;=5,"OPORTUNO","MUITO BOM")))</f>
        <v/>
      </c>
      <c r="M2967" s="3" t="n">
        <v>4</v>
      </c>
      <c r="N2967" s="3" t="n">
        <v>94.12</v>
      </c>
      <c r="O2967" s="12" t="n">
        <v>32.8</v>
      </c>
    </row>
    <row r="2968">
      <c r="A2968" s="10" t="n">
        <v>46093</v>
      </c>
      <c r="B2968" t="inlineStr">
        <is>
          <t>Raane Batista Matos</t>
        </is>
      </c>
      <c r="C2968" s="1" t="inlineStr">
        <is>
          <t>Técnico I</t>
        </is>
      </c>
      <c r="D2968" s="3" t="n">
        <v>25</v>
      </c>
      <c r="E2968" s="3" t="n">
        <v>25</v>
      </c>
      <c r="F2968" s="3" t="n">
        <v>28.46</v>
      </c>
      <c r="G2968" s="3" t="n">
        <v>0</v>
      </c>
      <c r="H2968" s="3" t="n">
        <v>0</v>
      </c>
      <c r="I2968" s="3">
        <f>E2968+G2968+H2968</f>
        <v/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/>
      </c>
      <c r="K2968" s="3">
        <f>I2968-J2968</f>
        <v/>
      </c>
      <c r="L2968" s="3">
        <f>IF(K2968&lt;-5,"CRÍTICO",IF(K2968&lt;0,"ATENÇÃO",IF(K2968&lt;=5,"OPORTUNO","MUITO BOM")))</f>
        <v/>
      </c>
      <c r="M2968" s="3" t="n">
        <v>21</v>
      </c>
      <c r="N2968" s="3" t="n">
        <v>95.34999999999999</v>
      </c>
      <c r="O2968" s="12" t="n">
        <v>28.61538461538461</v>
      </c>
    </row>
    <row r="2969">
      <c r="A2969" s="10" t="n">
        <v>46093</v>
      </c>
      <c r="B2969" t="inlineStr">
        <is>
          <t>Rafael Gomes de Morais</t>
        </is>
      </c>
      <c r="C2969" s="1" t="inlineStr">
        <is>
          <t>Técnico III</t>
        </is>
      </c>
      <c r="D2969" s="3" t="n">
        <v>45</v>
      </c>
      <c r="E2969" s="3" t="n">
        <v>42</v>
      </c>
      <c r="F2969" s="3" t="n">
        <v>13.5</v>
      </c>
      <c r="G2969" s="3" t="n">
        <v>0</v>
      </c>
      <c r="H2969" s="3" t="n">
        <v>0</v>
      </c>
      <c r="I2969" s="3">
        <f>E2969+G2969+H2969</f>
        <v/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/>
      </c>
      <c r="K2969" s="3">
        <f>I2969-J2969</f>
        <v/>
      </c>
      <c r="L2969" s="3">
        <f>IF(K2969&lt;-5,"CRÍTICO",IF(K2969&lt;0,"ATENÇÃO",IF(K2969&lt;=5,"OPORTUNO","MUITO BOM")))</f>
        <v/>
      </c>
      <c r="M2969" s="3" t="n">
        <v>34</v>
      </c>
      <c r="N2969" s="3" t="n">
        <v>98.26000000000001</v>
      </c>
      <c r="O2969" s="12" t="n">
        <v>27.54491017964072</v>
      </c>
    </row>
    <row r="2970">
      <c r="A2970" s="10" t="n">
        <v>46093</v>
      </c>
      <c r="B2970" t="inlineStr">
        <is>
          <t>Sara Maria Monteiro Lopes</t>
        </is>
      </c>
      <c r="C2970" s="1" t="inlineStr">
        <is>
          <t>Técnico I</t>
        </is>
      </c>
      <c r="D2970" s="3" t="n">
        <v>17</v>
      </c>
      <c r="E2970" s="3" t="n">
        <v>16</v>
      </c>
      <c r="F2970" s="3" t="n">
        <v>28.36</v>
      </c>
      <c r="G2970" s="3" t="n">
        <v>0</v>
      </c>
      <c r="H2970" s="3" t="n">
        <v>0</v>
      </c>
      <c r="I2970" s="3">
        <f>E2970+G2970+H2970</f>
        <v/>
      </c>
      <c r="J2970" s="3">
        <f>ROUND(MIN(IF(C2970="Técnico III",35,IF(C2970="Técnico II",28,IF(C2970="Técnico I",23,IF(C2970="JR",20,IF(C2970="Estágio",10,0))))),IF(C2970="Técnico III",SUMIFS($D:$D,$A:$A,$A2970,$B:$B,"&lt;&gt;Patrícia Karla de Sousa Araújo",$B:$B,"&lt;&gt;Lorena Dias de Araujo",$B:$B,"&lt;&gt;Lucas Luiz Romero")*(35/1083),IF(C2970="Técnico II",SUMIFS($D:$D,$A:$A,$A2970,$B:$B,"&lt;&gt;Patrícia Karla de Sousa Araújo",$B:$B,"&lt;&gt;Lorena Dias de Araujo",$B:$B,"&lt;&gt;Lucas Luiz Romero")*(28/1083),IF(C2970="Técnico I",SUMIFS($D:$D,$A:$A,$A2970,$B:$B,"&lt;&gt;Patrícia Karla de Sousa Araújo",$B:$B,"&lt;&gt;Lorena Dias de Araujo",$B:$B,"&lt;&gt;Lucas Luiz Romero")*(23/1083),IF(C2970="JR",SUMIFS($D:$D,$A:$A,$A2970,$B:$B,"&lt;&gt;Patrícia Karla de Sousa Araújo",$B:$B,"&lt;&gt;Lorena Dias de Araujo",$B:$B,"&lt;&gt;Lucas Luiz Romero")*(20/1083),IF(C2970="Estágio",SUMIFS($D:$D,$A:$A,$A2970,$B:$B,"&lt;&gt;Patrícia Karla de Sousa Araújo",$B:$B,"&lt;&gt;Lorena Dias de Araujo",$B:$B,"&lt;&gt;Lucas Luiz Romero")*(10/1083),0)))))),0)</f>
        <v/>
      </c>
      <c r="K2970" s="3">
        <f>I2970-J2970</f>
        <v/>
      </c>
      <c r="L2970" s="3">
        <f>IF(K2970&lt;-5,"CRÍTICO",IF(K2970&lt;0,"ATENÇÃO",IF(K2970&lt;=5,"OPORTUNO","MUITO BOM")))</f>
        <v/>
      </c>
      <c r="M2970" s="3" t="n">
        <v>16</v>
      </c>
      <c r="N2970" s="3" t="n">
        <v>98.55</v>
      </c>
      <c r="O2970" s="12" t="n">
        <v>25.33783783783784</v>
      </c>
    </row>
    <row r="2971">
      <c r="A2971" s="10" t="n">
        <v>46093</v>
      </c>
      <c r="B2971" t="inlineStr">
        <is>
          <t>Sarah Steffanie de Lima Borges</t>
        </is>
      </c>
      <c r="C2971" s="1" t="inlineStr">
        <is>
          <t>Técnico III</t>
        </is>
      </c>
      <c r="D2971" s="3" t="n">
        <v>40</v>
      </c>
      <c r="E2971" s="3" t="n">
        <v>35</v>
      </c>
      <c r="F2971" s="3" t="n">
        <v>15.18</v>
      </c>
      <c r="G2971" s="3" t="n">
        <v>0</v>
      </c>
      <c r="H2971" s="3" t="n">
        <v>0</v>
      </c>
      <c r="I2971" s="3">
        <f>E2971+G2971+H2971</f>
        <v/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/>
      </c>
      <c r="K2971" s="3">
        <f>I2971-J2971</f>
        <v/>
      </c>
      <c r="L2971" s="3">
        <f>IF(K2971&lt;-5,"CRÍTICO",IF(K2971&lt;0,"ATENÇÃO",IF(K2971&lt;=5,"OPORTUNO","MUITO BOM")))</f>
        <v/>
      </c>
      <c r="M2971" s="3" t="n">
        <v>28</v>
      </c>
      <c r="N2971" s="3" t="n">
        <v>98.39</v>
      </c>
      <c r="O2971" s="12" t="n">
        <v>25.56390977443609</v>
      </c>
    </row>
    <row r="2972">
      <c r="A2972" s="10" t="n">
        <v>46094</v>
      </c>
      <c r="B2972" t="inlineStr">
        <is>
          <t>Alisson de Freitas Silva</t>
        </is>
      </c>
      <c r="C2972" s="1" t="inlineStr">
        <is>
          <t>Técnico II</t>
        </is>
      </c>
      <c r="D2972" s="3" t="n">
        <v>37</v>
      </c>
      <c r="E2972" s="3" t="n">
        <v>32</v>
      </c>
      <c r="F2972" s="3" t="n">
        <v>17.19</v>
      </c>
      <c r="G2972" s="3" t="n">
        <v>0</v>
      </c>
      <c r="H2972" s="3" t="n">
        <v>0</v>
      </c>
      <c r="I2972" s="3">
        <f>E2972+G2972+H2972</f>
        <v/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/>
      </c>
      <c r="K2972" s="3">
        <f>I2972-J2972</f>
        <v/>
      </c>
      <c r="L2972" s="3">
        <f>IF(K2972&lt;-5,"CRÍTICO",IF(K2972&lt;0,"ATENÇÃO",IF(K2972&lt;=5,"OPORTUNO","MUITO BOM")))</f>
        <v/>
      </c>
      <c r="M2972" s="3" t="n">
        <v>22</v>
      </c>
      <c r="N2972" s="3" t="n">
        <v>94.29000000000001</v>
      </c>
      <c r="O2972" s="12" t="n">
        <v>25.64766839378239</v>
      </c>
    </row>
    <row r="2973">
      <c r="A2973" s="10" t="n">
        <v>46094</v>
      </c>
      <c r="B2973" t="inlineStr">
        <is>
          <t>Amanda Moura Ferreira</t>
        </is>
      </c>
      <c r="C2973" s="1" t="inlineStr">
        <is>
          <t>Técnico III</t>
        </is>
      </c>
      <c r="D2973" s="3" t="n">
        <v>0</v>
      </c>
      <c r="E2973" s="3" t="n">
        <v>0</v>
      </c>
      <c r="F2973" s="3" t="n">
        <v>0</v>
      </c>
      <c r="G2973" s="3" t="n">
        <v>0</v>
      </c>
      <c r="H2973" s="3" t="n">
        <v>0</v>
      </c>
      <c r="I2973" s="3" t="n">
        <v>0</v>
      </c>
      <c r="J2973" s="3" t="n">
        <v>0</v>
      </c>
      <c r="K2973" s="3" t="n">
        <v>0</v>
      </c>
      <c r="L2973" s="3">
        <f>IF(K2973&lt;-5,"CRÍTICO",IF(K2973&lt;0,"ATENÇÃO",IF(K2973&lt;=5,"OPORTUNO","MUITO BOM")))</f>
        <v/>
      </c>
      <c r="M2973" s="3" t="n">
        <v>15</v>
      </c>
      <c r="N2973" s="3" t="n">
        <v>98.26000000000001</v>
      </c>
      <c r="O2973" s="12" t="n">
        <v>26.66666666666667</v>
      </c>
    </row>
    <row r="2974">
      <c r="A2974" s="10" t="n">
        <v>46094</v>
      </c>
      <c r="B2974" t="inlineStr">
        <is>
          <t>Ana Karollyne Souza Faria</t>
        </is>
      </c>
      <c r="C2974" s="1" t="inlineStr">
        <is>
          <t>Técnico I</t>
        </is>
      </c>
      <c r="D2974" s="3" t="n">
        <v>19</v>
      </c>
      <c r="E2974" s="3" t="n">
        <v>18</v>
      </c>
      <c r="F2974" s="3" t="n">
        <v>27.37</v>
      </c>
      <c r="G2974" s="3" t="n">
        <v>0</v>
      </c>
      <c r="H2974" s="3" t="n">
        <v>0</v>
      </c>
      <c r="I2974" s="3">
        <f>E2974+G2974+H2974</f>
        <v/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/>
      </c>
      <c r="K2974" s="3">
        <f>I2974-J2974</f>
        <v/>
      </c>
      <c r="L2974" s="3">
        <f>IF(K2974&lt;-5,"CRÍTICO",IF(K2974&lt;0,"ATENÇÃO",IF(K2974&lt;=5,"OPORTUNO","MUITO BOM")))</f>
        <v/>
      </c>
      <c r="M2974" s="3" t="n">
        <v>15</v>
      </c>
      <c r="N2974" s="3" t="n">
        <v>98.2</v>
      </c>
      <c r="O2974" s="12" t="n">
        <v>23.37962962962963</v>
      </c>
    </row>
    <row r="2975">
      <c r="A2975" s="10" t="n">
        <v>46094</v>
      </c>
      <c r="B2975" t="inlineStr">
        <is>
          <t>Ana Paula Da Luz Silva Aleixo</t>
        </is>
      </c>
      <c r="C2975" s="1" t="inlineStr">
        <is>
          <t>Técnico III</t>
        </is>
      </c>
      <c r="D2975" s="3" t="n">
        <v>22</v>
      </c>
      <c r="E2975" s="3" t="n">
        <v>21</v>
      </c>
      <c r="F2975" s="3" t="n">
        <v>28.53</v>
      </c>
      <c r="G2975" s="3" t="n">
        <v>0</v>
      </c>
      <c r="H2975" s="3" t="n">
        <v>0</v>
      </c>
      <c r="I2975" s="3">
        <f>E2975+G2975+H2975</f>
        <v/>
      </c>
      <c r="J2975" s="3">
        <f>ROUND(MIN(IF(C2975="Técnico III",35,IF(C2975="Técnico II",28,IF(C2975="Técnico I",23,IF(C2975="JR",20,IF(C2975="Estágio",10,0))))),IF(C2975="Técnico III",SUMIFS($D:$D,$A:$A,$A2975,$B:$B,"&lt;&gt;Patrícia Karla de Sousa Araújo",$B:$B,"&lt;&gt;Lorena Dias de Araujo",$B:$B,"&lt;&gt;Lucas Luiz Romero")*(35/1083),IF(C2975="Técnico II",SUMIFS($D:$D,$A:$A,$A2975,$B:$B,"&lt;&gt;Patrícia Karla de Sousa Araújo",$B:$B,"&lt;&gt;Lorena Dias de Araujo",$B:$B,"&lt;&gt;Lucas Luiz Romero")*(28/1083),IF(C2975="Técnico I",SUMIFS($D:$D,$A:$A,$A2975,$B:$B,"&lt;&gt;Patrícia Karla de Sousa Araújo",$B:$B,"&lt;&gt;Lorena Dias de Araujo",$B:$B,"&lt;&gt;Lucas Luiz Romero")*(23/1083),IF(C2975="JR",SUMIFS($D:$D,$A:$A,$A2975,$B:$B,"&lt;&gt;Patrícia Karla de Sousa Araújo",$B:$B,"&lt;&gt;Lorena Dias de Araujo",$B:$B,"&lt;&gt;Lucas Luiz Romero")*(20/1083),IF(C2975="Estágio",SUMIFS($D:$D,$A:$A,$A2975,$B:$B,"&lt;&gt;Patrícia Karla de Sousa Araújo",$B:$B,"&lt;&gt;Lorena Dias de Araujo",$B:$B,"&lt;&gt;Lucas Luiz Romero")*(10/1083),0)))))),0)</f>
        <v/>
      </c>
      <c r="K2975" s="3">
        <f>I2975-J2975</f>
        <v/>
      </c>
      <c r="L2975" s="3">
        <f>IF(K2975&lt;-5,"CRÍTICO",IF(K2975&lt;0,"ATENÇÃO",IF(K2975&lt;=5,"OPORTUNO","MUITO BOM")))</f>
        <v/>
      </c>
      <c r="M2975" s="3" t="n">
        <v>17</v>
      </c>
      <c r="N2975" s="3" t="n">
        <v>97.3</v>
      </c>
      <c r="O2975" s="12" t="n">
        <v>23.84769539078156</v>
      </c>
    </row>
    <row r="2976">
      <c r="A2976" s="10" t="n">
        <v>46094</v>
      </c>
      <c r="B2976" t="inlineStr">
        <is>
          <t>Anna Luiza Rezende Tavares</t>
        </is>
      </c>
      <c r="C2976" s="1" t="inlineStr">
        <is>
          <t>Estágio</t>
        </is>
      </c>
      <c r="D2976" s="3" t="n">
        <v>0</v>
      </c>
      <c r="E2976" s="3" t="n">
        <v>0</v>
      </c>
      <c r="F2976" s="3" t="n">
        <v>0</v>
      </c>
      <c r="G2976" s="3" t="n">
        <v>0</v>
      </c>
      <c r="H2976" s="3" t="n">
        <v>0</v>
      </c>
      <c r="I2976" s="3" t="n">
        <v>0</v>
      </c>
      <c r="J2976" s="3" t="n">
        <v>0</v>
      </c>
      <c r="K2976" s="3" t="n">
        <v>0</v>
      </c>
      <c r="L2976" s="3">
        <f>IF(K2976&lt;-5,"CRÍTICO",IF(K2976&lt;0,"ATENÇÃO",IF(K2976&lt;=5,"OPORTUNO","MUITO BOM")))</f>
        <v/>
      </c>
      <c r="M2976" s="3" t="n">
        <v>0</v>
      </c>
      <c r="N2976" s="3" t="n">
        <v>100</v>
      </c>
      <c r="O2976" s="12" t="n">
        <v>25.26881720430108</v>
      </c>
    </row>
    <row r="2977">
      <c r="A2977" s="10" t="n">
        <v>46094</v>
      </c>
      <c r="B2977" t="inlineStr">
        <is>
          <t>Brenda de Menezes Silva</t>
        </is>
      </c>
      <c r="C2977" s="1" t="inlineStr">
        <is>
          <t>Técnico II</t>
        </is>
      </c>
      <c r="D2977" s="3" t="n">
        <v>40</v>
      </c>
      <c r="E2977" s="3" t="n">
        <v>37</v>
      </c>
      <c r="F2977" s="3" t="n">
        <v>15.08</v>
      </c>
      <c r="G2977" s="3" t="n">
        <v>0</v>
      </c>
      <c r="H2977" s="3" t="n">
        <v>0</v>
      </c>
      <c r="I2977" s="3">
        <f>E2977+G2977+H2977</f>
        <v/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/>
      </c>
      <c r="K2977" s="3">
        <f>I2977-J2977</f>
        <v/>
      </c>
      <c r="L2977" s="3">
        <f>IF(K2977&lt;-5,"CRÍTICO",IF(K2977&lt;0,"ATENÇÃO",IF(K2977&lt;=5,"OPORTUNO","MUITO BOM")))</f>
        <v/>
      </c>
      <c r="M2977" s="3" t="n">
        <v>40</v>
      </c>
      <c r="N2977" s="3" t="n">
        <v>99.31999999999999</v>
      </c>
      <c r="O2977" s="12" t="n">
        <v>22.82282282282282</v>
      </c>
    </row>
    <row r="2978">
      <c r="A2978" s="10" t="n">
        <v>46094</v>
      </c>
      <c r="B2978" t="inlineStr">
        <is>
          <t>Carlos Mateus Cassimiro Nunes</t>
        </is>
      </c>
      <c r="C2978" s="1" t="inlineStr">
        <is>
          <t>Técnico II</t>
        </is>
      </c>
      <c r="D2978" s="3" t="n">
        <v>16</v>
      </c>
      <c r="E2978" s="3" t="n">
        <v>16</v>
      </c>
      <c r="F2978" s="3" t="n">
        <v>38.34</v>
      </c>
      <c r="G2978" s="3" t="n">
        <v>0</v>
      </c>
      <c r="H2978" s="3" t="n">
        <v>0</v>
      </c>
      <c r="I2978" s="3">
        <f>E2978+G2978+H2978</f>
        <v/>
      </c>
      <c r="J2978" s="3">
        <f>ROUND(MIN(IF(C2978="Técnico III",35,IF(C2978="Técnico II",28,IF(C2978="Técnico I",23,IF(C2978="JR",20,IF(C2978="Estágio",10,0))))),IF(C2978="Técnico III",SUMIFS($D:$D,$A:$A,$A2978,$B:$B,"&lt;&gt;Patrícia Karla de Sousa Araújo",$B:$B,"&lt;&gt;Lorena Dias de Araujo",$B:$B,"&lt;&gt;Lucas Luiz Romero")*(35/1083),IF(C2978="Técnico II",SUMIFS($D:$D,$A:$A,$A2978,$B:$B,"&lt;&gt;Patrícia Karla de Sousa Araújo",$B:$B,"&lt;&gt;Lorena Dias de Araujo",$B:$B,"&lt;&gt;Lucas Luiz Romero")*(28/1083),IF(C2978="Técnico I",SUMIFS($D:$D,$A:$A,$A2978,$B:$B,"&lt;&gt;Patrícia Karla de Sousa Araújo",$B:$B,"&lt;&gt;Lorena Dias de Araujo",$B:$B,"&lt;&gt;Lucas Luiz Romero")*(23/1083),IF(C2978="JR",SUMIFS($D:$D,$A:$A,$A2978,$B:$B,"&lt;&gt;Patrícia Karla de Sousa Araújo",$B:$B,"&lt;&gt;Lorena Dias de Araujo",$B:$B,"&lt;&gt;Lucas Luiz Romero")*(20/1083),IF(C2978="Estágio",SUMIFS($D:$D,$A:$A,$A2978,$B:$B,"&lt;&gt;Patrícia Karla de Sousa Araújo",$B:$B,"&lt;&gt;Lorena Dias de Araujo",$B:$B,"&lt;&gt;Lucas Luiz Romero")*(10/1083),0)))))),0)</f>
        <v/>
      </c>
      <c r="K2978" s="3">
        <f>I2978-J2978</f>
        <v/>
      </c>
      <c r="L2978" s="3">
        <f>IF(K2978&lt;-5,"CRÍTICO",IF(K2978&lt;0,"ATENÇÃO",IF(K2978&lt;=5,"OPORTUNO","MUITO BOM")))</f>
        <v/>
      </c>
      <c r="M2978" s="3" t="n">
        <v>14</v>
      </c>
      <c r="N2978" s="3" t="n">
        <v>100</v>
      </c>
      <c r="O2978" s="12" t="n">
        <v>27.96610169491525</v>
      </c>
    </row>
    <row r="2979">
      <c r="A2979" s="10" t="n">
        <v>46094</v>
      </c>
      <c r="B2979" t="inlineStr">
        <is>
          <t>Claudio de Sousa Velasco Filho</t>
        </is>
      </c>
      <c r="C2979" s="1" t="inlineStr">
        <is>
          <t>Estágio</t>
        </is>
      </c>
      <c r="D2979" s="3" t="n">
        <v>0</v>
      </c>
      <c r="E2979" s="3" t="n">
        <v>0</v>
      </c>
      <c r="F2979" s="3" t="n">
        <v>0</v>
      </c>
      <c r="G2979" s="3" t="n">
        <v>0</v>
      </c>
      <c r="H2979" s="3" t="n">
        <v>0</v>
      </c>
      <c r="I2979" s="3" t="n">
        <v>0</v>
      </c>
      <c r="J2979" s="3" t="n">
        <v>0</v>
      </c>
      <c r="K2979" s="3" t="n">
        <v>0</v>
      </c>
      <c r="L2979" s="3">
        <f>IF(K2979&lt;-5,"CRÍTICO",IF(K2979&lt;0,"ATENÇÃO",IF(K2979&lt;=5,"OPORTUNO","MUITO BOM")))</f>
        <v/>
      </c>
      <c r="M2979" s="3" t="n">
        <v>0</v>
      </c>
      <c r="N2979" s="3" t="n">
        <v>100</v>
      </c>
      <c r="O2979" s="12" t="n">
        <v>30.43478260869566</v>
      </c>
    </row>
    <row r="2980">
      <c r="A2980" s="10" t="n">
        <v>46094</v>
      </c>
      <c r="B2980" t="inlineStr">
        <is>
          <t>Clessiane Pereira dos Santos</t>
        </is>
      </c>
      <c r="C2980" s="1" t="inlineStr">
        <is>
          <t>Técnico I</t>
        </is>
      </c>
      <c r="D2980" s="3" t="n">
        <v>21</v>
      </c>
      <c r="E2980" s="3" t="n">
        <v>20</v>
      </c>
      <c r="F2980" s="3" t="n">
        <v>25.22</v>
      </c>
      <c r="G2980" s="3" t="n">
        <v>0</v>
      </c>
      <c r="H2980" s="3" t="n">
        <v>0</v>
      </c>
      <c r="I2980" s="3">
        <f>E2980+G2980+H2980</f>
        <v/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/>
      </c>
      <c r="K2980" s="3">
        <f>I2980-J2980</f>
        <v/>
      </c>
      <c r="L2980" s="3">
        <f>IF(K2980&lt;-5,"CRÍTICO",IF(K2980&lt;0,"ATENÇÃO",IF(K2980&lt;=5,"OPORTUNO","MUITO BOM")))</f>
        <v/>
      </c>
      <c r="M2980" s="3" t="n">
        <v>19</v>
      </c>
      <c r="N2980" s="3" t="n">
        <v>96.51000000000001</v>
      </c>
      <c r="O2980" s="12" t="n">
        <v>22.80285035629454</v>
      </c>
    </row>
    <row r="2981">
      <c r="A2981" s="10" t="n">
        <v>46094</v>
      </c>
      <c r="B2981" t="inlineStr">
        <is>
          <t>Cristiane Ramos da Silva Rocha</t>
        </is>
      </c>
      <c r="C2981" s="1" t="inlineStr">
        <is>
          <t>Técnico III</t>
        </is>
      </c>
      <c r="D2981" s="3" t="n">
        <v>0</v>
      </c>
      <c r="E2981" s="3" t="n">
        <v>0</v>
      </c>
      <c r="F2981" s="3" t="n">
        <v>0</v>
      </c>
      <c r="G2981" s="3" t="n">
        <v>0</v>
      </c>
      <c r="H2981" s="3" t="n">
        <v>0</v>
      </c>
      <c r="I2981" s="3" t="n">
        <v>0</v>
      </c>
      <c r="J2981" s="3" t="n">
        <v>0</v>
      </c>
      <c r="K2981" s="3" t="n">
        <v>0</v>
      </c>
      <c r="L2981" s="3">
        <f>IF(K2981&lt;-5,"CRÍTICO",IF(K2981&lt;0,"ATENÇÃO",IF(K2981&lt;=5,"OPORTUNO","MUITO BOM")))</f>
        <v/>
      </c>
      <c r="M2981" s="3" t="n">
        <v>6</v>
      </c>
      <c r="N2981" s="3" t="n">
        <v>92.68000000000001</v>
      </c>
      <c r="O2981" s="12" t="n">
        <v>27.77777777777778</v>
      </c>
    </row>
    <row r="2982">
      <c r="A2982" s="10" t="n">
        <v>46094</v>
      </c>
      <c r="B2982" t="inlineStr">
        <is>
          <t>Damyllis Lorraine de Oliveira Gonçalves</t>
        </is>
      </c>
      <c r="C2982" s="1" t="inlineStr">
        <is>
          <t>Técnico II</t>
        </is>
      </c>
      <c r="D2982" s="3" t="n">
        <v>21</v>
      </c>
      <c r="E2982" s="3" t="n">
        <v>17</v>
      </c>
      <c r="F2982" s="3" t="n">
        <v>34.19</v>
      </c>
      <c r="G2982" s="3" t="n">
        <v>0</v>
      </c>
      <c r="H2982" s="3" t="n">
        <v>0</v>
      </c>
      <c r="I2982" s="3" t="n">
        <v>0</v>
      </c>
      <c r="J2982" s="3" t="n">
        <v>0</v>
      </c>
      <c r="K2982" s="3" t="n">
        <v>0</v>
      </c>
      <c r="L2982" s="3">
        <f>IF(K2982&lt;-5,"CRÍTICO",IF(K2982&lt;0,"ATENÇÃO",IF(K2982&lt;=5,"OPORTUNO","MUITO BOM")))</f>
        <v/>
      </c>
      <c r="M2982" s="3" t="n">
        <v>17</v>
      </c>
      <c r="N2982" s="3" t="n">
        <v>99.03</v>
      </c>
      <c r="O2982" s="12" t="n">
        <v>23.99150743099788</v>
      </c>
    </row>
    <row r="2983">
      <c r="A2983" s="10" t="n">
        <v>46094</v>
      </c>
      <c r="B2983" t="inlineStr">
        <is>
          <t>Daniel Gomes da Silva</t>
        </is>
      </c>
      <c r="C2983" s="1" t="inlineStr">
        <is>
          <t>Técnico I</t>
        </is>
      </c>
      <c r="D2983" s="3" t="n">
        <v>21</v>
      </c>
      <c r="E2983" s="3" t="n">
        <v>18</v>
      </c>
      <c r="F2983" s="3" t="n">
        <v>29.14</v>
      </c>
      <c r="G2983" s="3" t="n">
        <v>0</v>
      </c>
      <c r="H2983" s="3" t="n">
        <v>0</v>
      </c>
      <c r="I2983" s="3">
        <f>E2983+G2983+H2983</f>
        <v/>
      </c>
      <c r="J2983" s="3">
        <f>ROUND(MIN(IF(C2983="Técnico III",35,IF(C2983="Técnico II",28,IF(C2983="Técnico I",23,IF(C2983="JR",20,IF(C2983="Estágio",10,0))))),IF(C2983="Técnico III",SUMIFS($D:$D,$A:$A,$A2983,$B:$B,"&lt;&gt;Patrícia Karla de Sousa Araújo",$B:$B,"&lt;&gt;Lorena Dias de Araujo",$B:$B,"&lt;&gt;Lucas Luiz Romero")*(35/1083),IF(C2983="Técnico II",SUMIFS($D:$D,$A:$A,$A2983,$B:$B,"&lt;&gt;Patrícia Karla de Sousa Araújo",$B:$B,"&lt;&gt;Lorena Dias de Araujo",$B:$B,"&lt;&gt;Lucas Luiz Romero")*(28/1083),IF(C2983="Técnico I",SUMIFS($D:$D,$A:$A,$A2983,$B:$B,"&lt;&gt;Patrícia Karla de Sousa Araújo",$B:$B,"&lt;&gt;Lorena Dias de Araujo",$B:$B,"&lt;&gt;Lucas Luiz Romero")*(23/1083),IF(C2983="JR",SUMIFS($D:$D,$A:$A,$A2983,$B:$B,"&lt;&gt;Patrícia Karla de Sousa Araújo",$B:$B,"&lt;&gt;Lorena Dias de Araujo",$B:$B,"&lt;&gt;Lucas Luiz Romero")*(20/1083),IF(C2983="Estágio",SUMIFS($D:$D,$A:$A,$A2983,$B:$B,"&lt;&gt;Patrícia Karla de Sousa Araújo",$B:$B,"&lt;&gt;Lorena Dias de Araujo",$B:$B,"&lt;&gt;Lucas Luiz Romero")*(10/1083),0)))))),0)</f>
        <v/>
      </c>
      <c r="K2983" s="3">
        <f>I2983-J2983</f>
        <v/>
      </c>
      <c r="L2983" s="3">
        <f>IF(K2983&lt;-5,"CRÍTICO",IF(K2983&lt;0,"ATENÇÃO",IF(K2983&lt;=5,"OPORTUNO","MUITO BOM")))</f>
        <v/>
      </c>
      <c r="M2983" s="3" t="n">
        <v>11</v>
      </c>
      <c r="N2983" s="3" t="n">
        <v>98.41</v>
      </c>
      <c r="O2983" s="12" t="n">
        <v>28.13852813852814</v>
      </c>
    </row>
    <row r="2984">
      <c r="A2984" s="10" t="n">
        <v>46094</v>
      </c>
      <c r="B2984" t="inlineStr">
        <is>
          <t>Davylla Rodrigues Freitas Silva</t>
        </is>
      </c>
      <c r="C2984" s="1" t="inlineStr">
        <is>
          <t>Técnico III</t>
        </is>
      </c>
      <c r="D2984" s="3" t="n">
        <v>22</v>
      </c>
      <c r="E2984" s="3" t="n">
        <v>21</v>
      </c>
      <c r="F2984" s="3" t="n">
        <v>34.03</v>
      </c>
      <c r="G2984" s="3" t="n">
        <v>0</v>
      </c>
      <c r="H2984" s="3" t="n">
        <v>0</v>
      </c>
      <c r="I2984" s="3" t="n">
        <v>0</v>
      </c>
      <c r="J2984" s="3" t="n">
        <v>0</v>
      </c>
      <c r="K2984" s="3" t="n">
        <v>0</v>
      </c>
      <c r="L2984" s="3">
        <f>IF(K2984&lt;-5,"CRÍTICO",IF(K2984&lt;0,"ATENÇÃO",IF(K2984&lt;=5,"OPORTUNO","MUITO BOM")))</f>
        <v/>
      </c>
      <c r="M2984" s="3" t="n">
        <v>22</v>
      </c>
      <c r="N2984" s="3" t="n">
        <v>98.73</v>
      </c>
      <c r="O2984" s="12" t="n">
        <v>29.14285714285714</v>
      </c>
    </row>
    <row r="2985">
      <c r="A2985" s="10" t="n">
        <v>46094</v>
      </c>
      <c r="B2985" t="inlineStr">
        <is>
          <t>Emilly Caylane Costa</t>
        </is>
      </c>
      <c r="C2985" s="1" t="inlineStr">
        <is>
          <t>Estágio</t>
        </is>
      </c>
      <c r="D2985" s="3" t="n">
        <v>8</v>
      </c>
      <c r="E2985" s="3" t="n">
        <v>8</v>
      </c>
      <c r="F2985" s="3" t="n">
        <v>38.27</v>
      </c>
      <c r="G2985" s="3" t="n">
        <v>0</v>
      </c>
      <c r="H2985" s="3" t="n">
        <v>0</v>
      </c>
      <c r="I2985" s="3">
        <f>E2985+G2985+H2985</f>
        <v/>
      </c>
      <c r="J2985" s="3">
        <f>ROUND(MIN(IF(C2985="Técnico III",35,IF(C2985="Técnico II",28,IF(C2985="Técnico I",23,IF(C2985="JR",20,IF(C2985="Estágio",10,0))))),IF(C2985="Técnico III",SUMIFS($D:$D,$A:$A,$A2985,$B:$B,"&lt;&gt;Patrícia Karla de Sousa Araújo",$B:$B,"&lt;&gt;Lorena Dias de Araujo",$B:$B,"&lt;&gt;Lucas Luiz Romero")*(35/1083),IF(C2985="Técnico II",SUMIFS($D:$D,$A:$A,$A2985,$B:$B,"&lt;&gt;Patrícia Karla de Sousa Araújo",$B:$B,"&lt;&gt;Lorena Dias de Araujo",$B:$B,"&lt;&gt;Lucas Luiz Romero")*(28/1083),IF(C2985="Técnico I",SUMIFS($D:$D,$A:$A,$A2985,$B:$B,"&lt;&gt;Patrícia Karla de Sousa Araújo",$B:$B,"&lt;&gt;Lorena Dias de Araujo",$B:$B,"&lt;&gt;Lucas Luiz Romero")*(23/1083),IF(C2985="JR",SUMIFS($D:$D,$A:$A,$A2985,$B:$B,"&lt;&gt;Patrícia Karla de Sousa Araújo",$B:$B,"&lt;&gt;Lorena Dias de Araujo",$B:$B,"&lt;&gt;Lucas Luiz Romero")*(20/1083),IF(C2985="Estágio",SUMIFS($D:$D,$A:$A,$A2985,$B:$B,"&lt;&gt;Patrícia Karla de Sousa Araújo",$B:$B,"&lt;&gt;Lorena Dias de Araujo",$B:$B,"&lt;&gt;Lucas Luiz Romero")*(10/1083),0)))))),0)</f>
        <v/>
      </c>
      <c r="K2985" s="3">
        <f>I2985-J2985</f>
        <v/>
      </c>
      <c r="L2985" s="3">
        <f>IF(K2985&lt;-5,"CRÍTICO",IF(K2985&lt;0,"ATENÇÃO",IF(K2985&lt;=5,"OPORTUNO","MUITO BOM")))</f>
        <v/>
      </c>
      <c r="M2985" s="3" t="n">
        <v>5</v>
      </c>
      <c r="N2985" s="3" t="n">
        <v>90.48</v>
      </c>
      <c r="O2985" s="12" t="n">
        <v>20.68965517241379</v>
      </c>
    </row>
    <row r="2986">
      <c r="A2986" s="10" t="n">
        <v>46094</v>
      </c>
      <c r="B2986" t="inlineStr">
        <is>
          <t>Emilly Kamilly Medeiros Miranda</t>
        </is>
      </c>
      <c r="C2986" s="1" t="inlineStr">
        <is>
          <t>Técnico II</t>
        </is>
      </c>
      <c r="D2986" s="3" t="n">
        <v>14</v>
      </c>
      <c r="E2986" s="3" t="n">
        <v>13</v>
      </c>
      <c r="F2986" s="3" t="n">
        <v>27.23</v>
      </c>
      <c r="G2986" s="3" t="n">
        <v>0</v>
      </c>
      <c r="H2986" s="3" t="n">
        <v>0</v>
      </c>
      <c r="I2986" s="3">
        <f>E2986+G2986+H2986</f>
        <v/>
      </c>
      <c r="J2986" s="3">
        <f>ROUND(MIN(IF(C2986="Técnico III",35,IF(C2986="Técnico II",28,IF(C2986="Técnico I",23,IF(C2986="JR",20,IF(C2986="Estágio",10,0))))),IF(C2986="Técnico III",SUMIFS($D:$D,$A:$A,$A2986,$B:$B,"&lt;&gt;Patrícia Karla de Sousa Araújo",$B:$B,"&lt;&gt;Lorena Dias de Araujo",$B:$B,"&lt;&gt;Lucas Luiz Romero")*(35/1083),IF(C2986="Técnico II",SUMIFS($D:$D,$A:$A,$A2986,$B:$B,"&lt;&gt;Patrícia Karla de Sousa Araújo",$B:$B,"&lt;&gt;Lorena Dias de Araujo",$B:$B,"&lt;&gt;Lucas Luiz Romero")*(28/1083),IF(C2986="Técnico I",SUMIFS($D:$D,$A:$A,$A2986,$B:$B,"&lt;&gt;Patrícia Karla de Sousa Araújo",$B:$B,"&lt;&gt;Lorena Dias de Araujo",$B:$B,"&lt;&gt;Lucas Luiz Romero")*(23/1083),IF(C2986="JR",SUMIFS($D:$D,$A:$A,$A2986,$B:$B,"&lt;&gt;Patrícia Karla de Sousa Araújo",$B:$B,"&lt;&gt;Lorena Dias de Araujo",$B:$B,"&lt;&gt;Lucas Luiz Romero")*(20/1083),IF(C2986="Estágio",SUMIFS($D:$D,$A:$A,$A2986,$B:$B,"&lt;&gt;Patrícia Karla de Sousa Araújo",$B:$B,"&lt;&gt;Lorena Dias de Araujo",$B:$B,"&lt;&gt;Lucas Luiz Romero")*(10/1083),0)))))),0)</f>
        <v/>
      </c>
      <c r="K2986" s="3">
        <f>I2986-J2986</f>
        <v/>
      </c>
      <c r="L2986" s="3">
        <f>IF(K2986&lt;-5,"CRÍTICO",IF(K2986&lt;0,"ATENÇÃO",IF(K2986&lt;=5,"OPORTUNO","MUITO BOM")))</f>
        <v/>
      </c>
      <c r="M2986" s="3" t="n">
        <v>15</v>
      </c>
      <c r="N2986" s="3" t="n">
        <v>98.06</v>
      </c>
      <c r="O2986" s="12" t="n">
        <v>24.78991596638656</v>
      </c>
    </row>
    <row r="2987">
      <c r="A2987" s="10" t="n">
        <v>46094</v>
      </c>
      <c r="B2987" t="inlineStr">
        <is>
          <t>Francielson de Oliveira</t>
        </is>
      </c>
      <c r="C2987" s="1" t="inlineStr">
        <is>
          <t>Técnico III</t>
        </is>
      </c>
      <c r="D2987" s="3" t="n">
        <v>22</v>
      </c>
      <c r="E2987" s="3" t="n">
        <v>22</v>
      </c>
      <c r="F2987" s="3" t="n">
        <v>23.45</v>
      </c>
      <c r="G2987" s="3" t="n">
        <v>0</v>
      </c>
      <c r="H2987" s="3" t="n">
        <v>0</v>
      </c>
      <c r="I2987" s="3">
        <f>E2987+G2987+H2987</f>
        <v/>
      </c>
      <c r="J2987" s="3">
        <f>ROUND(MIN(IF(C2987="Técnico III",35,IF(C2987="Técnico II",28,IF(C2987="Técnico I",23,IF(C2987="JR",20,IF(C2987="Estágio",10,0))))),IF(C2987="Técnico III",SUMIFS($D:$D,$A:$A,$A2987,$B:$B,"&lt;&gt;Patrícia Karla de Sousa Araújo",$B:$B,"&lt;&gt;Lorena Dias de Araujo",$B:$B,"&lt;&gt;Lucas Luiz Romero")*(35/1083),IF(C2987="Técnico II",SUMIFS($D:$D,$A:$A,$A2987,$B:$B,"&lt;&gt;Patrícia Karla de Sousa Araújo",$B:$B,"&lt;&gt;Lorena Dias de Araujo",$B:$B,"&lt;&gt;Lucas Luiz Romero")*(28/1083),IF(C2987="Técnico I",SUMIFS($D:$D,$A:$A,$A2987,$B:$B,"&lt;&gt;Patrícia Karla de Sousa Araújo",$B:$B,"&lt;&gt;Lorena Dias de Araujo",$B:$B,"&lt;&gt;Lucas Luiz Romero")*(23/1083),IF(C2987="JR",SUMIFS($D:$D,$A:$A,$A2987,$B:$B,"&lt;&gt;Patrícia Karla de Sousa Araújo",$B:$B,"&lt;&gt;Lorena Dias de Araujo",$B:$B,"&lt;&gt;Lucas Luiz Romero")*(20/1083),IF(C2987="Estágio",SUMIFS($D:$D,$A:$A,$A2987,$B:$B,"&lt;&gt;Patrícia Karla de Sousa Araújo",$B:$B,"&lt;&gt;Lorena Dias de Araujo",$B:$B,"&lt;&gt;Lucas Luiz Romero")*(10/1083),0)))))),0)</f>
        <v/>
      </c>
      <c r="K2987" s="3">
        <f>I2987-J2987</f>
        <v/>
      </c>
      <c r="L2987" s="3">
        <f>IF(K2987&lt;-5,"CRÍTICO",IF(K2987&lt;0,"ATENÇÃO",IF(K2987&lt;=5,"OPORTUNO","MUITO BOM")))</f>
        <v/>
      </c>
      <c r="M2987" s="3" t="n">
        <v>24</v>
      </c>
      <c r="N2987" s="3" t="n">
        <v>97.78</v>
      </c>
      <c r="O2987" s="12" t="n">
        <v>25.49407114624506</v>
      </c>
    </row>
    <row r="2988">
      <c r="A2988" s="10" t="n">
        <v>46094</v>
      </c>
      <c r="B2988" t="inlineStr">
        <is>
          <t>Francilene Ferreira de Jesus</t>
        </is>
      </c>
      <c r="C2988" s="1" t="inlineStr">
        <is>
          <t>Técnico II</t>
        </is>
      </c>
      <c r="D2988" s="3" t="n">
        <v>15</v>
      </c>
      <c r="E2988" s="3" t="n">
        <v>14</v>
      </c>
      <c r="F2988" s="3" t="n">
        <v>40.17</v>
      </c>
      <c r="G2988" s="3" t="n">
        <v>0</v>
      </c>
      <c r="H2988" s="3" t="n">
        <v>0</v>
      </c>
      <c r="I2988" s="3">
        <f>E2988+G2988+H2988</f>
        <v/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/>
      </c>
      <c r="K2988" s="3">
        <f>I2988-J2988</f>
        <v/>
      </c>
      <c r="L2988" s="3">
        <f>IF(K2988&lt;-5,"CRÍTICO",IF(K2988&lt;0,"ATENÇÃO",IF(K2988&lt;=5,"OPORTUNO","MUITO BOM")))</f>
        <v/>
      </c>
      <c r="M2988" s="3" t="n">
        <v>13</v>
      </c>
      <c r="N2988" s="3" t="n">
        <v>98.02</v>
      </c>
      <c r="O2988" s="12" t="n">
        <v>23.48484848484848</v>
      </c>
    </row>
    <row r="2989">
      <c r="A2989" s="10" t="n">
        <v>46128</v>
      </c>
      <c r="B2989" t="inlineStr">
        <is>
          <t>Gabriel Gomes de Andrade</t>
        </is>
      </c>
      <c r="C2989" s="1" t="inlineStr">
        <is>
          <t>Técnico I</t>
        </is>
      </c>
      <c r="D2989" s="3" t="n">
        <v>33</v>
      </c>
      <c r="E2989" s="3" t="n">
        <v>30</v>
      </c>
      <c r="F2989" s="3" t="n">
        <v>15.31</v>
      </c>
      <c r="G2989" s="3" t="n">
        <v>0</v>
      </c>
      <c r="H2989" s="3" t="n">
        <v>0</v>
      </c>
      <c r="I2989" s="3">
        <f>E2989+G2989+H2989</f>
        <v/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/>
      </c>
      <c r="K2989" s="3">
        <f>I2989-J2989</f>
        <v/>
      </c>
      <c r="L2989" s="3">
        <f>IF(K2989&lt;-5,"CRÍTICO",IF(K2989&lt;0,"ATENÇÃO",IF(K2989&lt;=5,"OPORTUNO","MUITO BOM")))</f>
        <v/>
      </c>
      <c r="M2989" s="3" t="n">
        <v>32</v>
      </c>
      <c r="N2989" s="3" t="n">
        <v>99.28</v>
      </c>
      <c r="O2989" s="12" t="n">
        <v>27.68924302788844</v>
      </c>
    </row>
    <row r="2990">
      <c r="A2990" s="10" t="n">
        <v>46094</v>
      </c>
      <c r="B2990" t="inlineStr">
        <is>
          <t>Isabella Borges de Oliveira</t>
        </is>
      </c>
      <c r="C2990" s="1" t="inlineStr">
        <is>
          <t>Técnico II</t>
        </is>
      </c>
      <c r="D2990" s="3" t="n">
        <v>25</v>
      </c>
      <c r="E2990" s="3" t="n">
        <v>23</v>
      </c>
      <c r="F2990" s="3" t="n">
        <v>30.32</v>
      </c>
      <c r="G2990" s="3" t="n">
        <v>0</v>
      </c>
      <c r="H2990" s="3" t="n">
        <v>0</v>
      </c>
      <c r="I2990" s="3">
        <f>E2990+G2990+H2990</f>
        <v/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/>
      </c>
      <c r="K2990" s="3">
        <f>I2990-J2990</f>
        <v/>
      </c>
      <c r="L2990" s="3">
        <f>IF(K2990&lt;-5,"CRÍTICO",IF(K2990&lt;0,"ATENÇÃO",IF(K2990&lt;=5,"OPORTUNO","MUITO BOM")))</f>
        <v/>
      </c>
      <c r="M2990" s="3" t="n">
        <v>22</v>
      </c>
      <c r="N2990" s="3" t="n">
        <v>100</v>
      </c>
      <c r="O2990" s="12" t="n">
        <v>27.04918032786885</v>
      </c>
    </row>
    <row r="2991">
      <c r="A2991" s="10" t="n">
        <v>46094</v>
      </c>
      <c r="B2991" t="inlineStr">
        <is>
          <t>Janaina Lima dos Reis Urany</t>
        </is>
      </c>
      <c r="C2991" s="1" t="inlineStr">
        <is>
          <t>Técnico III</t>
        </is>
      </c>
      <c r="D2991" s="3" t="n">
        <v>36</v>
      </c>
      <c r="E2991" s="3" t="n">
        <v>35</v>
      </c>
      <c r="F2991" s="3" t="n">
        <v>18.46</v>
      </c>
      <c r="G2991" s="3" t="n">
        <v>0</v>
      </c>
      <c r="H2991" s="3" t="n">
        <v>0</v>
      </c>
      <c r="I2991" s="3">
        <f>E2991+G2991+H2991</f>
        <v/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/>
      </c>
      <c r="K2991" s="3">
        <f>I2991-J2991</f>
        <v/>
      </c>
      <c r="L2991" s="3">
        <f>IF(K2991&lt;-5,"CRÍTICO",IF(K2991&lt;0,"ATENÇÃO",IF(K2991&lt;=5,"OPORTUNO","MUITO BOM")))</f>
        <v/>
      </c>
      <c r="M2991" s="3" t="n">
        <v>34</v>
      </c>
      <c r="N2991" s="3" t="n">
        <v>97.83</v>
      </c>
      <c r="O2991" s="12" t="n">
        <v>26.31578947368421</v>
      </c>
    </row>
    <row r="2992">
      <c r="A2992" s="10" t="n">
        <v>46094</v>
      </c>
      <c r="B2992" t="inlineStr">
        <is>
          <t>Jaqueline Evangelista da Silva Martins</t>
        </is>
      </c>
      <c r="C2992" s="1" t="inlineStr">
        <is>
          <t>Técnico III</t>
        </is>
      </c>
      <c r="D2992" s="3" t="n">
        <v>0</v>
      </c>
      <c r="E2992" s="3" t="n">
        <v>0</v>
      </c>
      <c r="F2992" s="3" t="n">
        <v>0</v>
      </c>
      <c r="G2992" s="3" t="n">
        <v>0</v>
      </c>
      <c r="H2992" s="3" t="n">
        <v>0</v>
      </c>
      <c r="I2992" s="3" t="n">
        <v>0</v>
      </c>
      <c r="J2992" s="3" t="n">
        <v>0</v>
      </c>
      <c r="K2992" s="3" t="n">
        <v>0</v>
      </c>
      <c r="L2992" s="3">
        <f>IF(K2992&lt;-5,"CRÍTICO",IF(K2992&lt;0,"ATENÇÃO",IF(K2992&lt;=5,"OPORTUNO","MUITO BOM")))</f>
        <v/>
      </c>
      <c r="M2992" s="3" t="n">
        <v>8</v>
      </c>
      <c r="N2992" s="3" t="n">
        <v>100</v>
      </c>
      <c r="O2992" s="12" t="n">
        <v>26.70157068062827</v>
      </c>
    </row>
    <row r="2993">
      <c r="A2993" s="10" t="n">
        <v>46094</v>
      </c>
      <c r="B2993" t="inlineStr">
        <is>
          <t>Jessica Faria da Silveira</t>
        </is>
      </c>
      <c r="C2993" s="1" t="inlineStr">
        <is>
          <t>Técnico II</t>
        </is>
      </c>
      <c r="D2993" s="3" t="n">
        <v>22</v>
      </c>
      <c r="E2993" s="3" t="n">
        <v>18</v>
      </c>
      <c r="F2993" s="3" t="n">
        <v>27.05</v>
      </c>
      <c r="G2993" s="3" t="n">
        <v>0</v>
      </c>
      <c r="H2993" s="3" t="n">
        <v>0</v>
      </c>
      <c r="I2993" s="3">
        <f>E2993+G2993+H2993</f>
        <v/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/>
      </c>
      <c r="K2993" s="3">
        <f>I2993-J2993</f>
        <v/>
      </c>
      <c r="L2993" s="3">
        <f>IF(K2993&lt;-5,"CRÍTICO",IF(K2993&lt;0,"ATENÇÃO",IF(K2993&lt;=5,"OPORTUNO","MUITO BOM")))</f>
        <v/>
      </c>
      <c r="M2993" s="3" t="n">
        <v>19</v>
      </c>
      <c r="N2993" s="3" t="n">
        <v>97.47</v>
      </c>
      <c r="O2993" s="12" t="n">
        <v>22.88732394366197</v>
      </c>
    </row>
    <row r="2994">
      <c r="A2994" s="10" t="n">
        <v>46094</v>
      </c>
      <c r="B2994" t="inlineStr">
        <is>
          <t>Jéssica Fé Moura</t>
        </is>
      </c>
      <c r="C2994" s="1" t="inlineStr">
        <is>
          <t>Técnico III</t>
        </is>
      </c>
      <c r="D2994" s="3" t="n">
        <v>0</v>
      </c>
      <c r="E2994" s="3" t="n">
        <v>0</v>
      </c>
      <c r="F2994" s="3" t="n">
        <v>0</v>
      </c>
      <c r="G2994" s="3" t="n">
        <v>0</v>
      </c>
      <c r="H2994" s="3" t="n">
        <v>0</v>
      </c>
      <c r="I2994" s="3" t="n">
        <v>0</v>
      </c>
      <c r="J2994" s="3" t="n">
        <v>0</v>
      </c>
      <c r="K2994" s="3" t="n">
        <v>0</v>
      </c>
      <c r="L2994" s="3">
        <f>IF(K2994&lt;-5,"CRÍTICO",IF(K2994&lt;0,"ATENÇÃO",IF(K2994&lt;=5,"OPORTUNO","MUITO BOM")))</f>
        <v/>
      </c>
      <c r="M2994" s="3" t="n">
        <v>0</v>
      </c>
      <c r="N2994" s="3" t="n">
        <v>0</v>
      </c>
      <c r="O2994" s="12" t="n">
        <v>0</v>
      </c>
    </row>
    <row r="2995">
      <c r="A2995" s="10" t="n">
        <v>46094</v>
      </c>
      <c r="B2995" t="inlineStr">
        <is>
          <t>Karina Gonçalves Martins</t>
        </is>
      </c>
      <c r="C2995" s="1" t="inlineStr">
        <is>
          <t>JR</t>
        </is>
      </c>
      <c r="D2995" s="3" t="n">
        <v>5</v>
      </c>
      <c r="E2995" s="3" t="n">
        <v>5</v>
      </c>
      <c r="F2995" s="3" t="n">
        <v>61.54</v>
      </c>
      <c r="G2995" s="3" t="n">
        <v>0</v>
      </c>
      <c r="H2995" s="3" t="n">
        <v>0</v>
      </c>
      <c r="I2995" s="3">
        <f>E2995+G2995+H2995</f>
        <v/>
      </c>
      <c r="J2995" s="3">
        <f>ROUND(MIN(IF(C2995="Técnico III",35,IF(C2995="Técnico II",28,IF(C2995="Técnico I",23,IF(C2995="JR",20,IF(C2995="Estágio",10,0))))),IF(C2995="Técnico III",SUMIFS($D:$D,$A:$A,$A2995,$B:$B,"&lt;&gt;Patrícia Karla de Sousa Araújo",$B:$B,"&lt;&gt;Lorena Dias de Araujo",$B:$B,"&lt;&gt;Lucas Luiz Romero")*(35/1083),IF(C2995="Técnico II",SUMIFS($D:$D,$A:$A,$A2995,$B:$B,"&lt;&gt;Patrícia Karla de Sousa Araújo",$B:$B,"&lt;&gt;Lorena Dias de Araujo",$B:$B,"&lt;&gt;Lucas Luiz Romero")*(28/1083),IF(C2995="Técnico I",SUMIFS($D:$D,$A:$A,$A2995,$B:$B,"&lt;&gt;Patrícia Karla de Sousa Araújo",$B:$B,"&lt;&gt;Lorena Dias de Araujo",$B:$B,"&lt;&gt;Lucas Luiz Romero")*(23/1083),IF(C2995="JR",SUMIFS($D:$D,$A:$A,$A2995,$B:$B,"&lt;&gt;Patrícia Karla de Sousa Araújo",$B:$B,"&lt;&gt;Lorena Dias de Araujo",$B:$B,"&lt;&gt;Lucas Luiz Romero")*(20/1083),IF(C2995="Estágio",SUMIFS($D:$D,$A:$A,$A2995,$B:$B,"&lt;&gt;Patrícia Karla de Sousa Araújo",$B:$B,"&lt;&gt;Lorena Dias de Araujo",$B:$B,"&lt;&gt;Lucas Luiz Romero")*(10/1083),0)))))),0)</f>
        <v/>
      </c>
      <c r="K2995" s="3">
        <f>I2995-J2995</f>
        <v/>
      </c>
      <c r="L2995" s="3">
        <f>IF(K2995&lt;-5,"CRÍTICO",IF(K2995&lt;0,"ATENÇÃO",IF(K2995&lt;=5,"OPORTUNO","MUITO BOM")))</f>
        <v/>
      </c>
      <c r="M2995" s="3" t="n">
        <v>5</v>
      </c>
      <c r="N2995" s="3" t="n">
        <v>98.31</v>
      </c>
      <c r="O2995" s="12" t="n">
        <v>24.92012779552715</v>
      </c>
    </row>
    <row r="2996">
      <c r="A2996" s="10" t="n">
        <v>46094</v>
      </c>
      <c r="B2996" t="inlineStr">
        <is>
          <t>Kerollen Cristielly de Jesus Siqueira</t>
        </is>
      </c>
      <c r="C2996" s="1" t="inlineStr">
        <is>
          <t>Técnico III</t>
        </is>
      </c>
      <c r="D2996" s="3" t="n">
        <v>0</v>
      </c>
      <c r="E2996" s="3" t="n">
        <v>0</v>
      </c>
      <c r="F2996" s="3" t="n">
        <v>0</v>
      </c>
      <c r="G2996" s="3" t="n">
        <v>0</v>
      </c>
      <c r="H2996" s="3" t="n">
        <v>0</v>
      </c>
      <c r="I2996" s="3" t="n">
        <v>0</v>
      </c>
      <c r="J2996" s="3" t="n">
        <v>0</v>
      </c>
      <c r="K2996" s="3" t="n">
        <v>0</v>
      </c>
      <c r="L2996" s="3">
        <f>IF(K2996&lt;-5,"CRÍTICO",IF(K2996&lt;0,"ATENÇÃO",IF(K2996&lt;=5,"OPORTUNO","MUITO BOM")))</f>
        <v/>
      </c>
      <c r="M2996" s="3" t="n">
        <v>0</v>
      </c>
      <c r="N2996" s="3" t="n">
        <v>96.81</v>
      </c>
      <c r="O2996" s="12" t="n">
        <v>32.36514522821577</v>
      </c>
    </row>
    <row r="2997">
      <c r="A2997" s="10" t="n">
        <v>46094</v>
      </c>
      <c r="B2997" t="inlineStr">
        <is>
          <t>Leandro de Souza Silva</t>
        </is>
      </c>
      <c r="C2997" s="1" t="inlineStr">
        <is>
          <t>JR</t>
        </is>
      </c>
      <c r="D2997" s="3" t="n">
        <v>18</v>
      </c>
      <c r="E2997" s="3" t="n">
        <v>14</v>
      </c>
      <c r="F2997" s="3" t="n">
        <v>19.08</v>
      </c>
      <c r="G2997" s="3" t="n">
        <v>0</v>
      </c>
      <c r="H2997" s="3" t="n">
        <v>0</v>
      </c>
      <c r="I2997" s="3">
        <f>E2997+G2997+H2997</f>
        <v/>
      </c>
      <c r="J2997" s="3">
        <f>ROUND(MIN(IF(C2997="Técnico III",35,IF(C2997="Técnico II",28,IF(C2997="Técnico I",23,IF(C2997="JR",20,IF(C2997="Estágio",10,0))))),IF(C2997="Técnico III",SUMIFS($D:$D,$A:$A,$A2997,$B:$B,"&lt;&gt;Patrícia Karla de Sousa Araújo",$B:$B,"&lt;&gt;Lorena Dias de Araujo",$B:$B,"&lt;&gt;Lucas Luiz Romero")*(35/1083),IF(C2997="Técnico II",SUMIFS($D:$D,$A:$A,$A2997,$B:$B,"&lt;&gt;Patrícia Karla de Sousa Araújo",$B:$B,"&lt;&gt;Lorena Dias de Araujo",$B:$B,"&lt;&gt;Lucas Luiz Romero")*(28/1083),IF(C2997="Técnico I",SUMIFS($D:$D,$A:$A,$A2997,$B:$B,"&lt;&gt;Patrícia Karla de Sousa Araújo",$B:$B,"&lt;&gt;Lorena Dias de Araujo",$B:$B,"&lt;&gt;Lucas Luiz Romero")*(23/1083),IF(C2997="JR",SUMIFS($D:$D,$A:$A,$A2997,$B:$B,"&lt;&gt;Patrícia Karla de Sousa Araújo",$B:$B,"&lt;&gt;Lorena Dias de Araujo",$B:$B,"&lt;&gt;Lucas Luiz Romero")*(20/1083),IF(C2997="Estágio",SUMIFS($D:$D,$A:$A,$A2997,$B:$B,"&lt;&gt;Patrícia Karla de Sousa Araújo",$B:$B,"&lt;&gt;Lorena Dias de Araujo",$B:$B,"&lt;&gt;Lucas Luiz Romero")*(10/1083),0)))))),0)</f>
        <v/>
      </c>
      <c r="K2997" s="3">
        <f>I2997-J2997</f>
        <v/>
      </c>
      <c r="L2997" s="3">
        <f>IF(K2997&lt;-5,"CRÍTICO",IF(K2997&lt;0,"ATENÇÃO",IF(K2997&lt;=5,"OPORTUNO","MUITO BOM")))</f>
        <v/>
      </c>
      <c r="M2997" s="3" t="n">
        <v>12</v>
      </c>
      <c r="N2997" s="3" t="n">
        <v>100</v>
      </c>
      <c r="O2997" s="12" t="n">
        <v>26.47058823529412</v>
      </c>
    </row>
    <row r="2998">
      <c r="A2998" s="10" t="n">
        <v>46094</v>
      </c>
      <c r="B2998" t="inlineStr">
        <is>
          <t>Leandro Oliveira de Sousa</t>
        </is>
      </c>
      <c r="C2998" s="1" t="inlineStr">
        <is>
          <t>Técnico III</t>
        </is>
      </c>
      <c r="D2998" s="3" t="n">
        <v>0</v>
      </c>
      <c r="E2998" s="3" t="n">
        <v>0</v>
      </c>
      <c r="F2998" s="3" t="n">
        <v>0</v>
      </c>
      <c r="G2998" s="3" t="n">
        <v>0</v>
      </c>
      <c r="H2998" s="3" t="n">
        <v>0</v>
      </c>
      <c r="I2998" s="3" t="n">
        <v>0</v>
      </c>
      <c r="J2998" s="3" t="n">
        <v>0</v>
      </c>
      <c r="K2998" s="3" t="n">
        <v>0</v>
      </c>
      <c r="L2998" s="3">
        <f>IF(K2998&lt;-5,"CRÍTICO",IF(K2998&lt;0,"ATENÇÃO",IF(K2998&lt;=5,"OPORTUNO","MUITO BOM")))</f>
        <v/>
      </c>
      <c r="M2998" s="3" t="n">
        <v>8</v>
      </c>
      <c r="N2998" s="3" t="n">
        <v>100</v>
      </c>
      <c r="O2998" s="12" t="n">
        <v>28.49002849002849</v>
      </c>
    </row>
    <row r="2999">
      <c r="A2999" s="10" t="n">
        <v>46094</v>
      </c>
      <c r="B2999" t="inlineStr">
        <is>
          <t>Lizandra Gomes Duarte</t>
        </is>
      </c>
      <c r="C2999" s="1" t="inlineStr">
        <is>
          <t>Técnico II</t>
        </is>
      </c>
      <c r="D2999" s="3" t="n">
        <v>33</v>
      </c>
      <c r="E2999" s="3" t="n">
        <v>30</v>
      </c>
      <c r="F2999" s="3" t="n">
        <v>15.43</v>
      </c>
      <c r="G2999" s="3" t="n">
        <v>0</v>
      </c>
      <c r="H2999" s="3" t="n">
        <v>0</v>
      </c>
      <c r="I2999" s="3">
        <f>E2999+G2999+H2999</f>
        <v/>
      </c>
      <c r="J2999" s="3">
        <f>ROUND(MIN(IF(C2999="Técnico III",35,IF(C2999="Técnico II",28,IF(C2999="Técnico I",23,IF(C2999="JR",20,IF(C2999="Estágio",10,0))))),IF(C2999="Técnico III",SUMIFS($D:$D,$A:$A,$A2999,$B:$B,"&lt;&gt;Patrícia Karla de Sousa Araújo",$B:$B,"&lt;&gt;Lorena Dias de Araujo",$B:$B,"&lt;&gt;Lucas Luiz Romero")*(35/1083),IF(C2999="Técnico II",SUMIFS($D:$D,$A:$A,$A2999,$B:$B,"&lt;&gt;Patrícia Karla de Sousa Araújo",$B:$B,"&lt;&gt;Lorena Dias de Araujo",$B:$B,"&lt;&gt;Lucas Luiz Romero")*(28/1083),IF(C2999="Técnico I",SUMIFS($D:$D,$A:$A,$A2999,$B:$B,"&lt;&gt;Patrícia Karla de Sousa Araújo",$B:$B,"&lt;&gt;Lorena Dias de Araujo",$B:$B,"&lt;&gt;Lucas Luiz Romero")*(23/1083),IF(C2999="JR",SUMIFS($D:$D,$A:$A,$A2999,$B:$B,"&lt;&gt;Patrícia Karla de Sousa Araújo",$B:$B,"&lt;&gt;Lorena Dias de Araujo",$B:$B,"&lt;&gt;Lucas Luiz Romero")*(20/1083),IF(C2999="Estágio",SUMIFS($D:$D,$A:$A,$A2999,$B:$B,"&lt;&gt;Patrícia Karla de Sousa Araújo",$B:$B,"&lt;&gt;Lorena Dias de Araujo",$B:$B,"&lt;&gt;Lucas Luiz Romero")*(10/1083),0)))))),0)</f>
        <v/>
      </c>
      <c r="K2999" s="3">
        <f>I2999-J2999</f>
        <v/>
      </c>
      <c r="L2999" s="3">
        <f>IF(K2999&lt;-5,"CRÍTICO",IF(K2999&lt;0,"ATENÇÃO",IF(K2999&lt;=5,"OPORTUNO","MUITO BOM")))</f>
        <v/>
      </c>
      <c r="M2999" s="3" t="n">
        <v>11</v>
      </c>
      <c r="N2999" s="3" t="n">
        <v>99.14</v>
      </c>
      <c r="O2999" s="12" t="n">
        <v>27.2289156626506</v>
      </c>
    </row>
    <row r="3000">
      <c r="A3000" s="10" t="n">
        <v>46094</v>
      </c>
      <c r="B3000" t="inlineStr">
        <is>
          <t>Lorena Dias de Araujo</t>
        </is>
      </c>
      <c r="C3000" s="1" t="inlineStr">
        <is>
          <t>Técnico II</t>
        </is>
      </c>
      <c r="D3000" s="3" t="n">
        <v>25</v>
      </c>
      <c r="E3000" s="3" t="n">
        <v>23</v>
      </c>
      <c r="F3000" s="3" t="n">
        <v>27.26</v>
      </c>
      <c r="G3000" s="3" t="n">
        <v>0</v>
      </c>
      <c r="H3000" s="3" t="n">
        <v>0</v>
      </c>
      <c r="I3000" s="3" t="n">
        <v>0</v>
      </c>
      <c r="J3000" s="3" t="n">
        <v>0</v>
      </c>
      <c r="K3000" s="3" t="n">
        <v>0</v>
      </c>
      <c r="L3000" s="3">
        <f>IF(K3000&lt;-5,"CRÍTICO",IF(K3000&lt;0,"ATENÇÃO",IF(K3000&lt;=5,"OPORTUNO","MUITO BOM")))</f>
        <v/>
      </c>
      <c r="M3000" s="3" t="n">
        <v>20</v>
      </c>
      <c r="N3000" s="3" t="n">
        <v>97.52</v>
      </c>
      <c r="O3000" s="12" t="n">
        <v>28.2051282051282</v>
      </c>
    </row>
    <row r="3001">
      <c r="A3001" s="10" t="n">
        <v>46094</v>
      </c>
      <c r="B3001" t="inlineStr">
        <is>
          <t>Lucas Luiz Romero</t>
        </is>
      </c>
      <c r="C3001" s="1" t="inlineStr">
        <is>
          <t>Técnico III</t>
        </is>
      </c>
      <c r="D3001" s="3" t="n">
        <v>26</v>
      </c>
      <c r="E3001" s="3" t="n">
        <v>22</v>
      </c>
      <c r="F3001" s="3" t="n">
        <v>16.52</v>
      </c>
      <c r="G3001" s="3" t="n">
        <v>0</v>
      </c>
      <c r="H3001" s="3" t="n">
        <v>0</v>
      </c>
      <c r="I3001" s="3">
        <f>E3001+G3001+H3001</f>
        <v/>
      </c>
      <c r="J3001" s="3">
        <f>ROUND(MIN(IF(C3001="Técnico III",35,IF(C3001="Técnico II",28,IF(C3001="Técnico I",23,IF(C3001="JR",20,IF(C3001="Estágio",10,0))))),IF(C3001="Técnico III",SUMIFS($D:$D,$A:$A,$A3001,$B:$B,"&lt;&gt;Patrícia Karla de Sousa Araújo",$B:$B,"&lt;&gt;Lorena Dias de Araujo",$B:$B,"&lt;&gt;Lucas Luiz Romero")*(35/1083),IF(C3001="Técnico II",SUMIFS($D:$D,$A:$A,$A3001,$B:$B,"&lt;&gt;Patrícia Karla de Sousa Araújo",$B:$B,"&lt;&gt;Lorena Dias de Araujo",$B:$B,"&lt;&gt;Lucas Luiz Romero")*(28/1083),IF(C3001="Técnico I",SUMIFS($D:$D,$A:$A,$A3001,$B:$B,"&lt;&gt;Patrícia Karla de Sousa Araújo",$B:$B,"&lt;&gt;Lorena Dias de Araujo",$B:$B,"&lt;&gt;Lucas Luiz Romero")*(23/1083),IF(C3001="JR",SUMIFS($D:$D,$A:$A,$A3001,$B:$B,"&lt;&gt;Patrícia Karla de Sousa Araújo",$B:$B,"&lt;&gt;Lorena Dias de Araujo",$B:$B,"&lt;&gt;Lucas Luiz Romero")*(20/1083),IF(C3001="Estágio",SUMIFS($D:$D,$A:$A,$A3001,$B:$B,"&lt;&gt;Patrícia Karla de Sousa Araújo",$B:$B,"&lt;&gt;Lorena Dias de Araujo",$B:$B,"&lt;&gt;Lucas Luiz Romero")*(10/1083),0)))))),0)</f>
        <v/>
      </c>
      <c r="K3001" s="3">
        <f>I3001-J3001</f>
        <v/>
      </c>
      <c r="L3001" s="3">
        <f>IF(K3001&lt;-5,"CRÍTICO",IF(K3001&lt;0,"ATENÇÃO",IF(K3001&lt;=5,"OPORTUNO","MUITO BOM")))</f>
        <v/>
      </c>
      <c r="M3001" s="3" t="n">
        <v>15</v>
      </c>
      <c r="N3001" s="3" t="n">
        <v>90</v>
      </c>
      <c r="O3001" s="12" t="n">
        <v>24.18604651162791</v>
      </c>
    </row>
    <row r="3002">
      <c r="A3002" s="10" t="n">
        <v>46094</v>
      </c>
      <c r="B3002" t="inlineStr">
        <is>
          <t>Luiz Fernando de Carvalho Junior</t>
        </is>
      </c>
      <c r="C3002" s="1" t="inlineStr">
        <is>
          <t>Técnico I</t>
        </is>
      </c>
      <c r="D3002" s="3" t="n">
        <v>13</v>
      </c>
      <c r="E3002" s="3" t="n">
        <v>12</v>
      </c>
      <c r="F3002" s="3" t="n">
        <v>37.32</v>
      </c>
      <c r="G3002" s="3" t="n">
        <v>0</v>
      </c>
      <c r="H3002" s="3" t="n">
        <v>0</v>
      </c>
      <c r="I3002" s="3">
        <f>E3002+G3002+H3002</f>
        <v/>
      </c>
      <c r="J3002" s="3">
        <f>ROUND(MIN(IF(C3002="Técnico III",35,IF(C3002="Técnico II",28,IF(C3002="Técnico I",23,IF(C3002="JR",20,IF(C3002="Estágio",10,0))))),IF(C3002="Técnico III",SUMIFS($D:$D,$A:$A,$A3002,$B:$B,"&lt;&gt;Patrícia Karla de Sousa Araújo",$B:$B,"&lt;&gt;Lorena Dias de Araujo",$B:$B,"&lt;&gt;Lucas Luiz Romero")*(35/1083),IF(C3002="Técnico II",SUMIFS($D:$D,$A:$A,$A3002,$B:$B,"&lt;&gt;Patrícia Karla de Sousa Araújo",$B:$B,"&lt;&gt;Lorena Dias de Araujo",$B:$B,"&lt;&gt;Lucas Luiz Romero")*(28/1083),IF(C3002="Técnico I",SUMIFS($D:$D,$A:$A,$A3002,$B:$B,"&lt;&gt;Patrícia Karla de Sousa Araújo",$B:$B,"&lt;&gt;Lorena Dias de Araujo",$B:$B,"&lt;&gt;Lucas Luiz Romero")*(23/1083),IF(C3002="JR",SUMIFS($D:$D,$A:$A,$A3002,$B:$B,"&lt;&gt;Patrícia Karla de Sousa Araújo",$B:$B,"&lt;&gt;Lorena Dias de Araujo",$B:$B,"&lt;&gt;Lucas Luiz Romero")*(20/1083),IF(C3002="Estágio",SUMIFS($D:$D,$A:$A,$A3002,$B:$B,"&lt;&gt;Patrícia Karla de Sousa Araújo",$B:$B,"&lt;&gt;Lorena Dias de Araujo",$B:$B,"&lt;&gt;Lucas Luiz Romero")*(10/1083),0)))))),0)</f>
        <v/>
      </c>
      <c r="K3002" s="3">
        <f>I3002-J3002</f>
        <v/>
      </c>
      <c r="L3002" s="3">
        <f>IF(K3002&lt;-5,"CRÍTICO",IF(K3002&lt;0,"ATENÇÃO",IF(K3002&lt;=5,"OPORTUNO","MUITO BOM")))</f>
        <v/>
      </c>
      <c r="M3002" s="3" t="n">
        <v>11</v>
      </c>
      <c r="N3002" s="3" t="n">
        <v>98.90000000000001</v>
      </c>
      <c r="O3002" s="12" t="n">
        <v>26.7639902676399</v>
      </c>
    </row>
    <row r="3003">
      <c r="A3003" s="10" t="n">
        <v>46094</v>
      </c>
      <c r="B3003" t="inlineStr">
        <is>
          <t>Maria Eduarda Sousa Costa</t>
        </is>
      </c>
      <c r="C3003" s="1" t="inlineStr">
        <is>
          <t>Estágio</t>
        </is>
      </c>
      <c r="D3003" s="3" t="n">
        <v>6</v>
      </c>
      <c r="E3003" s="3" t="n">
        <v>4</v>
      </c>
      <c r="F3003" s="3" t="n">
        <v>53.49</v>
      </c>
      <c r="G3003" s="3" t="n">
        <v>0</v>
      </c>
      <c r="H3003" s="3" t="n">
        <v>0</v>
      </c>
      <c r="I3003" s="3">
        <f>E3003+G3003+H3003</f>
        <v/>
      </c>
      <c r="J3003" s="3">
        <f>ROUND(MIN(IF(C3003="Técnico III",35,IF(C3003="Técnico II",28,IF(C3003="Técnico I",23,IF(C3003="JR",20,IF(C3003="Estágio",10,0))))),IF(C3003="Técnico III",SUMIFS($D:$D,$A:$A,$A3003,$B:$B,"&lt;&gt;Patrícia Karla de Sousa Araújo",$B:$B,"&lt;&gt;Lorena Dias de Araujo",$B:$B,"&lt;&gt;Lucas Luiz Romero")*(35/1083),IF(C3003="Técnico II",SUMIFS($D:$D,$A:$A,$A3003,$B:$B,"&lt;&gt;Patrícia Karla de Sousa Araújo",$B:$B,"&lt;&gt;Lorena Dias de Araujo",$B:$B,"&lt;&gt;Lucas Luiz Romero")*(28/1083),IF(C3003="Técnico I",SUMIFS($D:$D,$A:$A,$A3003,$B:$B,"&lt;&gt;Patrícia Karla de Sousa Araújo",$B:$B,"&lt;&gt;Lorena Dias de Araujo",$B:$B,"&lt;&gt;Lucas Luiz Romero")*(23/1083),IF(C3003="JR",SUMIFS($D:$D,$A:$A,$A3003,$B:$B,"&lt;&gt;Patrícia Karla de Sousa Araújo",$B:$B,"&lt;&gt;Lorena Dias de Araujo",$B:$B,"&lt;&gt;Lucas Luiz Romero")*(20/1083),IF(C3003="Estágio",SUMIFS($D:$D,$A:$A,$A3003,$B:$B,"&lt;&gt;Patrícia Karla de Sousa Araújo",$B:$B,"&lt;&gt;Lorena Dias de Araujo",$B:$B,"&lt;&gt;Lucas Luiz Romero")*(10/1083),0)))))),0)</f>
        <v/>
      </c>
      <c r="K3003" s="3">
        <f>I3003-J3003</f>
        <v/>
      </c>
      <c r="L3003" s="3">
        <f>IF(K3003&lt;-5,"CRÍTICO",IF(K3003&lt;0,"ATENÇÃO",IF(K3003&lt;=5,"OPORTUNO","MUITO BOM")))</f>
        <v/>
      </c>
      <c r="M3003" s="3" t="n">
        <v>3</v>
      </c>
      <c r="N3003" s="3" t="n">
        <v>88.89</v>
      </c>
      <c r="O3003" s="12" t="n">
        <v>25.26315789473684</v>
      </c>
    </row>
    <row r="3004">
      <c r="A3004" s="10" t="n">
        <v>46114</v>
      </c>
      <c r="B3004" t="inlineStr">
        <is>
          <t>Matheus Farias De Souza</t>
        </is>
      </c>
      <c r="C3004" s="1" t="inlineStr">
        <is>
          <t>Técnico III</t>
        </is>
      </c>
      <c r="D3004" s="3" t="n">
        <v>44</v>
      </c>
      <c r="E3004" s="3" t="n">
        <v>41</v>
      </c>
      <c r="F3004" s="3" t="n">
        <v>13.21</v>
      </c>
      <c r="G3004" s="3" t="n">
        <v>0</v>
      </c>
      <c r="H3004" s="3" t="n">
        <v>0</v>
      </c>
      <c r="I3004" s="3">
        <f>E3004+G3004+H3004</f>
        <v/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/>
      </c>
      <c r="K3004" s="3">
        <f>I3004-J3004</f>
        <v/>
      </c>
      <c r="L3004" s="3">
        <f>IF(K3004&lt;-5,"CRÍTICO",IF(K3004&lt;0,"ATENÇÃO",IF(K3004&lt;=5,"OPORTUNO","MUITO BOM")))</f>
        <v/>
      </c>
      <c r="M3004" s="3" t="n">
        <v>37</v>
      </c>
      <c r="N3004" s="3" t="n">
        <v>100</v>
      </c>
      <c r="O3004" s="12" t="n">
        <v>23.9870340356564</v>
      </c>
    </row>
    <row r="3005">
      <c r="A3005" s="10" t="n">
        <v>46094</v>
      </c>
      <c r="B3005" t="inlineStr">
        <is>
          <t>Maysa Victoria Dias Moura</t>
        </is>
      </c>
      <c r="C3005" s="1" t="inlineStr">
        <is>
          <t>Técnico III</t>
        </is>
      </c>
      <c r="D3005" s="3" t="n">
        <v>32</v>
      </c>
      <c r="E3005" s="3" t="n">
        <v>28</v>
      </c>
      <c r="F3005" s="3" t="n">
        <v>15</v>
      </c>
      <c r="G3005" s="3" t="n">
        <v>0</v>
      </c>
      <c r="H3005" s="3" t="n">
        <v>0</v>
      </c>
      <c r="I3005" s="3">
        <f>E3005+G3005+H3005</f>
        <v/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/>
      </c>
      <c r="K3005" s="3">
        <f>I3005-J3005</f>
        <v/>
      </c>
      <c r="L3005" s="3">
        <f>IF(K3005&lt;-5,"CRÍTICO",IF(K3005&lt;0,"ATENÇÃO",IF(K3005&lt;=5,"OPORTUNO","MUITO BOM")))</f>
        <v/>
      </c>
      <c r="M3005" s="3" t="n">
        <v>25</v>
      </c>
      <c r="N3005" s="3" t="n">
        <v>98.06</v>
      </c>
      <c r="O3005" s="12" t="n">
        <v>22.40566037735849</v>
      </c>
    </row>
    <row r="3006">
      <c r="A3006" s="10" t="n">
        <v>46122</v>
      </c>
      <c r="B3006" t="inlineStr">
        <is>
          <t>Michelle G Santos</t>
        </is>
      </c>
      <c r="C3006" s="1" t="inlineStr">
        <is>
          <t>Estágio</t>
        </is>
      </c>
      <c r="D3006" s="3" t="n">
        <v>16</v>
      </c>
      <c r="E3006" s="3" t="n">
        <v>16</v>
      </c>
      <c r="F3006" s="3" t="n">
        <v>23.2</v>
      </c>
      <c r="G3006" s="3" t="n">
        <v>0</v>
      </c>
      <c r="H3006" s="3" t="n">
        <v>0</v>
      </c>
      <c r="I3006" s="3">
        <f>E3006+G3006+H3006</f>
        <v/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/>
      </c>
      <c r="K3006" s="3">
        <f>I3006-J3006</f>
        <v/>
      </c>
      <c r="L3006" s="3">
        <f>IF(K3006&lt;-5,"CRÍTICO",IF(K3006&lt;0,"ATENÇÃO",IF(K3006&lt;=5,"OPORTUNO","MUITO BOM")))</f>
        <v/>
      </c>
      <c r="M3006" s="3" t="n">
        <v>10</v>
      </c>
      <c r="N3006" s="3" t="n">
        <v>100</v>
      </c>
      <c r="O3006" s="12" t="n">
        <v>23.77622377622378</v>
      </c>
    </row>
    <row r="3007">
      <c r="A3007" s="10" t="n">
        <v>46094</v>
      </c>
      <c r="B3007" t="inlineStr">
        <is>
          <t>Milena Sales</t>
        </is>
      </c>
      <c r="C3007" s="1" t="inlineStr">
        <is>
          <t>JR</t>
        </is>
      </c>
      <c r="D3007" s="3" t="n">
        <v>0</v>
      </c>
      <c r="E3007" s="3" t="n">
        <v>0</v>
      </c>
      <c r="F3007" s="3" t="n">
        <v>0</v>
      </c>
      <c r="G3007" s="3" t="n">
        <v>0</v>
      </c>
      <c r="H3007" s="3" t="n">
        <v>0</v>
      </c>
      <c r="I3007" s="3" t="n">
        <v>0</v>
      </c>
      <c r="J3007" s="3" t="n">
        <v>0</v>
      </c>
      <c r="K3007" s="3" t="n">
        <v>0</v>
      </c>
      <c r="L3007" s="3">
        <f>IF(K3007&lt;-5,"CRÍTICO",IF(K3007&lt;0,"ATENÇÃO",IF(K3007&lt;=5,"OPORTUNO","MUITO BOM")))</f>
        <v/>
      </c>
      <c r="M3007" s="3" t="n">
        <v>0</v>
      </c>
      <c r="N3007" s="3" t="n">
        <v>100</v>
      </c>
      <c r="O3007" s="12" t="n">
        <v>15.38461538461539</v>
      </c>
    </row>
    <row r="3008">
      <c r="A3008" s="10" t="n">
        <v>46094</v>
      </c>
      <c r="B3008" t="inlineStr">
        <is>
          <t>Patrícia Karla de Sousa Araújo</t>
        </is>
      </c>
      <c r="C3008" s="1" t="inlineStr">
        <is>
          <t>Técnico II</t>
        </is>
      </c>
      <c r="D3008" s="3" t="n">
        <v>26</v>
      </c>
      <c r="E3008" s="3" t="n">
        <v>26</v>
      </c>
      <c r="F3008" s="3" t="n">
        <v>27.03</v>
      </c>
      <c r="G3008" s="3" t="n">
        <v>0</v>
      </c>
      <c r="H3008" s="3" t="n">
        <v>0</v>
      </c>
      <c r="I3008" s="3">
        <f>E3008+G3008+H3008</f>
        <v/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/>
      </c>
      <c r="K3008" s="3">
        <f>I3008-J3008</f>
        <v/>
      </c>
      <c r="L3008" s="3">
        <f>IF(K3008&lt;-5,"CRÍTICO",IF(K3008&lt;0,"ATENÇÃO",IF(K3008&lt;=5,"OPORTUNO","MUITO BOM")))</f>
        <v/>
      </c>
      <c r="M3008" s="3" t="n">
        <v>23</v>
      </c>
      <c r="N3008" s="3" t="n">
        <v>100</v>
      </c>
      <c r="O3008" s="12" t="n">
        <v>27.51479289940828</v>
      </c>
    </row>
    <row r="3009">
      <c r="A3009" s="10" t="n">
        <v>46094</v>
      </c>
      <c r="B3009" t="inlineStr">
        <is>
          <t>Paulo Ricardo Santos</t>
        </is>
      </c>
      <c r="C3009" s="1" t="inlineStr">
        <is>
          <t>JR</t>
        </is>
      </c>
      <c r="D3009" s="3" t="n">
        <v>13</v>
      </c>
      <c r="E3009" s="3" t="n">
        <v>12</v>
      </c>
      <c r="F3009" s="3" t="n">
        <v>40.55</v>
      </c>
      <c r="G3009" s="3" t="n">
        <v>0</v>
      </c>
      <c r="H3009" s="3" t="n">
        <v>0</v>
      </c>
      <c r="I3009" s="3">
        <f>E3009+G3009+H3009</f>
        <v/>
      </c>
      <c r="J3009" s="3">
        <f>ROUND(MIN(IF(C3009="Técnico III",35,IF(C3009="Técnico II",28,IF(C3009="Técnico I",23,IF(C3009="JR",20,IF(C3009="Estágio",10,0))))),IF(C3009="Técnico III",SUMIFS($D:$D,$A:$A,$A3009,$B:$B,"&lt;&gt;Patrícia Karla de Sousa Araújo",$B:$B,"&lt;&gt;Lorena Dias de Araujo",$B:$B,"&lt;&gt;Lucas Luiz Romero")*(35/1083),IF(C3009="Técnico II",SUMIFS($D:$D,$A:$A,$A3009,$B:$B,"&lt;&gt;Patrícia Karla de Sousa Araújo",$B:$B,"&lt;&gt;Lorena Dias de Araujo",$B:$B,"&lt;&gt;Lucas Luiz Romero")*(28/1083),IF(C3009="Técnico I",SUMIFS($D:$D,$A:$A,$A3009,$B:$B,"&lt;&gt;Patrícia Karla de Sousa Araújo",$B:$B,"&lt;&gt;Lorena Dias de Araujo",$B:$B,"&lt;&gt;Lucas Luiz Romero")*(23/1083),IF(C3009="JR",SUMIFS($D:$D,$A:$A,$A3009,$B:$B,"&lt;&gt;Patrícia Karla de Sousa Araújo",$B:$B,"&lt;&gt;Lorena Dias de Araujo",$B:$B,"&lt;&gt;Lucas Luiz Romero")*(20/1083),IF(C3009="Estágio",SUMIFS($D:$D,$A:$A,$A3009,$B:$B,"&lt;&gt;Patrícia Karla de Sousa Araújo",$B:$B,"&lt;&gt;Lorena Dias de Araujo",$B:$B,"&lt;&gt;Lucas Luiz Romero")*(10/1083),0)))))),0)</f>
        <v/>
      </c>
      <c r="K3009" s="3">
        <f>I3009-J3009</f>
        <v/>
      </c>
      <c r="L3009" s="3">
        <f>IF(K3009&lt;-5,"CRÍTICO",IF(K3009&lt;0,"ATENÇÃO",IF(K3009&lt;=5,"OPORTUNO","MUITO BOM")))</f>
        <v/>
      </c>
      <c r="M3009" s="3" t="n">
        <v>7</v>
      </c>
      <c r="N3009" s="3" t="n">
        <v>100</v>
      </c>
      <c r="O3009" s="12" t="n">
        <v>24.87562189054727</v>
      </c>
    </row>
    <row r="3010">
      <c r="A3010" s="10" t="n">
        <v>46094</v>
      </c>
      <c r="B3010" t="inlineStr">
        <is>
          <t>Pedro Luiz Mota Sousa</t>
        </is>
      </c>
      <c r="C3010" s="1" t="inlineStr">
        <is>
          <t>JR</t>
        </is>
      </c>
      <c r="D3010" s="3" t="n">
        <v>14</v>
      </c>
      <c r="E3010" s="3" t="n">
        <v>14</v>
      </c>
      <c r="F3010" s="3" t="n">
        <v>43.33</v>
      </c>
      <c r="G3010" s="3" t="n">
        <v>0</v>
      </c>
      <c r="H3010" s="3" t="n">
        <v>0</v>
      </c>
      <c r="I3010" s="3">
        <f>E3010+G3010+H3010</f>
        <v/>
      </c>
      <c r="J3010" s="3">
        <f>ROUND(MIN(IF(C3010="Técnico III",35,IF(C3010="Técnico II",28,IF(C3010="Técnico I",23,IF(C3010="JR",20,IF(C3010="Estágio",10,0))))),IF(C3010="Técnico III",SUMIFS($D:$D,$A:$A,$A3010,$B:$B,"&lt;&gt;Patrícia Karla de Sousa Araújo",$B:$B,"&lt;&gt;Lorena Dias de Araujo",$B:$B,"&lt;&gt;Lucas Luiz Romero")*(35/1083),IF(C3010="Técnico II",SUMIFS($D:$D,$A:$A,$A3010,$B:$B,"&lt;&gt;Patrícia Karla de Sousa Araújo",$B:$B,"&lt;&gt;Lorena Dias de Araujo",$B:$B,"&lt;&gt;Lucas Luiz Romero")*(28/1083),IF(C3010="Técnico I",SUMIFS($D:$D,$A:$A,$A3010,$B:$B,"&lt;&gt;Patrícia Karla de Sousa Araújo",$B:$B,"&lt;&gt;Lorena Dias de Araujo",$B:$B,"&lt;&gt;Lucas Luiz Romero")*(23/1083),IF(C3010="JR",SUMIFS($D:$D,$A:$A,$A3010,$B:$B,"&lt;&gt;Patrícia Karla de Sousa Araújo",$B:$B,"&lt;&gt;Lorena Dias de Araujo",$B:$B,"&lt;&gt;Lucas Luiz Romero")*(20/1083),IF(C3010="Estágio",SUMIFS($D:$D,$A:$A,$A3010,$B:$B,"&lt;&gt;Patrícia Karla de Sousa Araújo",$B:$B,"&lt;&gt;Lorena Dias de Araujo",$B:$B,"&lt;&gt;Lucas Luiz Romero")*(10/1083),0)))))),0)</f>
        <v/>
      </c>
      <c r="K3010" s="3">
        <f>I3010-J3010</f>
        <v/>
      </c>
      <c r="L3010" s="3">
        <f>IF(K3010&lt;-5,"CRÍTICO",IF(K3010&lt;0,"ATENÇÃO",IF(K3010&lt;=5,"OPORTUNO","MUITO BOM")))</f>
        <v/>
      </c>
      <c r="M3010" s="3" t="n">
        <v>13</v>
      </c>
      <c r="N3010" s="3" t="n">
        <v>100</v>
      </c>
      <c r="O3010" s="12" t="n">
        <v>28.10810810810811</v>
      </c>
    </row>
    <row r="3011">
      <c r="A3011" s="10" t="n">
        <v>46122</v>
      </c>
      <c r="B3011" t="inlineStr">
        <is>
          <t>Quirino Diogo Leite Torres</t>
        </is>
      </c>
      <c r="C3011" s="1" t="inlineStr">
        <is>
          <t>Estágio</t>
        </is>
      </c>
      <c r="D3011" s="3" t="n">
        <v>9</v>
      </c>
      <c r="E3011" s="3" t="n">
        <v>7</v>
      </c>
      <c r="F3011" s="3" t="n">
        <v>24.15</v>
      </c>
      <c r="G3011" s="3" t="n">
        <v>0</v>
      </c>
      <c r="H3011" s="3" t="n">
        <v>0</v>
      </c>
      <c r="I3011" s="3">
        <f>E3011+G3011+H3011</f>
        <v/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/>
      </c>
      <c r="K3011" s="3">
        <f>I3011-J3011</f>
        <v/>
      </c>
      <c r="L3011" s="3">
        <f>IF(K3011&lt;-5,"CRÍTICO",IF(K3011&lt;0,"ATENÇÃO",IF(K3011&lt;=5,"OPORTUNO","MUITO BOM")))</f>
        <v/>
      </c>
      <c r="M3011" s="3" t="n">
        <v>6</v>
      </c>
      <c r="N3011" s="3" t="n">
        <v>94.12</v>
      </c>
      <c r="O3011" s="12" t="n">
        <v>32.8</v>
      </c>
    </row>
    <row r="3012">
      <c r="A3012" s="10" t="n">
        <v>46094</v>
      </c>
      <c r="B3012" t="inlineStr">
        <is>
          <t>Raane Batista Matos</t>
        </is>
      </c>
      <c r="C3012" s="1" t="inlineStr">
        <is>
          <t>Técnico I</t>
        </is>
      </c>
      <c r="D3012" s="3" t="n">
        <v>24</v>
      </c>
      <c r="E3012" s="3" t="n">
        <v>23</v>
      </c>
      <c r="F3012" s="3" t="n">
        <v>28.27</v>
      </c>
      <c r="G3012" s="3" t="n">
        <v>0</v>
      </c>
      <c r="H3012" s="3" t="n">
        <v>0</v>
      </c>
      <c r="I3012" s="3">
        <f>E3012+G3012+H3012</f>
        <v/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/>
      </c>
      <c r="K3012" s="3">
        <f>I3012-J3012</f>
        <v/>
      </c>
      <c r="L3012" s="3">
        <f>IF(K3012&lt;-5,"CRÍTICO",IF(K3012&lt;0,"ATENÇÃO",IF(K3012&lt;=5,"OPORTUNO","MUITO BOM")))</f>
        <v/>
      </c>
      <c r="M3012" s="3" t="n">
        <v>12</v>
      </c>
      <c r="N3012" s="3" t="n">
        <v>95.34999999999999</v>
      </c>
      <c r="O3012" s="12" t="n">
        <v>28.61538461538461</v>
      </c>
    </row>
    <row r="3013">
      <c r="A3013" s="10" t="n">
        <v>46094</v>
      </c>
      <c r="B3013" t="inlineStr">
        <is>
          <t>Rafael Gomes de Morais</t>
        </is>
      </c>
      <c r="C3013" s="1" t="inlineStr">
        <is>
          <t>Técnico III</t>
        </is>
      </c>
      <c r="D3013" s="3" t="n">
        <v>36</v>
      </c>
      <c r="E3013" s="3" t="n">
        <v>36</v>
      </c>
      <c r="F3013" s="3" t="n">
        <v>15.38</v>
      </c>
      <c r="G3013" s="3" t="n">
        <v>0</v>
      </c>
      <c r="H3013" s="3" t="n">
        <v>0</v>
      </c>
      <c r="I3013" s="3">
        <f>E3013+G3013+H3013</f>
        <v/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/>
      </c>
      <c r="K3013" s="3">
        <f>I3013-J3013</f>
        <v/>
      </c>
      <c r="L3013" s="3">
        <f>IF(K3013&lt;-5,"CRÍTICO",IF(K3013&lt;0,"ATENÇÃO",IF(K3013&lt;=5,"OPORTUNO","MUITO BOM")))</f>
        <v/>
      </c>
      <c r="M3013" s="3" t="n">
        <v>33</v>
      </c>
      <c r="N3013" s="3" t="n">
        <v>98.26000000000001</v>
      </c>
      <c r="O3013" s="12" t="n">
        <v>27.54491017964072</v>
      </c>
    </row>
    <row r="3014">
      <c r="A3014" s="10" t="n">
        <v>46094</v>
      </c>
      <c r="B3014" t="inlineStr">
        <is>
          <t>Sara Maria Monteiro Lopes</t>
        </is>
      </c>
      <c r="C3014" s="1" t="inlineStr">
        <is>
          <t>Técnico I</t>
        </is>
      </c>
      <c r="D3014" s="3" t="n">
        <v>13</v>
      </c>
      <c r="E3014" s="3" t="n">
        <v>13</v>
      </c>
      <c r="F3014" s="3" t="n">
        <v>48.32</v>
      </c>
      <c r="G3014" s="3" t="n">
        <v>0</v>
      </c>
      <c r="H3014" s="3" t="n">
        <v>0</v>
      </c>
      <c r="I3014" s="3">
        <f>E3014+G3014+H3014</f>
        <v/>
      </c>
      <c r="J3014" s="3">
        <f>ROUND(MIN(IF(C3014="Técnico III",35,IF(C3014="Técnico II",28,IF(C3014="Técnico I",23,IF(C3014="JR",20,IF(C3014="Estágio",10,0))))),IF(C3014="Técnico III",SUMIFS($D:$D,$A:$A,$A3014,$B:$B,"&lt;&gt;Patrícia Karla de Sousa Araújo",$B:$B,"&lt;&gt;Lorena Dias de Araujo",$B:$B,"&lt;&gt;Lucas Luiz Romero")*(35/1083),IF(C3014="Técnico II",SUMIFS($D:$D,$A:$A,$A3014,$B:$B,"&lt;&gt;Patrícia Karla de Sousa Araújo",$B:$B,"&lt;&gt;Lorena Dias de Araujo",$B:$B,"&lt;&gt;Lucas Luiz Romero")*(28/1083),IF(C3014="Técnico I",SUMIFS($D:$D,$A:$A,$A3014,$B:$B,"&lt;&gt;Patrícia Karla de Sousa Araújo",$B:$B,"&lt;&gt;Lorena Dias de Araujo",$B:$B,"&lt;&gt;Lucas Luiz Romero")*(23/1083),IF(C3014="JR",SUMIFS($D:$D,$A:$A,$A3014,$B:$B,"&lt;&gt;Patrícia Karla de Sousa Araújo",$B:$B,"&lt;&gt;Lorena Dias de Araujo",$B:$B,"&lt;&gt;Lucas Luiz Romero")*(20/1083),IF(C3014="Estágio",SUMIFS($D:$D,$A:$A,$A3014,$B:$B,"&lt;&gt;Patrícia Karla de Sousa Araújo",$B:$B,"&lt;&gt;Lorena Dias de Araujo",$B:$B,"&lt;&gt;Lucas Luiz Romero")*(10/1083),0)))))),0)</f>
        <v/>
      </c>
      <c r="K3014" s="3">
        <f>I3014-J3014</f>
        <v/>
      </c>
      <c r="L3014" s="3">
        <f>IF(K3014&lt;-5,"CRÍTICO",IF(K3014&lt;0,"ATENÇÃO",IF(K3014&lt;=5,"OPORTUNO","MUITO BOM")))</f>
        <v/>
      </c>
      <c r="M3014" s="3" t="n">
        <v>13</v>
      </c>
      <c r="N3014" s="3" t="n">
        <v>98.55</v>
      </c>
      <c r="O3014" s="12" t="n">
        <v>25.33783783783784</v>
      </c>
    </row>
    <row r="3015">
      <c r="A3015" s="10" t="n">
        <v>46094</v>
      </c>
      <c r="B3015" t="inlineStr">
        <is>
          <t>Sarah Steffanie de Lima Borges</t>
        </is>
      </c>
      <c r="C3015" s="1" t="inlineStr">
        <is>
          <t>Técnico III</t>
        </is>
      </c>
      <c r="D3015" s="3" t="n">
        <v>31</v>
      </c>
      <c r="E3015" s="3" t="n">
        <v>28</v>
      </c>
      <c r="F3015" s="3" t="n">
        <v>22.31</v>
      </c>
      <c r="G3015" s="3" t="n">
        <v>0</v>
      </c>
      <c r="H3015" s="3" t="n">
        <v>0</v>
      </c>
      <c r="I3015" s="3">
        <f>E3015+G3015+H3015</f>
        <v/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/>
      </c>
      <c r="K3015" s="3">
        <f>I3015-J3015</f>
        <v/>
      </c>
      <c r="L3015" s="3">
        <f>IF(K3015&lt;-5,"CRÍTICO",IF(K3015&lt;0,"ATENÇÃO",IF(K3015&lt;=5,"OPORTUNO","MUITO BOM")))</f>
        <v/>
      </c>
      <c r="M3015" s="3" t="n">
        <v>25</v>
      </c>
      <c r="N3015" s="3" t="n">
        <v>98.39</v>
      </c>
      <c r="O3015" s="12" t="n">
        <v>25.56390977443609</v>
      </c>
    </row>
    <row r="3016">
      <c r="A3016" s="10" t="n">
        <v>46097</v>
      </c>
      <c r="B3016" t="inlineStr">
        <is>
          <t>Alisson de Freitas Silva</t>
        </is>
      </c>
      <c r="C3016" s="1" t="inlineStr">
        <is>
          <t>Técnico II</t>
        </is>
      </c>
      <c r="D3016" s="3" t="n">
        <v>33</v>
      </c>
      <c r="E3016" s="3" t="n">
        <v>27</v>
      </c>
      <c r="F3016" s="3" t="n">
        <v>14.14</v>
      </c>
      <c r="G3016" s="3" t="n">
        <v>0</v>
      </c>
      <c r="H3016" s="3" t="n">
        <v>0</v>
      </c>
      <c r="I3016" s="3">
        <f>E3016+G3016+H3016</f>
        <v/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/>
      </c>
      <c r="K3016" s="3">
        <f>I3016-J3016</f>
        <v/>
      </c>
      <c r="L3016" s="3">
        <f>IF(K3016&lt;-5,"CRÍTICO",IF(K3016&lt;0,"ATENÇÃO",IF(K3016&lt;=5,"OPORTUNO","MUITO BOM")))</f>
        <v/>
      </c>
      <c r="M3016" s="3" t="n">
        <v>15</v>
      </c>
      <c r="N3016" s="3" t="n">
        <v>94.29000000000001</v>
      </c>
      <c r="O3016" s="12" t="n">
        <v>25.64766839378239</v>
      </c>
    </row>
    <row r="3017">
      <c r="A3017" s="10" t="n">
        <v>46097</v>
      </c>
      <c r="B3017" t="inlineStr">
        <is>
          <t>Amanda Moura Ferreira</t>
        </is>
      </c>
      <c r="C3017" s="1" t="inlineStr">
        <is>
          <t>Técnico III</t>
        </is>
      </c>
      <c r="D3017" s="3" t="n">
        <v>0</v>
      </c>
      <c r="E3017" s="3" t="n">
        <v>0</v>
      </c>
      <c r="F3017" s="3" t="n">
        <v>0</v>
      </c>
      <c r="G3017" s="3" t="n">
        <v>0</v>
      </c>
      <c r="H3017" s="3" t="n">
        <v>0</v>
      </c>
      <c r="I3017" s="3" t="n">
        <v>0</v>
      </c>
      <c r="J3017" s="3" t="n">
        <v>0</v>
      </c>
      <c r="K3017" s="3" t="n">
        <v>0</v>
      </c>
      <c r="L3017" s="3">
        <f>IF(K3017&lt;-5,"CRÍTICO",IF(K3017&lt;0,"ATENÇÃO",IF(K3017&lt;=5,"OPORTUNO","MUITO BOM")))</f>
        <v/>
      </c>
      <c r="M3017" s="3" t="n">
        <v>22</v>
      </c>
      <c r="N3017" s="3" t="n">
        <v>98.26000000000001</v>
      </c>
      <c r="O3017" s="12" t="n">
        <v>26.66666666666667</v>
      </c>
    </row>
    <row r="3018">
      <c r="A3018" s="10" t="n">
        <v>46097</v>
      </c>
      <c r="B3018" t="inlineStr">
        <is>
          <t>Ana Karollyne Souza Faria</t>
        </is>
      </c>
      <c r="C3018" s="1" t="inlineStr">
        <is>
          <t>Técnico I</t>
        </is>
      </c>
      <c r="D3018" s="3" t="n">
        <v>29</v>
      </c>
      <c r="E3018" s="3" t="n">
        <v>29</v>
      </c>
      <c r="F3018" s="3" t="n">
        <v>23.33</v>
      </c>
      <c r="G3018" s="3" t="n">
        <v>0</v>
      </c>
      <c r="H3018" s="3" t="n">
        <v>0</v>
      </c>
      <c r="I3018" s="3">
        <f>E3018+G3018+H3018</f>
        <v/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/>
      </c>
      <c r="K3018" s="3">
        <f>I3018-J3018</f>
        <v/>
      </c>
      <c r="L3018" s="3">
        <f>IF(K3018&lt;-5,"CRÍTICO",IF(K3018&lt;0,"ATENÇÃO",IF(K3018&lt;=5,"OPORTUNO","MUITO BOM")))</f>
        <v/>
      </c>
      <c r="M3018" s="3" t="n">
        <v>30</v>
      </c>
      <c r="N3018" s="3" t="n">
        <v>98.2</v>
      </c>
      <c r="O3018" s="12" t="n">
        <v>23.37962962962963</v>
      </c>
    </row>
    <row r="3019">
      <c r="A3019" s="10" t="n">
        <v>46097</v>
      </c>
      <c r="B3019" t="inlineStr">
        <is>
          <t>Ana Paula Da Luz Silva Aleixo</t>
        </is>
      </c>
      <c r="C3019" s="1" t="inlineStr">
        <is>
          <t>Técnico III</t>
        </is>
      </c>
      <c r="D3019" s="3" t="n">
        <v>33</v>
      </c>
      <c r="E3019" s="3" t="n">
        <v>31</v>
      </c>
      <c r="F3019" s="3" t="n">
        <v>18.47</v>
      </c>
      <c r="G3019" s="3" t="n">
        <v>0</v>
      </c>
      <c r="H3019" s="3" t="n">
        <v>0</v>
      </c>
      <c r="I3019" s="3">
        <f>E3019+G3019+H3019</f>
        <v/>
      </c>
      <c r="J3019" s="3">
        <f>ROUND(MIN(IF(C3019="Técnico III",35,IF(C3019="Técnico II",28,IF(C3019="Técnico I",23,IF(C3019="JR",20,IF(C3019="Estágio",10,0))))),IF(C3019="Técnico III",SUMIFS($D:$D,$A:$A,$A3019,$B:$B,"&lt;&gt;Patrícia Karla de Sousa Araújo",$B:$B,"&lt;&gt;Lorena Dias de Araujo",$B:$B,"&lt;&gt;Lucas Luiz Romero")*(35/1083),IF(C3019="Técnico II",SUMIFS($D:$D,$A:$A,$A3019,$B:$B,"&lt;&gt;Patrícia Karla de Sousa Araújo",$B:$B,"&lt;&gt;Lorena Dias de Araujo",$B:$B,"&lt;&gt;Lucas Luiz Romero")*(28/1083),IF(C3019="Técnico I",SUMIFS($D:$D,$A:$A,$A3019,$B:$B,"&lt;&gt;Patrícia Karla de Sousa Araújo",$B:$B,"&lt;&gt;Lorena Dias de Araujo",$B:$B,"&lt;&gt;Lucas Luiz Romero")*(23/1083),IF(C3019="JR",SUMIFS($D:$D,$A:$A,$A3019,$B:$B,"&lt;&gt;Patrícia Karla de Sousa Araújo",$B:$B,"&lt;&gt;Lorena Dias de Araujo",$B:$B,"&lt;&gt;Lucas Luiz Romero")*(20/1083),IF(C3019="Estágio",SUMIFS($D:$D,$A:$A,$A3019,$B:$B,"&lt;&gt;Patrícia Karla de Sousa Araújo",$B:$B,"&lt;&gt;Lorena Dias de Araujo",$B:$B,"&lt;&gt;Lucas Luiz Romero")*(10/1083),0)))))),0)</f>
        <v/>
      </c>
      <c r="K3019" s="3">
        <f>I3019-J3019</f>
        <v/>
      </c>
      <c r="L3019" s="3">
        <f>IF(K3019&lt;-5,"CRÍTICO",IF(K3019&lt;0,"ATENÇÃO",IF(K3019&lt;=5,"OPORTUNO","MUITO BOM")))</f>
        <v/>
      </c>
      <c r="M3019" s="3" t="n">
        <v>23</v>
      </c>
      <c r="N3019" s="3" t="n">
        <v>97.3</v>
      </c>
      <c r="O3019" s="12" t="n">
        <v>23.84769539078156</v>
      </c>
    </row>
    <row r="3020">
      <c r="A3020" s="10" t="n">
        <v>46097</v>
      </c>
      <c r="B3020" t="inlineStr">
        <is>
          <t>Anna Luiza Rezende Tavares</t>
        </is>
      </c>
      <c r="C3020" s="1" t="inlineStr">
        <is>
          <t>Estágio</t>
        </is>
      </c>
      <c r="D3020" s="3" t="n">
        <v>7</v>
      </c>
      <c r="E3020" s="3" t="n">
        <v>7</v>
      </c>
      <c r="F3020" s="3" t="n">
        <v>33.53</v>
      </c>
      <c r="G3020" s="3" t="n">
        <v>0</v>
      </c>
      <c r="H3020" s="3" t="n">
        <v>0</v>
      </c>
      <c r="I3020" s="3">
        <f>E3020+G3020+H3020</f>
        <v/>
      </c>
      <c r="J3020" s="3">
        <f>ROUND(MIN(IF(C3020="Técnico III",35,IF(C3020="Técnico II",28,IF(C3020="Técnico I",23,IF(C3020="JR",20,IF(C3020="Estágio",10,0))))),IF(C3020="Técnico III",SUMIFS($D:$D,$A:$A,$A3020,$B:$B,"&lt;&gt;Patrícia Karla de Sousa Araújo",$B:$B,"&lt;&gt;Lorena Dias de Araujo",$B:$B,"&lt;&gt;Lucas Luiz Romero")*(35/1083),IF(C3020="Técnico II",SUMIFS($D:$D,$A:$A,$A3020,$B:$B,"&lt;&gt;Patrícia Karla de Sousa Araújo",$B:$B,"&lt;&gt;Lorena Dias de Araujo",$B:$B,"&lt;&gt;Lucas Luiz Romero")*(28/1083),IF(C3020="Técnico I",SUMIFS($D:$D,$A:$A,$A3020,$B:$B,"&lt;&gt;Patrícia Karla de Sousa Araújo",$B:$B,"&lt;&gt;Lorena Dias de Araujo",$B:$B,"&lt;&gt;Lucas Luiz Romero")*(23/1083),IF(C3020="JR",SUMIFS($D:$D,$A:$A,$A3020,$B:$B,"&lt;&gt;Patrícia Karla de Sousa Araújo",$B:$B,"&lt;&gt;Lorena Dias de Araujo",$B:$B,"&lt;&gt;Lucas Luiz Romero")*(20/1083),IF(C3020="Estágio",SUMIFS($D:$D,$A:$A,$A3020,$B:$B,"&lt;&gt;Patrícia Karla de Sousa Araújo",$B:$B,"&lt;&gt;Lorena Dias de Araujo",$B:$B,"&lt;&gt;Lucas Luiz Romero")*(10/1083),0)))))),0)</f>
        <v/>
      </c>
      <c r="K3020" s="3">
        <f>I3020-J3020</f>
        <v/>
      </c>
      <c r="L3020" s="3">
        <f>IF(K3020&lt;-5,"CRÍTICO",IF(K3020&lt;0,"ATENÇÃO",IF(K3020&lt;=5,"OPORTUNO","MUITO BOM")))</f>
        <v/>
      </c>
      <c r="M3020" s="3" t="n">
        <v>6</v>
      </c>
      <c r="N3020" s="3" t="n">
        <v>100</v>
      </c>
      <c r="O3020" s="12" t="n">
        <v>25.26881720430108</v>
      </c>
    </row>
    <row r="3021">
      <c r="A3021" s="10" t="n">
        <v>46097</v>
      </c>
      <c r="B3021" t="inlineStr">
        <is>
          <t>Brenda de Menezes Silva</t>
        </is>
      </c>
      <c r="C3021" s="1" t="inlineStr">
        <is>
          <t>Técnico II</t>
        </is>
      </c>
      <c r="D3021" s="3" t="n">
        <v>21</v>
      </c>
      <c r="E3021" s="3" t="n">
        <v>18</v>
      </c>
      <c r="F3021" s="3" t="n">
        <v>22.09</v>
      </c>
      <c r="G3021" s="3" t="n">
        <v>0</v>
      </c>
      <c r="H3021" s="3" t="n">
        <v>0</v>
      </c>
      <c r="I3021" s="3">
        <f>E3021+G3021+H3021</f>
        <v/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/>
      </c>
      <c r="K3021" s="3">
        <f>I3021-J3021</f>
        <v/>
      </c>
      <c r="L3021" s="3">
        <f>IF(K3021&lt;-5,"CRÍTICO",IF(K3021&lt;0,"ATENÇÃO",IF(K3021&lt;=5,"OPORTUNO","MUITO BOM")))</f>
        <v/>
      </c>
      <c r="M3021" s="3" t="n">
        <v>20</v>
      </c>
      <c r="N3021" s="3" t="n">
        <v>99.31999999999999</v>
      </c>
      <c r="O3021" s="12" t="n">
        <v>22.82282282282282</v>
      </c>
    </row>
    <row r="3022">
      <c r="A3022" s="10" t="n">
        <v>46097</v>
      </c>
      <c r="B3022" t="inlineStr">
        <is>
          <t>Carlos Mateus Cassimiro Nunes</t>
        </is>
      </c>
      <c r="C3022" s="1" t="inlineStr">
        <is>
          <t>Técnico II</t>
        </is>
      </c>
      <c r="D3022" s="3" t="n">
        <v>19</v>
      </c>
      <c r="E3022" s="3" t="n">
        <v>19</v>
      </c>
      <c r="F3022" s="3" t="n">
        <v>30.51</v>
      </c>
      <c r="G3022" s="3" t="n">
        <v>0</v>
      </c>
      <c r="H3022" s="3" t="n">
        <v>0</v>
      </c>
      <c r="I3022" s="3">
        <f>E3022+G3022+H3022</f>
        <v/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/>
      </c>
      <c r="K3022" s="3">
        <f>I3022-J3022</f>
        <v/>
      </c>
      <c r="L3022" s="3">
        <f>IF(K3022&lt;-5,"CRÍTICO",IF(K3022&lt;0,"ATENÇÃO",IF(K3022&lt;=5,"OPORTUNO","MUITO BOM")))</f>
        <v/>
      </c>
      <c r="M3022" s="3" t="n">
        <v>23</v>
      </c>
      <c r="N3022" s="3" t="n">
        <v>100</v>
      </c>
      <c r="O3022" s="12" t="n">
        <v>27.96610169491525</v>
      </c>
    </row>
    <row r="3023">
      <c r="A3023" s="10" t="n">
        <v>46097</v>
      </c>
      <c r="B3023" t="inlineStr">
        <is>
          <t>Claudio de Sousa Velasco Filho</t>
        </is>
      </c>
      <c r="C3023" s="1" t="inlineStr">
        <is>
          <t>Estágio</t>
        </is>
      </c>
      <c r="D3023" s="3" t="n">
        <v>0</v>
      </c>
      <c r="E3023" s="3" t="n">
        <v>0</v>
      </c>
      <c r="F3023" s="3" t="n">
        <v>0</v>
      </c>
      <c r="G3023" s="3" t="n">
        <v>0</v>
      </c>
      <c r="H3023" s="3" t="n">
        <v>0</v>
      </c>
      <c r="I3023" s="3" t="n">
        <v>0</v>
      </c>
      <c r="J3023" s="3" t="n">
        <v>0</v>
      </c>
      <c r="K3023" s="3" t="n">
        <v>0</v>
      </c>
      <c r="L3023" s="3">
        <f>IF(K3023&lt;-5,"CRÍTICO",IF(K3023&lt;0,"ATENÇÃO",IF(K3023&lt;=5,"OPORTUNO","MUITO BOM")))</f>
        <v/>
      </c>
      <c r="M3023" s="3" t="n">
        <v>0</v>
      </c>
      <c r="N3023" s="3" t="n">
        <v>100</v>
      </c>
      <c r="O3023" s="12" t="n">
        <v>30.43478260869566</v>
      </c>
    </row>
    <row r="3024">
      <c r="A3024" s="10" t="n">
        <v>46097</v>
      </c>
      <c r="B3024" t="inlineStr">
        <is>
          <t>Clessiane Pereira dos Santos</t>
        </is>
      </c>
      <c r="C3024" s="1" t="inlineStr">
        <is>
          <t>Técnico I</t>
        </is>
      </c>
      <c r="D3024" s="3" t="n">
        <v>22</v>
      </c>
      <c r="E3024" s="3" t="n">
        <v>19</v>
      </c>
      <c r="F3024" s="3" t="n">
        <v>22.23</v>
      </c>
      <c r="G3024" s="3" t="n">
        <v>0</v>
      </c>
      <c r="H3024" s="3" t="n">
        <v>0</v>
      </c>
      <c r="I3024" s="3">
        <f>E3024+G3024+H3024</f>
        <v/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/>
      </c>
      <c r="K3024" s="3">
        <f>I3024-J3024</f>
        <v/>
      </c>
      <c r="L3024" s="3">
        <f>IF(K3024&lt;-5,"CRÍTICO",IF(K3024&lt;0,"ATENÇÃO",IF(K3024&lt;=5,"OPORTUNO","MUITO BOM")))</f>
        <v/>
      </c>
      <c r="M3024" s="3" t="n">
        <v>20</v>
      </c>
      <c r="N3024" s="3" t="n">
        <v>96.51000000000001</v>
      </c>
      <c r="O3024" s="12" t="n">
        <v>22.80285035629454</v>
      </c>
    </row>
    <row r="3025">
      <c r="A3025" s="10" t="n">
        <v>46097</v>
      </c>
      <c r="B3025" t="inlineStr">
        <is>
          <t>Cristiane Ramos da Silva Rocha</t>
        </is>
      </c>
      <c r="C3025" s="1" t="inlineStr">
        <is>
          <t>Técnico III</t>
        </is>
      </c>
      <c r="D3025" s="3" t="n">
        <v>31</v>
      </c>
      <c r="E3025" s="3" t="n">
        <v>27</v>
      </c>
      <c r="F3025" s="3" t="n">
        <v>13.56</v>
      </c>
      <c r="G3025" s="3" t="n">
        <v>0</v>
      </c>
      <c r="H3025" s="3" t="n">
        <v>0</v>
      </c>
      <c r="I3025" s="3">
        <f>E3025+G3025+H3025</f>
        <v/>
      </c>
      <c r="J3025" s="3">
        <f>ROUND(MIN(IF(C3025="Técnico III",35,IF(C3025="Técnico II",28,IF(C3025="Técnico I",23,IF(C3025="JR",20,IF(C3025="Estágio",10,0))))),IF(C3025="Técnico III",SUMIFS($D:$D,$A:$A,$A3025,$B:$B,"&lt;&gt;Patrícia Karla de Sousa Araújo",$B:$B,"&lt;&gt;Lorena Dias de Araujo",$B:$B,"&lt;&gt;Lucas Luiz Romero")*(35/1083),IF(C3025="Técnico II",SUMIFS($D:$D,$A:$A,$A3025,$B:$B,"&lt;&gt;Patrícia Karla de Sousa Araújo",$B:$B,"&lt;&gt;Lorena Dias de Araujo",$B:$B,"&lt;&gt;Lucas Luiz Romero")*(28/1083),IF(C3025="Técnico I",SUMIFS($D:$D,$A:$A,$A3025,$B:$B,"&lt;&gt;Patrícia Karla de Sousa Araújo",$B:$B,"&lt;&gt;Lorena Dias de Araujo",$B:$B,"&lt;&gt;Lucas Luiz Romero")*(23/1083),IF(C3025="JR",SUMIFS($D:$D,$A:$A,$A3025,$B:$B,"&lt;&gt;Patrícia Karla de Sousa Araújo",$B:$B,"&lt;&gt;Lorena Dias de Araujo",$B:$B,"&lt;&gt;Lucas Luiz Romero")*(20/1083),IF(C3025="Estágio",SUMIFS($D:$D,$A:$A,$A3025,$B:$B,"&lt;&gt;Patrícia Karla de Sousa Araújo",$B:$B,"&lt;&gt;Lorena Dias de Araujo",$B:$B,"&lt;&gt;Lucas Luiz Romero")*(10/1083),0)))))),0)</f>
        <v/>
      </c>
      <c r="K3025" s="3">
        <f>I3025-J3025</f>
        <v/>
      </c>
      <c r="L3025" s="3">
        <f>IF(K3025&lt;-5,"CRÍTICO",IF(K3025&lt;0,"ATENÇÃO",IF(K3025&lt;=5,"OPORTUNO","MUITO BOM")))</f>
        <v/>
      </c>
      <c r="M3025" s="3" t="n">
        <v>23</v>
      </c>
      <c r="N3025" s="3" t="n">
        <v>92.68000000000001</v>
      </c>
      <c r="O3025" s="12" t="n">
        <v>27.77777777777778</v>
      </c>
    </row>
    <row r="3026">
      <c r="A3026" s="10" t="n">
        <v>46097</v>
      </c>
      <c r="B3026" t="inlineStr">
        <is>
          <t>Damyllis Lorraine de Oliveira Gonçalves</t>
        </is>
      </c>
      <c r="C3026" s="1" t="inlineStr">
        <is>
          <t>Técnico II</t>
        </is>
      </c>
      <c r="D3026" s="3" t="n">
        <v>24</v>
      </c>
      <c r="E3026" s="3" t="n">
        <v>24</v>
      </c>
      <c r="F3026" s="3" t="n">
        <v>21.47</v>
      </c>
      <c r="G3026" s="3" t="n">
        <v>0</v>
      </c>
      <c r="H3026" s="3" t="n">
        <v>0</v>
      </c>
      <c r="I3026" s="3" t="n">
        <v>0</v>
      </c>
      <c r="J3026" s="3" t="n">
        <v>0</v>
      </c>
      <c r="K3026" s="3" t="n">
        <v>0</v>
      </c>
      <c r="L3026" s="3">
        <f>IF(K3026&lt;-5,"CRÍTICO",IF(K3026&lt;0,"ATENÇÃO",IF(K3026&lt;=5,"OPORTUNO","MUITO BOM")))</f>
        <v/>
      </c>
      <c r="M3026" s="3" t="n">
        <v>23</v>
      </c>
      <c r="N3026" s="3" t="n">
        <v>99.03</v>
      </c>
      <c r="O3026" s="12" t="n">
        <v>23.99150743099788</v>
      </c>
    </row>
    <row r="3027">
      <c r="A3027" s="10" t="n">
        <v>46097</v>
      </c>
      <c r="B3027" t="inlineStr">
        <is>
          <t>Daniel Gomes da Silva</t>
        </is>
      </c>
      <c r="C3027" s="1" t="inlineStr">
        <is>
          <t>Técnico I</t>
        </is>
      </c>
      <c r="D3027" s="3" t="n">
        <v>21</v>
      </c>
      <c r="E3027" s="3" t="n">
        <v>19</v>
      </c>
      <c r="F3027" s="3" t="n">
        <v>33.49</v>
      </c>
      <c r="G3027" s="3" t="n">
        <v>0</v>
      </c>
      <c r="H3027" s="3" t="n">
        <v>0</v>
      </c>
      <c r="I3027" s="3">
        <f>E3027+G3027+H3027</f>
        <v/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/>
      </c>
      <c r="K3027" s="3">
        <f>I3027-J3027</f>
        <v/>
      </c>
      <c r="L3027" s="3">
        <f>IF(K3027&lt;-5,"CRÍTICO",IF(K3027&lt;0,"ATENÇÃO",IF(K3027&lt;=5,"OPORTUNO","MUITO BOM")))</f>
        <v/>
      </c>
      <c r="M3027" s="3" t="n">
        <v>12</v>
      </c>
      <c r="N3027" s="3" t="n">
        <v>98.41</v>
      </c>
      <c r="O3027" s="12" t="n">
        <v>28.13852813852814</v>
      </c>
    </row>
    <row r="3028">
      <c r="A3028" s="10" t="n">
        <v>46097</v>
      </c>
      <c r="B3028" t="inlineStr">
        <is>
          <t>Davylla Rodrigues Freitas Silva</t>
        </is>
      </c>
      <c r="C3028" s="1" t="inlineStr">
        <is>
          <t>Técnico III</t>
        </is>
      </c>
      <c r="D3028" s="3" t="n">
        <v>17</v>
      </c>
      <c r="E3028" s="3" t="n">
        <v>17</v>
      </c>
      <c r="F3028" s="3" t="n">
        <v>40.31</v>
      </c>
      <c r="G3028" s="3" t="n">
        <v>0</v>
      </c>
      <c r="H3028" s="3" t="n">
        <v>0</v>
      </c>
      <c r="I3028" s="3" t="n">
        <v>0</v>
      </c>
      <c r="J3028" s="3" t="n">
        <v>0</v>
      </c>
      <c r="K3028" s="3" t="n">
        <v>0</v>
      </c>
      <c r="L3028" s="3">
        <f>IF(K3028&lt;-5,"CRÍTICO",IF(K3028&lt;0,"ATENÇÃO",IF(K3028&lt;=5,"OPORTUNO","MUITO BOM")))</f>
        <v/>
      </c>
      <c r="M3028" s="3" t="n">
        <v>17</v>
      </c>
      <c r="N3028" s="3" t="n">
        <v>98.73</v>
      </c>
      <c r="O3028" s="12" t="n">
        <v>29.14285714285714</v>
      </c>
    </row>
    <row r="3029">
      <c r="A3029" s="10" t="n">
        <v>46097</v>
      </c>
      <c r="B3029" t="inlineStr">
        <is>
          <t>Emilly Caylane Costa</t>
        </is>
      </c>
      <c r="C3029" s="1" t="inlineStr">
        <is>
          <t>Estágio</t>
        </is>
      </c>
      <c r="D3029" s="3" t="n">
        <v>0</v>
      </c>
      <c r="E3029" s="3" t="n">
        <v>0</v>
      </c>
      <c r="F3029" s="3" t="n">
        <v>0</v>
      </c>
      <c r="G3029" s="3" t="n">
        <v>0</v>
      </c>
      <c r="H3029" s="3" t="n">
        <v>0</v>
      </c>
      <c r="I3029" s="3" t="n">
        <v>0</v>
      </c>
      <c r="J3029" s="3" t="n">
        <v>0</v>
      </c>
      <c r="K3029" s="3" t="n">
        <v>0</v>
      </c>
      <c r="L3029" s="3">
        <f>IF(K3029&lt;-5,"CRÍTICO",IF(K3029&lt;0,"ATENÇÃO",IF(K3029&lt;=5,"OPORTUNO","MUITO BOM")))</f>
        <v/>
      </c>
      <c r="M3029" s="3" t="n">
        <v>0</v>
      </c>
      <c r="N3029" s="3" t="n">
        <v>90.48</v>
      </c>
      <c r="O3029" s="12" t="n">
        <v>20.68965517241379</v>
      </c>
    </row>
    <row r="3030">
      <c r="A3030" s="10" t="n">
        <v>46097</v>
      </c>
      <c r="B3030" t="inlineStr">
        <is>
          <t>Emilly Kamilly Medeiros Miranda</t>
        </is>
      </c>
      <c r="C3030" s="1" t="inlineStr">
        <is>
          <t>Técnico II</t>
        </is>
      </c>
      <c r="D3030" s="3" t="n">
        <v>27</v>
      </c>
      <c r="E3030" s="3" t="n">
        <v>24</v>
      </c>
      <c r="F3030" s="3" t="n">
        <v>23.54</v>
      </c>
      <c r="G3030" s="3" t="n">
        <v>0</v>
      </c>
      <c r="H3030" s="3" t="n">
        <v>0</v>
      </c>
      <c r="I3030" s="3">
        <f>E3030+G3030+H3030</f>
        <v/>
      </c>
      <c r="J3030" s="3">
        <f>ROUND(MIN(IF(C3030="Técnico III",35,IF(C3030="Técnico II",28,IF(C3030="Técnico I",23,IF(C3030="JR",20,IF(C3030="Estágio",10,0))))),IF(C3030="Técnico III",SUMIFS($D:$D,$A:$A,$A3030,$B:$B,"&lt;&gt;Patrícia Karla de Sousa Araújo",$B:$B,"&lt;&gt;Lorena Dias de Araujo",$B:$B,"&lt;&gt;Lucas Luiz Romero")*(35/1083),IF(C3030="Técnico II",SUMIFS($D:$D,$A:$A,$A3030,$B:$B,"&lt;&gt;Patrícia Karla de Sousa Araújo",$B:$B,"&lt;&gt;Lorena Dias de Araujo",$B:$B,"&lt;&gt;Lucas Luiz Romero")*(28/1083),IF(C3030="Técnico I",SUMIFS($D:$D,$A:$A,$A3030,$B:$B,"&lt;&gt;Patrícia Karla de Sousa Araújo",$B:$B,"&lt;&gt;Lorena Dias de Araujo",$B:$B,"&lt;&gt;Lucas Luiz Romero")*(23/1083),IF(C3030="JR",SUMIFS($D:$D,$A:$A,$A3030,$B:$B,"&lt;&gt;Patrícia Karla de Sousa Araújo",$B:$B,"&lt;&gt;Lorena Dias de Araujo",$B:$B,"&lt;&gt;Lucas Luiz Romero")*(20/1083),IF(C3030="Estágio",SUMIFS($D:$D,$A:$A,$A3030,$B:$B,"&lt;&gt;Patrícia Karla de Sousa Araújo",$B:$B,"&lt;&gt;Lorena Dias de Araujo",$B:$B,"&lt;&gt;Lucas Luiz Romero")*(10/1083),0)))))),0)</f>
        <v/>
      </c>
      <c r="K3030" s="3">
        <f>I3030-J3030</f>
        <v/>
      </c>
      <c r="L3030" s="3">
        <f>IF(K3030&lt;-5,"CRÍTICO",IF(K3030&lt;0,"ATENÇÃO",IF(K3030&lt;=5,"OPORTUNO","MUITO BOM")))</f>
        <v/>
      </c>
      <c r="M3030" s="3" t="n">
        <v>22</v>
      </c>
      <c r="N3030" s="3" t="n">
        <v>98.06</v>
      </c>
      <c r="O3030" s="12" t="n">
        <v>24.78991596638656</v>
      </c>
    </row>
    <row r="3031">
      <c r="A3031" s="10" t="n">
        <v>46097</v>
      </c>
      <c r="B3031" t="inlineStr">
        <is>
          <t>Francielson de Oliveira</t>
        </is>
      </c>
      <c r="C3031" s="1" t="inlineStr">
        <is>
          <t>Técnico III</t>
        </is>
      </c>
      <c r="D3031" s="3" t="n">
        <v>26</v>
      </c>
      <c r="E3031" s="3" t="n">
        <v>24</v>
      </c>
      <c r="F3031" s="3" t="n">
        <v>18.45</v>
      </c>
      <c r="G3031" s="3" t="n">
        <v>0</v>
      </c>
      <c r="H3031" s="3" t="n">
        <v>0</v>
      </c>
      <c r="I3031" s="3">
        <f>E3031+G3031+H3031</f>
        <v/>
      </c>
      <c r="J3031" s="3">
        <f>ROUND(MIN(IF(C3031="Técnico III",35,IF(C3031="Técnico II",28,IF(C3031="Técnico I",23,IF(C3031="JR",20,IF(C3031="Estágio",10,0))))),IF(C3031="Técnico III",SUMIFS($D:$D,$A:$A,$A3031,$B:$B,"&lt;&gt;Patrícia Karla de Sousa Araújo",$B:$B,"&lt;&gt;Lorena Dias de Araujo",$B:$B,"&lt;&gt;Lucas Luiz Romero")*(35/1083),IF(C3031="Técnico II",SUMIFS($D:$D,$A:$A,$A3031,$B:$B,"&lt;&gt;Patrícia Karla de Sousa Araújo",$B:$B,"&lt;&gt;Lorena Dias de Araujo",$B:$B,"&lt;&gt;Lucas Luiz Romero")*(28/1083),IF(C3031="Técnico I",SUMIFS($D:$D,$A:$A,$A3031,$B:$B,"&lt;&gt;Patrícia Karla de Sousa Araújo",$B:$B,"&lt;&gt;Lorena Dias de Araujo",$B:$B,"&lt;&gt;Lucas Luiz Romero")*(23/1083),IF(C3031="JR",SUMIFS($D:$D,$A:$A,$A3031,$B:$B,"&lt;&gt;Patrícia Karla de Sousa Araújo",$B:$B,"&lt;&gt;Lorena Dias de Araujo",$B:$B,"&lt;&gt;Lucas Luiz Romero")*(20/1083),IF(C3031="Estágio",SUMIFS($D:$D,$A:$A,$A3031,$B:$B,"&lt;&gt;Patrícia Karla de Sousa Araújo",$B:$B,"&lt;&gt;Lorena Dias de Araujo",$B:$B,"&lt;&gt;Lucas Luiz Romero")*(10/1083),0)))))),0)</f>
        <v/>
      </c>
      <c r="K3031" s="3">
        <f>I3031-J3031</f>
        <v/>
      </c>
      <c r="L3031" s="3">
        <f>IF(K3031&lt;-5,"CRÍTICO",IF(K3031&lt;0,"ATENÇÃO",IF(K3031&lt;=5,"OPORTUNO","MUITO BOM")))</f>
        <v/>
      </c>
      <c r="M3031" s="3" t="n">
        <v>25</v>
      </c>
      <c r="N3031" s="3" t="n">
        <v>97.78</v>
      </c>
      <c r="O3031" s="12" t="n">
        <v>25.49407114624506</v>
      </c>
    </row>
    <row r="3032">
      <c r="A3032" s="10" t="n">
        <v>46097</v>
      </c>
      <c r="B3032" t="inlineStr">
        <is>
          <t>Francilene Ferreira de Jesus</t>
        </is>
      </c>
      <c r="C3032" s="1" t="inlineStr">
        <is>
          <t>Técnico II</t>
        </is>
      </c>
      <c r="D3032" s="3" t="n">
        <v>11</v>
      </c>
      <c r="E3032" s="3" t="n">
        <v>11</v>
      </c>
      <c r="F3032" s="3" t="n">
        <v>41.49</v>
      </c>
      <c r="G3032" s="3" t="n">
        <v>0</v>
      </c>
      <c r="H3032" s="3" t="n">
        <v>0</v>
      </c>
      <c r="I3032" s="3">
        <f>E3032+G3032+H3032</f>
        <v/>
      </c>
      <c r="J3032" s="3">
        <f>ROUND(MIN(IF(C3032="Técnico III",35,IF(C3032="Técnico II",28,IF(C3032="Técnico I",23,IF(C3032="JR",20,IF(C3032="Estágio",10,0))))),IF(C3032="Técnico III",SUMIFS($D:$D,$A:$A,$A3032,$B:$B,"&lt;&gt;Patrícia Karla de Sousa Araújo",$B:$B,"&lt;&gt;Lorena Dias de Araujo",$B:$B,"&lt;&gt;Lucas Luiz Romero")*(35/1083),IF(C3032="Técnico II",SUMIFS($D:$D,$A:$A,$A3032,$B:$B,"&lt;&gt;Patrícia Karla de Sousa Araújo",$B:$B,"&lt;&gt;Lorena Dias de Araujo",$B:$B,"&lt;&gt;Lucas Luiz Romero")*(28/1083),IF(C3032="Técnico I",SUMIFS($D:$D,$A:$A,$A3032,$B:$B,"&lt;&gt;Patrícia Karla de Sousa Araújo",$B:$B,"&lt;&gt;Lorena Dias de Araujo",$B:$B,"&lt;&gt;Lucas Luiz Romero")*(23/1083),IF(C3032="JR",SUMIFS($D:$D,$A:$A,$A3032,$B:$B,"&lt;&gt;Patrícia Karla de Sousa Araújo",$B:$B,"&lt;&gt;Lorena Dias de Araujo",$B:$B,"&lt;&gt;Lucas Luiz Romero")*(20/1083),IF(C3032="Estágio",SUMIFS($D:$D,$A:$A,$A3032,$B:$B,"&lt;&gt;Patrícia Karla de Sousa Araújo",$B:$B,"&lt;&gt;Lorena Dias de Araujo",$B:$B,"&lt;&gt;Lucas Luiz Romero")*(10/1083),0)))))),0)</f>
        <v/>
      </c>
      <c r="K3032" s="3">
        <f>I3032-J3032</f>
        <v/>
      </c>
      <c r="L3032" s="3">
        <f>IF(K3032&lt;-5,"CRÍTICO",IF(K3032&lt;0,"ATENÇÃO",IF(K3032&lt;=5,"OPORTUNO","MUITO BOM")))</f>
        <v/>
      </c>
      <c r="M3032" s="3" t="n">
        <v>11</v>
      </c>
      <c r="N3032" s="3" t="n">
        <v>98.02</v>
      </c>
      <c r="O3032" s="12" t="n">
        <v>23.48484848484848</v>
      </c>
    </row>
    <row r="3033">
      <c r="A3033" s="10" t="n">
        <v>46129</v>
      </c>
      <c r="B3033" t="inlineStr">
        <is>
          <t>Gabriel Gomes de Andrade</t>
        </is>
      </c>
      <c r="C3033" s="1" t="inlineStr">
        <is>
          <t>Técnico I</t>
        </is>
      </c>
      <c r="D3033" s="3" t="n">
        <v>24</v>
      </c>
      <c r="E3033" s="3" t="n">
        <v>21</v>
      </c>
      <c r="F3033" s="3" t="n">
        <v>17.01</v>
      </c>
      <c r="G3033" s="3" t="n">
        <v>0</v>
      </c>
      <c r="H3033" s="3" t="n">
        <v>0</v>
      </c>
      <c r="I3033" s="3">
        <f>E3033+G3033+H3033</f>
        <v/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/>
      </c>
      <c r="K3033" s="3">
        <f>I3033-J3033</f>
        <v/>
      </c>
      <c r="L3033" s="3">
        <f>IF(K3033&lt;-5,"CRÍTICO",IF(K3033&lt;0,"ATENÇÃO",IF(K3033&lt;=5,"OPORTUNO","MUITO BOM")))</f>
        <v/>
      </c>
      <c r="M3033" s="3" t="n">
        <v>23</v>
      </c>
      <c r="N3033" s="3" t="n">
        <v>99.28</v>
      </c>
      <c r="O3033" s="12" t="n">
        <v>27.68924302788844</v>
      </c>
    </row>
    <row r="3034">
      <c r="A3034" s="10" t="n">
        <v>46097</v>
      </c>
      <c r="B3034" t="inlineStr">
        <is>
          <t>Isabella Borges de Oliveira</t>
        </is>
      </c>
      <c r="C3034" s="1" t="inlineStr">
        <is>
          <t>Técnico II</t>
        </is>
      </c>
      <c r="D3034" s="3" t="n">
        <v>23</v>
      </c>
      <c r="E3034" s="3" t="n">
        <v>22</v>
      </c>
      <c r="F3034" s="3" t="n">
        <v>22.16</v>
      </c>
      <c r="G3034" s="3" t="n">
        <v>0</v>
      </c>
      <c r="H3034" s="3" t="n">
        <v>0</v>
      </c>
      <c r="I3034" s="3">
        <f>E3034+G3034+H3034</f>
        <v/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/>
      </c>
      <c r="K3034" s="3">
        <f>I3034-J3034</f>
        <v/>
      </c>
      <c r="L3034" s="3">
        <f>IF(K3034&lt;-5,"CRÍTICO",IF(K3034&lt;0,"ATENÇÃO",IF(K3034&lt;=5,"OPORTUNO","MUITO BOM")))</f>
        <v/>
      </c>
      <c r="M3034" s="3" t="n">
        <v>21</v>
      </c>
      <c r="N3034" s="3" t="n">
        <v>100</v>
      </c>
      <c r="O3034" s="12" t="n">
        <v>27.04918032786885</v>
      </c>
    </row>
    <row r="3035">
      <c r="A3035" s="10" t="n">
        <v>46097</v>
      </c>
      <c r="B3035" t="inlineStr">
        <is>
          <t>Janaina Lima dos Reis Urany</t>
        </is>
      </c>
      <c r="C3035" s="1" t="inlineStr">
        <is>
          <t>Técnico III</t>
        </is>
      </c>
      <c r="D3035" s="3" t="n">
        <v>50</v>
      </c>
      <c r="E3035" s="3" t="n">
        <v>44</v>
      </c>
      <c r="F3035" s="3" t="n">
        <v>11.41</v>
      </c>
      <c r="G3035" s="3" t="n">
        <v>0</v>
      </c>
      <c r="H3035" s="3" t="n">
        <v>0</v>
      </c>
      <c r="I3035" s="3">
        <f>E3035+G3035+H3035</f>
        <v/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/>
      </c>
      <c r="K3035" s="3">
        <f>I3035-J3035</f>
        <v/>
      </c>
      <c r="L3035" s="3">
        <f>IF(K3035&lt;-5,"CRÍTICO",IF(K3035&lt;0,"ATENÇÃO",IF(K3035&lt;=5,"OPORTUNO","MUITO BOM")))</f>
        <v/>
      </c>
      <c r="M3035" s="3" t="n">
        <v>43</v>
      </c>
      <c r="N3035" s="3" t="n">
        <v>97.83</v>
      </c>
      <c r="O3035" s="12" t="n">
        <v>26.31578947368421</v>
      </c>
    </row>
    <row r="3036">
      <c r="A3036" s="10" t="n">
        <v>46097</v>
      </c>
      <c r="B3036" t="inlineStr">
        <is>
          <t>Jaqueline Evangelista da Silva Martins</t>
        </is>
      </c>
      <c r="C3036" s="1" t="inlineStr">
        <is>
          <t>Técnico III</t>
        </is>
      </c>
      <c r="D3036" s="3" t="n">
        <v>19</v>
      </c>
      <c r="E3036" s="3" t="n">
        <v>19</v>
      </c>
      <c r="F3036" s="3" t="n">
        <v>12.17</v>
      </c>
      <c r="G3036" s="3" t="n">
        <v>0</v>
      </c>
      <c r="H3036" s="3" t="n">
        <v>0</v>
      </c>
      <c r="I3036" s="3">
        <f>E3036+G3036+H3036</f>
        <v/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/>
      </c>
      <c r="K3036" s="3">
        <f>I3036-J3036</f>
        <v/>
      </c>
      <c r="L3036" s="3">
        <f>IF(K3036&lt;-5,"CRÍTICO",IF(K3036&lt;0,"ATENÇÃO",IF(K3036&lt;=5,"OPORTUNO","MUITO BOM")))</f>
        <v/>
      </c>
      <c r="M3036" s="3" t="n">
        <v>16</v>
      </c>
      <c r="N3036" s="3" t="n">
        <v>100</v>
      </c>
      <c r="O3036" s="12" t="n">
        <v>26.70157068062827</v>
      </c>
    </row>
    <row r="3037">
      <c r="A3037" s="10" t="n">
        <v>46097</v>
      </c>
      <c r="B3037" t="inlineStr">
        <is>
          <t>Jessica Faria da Silveira</t>
        </is>
      </c>
      <c r="C3037" s="1" t="inlineStr">
        <is>
          <t>Técnico II</t>
        </is>
      </c>
      <c r="D3037" s="3" t="n">
        <v>9</v>
      </c>
      <c r="E3037" s="3" t="n">
        <v>7</v>
      </c>
      <c r="F3037" s="3" t="n">
        <v>12.08</v>
      </c>
      <c r="G3037" s="3" t="n">
        <v>0</v>
      </c>
      <c r="H3037" s="3" t="n">
        <v>0</v>
      </c>
      <c r="I3037" s="3">
        <f>E3037+G3037+H3037</f>
        <v/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/>
      </c>
      <c r="K3037" s="3">
        <f>I3037-J3037</f>
        <v/>
      </c>
      <c r="L3037" s="3">
        <f>IF(K3037&lt;-5,"CRÍTICO",IF(K3037&lt;0,"ATENÇÃO",IF(K3037&lt;=5,"OPORTUNO","MUITO BOM")))</f>
        <v/>
      </c>
      <c r="M3037" s="3" t="n">
        <v>7</v>
      </c>
      <c r="N3037" s="3" t="n">
        <v>97.47</v>
      </c>
      <c r="O3037" s="12" t="n">
        <v>22.88732394366197</v>
      </c>
    </row>
    <row r="3038">
      <c r="A3038" s="10" t="n">
        <v>46097</v>
      </c>
      <c r="B3038" t="inlineStr">
        <is>
          <t>Jéssica Fé Moura</t>
        </is>
      </c>
      <c r="C3038" s="1" t="inlineStr">
        <is>
          <t>Técnico III</t>
        </is>
      </c>
      <c r="D3038" s="3" t="n">
        <v>0</v>
      </c>
      <c r="E3038" s="3" t="n">
        <v>0</v>
      </c>
      <c r="F3038" s="3" t="n">
        <v>0</v>
      </c>
      <c r="G3038" s="3" t="n">
        <v>0</v>
      </c>
      <c r="H3038" s="3" t="n">
        <v>0</v>
      </c>
      <c r="I3038" s="3" t="n">
        <v>0</v>
      </c>
      <c r="J3038" s="3" t="n">
        <v>0</v>
      </c>
      <c r="K3038" s="3" t="n">
        <v>0</v>
      </c>
      <c r="L3038" s="3">
        <f>IF(K3038&lt;-5,"CRÍTICO",IF(K3038&lt;0,"ATENÇÃO",IF(K3038&lt;=5,"OPORTUNO","MUITO BOM")))</f>
        <v/>
      </c>
      <c r="M3038" s="3" t="n">
        <v>0</v>
      </c>
      <c r="N3038" s="3" t="n">
        <v>0</v>
      </c>
      <c r="O3038" s="12" t="n">
        <v>0</v>
      </c>
    </row>
    <row r="3039">
      <c r="A3039" s="10" t="n">
        <v>46097</v>
      </c>
      <c r="B3039" t="inlineStr">
        <is>
          <t>Karina Gonçalves Martins</t>
        </is>
      </c>
      <c r="C3039" s="1" t="inlineStr">
        <is>
          <t>JR</t>
        </is>
      </c>
      <c r="D3039" s="3" t="n">
        <v>6</v>
      </c>
      <c r="E3039" s="3" t="n">
        <v>6</v>
      </c>
      <c r="F3039" s="3" t="n">
        <v>42.26</v>
      </c>
      <c r="G3039" s="3" t="n">
        <v>0</v>
      </c>
      <c r="H3039" s="3" t="n">
        <v>0</v>
      </c>
      <c r="I3039" s="3">
        <f>E3039+G3039+H3039</f>
        <v/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/>
      </c>
      <c r="K3039" s="3">
        <f>I3039-J3039</f>
        <v/>
      </c>
      <c r="L3039" s="3">
        <f>IF(K3039&lt;-5,"CRÍTICO",IF(K3039&lt;0,"ATENÇÃO",IF(K3039&lt;=5,"OPORTUNO","MUITO BOM")))</f>
        <v/>
      </c>
      <c r="M3039" s="3" t="n">
        <v>6</v>
      </c>
      <c r="N3039" s="3" t="n">
        <v>98.31</v>
      </c>
      <c r="O3039" s="12" t="n">
        <v>24.92012779552715</v>
      </c>
    </row>
    <row r="3040">
      <c r="A3040" s="10" t="n">
        <v>46097</v>
      </c>
      <c r="B3040" t="inlineStr">
        <is>
          <t>Kerollen Cristielly de Jesus Siqueira</t>
        </is>
      </c>
      <c r="C3040" s="1" t="inlineStr">
        <is>
          <t>Técnico III</t>
        </is>
      </c>
      <c r="D3040" s="3" t="n">
        <v>3</v>
      </c>
      <c r="E3040" s="3" t="n">
        <v>3</v>
      </c>
      <c r="F3040" s="3" t="n">
        <v>13.24</v>
      </c>
      <c r="G3040" s="3" t="n">
        <v>0</v>
      </c>
      <c r="H3040" s="3" t="n">
        <v>0</v>
      </c>
      <c r="I3040" s="3">
        <f>E3040+G3040+H3040</f>
        <v/>
      </c>
      <c r="J3040" s="3">
        <f>ROUND(MIN(IF(C3040="Técnico III",35,IF(C3040="Técnico II",28,IF(C3040="Técnico I",23,IF(C3040="JR",20,IF(C3040="Estágio",10,0))))),IF(C3040="Técnico III",SUMIFS($D:$D,$A:$A,$A3040,$B:$B,"&lt;&gt;Patrícia Karla de Sousa Araújo",$B:$B,"&lt;&gt;Lorena Dias de Araujo",$B:$B,"&lt;&gt;Lucas Luiz Romero")*(35/1083),IF(C3040="Técnico II",SUMIFS($D:$D,$A:$A,$A3040,$B:$B,"&lt;&gt;Patrícia Karla de Sousa Araújo",$B:$B,"&lt;&gt;Lorena Dias de Araujo",$B:$B,"&lt;&gt;Lucas Luiz Romero")*(28/1083),IF(C3040="Técnico I",SUMIFS($D:$D,$A:$A,$A3040,$B:$B,"&lt;&gt;Patrícia Karla de Sousa Araújo",$B:$B,"&lt;&gt;Lorena Dias de Araujo",$B:$B,"&lt;&gt;Lucas Luiz Romero")*(23/1083),IF(C3040="JR",SUMIFS($D:$D,$A:$A,$A3040,$B:$B,"&lt;&gt;Patrícia Karla de Sousa Araújo",$B:$B,"&lt;&gt;Lorena Dias de Araujo",$B:$B,"&lt;&gt;Lucas Luiz Romero")*(20/1083),IF(C3040="Estágio",SUMIFS($D:$D,$A:$A,$A3040,$B:$B,"&lt;&gt;Patrícia Karla de Sousa Araújo",$B:$B,"&lt;&gt;Lorena Dias de Araujo",$B:$B,"&lt;&gt;Lucas Luiz Romero")*(10/1083),0)))))),0)</f>
        <v/>
      </c>
      <c r="K3040" s="3">
        <f>I3040-J3040</f>
        <v/>
      </c>
      <c r="L3040" s="3">
        <f>IF(K3040&lt;-5,"CRÍTICO",IF(K3040&lt;0,"ATENÇÃO",IF(K3040&lt;=5,"OPORTUNO","MUITO BOM")))</f>
        <v/>
      </c>
      <c r="M3040" s="3" t="n">
        <v>2</v>
      </c>
      <c r="N3040" s="3" t="n">
        <v>96.81</v>
      </c>
      <c r="O3040" s="12" t="n">
        <v>32.36514522821577</v>
      </c>
    </row>
    <row r="3041">
      <c r="A3041" s="10" t="n">
        <v>46097</v>
      </c>
      <c r="B3041" t="inlineStr">
        <is>
          <t>Leandro de Souza Silva</t>
        </is>
      </c>
      <c r="C3041" s="1" t="inlineStr">
        <is>
          <t>JR</t>
        </is>
      </c>
      <c r="D3041" s="3" t="n">
        <v>9</v>
      </c>
      <c r="E3041" s="3" t="n">
        <v>8</v>
      </c>
      <c r="F3041" s="3" t="n">
        <v>22.27</v>
      </c>
      <c r="G3041" s="3" t="n">
        <v>0</v>
      </c>
      <c r="H3041" s="3" t="n">
        <v>0</v>
      </c>
      <c r="I3041" s="3">
        <f>E3041+G3041+H3041</f>
        <v/>
      </c>
      <c r="J3041" s="3">
        <f>ROUND(MIN(IF(C3041="Técnico III",35,IF(C3041="Técnico II",28,IF(C3041="Técnico I",23,IF(C3041="JR",20,IF(C3041="Estágio",10,0))))),IF(C3041="Técnico III",SUMIFS($D:$D,$A:$A,$A3041,$B:$B,"&lt;&gt;Patrícia Karla de Sousa Araújo",$B:$B,"&lt;&gt;Lorena Dias de Araujo",$B:$B,"&lt;&gt;Lucas Luiz Romero")*(35/1083),IF(C3041="Técnico II",SUMIFS($D:$D,$A:$A,$A3041,$B:$B,"&lt;&gt;Patrícia Karla de Sousa Araújo",$B:$B,"&lt;&gt;Lorena Dias de Araujo",$B:$B,"&lt;&gt;Lucas Luiz Romero")*(28/1083),IF(C3041="Técnico I",SUMIFS($D:$D,$A:$A,$A3041,$B:$B,"&lt;&gt;Patrícia Karla de Sousa Araújo",$B:$B,"&lt;&gt;Lorena Dias de Araujo",$B:$B,"&lt;&gt;Lucas Luiz Romero")*(23/1083),IF(C3041="JR",SUMIFS($D:$D,$A:$A,$A3041,$B:$B,"&lt;&gt;Patrícia Karla de Sousa Araújo",$B:$B,"&lt;&gt;Lorena Dias de Araujo",$B:$B,"&lt;&gt;Lucas Luiz Romero")*(20/1083),IF(C3041="Estágio",SUMIFS($D:$D,$A:$A,$A3041,$B:$B,"&lt;&gt;Patrícia Karla de Sousa Araújo",$B:$B,"&lt;&gt;Lorena Dias de Araujo",$B:$B,"&lt;&gt;Lucas Luiz Romero")*(10/1083),0)))))),0)</f>
        <v/>
      </c>
      <c r="K3041" s="3">
        <f>I3041-J3041</f>
        <v/>
      </c>
      <c r="L3041" s="3">
        <f>IF(K3041&lt;-5,"CRÍTICO",IF(K3041&lt;0,"ATENÇÃO",IF(K3041&lt;=5,"OPORTUNO","MUITO BOM")))</f>
        <v/>
      </c>
      <c r="M3041" s="3" t="n">
        <v>7</v>
      </c>
      <c r="N3041" s="3" t="n">
        <v>100</v>
      </c>
      <c r="O3041" s="12" t="n">
        <v>26.47058823529412</v>
      </c>
    </row>
    <row r="3042">
      <c r="A3042" s="10" t="n">
        <v>46097</v>
      </c>
      <c r="B3042" t="inlineStr">
        <is>
          <t>Leandro Oliveira de Sousa</t>
        </is>
      </c>
      <c r="C3042" s="1" t="inlineStr">
        <is>
          <t>Técnico III</t>
        </is>
      </c>
      <c r="D3042" s="3" t="n">
        <v>17</v>
      </c>
      <c r="E3042" s="3" t="n">
        <v>17</v>
      </c>
      <c r="F3042" s="3" t="n">
        <v>18.47</v>
      </c>
      <c r="G3042" s="3" t="n">
        <v>0</v>
      </c>
      <c r="H3042" s="3" t="n">
        <v>0</v>
      </c>
      <c r="I3042" s="3">
        <f>E3042+G3042+H3042</f>
        <v/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/>
      </c>
      <c r="K3042" s="3">
        <f>I3042-J3042</f>
        <v/>
      </c>
      <c r="L3042" s="3">
        <f>IF(K3042&lt;-5,"CRÍTICO",IF(K3042&lt;0,"ATENÇÃO",IF(K3042&lt;=5,"OPORTUNO","MUITO BOM")))</f>
        <v/>
      </c>
      <c r="M3042" s="3" t="n">
        <v>18</v>
      </c>
      <c r="N3042" s="3" t="n">
        <v>100</v>
      </c>
      <c r="O3042" s="12" t="n">
        <v>28.49002849002849</v>
      </c>
    </row>
    <row r="3043">
      <c r="A3043" s="10" t="n">
        <v>46097</v>
      </c>
      <c r="B3043" t="inlineStr">
        <is>
          <t>Lizandra Gomes Duarte</t>
        </is>
      </c>
      <c r="C3043" s="1" t="inlineStr">
        <is>
          <t>Técnico II</t>
        </is>
      </c>
      <c r="D3043" s="3" t="n">
        <v>29</v>
      </c>
      <c r="E3043" s="3" t="n">
        <v>27</v>
      </c>
      <c r="F3043" s="3" t="n">
        <v>21.55</v>
      </c>
      <c r="G3043" s="3" t="n">
        <v>0</v>
      </c>
      <c r="H3043" s="3" t="n">
        <v>0</v>
      </c>
      <c r="I3043" s="3">
        <f>E3043+G3043+H3043</f>
        <v/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/>
      </c>
      <c r="K3043" s="3">
        <f>I3043-J3043</f>
        <v/>
      </c>
      <c r="L3043" s="3">
        <f>IF(K3043&lt;-5,"CRÍTICO",IF(K3043&lt;0,"ATENÇÃO",IF(K3043&lt;=5,"OPORTUNO","MUITO BOM")))</f>
        <v/>
      </c>
      <c r="M3043" s="3" t="n">
        <v>15</v>
      </c>
      <c r="N3043" s="3" t="n">
        <v>99.14</v>
      </c>
      <c r="O3043" s="12" t="n">
        <v>27.2289156626506</v>
      </c>
    </row>
    <row r="3044">
      <c r="A3044" s="10" t="n">
        <v>46097</v>
      </c>
      <c r="B3044" t="inlineStr">
        <is>
          <t>Lorena Dias de Araujo</t>
        </is>
      </c>
      <c r="C3044" s="1" t="inlineStr">
        <is>
          <t>Técnico II</t>
        </is>
      </c>
      <c r="D3044" s="3" t="n">
        <v>36</v>
      </c>
      <c r="E3044" s="3" t="n">
        <v>35</v>
      </c>
      <c r="F3044" s="3" t="n">
        <v>16.47</v>
      </c>
      <c r="G3044" s="3" t="n">
        <v>0</v>
      </c>
      <c r="H3044" s="3" t="n">
        <v>0</v>
      </c>
      <c r="I3044" s="3" t="n">
        <v>0</v>
      </c>
      <c r="J3044" s="3" t="n">
        <v>0</v>
      </c>
      <c r="K3044" s="3" t="n">
        <v>0</v>
      </c>
      <c r="L3044" s="3">
        <f>IF(K3044&lt;-5,"CRÍTICO",IF(K3044&lt;0,"ATENÇÃO",IF(K3044&lt;=5,"OPORTUNO","MUITO BOM")))</f>
        <v/>
      </c>
      <c r="M3044" s="3" t="n">
        <v>29</v>
      </c>
      <c r="N3044" s="3" t="n">
        <v>97.52</v>
      </c>
      <c r="O3044" s="12" t="n">
        <v>28.2051282051282</v>
      </c>
    </row>
    <row r="3045">
      <c r="A3045" s="10" t="n">
        <v>46097</v>
      </c>
      <c r="B3045" t="inlineStr">
        <is>
          <t>Lucas Luiz Romero</t>
        </is>
      </c>
      <c r="C3045" s="1" t="inlineStr">
        <is>
          <t>Técnico III</t>
        </is>
      </c>
      <c r="D3045" s="3" t="n">
        <v>0</v>
      </c>
      <c r="E3045" s="3" t="n">
        <v>0</v>
      </c>
      <c r="F3045" s="3" t="n">
        <v>0</v>
      </c>
      <c r="G3045" s="3" t="n">
        <v>0</v>
      </c>
      <c r="H3045" s="3" t="n">
        <v>0</v>
      </c>
      <c r="I3045" s="3" t="n">
        <v>0</v>
      </c>
      <c r="J3045" s="3" t="n">
        <v>0</v>
      </c>
      <c r="K3045" s="3" t="n">
        <v>0</v>
      </c>
      <c r="L3045" s="3">
        <f>IF(K3045&lt;-5,"CRÍTICO",IF(K3045&lt;0,"ATENÇÃO",IF(K3045&lt;=5,"OPORTUNO","MUITO BOM")))</f>
        <v/>
      </c>
      <c r="M3045" s="3" t="n">
        <v>0</v>
      </c>
      <c r="N3045" s="3" t="n">
        <v>90</v>
      </c>
      <c r="O3045" s="12" t="n">
        <v>24.18604651162791</v>
      </c>
    </row>
    <row r="3046">
      <c r="A3046" s="10" t="n">
        <v>46097</v>
      </c>
      <c r="B3046" t="inlineStr">
        <is>
          <t>Luiz Fernando de Carvalho Junior</t>
        </is>
      </c>
      <c r="C3046" s="1" t="inlineStr">
        <is>
          <t>Técnico I</t>
        </is>
      </c>
      <c r="D3046" s="3" t="n">
        <v>12</v>
      </c>
      <c r="E3046" s="3" t="n">
        <v>11</v>
      </c>
      <c r="F3046" s="3" t="n">
        <v>30.43</v>
      </c>
      <c r="G3046" s="3" t="n">
        <v>0</v>
      </c>
      <c r="H3046" s="3" t="n">
        <v>0</v>
      </c>
      <c r="I3046" s="3">
        <f>E3046+G3046+H3046</f>
        <v/>
      </c>
      <c r="J3046" s="3">
        <f>ROUND(MIN(IF(C3046="Técnico III",35,IF(C3046="Técnico II",28,IF(C3046="Técnico I",23,IF(C3046="JR",20,IF(C3046="Estágio",10,0))))),IF(C3046="Técnico III",SUMIFS($D:$D,$A:$A,$A3046,$B:$B,"&lt;&gt;Patrícia Karla de Sousa Araújo",$B:$B,"&lt;&gt;Lorena Dias de Araujo",$B:$B,"&lt;&gt;Lucas Luiz Romero")*(35/1083),IF(C3046="Técnico II",SUMIFS($D:$D,$A:$A,$A3046,$B:$B,"&lt;&gt;Patrícia Karla de Sousa Araújo",$B:$B,"&lt;&gt;Lorena Dias de Araujo",$B:$B,"&lt;&gt;Lucas Luiz Romero")*(28/1083),IF(C3046="Técnico I",SUMIFS($D:$D,$A:$A,$A3046,$B:$B,"&lt;&gt;Patrícia Karla de Sousa Araújo",$B:$B,"&lt;&gt;Lorena Dias de Araujo",$B:$B,"&lt;&gt;Lucas Luiz Romero")*(23/1083),IF(C3046="JR",SUMIFS($D:$D,$A:$A,$A3046,$B:$B,"&lt;&gt;Patrícia Karla de Sousa Araújo",$B:$B,"&lt;&gt;Lorena Dias de Araujo",$B:$B,"&lt;&gt;Lucas Luiz Romero")*(20/1083),IF(C3046="Estágio",SUMIFS($D:$D,$A:$A,$A3046,$B:$B,"&lt;&gt;Patrícia Karla de Sousa Araújo",$B:$B,"&lt;&gt;Lorena Dias de Araujo",$B:$B,"&lt;&gt;Lucas Luiz Romero")*(10/1083),0)))))),0)</f>
        <v/>
      </c>
      <c r="K3046" s="3">
        <f>I3046-J3046</f>
        <v/>
      </c>
      <c r="L3046" s="3">
        <f>IF(K3046&lt;-5,"CRÍTICO",IF(K3046&lt;0,"ATENÇÃO",IF(K3046&lt;=5,"OPORTUNO","MUITO BOM")))</f>
        <v/>
      </c>
      <c r="M3046" s="3" t="n">
        <v>9</v>
      </c>
      <c r="N3046" s="3" t="n">
        <v>98.90000000000001</v>
      </c>
      <c r="O3046" s="12" t="n">
        <v>26.7639902676399</v>
      </c>
    </row>
    <row r="3047">
      <c r="A3047" s="10" t="n">
        <v>46097</v>
      </c>
      <c r="B3047" t="inlineStr">
        <is>
          <t>Maria Eduarda Sousa Costa</t>
        </is>
      </c>
      <c r="C3047" s="1" t="inlineStr">
        <is>
          <t>Estágio</t>
        </is>
      </c>
      <c r="D3047" s="3" t="n">
        <v>7</v>
      </c>
      <c r="E3047" s="3" t="n">
        <v>7</v>
      </c>
      <c r="F3047" s="3" t="n">
        <v>54.04</v>
      </c>
      <c r="G3047" s="3" t="n">
        <v>0</v>
      </c>
      <c r="H3047" s="3" t="n">
        <v>0</v>
      </c>
      <c r="I3047" s="3">
        <f>E3047+G3047+H3047</f>
        <v/>
      </c>
      <c r="J3047" s="3">
        <f>ROUND(MIN(IF(C3047="Técnico III",35,IF(C3047="Técnico II",28,IF(C3047="Técnico I",23,IF(C3047="JR",20,IF(C3047="Estágio",10,0))))),IF(C3047="Técnico III",SUMIFS($D:$D,$A:$A,$A3047,$B:$B,"&lt;&gt;Patrícia Karla de Sousa Araújo",$B:$B,"&lt;&gt;Lorena Dias de Araujo",$B:$B,"&lt;&gt;Lucas Luiz Romero")*(35/1083),IF(C3047="Técnico II",SUMIFS($D:$D,$A:$A,$A3047,$B:$B,"&lt;&gt;Patrícia Karla de Sousa Araújo",$B:$B,"&lt;&gt;Lorena Dias de Araujo",$B:$B,"&lt;&gt;Lucas Luiz Romero")*(28/1083),IF(C3047="Técnico I",SUMIFS($D:$D,$A:$A,$A3047,$B:$B,"&lt;&gt;Patrícia Karla de Sousa Araújo",$B:$B,"&lt;&gt;Lorena Dias de Araujo",$B:$B,"&lt;&gt;Lucas Luiz Romero")*(23/1083),IF(C3047="JR",SUMIFS($D:$D,$A:$A,$A3047,$B:$B,"&lt;&gt;Patrícia Karla de Sousa Araújo",$B:$B,"&lt;&gt;Lorena Dias de Araujo",$B:$B,"&lt;&gt;Lucas Luiz Romero")*(20/1083),IF(C3047="Estágio",SUMIFS($D:$D,$A:$A,$A3047,$B:$B,"&lt;&gt;Patrícia Karla de Sousa Araújo",$B:$B,"&lt;&gt;Lorena Dias de Araujo",$B:$B,"&lt;&gt;Lucas Luiz Romero")*(10/1083),0)))))),0)</f>
        <v/>
      </c>
      <c r="K3047" s="3">
        <f>I3047-J3047</f>
        <v/>
      </c>
      <c r="L3047" s="3">
        <f>IF(K3047&lt;-5,"CRÍTICO",IF(K3047&lt;0,"ATENÇÃO",IF(K3047&lt;=5,"OPORTUNO","MUITO BOM")))</f>
        <v/>
      </c>
      <c r="M3047" s="3" t="n">
        <v>4</v>
      </c>
      <c r="N3047" s="3" t="n">
        <v>88.89</v>
      </c>
      <c r="O3047" s="12" t="n">
        <v>25.26315789473684</v>
      </c>
    </row>
    <row r="3048">
      <c r="A3048" s="10" t="n">
        <v>46115</v>
      </c>
      <c r="B3048" t="inlineStr">
        <is>
          <t>Matheus Farias De Souza</t>
        </is>
      </c>
      <c r="C3048" s="1" t="inlineStr">
        <is>
          <t>Técnico III</t>
        </is>
      </c>
      <c r="D3048" s="3" t="n">
        <v>0</v>
      </c>
      <c r="E3048" s="3" t="n">
        <v>0</v>
      </c>
      <c r="F3048" s="3" t="n">
        <v>0</v>
      </c>
      <c r="G3048" s="3" t="n">
        <v>0</v>
      </c>
      <c r="H3048" s="3" t="n">
        <v>0</v>
      </c>
      <c r="I3048" s="3" t="n">
        <v>0</v>
      </c>
      <c r="J3048" s="3" t="n">
        <v>0</v>
      </c>
      <c r="K3048" s="3" t="n">
        <v>0</v>
      </c>
      <c r="L3048" s="3">
        <f>IF(K3048&lt;-5,"CRÍTICO",IF(K3048&lt;0,"ATENÇÃO",IF(K3048&lt;=5,"OPORTUNO","MUITO BOM")))</f>
        <v/>
      </c>
      <c r="M3048" s="3" t="n">
        <v>0</v>
      </c>
      <c r="N3048" s="3" t="n">
        <v>100</v>
      </c>
      <c r="O3048" s="12" t="n">
        <v>23.9870340356564</v>
      </c>
    </row>
    <row r="3049">
      <c r="A3049" s="10" t="n">
        <v>46097</v>
      </c>
      <c r="B3049" t="inlineStr">
        <is>
          <t>Maysa Victoria Dias Moura</t>
        </is>
      </c>
      <c r="C3049" s="1" t="inlineStr">
        <is>
          <t>Técnico III</t>
        </is>
      </c>
      <c r="D3049" s="3" t="n">
        <v>33</v>
      </c>
      <c r="E3049" s="3" t="n">
        <v>30</v>
      </c>
      <c r="F3049" s="3" t="n">
        <v>18.29</v>
      </c>
      <c r="G3049" s="3" t="n">
        <v>0</v>
      </c>
      <c r="H3049" s="3" t="n">
        <v>0</v>
      </c>
      <c r="I3049" s="3">
        <f>E3049+G3049+H3049</f>
        <v/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/>
      </c>
      <c r="K3049" s="3">
        <f>I3049-J3049</f>
        <v/>
      </c>
      <c r="L3049" s="3">
        <f>IF(K3049&lt;-5,"CRÍTICO",IF(K3049&lt;0,"ATENÇÃO",IF(K3049&lt;=5,"OPORTUNO","MUITO BOM")))</f>
        <v/>
      </c>
      <c r="M3049" s="3" t="n">
        <v>29</v>
      </c>
      <c r="N3049" s="3" t="n">
        <v>98.06</v>
      </c>
      <c r="O3049" s="12" t="n">
        <v>22.40566037735849</v>
      </c>
    </row>
    <row r="3050">
      <c r="A3050" s="10" t="n">
        <v>46125</v>
      </c>
      <c r="B3050" t="inlineStr">
        <is>
          <t>Michelle G Santos</t>
        </is>
      </c>
      <c r="C3050" s="1" t="inlineStr">
        <is>
          <t>Estágio</t>
        </is>
      </c>
      <c r="D3050" s="3" t="n">
        <v>13</v>
      </c>
      <c r="E3050" s="3" t="n">
        <v>13</v>
      </c>
      <c r="F3050" s="3" t="n">
        <v>28.58</v>
      </c>
      <c r="G3050" s="3" t="n">
        <v>0</v>
      </c>
      <c r="H3050" s="3" t="n">
        <v>0</v>
      </c>
      <c r="I3050" s="3">
        <f>E3050+G3050+H3050</f>
        <v/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/>
      </c>
      <c r="K3050" s="3">
        <f>I3050-J3050</f>
        <v/>
      </c>
      <c r="L3050" s="3">
        <f>IF(K3050&lt;-5,"CRÍTICO",IF(K3050&lt;0,"ATENÇÃO",IF(K3050&lt;=5,"OPORTUNO","MUITO BOM")))</f>
        <v/>
      </c>
      <c r="M3050" s="3" t="n">
        <v>7</v>
      </c>
      <c r="N3050" s="3" t="n">
        <v>100</v>
      </c>
      <c r="O3050" s="12" t="n">
        <v>23.77622377622378</v>
      </c>
    </row>
    <row r="3051">
      <c r="A3051" s="10" t="n">
        <v>46097</v>
      </c>
      <c r="B3051" t="inlineStr">
        <is>
          <t>Milena Sales</t>
        </is>
      </c>
      <c r="C3051" s="1" t="inlineStr">
        <is>
          <t>JR</t>
        </is>
      </c>
      <c r="D3051" s="3" t="n">
        <v>0</v>
      </c>
      <c r="E3051" s="3" t="n">
        <v>0</v>
      </c>
      <c r="F3051" s="3" t="n">
        <v>0</v>
      </c>
      <c r="G3051" s="3" t="n">
        <v>0</v>
      </c>
      <c r="H3051" s="3" t="n">
        <v>0</v>
      </c>
      <c r="I3051" s="3" t="n">
        <v>0</v>
      </c>
      <c r="J3051" s="3" t="n">
        <v>0</v>
      </c>
      <c r="K3051" s="3" t="n">
        <v>0</v>
      </c>
      <c r="L3051" s="3">
        <f>IF(K3051&lt;-5,"CRÍTICO",IF(K3051&lt;0,"ATENÇÃO",IF(K3051&lt;=5,"OPORTUNO","MUITO BOM")))</f>
        <v/>
      </c>
      <c r="M3051" s="3" t="n">
        <v>0</v>
      </c>
      <c r="N3051" s="3" t="n">
        <v>100</v>
      </c>
      <c r="O3051" s="12" t="n">
        <v>15.38461538461539</v>
      </c>
    </row>
    <row r="3052">
      <c r="A3052" s="10" t="n">
        <v>46097</v>
      </c>
      <c r="B3052" t="inlineStr">
        <is>
          <t>Patrícia Karla de Sousa Araújo</t>
        </is>
      </c>
      <c r="C3052" s="1" t="inlineStr">
        <is>
          <t>Técnico II</t>
        </is>
      </c>
      <c r="D3052" s="3" t="n">
        <v>3</v>
      </c>
      <c r="E3052" s="3" t="n">
        <v>3</v>
      </c>
      <c r="F3052" s="3" t="n">
        <v>40.22</v>
      </c>
      <c r="G3052" s="3" t="n">
        <v>0</v>
      </c>
      <c r="H3052" s="3" t="n">
        <v>0</v>
      </c>
      <c r="I3052" s="3">
        <f>E3052+G3052+H3052</f>
        <v/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/>
      </c>
      <c r="K3052" s="3">
        <f>I3052-J3052</f>
        <v/>
      </c>
      <c r="L3052" s="3">
        <f>IF(K3052&lt;-5,"CRÍTICO",IF(K3052&lt;0,"ATENÇÃO",IF(K3052&lt;=5,"OPORTUNO","MUITO BOM")))</f>
        <v/>
      </c>
      <c r="M3052" s="3" t="n">
        <v>3</v>
      </c>
      <c r="N3052" s="3" t="n">
        <v>100</v>
      </c>
      <c r="O3052" s="12" t="n">
        <v>27.51479289940828</v>
      </c>
    </row>
    <row r="3053">
      <c r="A3053" s="10" t="n">
        <v>46097</v>
      </c>
      <c r="B3053" t="inlineStr">
        <is>
          <t>Paulo Ricardo Santos</t>
        </is>
      </c>
      <c r="C3053" s="1" t="inlineStr">
        <is>
          <t>JR</t>
        </is>
      </c>
      <c r="D3053" s="3" t="n">
        <v>4</v>
      </c>
      <c r="E3053" s="3" t="n">
        <v>3</v>
      </c>
      <c r="F3053" s="3" t="n">
        <v>53.39</v>
      </c>
      <c r="G3053" s="3" t="n">
        <v>0</v>
      </c>
      <c r="H3053" s="3" t="n">
        <v>0</v>
      </c>
      <c r="I3053" s="3">
        <f>E3053+G3053+H3053</f>
        <v/>
      </c>
      <c r="J3053" s="3">
        <f>ROUND(MIN(IF(C3053="Técnico III",35,IF(C3053="Técnico II",28,IF(C3053="Técnico I",23,IF(C3053="JR",20,IF(C3053="Estágio",10,0))))),IF(C3053="Técnico III",SUMIFS($D:$D,$A:$A,$A3053,$B:$B,"&lt;&gt;Patrícia Karla de Sousa Araújo",$B:$B,"&lt;&gt;Lorena Dias de Araujo",$B:$B,"&lt;&gt;Lucas Luiz Romero")*(35/1083),IF(C3053="Técnico II",SUMIFS($D:$D,$A:$A,$A3053,$B:$B,"&lt;&gt;Patrícia Karla de Sousa Araújo",$B:$B,"&lt;&gt;Lorena Dias de Araujo",$B:$B,"&lt;&gt;Lucas Luiz Romero")*(28/1083),IF(C3053="Técnico I",SUMIFS($D:$D,$A:$A,$A3053,$B:$B,"&lt;&gt;Patrícia Karla de Sousa Araújo",$B:$B,"&lt;&gt;Lorena Dias de Araujo",$B:$B,"&lt;&gt;Lucas Luiz Romero")*(23/1083),IF(C3053="JR",SUMIFS($D:$D,$A:$A,$A3053,$B:$B,"&lt;&gt;Patrícia Karla de Sousa Araújo",$B:$B,"&lt;&gt;Lorena Dias de Araujo",$B:$B,"&lt;&gt;Lucas Luiz Romero")*(20/1083),IF(C3053="Estágio",SUMIFS($D:$D,$A:$A,$A3053,$B:$B,"&lt;&gt;Patrícia Karla de Sousa Araújo",$B:$B,"&lt;&gt;Lorena Dias de Araujo",$B:$B,"&lt;&gt;Lucas Luiz Romero")*(10/1083),0)))))),0)</f>
        <v/>
      </c>
      <c r="K3053" s="3">
        <f>I3053-J3053</f>
        <v/>
      </c>
      <c r="L3053" s="3">
        <f>IF(K3053&lt;-5,"CRÍTICO",IF(K3053&lt;0,"ATENÇÃO",IF(K3053&lt;=5,"OPORTUNO","MUITO BOM")))</f>
        <v/>
      </c>
      <c r="M3053" s="3" t="n">
        <v>5</v>
      </c>
      <c r="N3053" s="3" t="n">
        <v>100</v>
      </c>
      <c r="O3053" s="12" t="n">
        <v>24.87562189054727</v>
      </c>
    </row>
    <row r="3054">
      <c r="A3054" s="10" t="n">
        <v>46097</v>
      </c>
      <c r="B3054" t="inlineStr">
        <is>
          <t>Pedro Luiz Mota Sousa</t>
        </is>
      </c>
      <c r="C3054" s="1" t="inlineStr">
        <is>
          <t>JR</t>
        </is>
      </c>
      <c r="D3054" s="3" t="n">
        <v>8</v>
      </c>
      <c r="E3054" s="3" t="n">
        <v>6</v>
      </c>
      <c r="F3054" s="3" t="n">
        <v>38.26</v>
      </c>
      <c r="G3054" s="3" t="n">
        <v>0</v>
      </c>
      <c r="H3054" s="3" t="n">
        <v>0</v>
      </c>
      <c r="I3054" s="3">
        <f>E3054+G3054+H3054</f>
        <v/>
      </c>
      <c r="J3054" s="3">
        <f>ROUND(MIN(IF(C3054="Técnico III",35,IF(C3054="Técnico II",28,IF(C3054="Técnico I",23,IF(C3054="JR",20,IF(C3054="Estágio",10,0))))),IF(C3054="Técnico III",SUMIFS($D:$D,$A:$A,$A3054,$B:$B,"&lt;&gt;Patrícia Karla de Sousa Araújo",$B:$B,"&lt;&gt;Lorena Dias de Araujo",$B:$B,"&lt;&gt;Lucas Luiz Romero")*(35/1083),IF(C3054="Técnico II",SUMIFS($D:$D,$A:$A,$A3054,$B:$B,"&lt;&gt;Patrícia Karla de Sousa Araújo",$B:$B,"&lt;&gt;Lorena Dias de Araujo",$B:$B,"&lt;&gt;Lucas Luiz Romero")*(28/1083),IF(C3054="Técnico I",SUMIFS($D:$D,$A:$A,$A3054,$B:$B,"&lt;&gt;Patrícia Karla de Sousa Araújo",$B:$B,"&lt;&gt;Lorena Dias de Araujo",$B:$B,"&lt;&gt;Lucas Luiz Romero")*(23/1083),IF(C3054="JR",SUMIFS($D:$D,$A:$A,$A3054,$B:$B,"&lt;&gt;Patrícia Karla de Sousa Araújo",$B:$B,"&lt;&gt;Lorena Dias de Araujo",$B:$B,"&lt;&gt;Lucas Luiz Romero")*(20/1083),IF(C3054="Estágio",SUMIFS($D:$D,$A:$A,$A3054,$B:$B,"&lt;&gt;Patrícia Karla de Sousa Araújo",$B:$B,"&lt;&gt;Lorena Dias de Araujo",$B:$B,"&lt;&gt;Lucas Luiz Romero")*(10/1083),0)))))),0)</f>
        <v/>
      </c>
      <c r="K3054" s="3">
        <f>I3054-J3054</f>
        <v/>
      </c>
      <c r="L3054" s="3">
        <f>IF(K3054&lt;-5,"CRÍTICO",IF(K3054&lt;0,"ATENÇÃO",IF(K3054&lt;=5,"OPORTUNO","MUITO BOM")))</f>
        <v/>
      </c>
      <c r="M3054" s="3" t="n">
        <v>6</v>
      </c>
      <c r="N3054" s="3" t="n">
        <v>100</v>
      </c>
      <c r="O3054" s="12" t="n">
        <v>28.10810810810811</v>
      </c>
    </row>
    <row r="3055">
      <c r="A3055" s="10" t="n">
        <v>46125</v>
      </c>
      <c r="B3055" t="inlineStr">
        <is>
          <t>Quirino Diogo Leite Torres</t>
        </is>
      </c>
      <c r="C3055" s="1" t="inlineStr">
        <is>
          <t>Estágio</t>
        </is>
      </c>
      <c r="D3055" s="3" t="n">
        <v>3</v>
      </c>
      <c r="E3055" s="3" t="n">
        <v>3</v>
      </c>
      <c r="F3055" s="3" t="n">
        <v>50.24</v>
      </c>
      <c r="G3055" s="3" t="n">
        <v>0</v>
      </c>
      <c r="H3055" s="3" t="n">
        <v>0</v>
      </c>
      <c r="I3055" s="3">
        <f>E3055+G3055+H3055</f>
        <v/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/>
      </c>
      <c r="K3055" s="3">
        <f>I3055-J3055</f>
        <v/>
      </c>
      <c r="L3055" s="3">
        <f>IF(K3055&lt;-5,"CRÍTICO",IF(K3055&lt;0,"ATENÇÃO",IF(K3055&lt;=5,"OPORTUNO","MUITO BOM")))</f>
        <v/>
      </c>
      <c r="M3055" s="3" t="n">
        <v>3</v>
      </c>
      <c r="N3055" s="3" t="n">
        <v>94.12</v>
      </c>
      <c r="O3055" s="12" t="n">
        <v>32.8</v>
      </c>
    </row>
    <row r="3056">
      <c r="A3056" s="10" t="n">
        <v>46097</v>
      </c>
      <c r="B3056" t="inlineStr">
        <is>
          <t>Raane Batista Matos</t>
        </is>
      </c>
      <c r="C3056" s="1" t="inlineStr">
        <is>
          <t>Técnico I</t>
        </is>
      </c>
      <c r="D3056" s="3" t="n">
        <v>15</v>
      </c>
      <c r="E3056" s="3" t="n">
        <v>14</v>
      </c>
      <c r="F3056" s="3" t="n">
        <v>26.4</v>
      </c>
      <c r="G3056" s="3" t="n">
        <v>0</v>
      </c>
      <c r="H3056" s="3" t="n">
        <v>0</v>
      </c>
      <c r="I3056" s="3">
        <f>E3056+G3056+H3056</f>
        <v/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/>
      </c>
      <c r="K3056" s="3">
        <f>I3056-J3056</f>
        <v/>
      </c>
      <c r="L3056" s="3">
        <f>IF(K3056&lt;-5,"CRÍTICO",IF(K3056&lt;0,"ATENÇÃO",IF(K3056&lt;=5,"OPORTUNO","MUITO BOM")))</f>
        <v/>
      </c>
      <c r="M3056" s="3" t="n">
        <v>11</v>
      </c>
      <c r="N3056" s="3" t="n">
        <v>95.34999999999999</v>
      </c>
      <c r="O3056" s="12" t="n">
        <v>28.61538461538461</v>
      </c>
    </row>
    <row r="3057">
      <c r="A3057" s="10" t="n">
        <v>46097</v>
      </c>
      <c r="B3057" t="inlineStr">
        <is>
          <t>Rafael Gomes de Morais</t>
        </is>
      </c>
      <c r="C3057" s="1" t="inlineStr">
        <is>
          <t>Técnico III</t>
        </is>
      </c>
      <c r="D3057" s="3" t="n">
        <v>37</v>
      </c>
      <c r="E3057" s="3" t="n">
        <v>32</v>
      </c>
      <c r="F3057" s="3" t="n">
        <v>14.09</v>
      </c>
      <c r="G3057" s="3" t="n">
        <v>0</v>
      </c>
      <c r="H3057" s="3" t="n">
        <v>0</v>
      </c>
      <c r="I3057" s="3">
        <f>E3057+G3057+H3057</f>
        <v/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/>
      </c>
      <c r="K3057" s="3">
        <f>I3057-J3057</f>
        <v/>
      </c>
      <c r="L3057" s="3">
        <f>IF(K3057&lt;-5,"CRÍTICO",IF(K3057&lt;0,"ATENÇÃO",IF(K3057&lt;=5,"OPORTUNO","MUITO BOM")))</f>
        <v/>
      </c>
      <c r="M3057" s="3" t="n">
        <v>29</v>
      </c>
      <c r="N3057" s="3" t="n">
        <v>98.26000000000001</v>
      </c>
      <c r="O3057" s="12" t="n">
        <v>27.54491017964072</v>
      </c>
    </row>
    <row r="3058">
      <c r="A3058" s="10" t="n">
        <v>46097</v>
      </c>
      <c r="B3058" t="inlineStr">
        <is>
          <t>Sara Maria Monteiro Lopes</t>
        </is>
      </c>
      <c r="C3058" s="1" t="inlineStr">
        <is>
          <t>Técnico I</t>
        </is>
      </c>
      <c r="D3058" s="3" t="n">
        <v>15</v>
      </c>
      <c r="E3058" s="3" t="n">
        <v>15</v>
      </c>
      <c r="F3058" s="3" t="n">
        <v>37.07</v>
      </c>
      <c r="G3058" s="3" t="n">
        <v>0</v>
      </c>
      <c r="H3058" s="3" t="n">
        <v>0</v>
      </c>
      <c r="I3058" s="3">
        <f>E3058+G3058+H3058</f>
        <v/>
      </c>
      <c r="J3058" s="3">
        <f>ROUND(MIN(IF(C3058="Técnico III",35,IF(C3058="Técnico II",28,IF(C3058="Técnico I",23,IF(C3058="JR",20,IF(C3058="Estágio",10,0))))),IF(C3058="Técnico III",SUMIFS($D:$D,$A:$A,$A3058,$B:$B,"&lt;&gt;Patrícia Karla de Sousa Araújo",$B:$B,"&lt;&gt;Lorena Dias de Araujo",$B:$B,"&lt;&gt;Lucas Luiz Romero")*(35/1083),IF(C3058="Técnico II",SUMIFS($D:$D,$A:$A,$A3058,$B:$B,"&lt;&gt;Patrícia Karla de Sousa Araújo",$B:$B,"&lt;&gt;Lorena Dias de Araujo",$B:$B,"&lt;&gt;Lucas Luiz Romero")*(28/1083),IF(C3058="Técnico I",SUMIFS($D:$D,$A:$A,$A3058,$B:$B,"&lt;&gt;Patrícia Karla de Sousa Araújo",$B:$B,"&lt;&gt;Lorena Dias de Araujo",$B:$B,"&lt;&gt;Lucas Luiz Romero")*(23/1083),IF(C3058="JR",SUMIFS($D:$D,$A:$A,$A3058,$B:$B,"&lt;&gt;Patrícia Karla de Sousa Araújo",$B:$B,"&lt;&gt;Lorena Dias de Araujo",$B:$B,"&lt;&gt;Lucas Luiz Romero")*(20/1083),IF(C3058="Estágio",SUMIFS($D:$D,$A:$A,$A3058,$B:$B,"&lt;&gt;Patrícia Karla de Sousa Araújo",$B:$B,"&lt;&gt;Lorena Dias de Araujo",$B:$B,"&lt;&gt;Lucas Luiz Romero")*(10/1083),0)))))),0)</f>
        <v/>
      </c>
      <c r="K3058" s="3">
        <f>I3058-J3058</f>
        <v/>
      </c>
      <c r="L3058" s="3">
        <f>IF(K3058&lt;-5,"CRÍTICO",IF(K3058&lt;0,"ATENÇÃO",IF(K3058&lt;=5,"OPORTUNO","MUITO BOM")))</f>
        <v/>
      </c>
      <c r="M3058" s="3" t="n">
        <v>13</v>
      </c>
      <c r="N3058" s="3" t="n">
        <v>98.55</v>
      </c>
      <c r="O3058" s="12" t="n">
        <v>25.33783783783784</v>
      </c>
    </row>
    <row r="3059">
      <c r="A3059" s="10" t="n">
        <v>46097</v>
      </c>
      <c r="B3059" t="inlineStr">
        <is>
          <t>Sarah Steffanie de Lima Borges</t>
        </is>
      </c>
      <c r="C3059" s="1" t="inlineStr">
        <is>
          <t>Técnico III</t>
        </is>
      </c>
      <c r="D3059" s="3" t="n">
        <v>28</v>
      </c>
      <c r="E3059" s="3" t="n">
        <v>28</v>
      </c>
      <c r="F3059" s="3" t="n">
        <v>17.19</v>
      </c>
      <c r="G3059" s="3" t="n">
        <v>0</v>
      </c>
      <c r="H3059" s="3" t="n">
        <v>0</v>
      </c>
      <c r="I3059" s="3">
        <f>E3059+G3059+H3059</f>
        <v/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/>
      </c>
      <c r="K3059" s="3">
        <f>I3059-J3059</f>
        <v/>
      </c>
      <c r="L3059" s="3">
        <f>IF(K3059&lt;-5,"CRÍTICO",IF(K3059&lt;0,"ATENÇÃO",IF(K3059&lt;=5,"OPORTUNO","MUITO BOM")))</f>
        <v/>
      </c>
      <c r="M3059" s="3" t="n">
        <v>25</v>
      </c>
      <c r="N3059" s="3" t="n">
        <v>98.39</v>
      </c>
      <c r="O3059" s="12" t="n">
        <v>25.56390977443609</v>
      </c>
    </row>
    <row r="3060">
      <c r="A3060" s="10" t="n">
        <v>46098</v>
      </c>
      <c r="B3060" t="inlineStr">
        <is>
          <t>Alisson de Freitas Silva</t>
        </is>
      </c>
      <c r="C3060" s="1" t="inlineStr">
        <is>
          <t>Técnico II</t>
        </is>
      </c>
      <c r="D3060" s="3" t="n">
        <v>31</v>
      </c>
      <c r="E3060" s="3" t="n">
        <v>27</v>
      </c>
      <c r="F3060" s="3" t="n">
        <v>16.56</v>
      </c>
      <c r="G3060" s="3" t="n">
        <v>0</v>
      </c>
      <c r="H3060" s="3" t="n">
        <v>0</v>
      </c>
      <c r="I3060" s="3">
        <f>E3060+G3060+H3060</f>
        <v/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/>
      </c>
      <c r="K3060" s="3">
        <f>I3060-J3060</f>
        <v/>
      </c>
      <c r="L3060" s="3">
        <f>IF(K3060&lt;-5,"CRÍTICO",IF(K3060&lt;0,"ATENÇÃO",IF(K3060&lt;=5,"OPORTUNO","MUITO BOM")))</f>
        <v/>
      </c>
      <c r="M3060" s="3" t="n">
        <v>19</v>
      </c>
      <c r="N3060" s="3" t="n">
        <v>94.29000000000001</v>
      </c>
      <c r="O3060" s="12" t="n">
        <v>25.64766839378239</v>
      </c>
    </row>
    <row r="3061">
      <c r="A3061" s="10" t="n">
        <v>46098</v>
      </c>
      <c r="B3061" t="inlineStr">
        <is>
          <t>Amanda Moura Ferreira</t>
        </is>
      </c>
      <c r="C3061" s="1" t="inlineStr">
        <is>
          <t>Técnico III</t>
        </is>
      </c>
      <c r="D3061" s="3" t="n">
        <v>0</v>
      </c>
      <c r="E3061" s="3" t="n">
        <v>0</v>
      </c>
      <c r="F3061" s="3" t="n">
        <v>0</v>
      </c>
      <c r="G3061" s="3" t="n">
        <v>0</v>
      </c>
      <c r="H3061" s="3" t="n">
        <v>0</v>
      </c>
      <c r="I3061" s="3" t="n">
        <v>0</v>
      </c>
      <c r="J3061" s="3" t="n">
        <v>0</v>
      </c>
      <c r="K3061" s="3" t="n">
        <v>0</v>
      </c>
      <c r="L3061" s="3">
        <f>IF(K3061&lt;-5,"CRÍTICO",IF(K3061&lt;0,"ATENÇÃO",IF(K3061&lt;=5,"OPORTUNO","MUITO BOM")))</f>
        <v/>
      </c>
      <c r="M3061" s="3" t="n">
        <v>24</v>
      </c>
      <c r="N3061" s="3" t="n">
        <v>98.26000000000001</v>
      </c>
      <c r="O3061" s="12" t="n">
        <v>26.66666666666667</v>
      </c>
    </row>
    <row r="3062">
      <c r="A3062" s="10" t="n">
        <v>46098</v>
      </c>
      <c r="B3062" t="inlineStr">
        <is>
          <t>Ana Karollyne Souza Faria</t>
        </is>
      </c>
      <c r="C3062" s="1" t="inlineStr">
        <is>
          <t>Técnico I</t>
        </is>
      </c>
      <c r="D3062" s="3" t="n">
        <v>13</v>
      </c>
      <c r="E3062" s="3" t="n">
        <v>12</v>
      </c>
      <c r="F3062" s="3" t="n">
        <v>29.12</v>
      </c>
      <c r="G3062" s="3" t="n">
        <v>0</v>
      </c>
      <c r="H3062" s="3" t="n">
        <v>0</v>
      </c>
      <c r="I3062" s="3">
        <f>E3062+G3062+H3062</f>
        <v/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/>
      </c>
      <c r="K3062" s="3">
        <f>I3062-J3062</f>
        <v/>
      </c>
      <c r="L3062" s="3">
        <f>IF(K3062&lt;-5,"CRÍTICO",IF(K3062&lt;0,"ATENÇÃO",IF(K3062&lt;=5,"OPORTUNO","MUITO BOM")))</f>
        <v/>
      </c>
      <c r="M3062" s="3" t="n">
        <v>13</v>
      </c>
      <c r="N3062" s="3" t="n">
        <v>98.2</v>
      </c>
      <c r="O3062" s="12" t="n">
        <v>23.37962962962963</v>
      </c>
    </row>
    <row r="3063">
      <c r="A3063" s="10" t="n">
        <v>46098</v>
      </c>
      <c r="B3063" t="inlineStr">
        <is>
          <t>Ana Paula Da Luz Silva Aleixo</t>
        </is>
      </c>
      <c r="C3063" s="1" t="inlineStr">
        <is>
          <t>Técnico III</t>
        </is>
      </c>
      <c r="D3063" s="3" t="n">
        <v>30</v>
      </c>
      <c r="E3063" s="3" t="n">
        <v>27</v>
      </c>
      <c r="F3063" s="3" t="n">
        <v>20.36</v>
      </c>
      <c r="G3063" s="3" t="n">
        <v>0</v>
      </c>
      <c r="H3063" s="3" t="n">
        <v>0</v>
      </c>
      <c r="I3063" s="3">
        <f>E3063+G3063+H3063</f>
        <v/>
      </c>
      <c r="J3063" s="3">
        <f>ROUND(MIN(IF(C3063="Técnico III",35,IF(C3063="Técnico II",28,IF(C3063="Técnico I",23,IF(C3063="JR",20,IF(C3063="Estágio",10,0))))),IF(C3063="Técnico III",SUMIFS($D:$D,$A:$A,$A3063,$B:$B,"&lt;&gt;Patrícia Karla de Sousa Araújo",$B:$B,"&lt;&gt;Lorena Dias de Araujo",$B:$B,"&lt;&gt;Lucas Luiz Romero")*(35/1083),IF(C3063="Técnico II",SUMIFS($D:$D,$A:$A,$A3063,$B:$B,"&lt;&gt;Patrícia Karla de Sousa Araújo",$B:$B,"&lt;&gt;Lorena Dias de Araujo",$B:$B,"&lt;&gt;Lucas Luiz Romero")*(28/1083),IF(C3063="Técnico I",SUMIFS($D:$D,$A:$A,$A3063,$B:$B,"&lt;&gt;Patrícia Karla de Sousa Araújo",$B:$B,"&lt;&gt;Lorena Dias de Araujo",$B:$B,"&lt;&gt;Lucas Luiz Romero")*(23/1083),IF(C3063="JR",SUMIFS($D:$D,$A:$A,$A3063,$B:$B,"&lt;&gt;Patrícia Karla de Sousa Araújo",$B:$B,"&lt;&gt;Lorena Dias de Araujo",$B:$B,"&lt;&gt;Lucas Luiz Romero")*(20/1083),IF(C3063="Estágio",SUMIFS($D:$D,$A:$A,$A3063,$B:$B,"&lt;&gt;Patrícia Karla de Sousa Araújo",$B:$B,"&lt;&gt;Lorena Dias de Araujo",$B:$B,"&lt;&gt;Lucas Luiz Romero")*(10/1083),0)))))),0)</f>
        <v/>
      </c>
      <c r="K3063" s="3">
        <f>I3063-J3063</f>
        <v/>
      </c>
      <c r="L3063" s="3">
        <f>IF(K3063&lt;-5,"CRÍTICO",IF(K3063&lt;0,"ATENÇÃO",IF(K3063&lt;=5,"OPORTUNO","MUITO BOM")))</f>
        <v/>
      </c>
      <c r="M3063" s="3" t="n">
        <v>28</v>
      </c>
      <c r="N3063" s="3" t="n">
        <v>97.3</v>
      </c>
      <c r="O3063" s="12" t="n">
        <v>23.84769539078156</v>
      </c>
    </row>
    <row r="3064">
      <c r="A3064" s="10" t="n">
        <v>46098</v>
      </c>
      <c r="B3064" t="inlineStr">
        <is>
          <t>Anna Luiza Rezende Tavares</t>
        </is>
      </c>
      <c r="C3064" s="1" t="inlineStr">
        <is>
          <t>Estágio</t>
        </is>
      </c>
      <c r="D3064" s="3" t="n">
        <v>18</v>
      </c>
      <c r="E3064" s="3" t="n">
        <v>15</v>
      </c>
      <c r="F3064" s="3" t="n">
        <v>20.54</v>
      </c>
      <c r="G3064" s="3" t="n">
        <v>0</v>
      </c>
      <c r="H3064" s="3" t="n">
        <v>0</v>
      </c>
      <c r="I3064" s="3">
        <f>E3064+G3064+H3064</f>
        <v/>
      </c>
      <c r="J3064" s="3">
        <f>ROUND(MIN(IF(C3064="Técnico III",35,IF(C3064="Técnico II",28,IF(C3064="Técnico I",23,IF(C3064="JR",20,IF(C3064="Estágio",10,0))))),IF(C3064="Técnico III",SUMIFS($D:$D,$A:$A,$A3064,$B:$B,"&lt;&gt;Patrícia Karla de Sousa Araújo",$B:$B,"&lt;&gt;Lorena Dias de Araujo",$B:$B,"&lt;&gt;Lucas Luiz Romero")*(35/1083),IF(C3064="Técnico II",SUMIFS($D:$D,$A:$A,$A3064,$B:$B,"&lt;&gt;Patrícia Karla de Sousa Araújo",$B:$B,"&lt;&gt;Lorena Dias de Araujo",$B:$B,"&lt;&gt;Lucas Luiz Romero")*(28/1083),IF(C3064="Técnico I",SUMIFS($D:$D,$A:$A,$A3064,$B:$B,"&lt;&gt;Patrícia Karla de Sousa Araújo",$B:$B,"&lt;&gt;Lorena Dias de Araujo",$B:$B,"&lt;&gt;Lucas Luiz Romero")*(23/1083),IF(C3064="JR",SUMIFS($D:$D,$A:$A,$A3064,$B:$B,"&lt;&gt;Patrícia Karla de Sousa Araújo",$B:$B,"&lt;&gt;Lorena Dias de Araujo",$B:$B,"&lt;&gt;Lucas Luiz Romero")*(20/1083),IF(C3064="Estágio",SUMIFS($D:$D,$A:$A,$A3064,$B:$B,"&lt;&gt;Patrícia Karla de Sousa Araújo",$B:$B,"&lt;&gt;Lorena Dias de Araujo",$B:$B,"&lt;&gt;Lucas Luiz Romero")*(10/1083),0)))))),0)</f>
        <v/>
      </c>
      <c r="K3064" s="3">
        <f>I3064-J3064</f>
        <v/>
      </c>
      <c r="L3064" s="3">
        <f>IF(K3064&lt;-5,"CRÍTICO",IF(K3064&lt;0,"ATENÇÃO",IF(K3064&lt;=5,"OPORTUNO","MUITO BOM")))</f>
        <v/>
      </c>
      <c r="M3064" s="3" t="n">
        <v>13</v>
      </c>
      <c r="N3064" s="3" t="n">
        <v>100</v>
      </c>
      <c r="O3064" s="12" t="n">
        <v>25.26881720430108</v>
      </c>
    </row>
    <row r="3065">
      <c r="A3065" s="10" t="n">
        <v>46098</v>
      </c>
      <c r="B3065" t="inlineStr">
        <is>
          <t>Brenda de Menezes Silva</t>
        </is>
      </c>
      <c r="C3065" s="1" t="inlineStr">
        <is>
          <t>Técnico II</t>
        </is>
      </c>
      <c r="D3065" s="3" t="n">
        <v>40</v>
      </c>
      <c r="E3065" s="3" t="n">
        <v>35</v>
      </c>
      <c r="F3065" s="3" t="n">
        <v>15.36</v>
      </c>
      <c r="G3065" s="3" t="n">
        <v>0</v>
      </c>
      <c r="H3065" s="3" t="n">
        <v>0</v>
      </c>
      <c r="I3065" s="3">
        <f>E3065+G3065+H3065</f>
        <v/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/>
      </c>
      <c r="K3065" s="3">
        <f>I3065-J3065</f>
        <v/>
      </c>
      <c r="L3065" s="3">
        <f>IF(K3065&lt;-5,"CRÍTICO",IF(K3065&lt;0,"ATENÇÃO",IF(K3065&lt;=5,"OPORTUNO","MUITO BOM")))</f>
        <v/>
      </c>
      <c r="M3065" s="3" t="n">
        <v>30</v>
      </c>
      <c r="N3065" s="3" t="n">
        <v>99.31999999999999</v>
      </c>
      <c r="O3065" s="12" t="n">
        <v>22.82282282282282</v>
      </c>
    </row>
    <row r="3066">
      <c r="A3066" s="10" t="n">
        <v>46098</v>
      </c>
      <c r="B3066" t="inlineStr">
        <is>
          <t>Carlos Mateus Cassimiro Nunes</t>
        </is>
      </c>
      <c r="C3066" s="1" t="inlineStr">
        <is>
          <t>Técnico II</t>
        </is>
      </c>
      <c r="D3066" s="3" t="n">
        <v>4</v>
      </c>
      <c r="E3066" s="3" t="n">
        <v>4</v>
      </c>
      <c r="F3066" s="3" t="n">
        <v>17.18</v>
      </c>
      <c r="G3066" s="3" t="n">
        <v>0</v>
      </c>
      <c r="H3066" s="3" t="n">
        <v>0</v>
      </c>
      <c r="I3066" s="3">
        <f>E3066+G3066+H3066</f>
        <v/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/>
      </c>
      <c r="K3066" s="3">
        <f>I3066-J3066</f>
        <v/>
      </c>
      <c r="L3066" s="3">
        <f>IF(K3066&lt;-5,"CRÍTICO",IF(K3066&lt;0,"ATENÇÃO",IF(K3066&lt;=5,"OPORTUNO","MUITO BOM")))</f>
        <v/>
      </c>
      <c r="M3066" s="3" t="n">
        <v>5</v>
      </c>
      <c r="N3066" s="3" t="n">
        <v>100</v>
      </c>
      <c r="O3066" s="12" t="n">
        <v>27.96610169491525</v>
      </c>
    </row>
    <row r="3067">
      <c r="A3067" s="10" t="n">
        <v>46098</v>
      </c>
      <c r="B3067" t="inlineStr">
        <is>
          <t>Claudio de Sousa Velasco Filho</t>
        </is>
      </c>
      <c r="C3067" s="1" t="inlineStr">
        <is>
          <t>Estágio</t>
        </is>
      </c>
      <c r="D3067" s="3" t="n">
        <v>0</v>
      </c>
      <c r="E3067" s="3" t="n">
        <v>0</v>
      </c>
      <c r="F3067" s="3" t="n">
        <v>0</v>
      </c>
      <c r="G3067" s="3" t="n">
        <v>0</v>
      </c>
      <c r="H3067" s="3" t="n">
        <v>0</v>
      </c>
      <c r="I3067" s="3" t="n">
        <v>0</v>
      </c>
      <c r="J3067" s="3" t="n">
        <v>0</v>
      </c>
      <c r="K3067" s="3" t="n">
        <v>0</v>
      </c>
      <c r="L3067" s="3">
        <f>IF(K3067&lt;-5,"CRÍTICO",IF(K3067&lt;0,"ATENÇÃO",IF(K3067&lt;=5,"OPORTUNO","MUITO BOM")))</f>
        <v/>
      </c>
      <c r="M3067" s="3" t="n">
        <v>0</v>
      </c>
      <c r="N3067" s="3" t="n">
        <v>100</v>
      </c>
      <c r="O3067" s="12" t="n">
        <v>30.43478260869566</v>
      </c>
    </row>
    <row r="3068">
      <c r="A3068" s="10" t="n">
        <v>46098</v>
      </c>
      <c r="B3068" t="inlineStr">
        <is>
          <t>Clessiane Pereira dos Santos</t>
        </is>
      </c>
      <c r="C3068" s="1" t="inlineStr">
        <is>
          <t>Técnico I</t>
        </is>
      </c>
      <c r="D3068" s="3" t="n">
        <v>24</v>
      </c>
      <c r="E3068" s="3" t="n">
        <v>24</v>
      </c>
      <c r="F3068" s="3" t="n">
        <v>20.29</v>
      </c>
      <c r="G3068" s="3" t="n">
        <v>0</v>
      </c>
      <c r="H3068" s="3" t="n">
        <v>0</v>
      </c>
      <c r="I3068" s="3">
        <f>E3068+G3068+H3068</f>
        <v/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/>
      </c>
      <c r="K3068" s="3">
        <f>I3068-J3068</f>
        <v/>
      </c>
      <c r="L3068" s="3">
        <f>IF(K3068&lt;-5,"CRÍTICO",IF(K3068&lt;0,"ATENÇÃO",IF(K3068&lt;=5,"OPORTUNO","MUITO BOM")))</f>
        <v/>
      </c>
      <c r="M3068" s="3" t="n">
        <v>22</v>
      </c>
      <c r="N3068" s="3" t="n">
        <v>96.51000000000001</v>
      </c>
      <c r="O3068" s="12" t="n">
        <v>22.80285035629454</v>
      </c>
    </row>
    <row r="3069">
      <c r="A3069" s="10" t="n">
        <v>46098</v>
      </c>
      <c r="B3069" t="inlineStr">
        <is>
          <t>Cristiane Ramos da Silva Rocha</t>
        </is>
      </c>
      <c r="C3069" s="1" t="inlineStr">
        <is>
          <t>Técnico III</t>
        </is>
      </c>
      <c r="D3069" s="3" t="n">
        <v>0</v>
      </c>
      <c r="E3069" s="3" t="n">
        <v>0</v>
      </c>
      <c r="F3069" s="3" t="n">
        <v>0</v>
      </c>
      <c r="G3069" s="3" t="n">
        <v>0</v>
      </c>
      <c r="H3069" s="3" t="n">
        <v>0</v>
      </c>
      <c r="I3069" s="3" t="n">
        <v>0</v>
      </c>
      <c r="J3069" s="3" t="n">
        <v>0</v>
      </c>
      <c r="K3069" s="3" t="n">
        <v>0</v>
      </c>
      <c r="L3069" s="3">
        <f>IF(K3069&lt;-5,"CRÍTICO",IF(K3069&lt;0,"ATENÇÃO",IF(K3069&lt;=5,"OPORTUNO","MUITO BOM")))</f>
        <v/>
      </c>
      <c r="M3069" s="3" t="n">
        <v>9</v>
      </c>
      <c r="N3069" s="3" t="n">
        <v>92.68000000000001</v>
      </c>
      <c r="O3069" s="12" t="n">
        <v>27.77777777777778</v>
      </c>
    </row>
    <row r="3070">
      <c r="A3070" s="10" t="n">
        <v>46098</v>
      </c>
      <c r="B3070" t="inlineStr">
        <is>
          <t>Damyllis Lorraine de Oliveira Gonçalves</t>
        </is>
      </c>
      <c r="C3070" s="1" t="inlineStr">
        <is>
          <t>Técnico II</t>
        </is>
      </c>
      <c r="D3070" s="3" t="n">
        <v>29</v>
      </c>
      <c r="E3070" s="3" t="n">
        <v>26</v>
      </c>
      <c r="F3070" s="3" t="n">
        <v>21.42</v>
      </c>
      <c r="G3070" s="3" t="n">
        <v>0</v>
      </c>
      <c r="H3070" s="3" t="n">
        <v>0</v>
      </c>
      <c r="I3070" s="3" t="n">
        <v>0</v>
      </c>
      <c r="J3070" s="3" t="n">
        <v>0</v>
      </c>
      <c r="K3070" s="3" t="n">
        <v>0</v>
      </c>
      <c r="L3070" s="3">
        <f>IF(K3070&lt;-5,"CRÍTICO",IF(K3070&lt;0,"ATENÇÃO",IF(K3070&lt;=5,"OPORTUNO","MUITO BOM")))</f>
        <v/>
      </c>
      <c r="M3070" s="3" t="n">
        <v>26</v>
      </c>
      <c r="N3070" s="3" t="n">
        <v>99.03</v>
      </c>
      <c r="O3070" s="12" t="n">
        <v>23.99150743099788</v>
      </c>
    </row>
    <row r="3071">
      <c r="A3071" s="10" t="n">
        <v>46098</v>
      </c>
      <c r="B3071" t="inlineStr">
        <is>
          <t>Daniel Gomes da Silva</t>
        </is>
      </c>
      <c r="C3071" s="1" t="inlineStr">
        <is>
          <t>Técnico I</t>
        </is>
      </c>
      <c r="D3071" s="3" t="n">
        <v>24</v>
      </c>
      <c r="E3071" s="3" t="n">
        <v>22</v>
      </c>
      <c r="F3071" s="3" t="n">
        <v>25.58</v>
      </c>
      <c r="G3071" s="3" t="n">
        <v>0</v>
      </c>
      <c r="H3071" s="3" t="n">
        <v>0</v>
      </c>
      <c r="I3071" s="3">
        <f>E3071+G3071+H3071</f>
        <v/>
      </c>
      <c r="J3071" s="3">
        <f>ROUND(MIN(IF(C3071="Técnico III",35,IF(C3071="Técnico II",28,IF(C3071="Técnico I",23,IF(C3071="JR",20,IF(C3071="Estágio",10,0))))),IF(C3071="Técnico III",SUMIFS($D:$D,$A:$A,$A3071,$B:$B,"&lt;&gt;Patrícia Karla de Sousa Araújo",$B:$B,"&lt;&gt;Lorena Dias de Araujo",$B:$B,"&lt;&gt;Lucas Luiz Romero")*(35/1083),IF(C3071="Técnico II",SUMIFS($D:$D,$A:$A,$A3071,$B:$B,"&lt;&gt;Patrícia Karla de Sousa Araújo",$B:$B,"&lt;&gt;Lorena Dias de Araujo",$B:$B,"&lt;&gt;Lucas Luiz Romero")*(28/1083),IF(C3071="Técnico I",SUMIFS($D:$D,$A:$A,$A3071,$B:$B,"&lt;&gt;Patrícia Karla de Sousa Araújo",$B:$B,"&lt;&gt;Lorena Dias de Araujo",$B:$B,"&lt;&gt;Lucas Luiz Romero")*(23/1083),IF(C3071="JR",SUMIFS($D:$D,$A:$A,$A3071,$B:$B,"&lt;&gt;Patrícia Karla de Sousa Araújo",$B:$B,"&lt;&gt;Lorena Dias de Araujo",$B:$B,"&lt;&gt;Lucas Luiz Romero")*(20/1083),IF(C3071="Estágio",SUMIFS($D:$D,$A:$A,$A3071,$B:$B,"&lt;&gt;Patrícia Karla de Sousa Araújo",$B:$B,"&lt;&gt;Lorena Dias de Araujo",$B:$B,"&lt;&gt;Lucas Luiz Romero")*(10/1083),0)))))),0)</f>
        <v/>
      </c>
      <c r="K3071" s="3">
        <f>I3071-J3071</f>
        <v/>
      </c>
      <c r="L3071" s="3">
        <f>IF(K3071&lt;-5,"CRÍTICO",IF(K3071&lt;0,"ATENÇÃO",IF(K3071&lt;=5,"OPORTUNO","MUITO BOM")))</f>
        <v/>
      </c>
      <c r="M3071" s="3" t="n">
        <v>13</v>
      </c>
      <c r="N3071" s="3" t="n">
        <v>98.41</v>
      </c>
      <c r="O3071" s="12" t="n">
        <v>28.13852813852814</v>
      </c>
    </row>
    <row r="3072">
      <c r="A3072" s="10" t="n">
        <v>46098</v>
      </c>
      <c r="B3072" t="inlineStr">
        <is>
          <t>Davylla Rodrigues Freitas Silva</t>
        </is>
      </c>
      <c r="C3072" s="1" t="inlineStr">
        <is>
          <t>Técnico III</t>
        </is>
      </c>
      <c r="D3072" s="3" t="n">
        <v>20</v>
      </c>
      <c r="E3072" s="3" t="n">
        <v>20</v>
      </c>
      <c r="F3072" s="3" t="n">
        <v>31.55</v>
      </c>
      <c r="G3072" s="3" t="n">
        <v>0</v>
      </c>
      <c r="H3072" s="3" t="n">
        <v>0</v>
      </c>
      <c r="I3072" s="3" t="n">
        <v>0</v>
      </c>
      <c r="J3072" s="3" t="n">
        <v>0</v>
      </c>
      <c r="K3072" s="3" t="n">
        <v>0</v>
      </c>
      <c r="L3072" s="3">
        <f>IF(K3072&lt;-5,"CRÍTICO",IF(K3072&lt;0,"ATENÇÃO",IF(K3072&lt;=5,"OPORTUNO","MUITO BOM")))</f>
        <v/>
      </c>
      <c r="M3072" s="3" t="n">
        <v>20</v>
      </c>
      <c r="N3072" s="3" t="n">
        <v>98.73</v>
      </c>
      <c r="O3072" s="12" t="n">
        <v>29.14285714285714</v>
      </c>
    </row>
    <row r="3073">
      <c r="A3073" s="10" t="n">
        <v>46098</v>
      </c>
      <c r="B3073" t="inlineStr">
        <is>
          <t>Emilly Caylane Costa</t>
        </is>
      </c>
      <c r="C3073" s="1" t="inlineStr">
        <is>
          <t>Estágio</t>
        </is>
      </c>
      <c r="D3073" s="3" t="n">
        <v>9</v>
      </c>
      <c r="E3073" s="3" t="n">
        <v>8</v>
      </c>
      <c r="F3073" s="3" t="n">
        <v>43.36</v>
      </c>
      <c r="G3073" s="3" t="n">
        <v>0</v>
      </c>
      <c r="H3073" s="3" t="n">
        <v>0</v>
      </c>
      <c r="I3073" s="3">
        <f>E3073+G3073+H3073</f>
        <v/>
      </c>
      <c r="J3073" s="3">
        <f>ROUND(MIN(IF(C3073="Técnico III",35,IF(C3073="Técnico II",28,IF(C3073="Técnico I",23,IF(C3073="JR",20,IF(C3073="Estágio",10,0))))),IF(C3073="Técnico III",SUMIFS($D:$D,$A:$A,$A3073,$B:$B,"&lt;&gt;Patrícia Karla de Sousa Araújo",$B:$B,"&lt;&gt;Lorena Dias de Araujo",$B:$B,"&lt;&gt;Lucas Luiz Romero")*(35/1083),IF(C3073="Técnico II",SUMIFS($D:$D,$A:$A,$A3073,$B:$B,"&lt;&gt;Patrícia Karla de Sousa Araújo",$B:$B,"&lt;&gt;Lorena Dias de Araujo",$B:$B,"&lt;&gt;Lucas Luiz Romero")*(28/1083),IF(C3073="Técnico I",SUMIFS($D:$D,$A:$A,$A3073,$B:$B,"&lt;&gt;Patrícia Karla de Sousa Araújo",$B:$B,"&lt;&gt;Lorena Dias de Araujo",$B:$B,"&lt;&gt;Lucas Luiz Romero")*(23/1083),IF(C3073="JR",SUMIFS($D:$D,$A:$A,$A3073,$B:$B,"&lt;&gt;Patrícia Karla de Sousa Araújo",$B:$B,"&lt;&gt;Lorena Dias de Araujo",$B:$B,"&lt;&gt;Lucas Luiz Romero")*(20/1083),IF(C3073="Estágio",SUMIFS($D:$D,$A:$A,$A3073,$B:$B,"&lt;&gt;Patrícia Karla de Sousa Araújo",$B:$B,"&lt;&gt;Lorena Dias de Araujo",$B:$B,"&lt;&gt;Lucas Luiz Romero")*(10/1083),0)))))),0)</f>
        <v/>
      </c>
      <c r="K3073" s="3">
        <f>I3073-J3073</f>
        <v/>
      </c>
      <c r="L3073" s="3">
        <f>IF(K3073&lt;-5,"CRÍTICO",IF(K3073&lt;0,"ATENÇÃO",IF(K3073&lt;=5,"OPORTUNO","MUITO BOM")))</f>
        <v/>
      </c>
      <c r="M3073" s="3" t="n">
        <v>5</v>
      </c>
      <c r="N3073" s="3" t="n">
        <v>90.48</v>
      </c>
      <c r="O3073" s="12" t="n">
        <v>20.68965517241379</v>
      </c>
    </row>
    <row r="3074">
      <c r="A3074" s="10" t="n">
        <v>46098</v>
      </c>
      <c r="B3074" t="inlineStr">
        <is>
          <t>Emilly Kamilly Medeiros Miranda</t>
        </is>
      </c>
      <c r="C3074" s="1" t="inlineStr">
        <is>
          <t>Técnico II</t>
        </is>
      </c>
      <c r="D3074" s="3" t="n">
        <v>25</v>
      </c>
      <c r="E3074" s="3" t="n">
        <v>25</v>
      </c>
      <c r="F3074" s="3" t="n">
        <v>20.08</v>
      </c>
      <c r="G3074" s="3" t="n">
        <v>0</v>
      </c>
      <c r="H3074" s="3" t="n">
        <v>0</v>
      </c>
      <c r="I3074" s="3">
        <f>E3074+G3074+H3074</f>
        <v/>
      </c>
      <c r="J3074" s="3">
        <f>ROUND(MIN(IF(C3074="Técnico III",35,IF(C3074="Técnico II",28,IF(C3074="Técnico I",23,IF(C3074="JR",20,IF(C3074="Estágio",10,0))))),IF(C3074="Técnico III",SUMIFS($D:$D,$A:$A,$A3074,$B:$B,"&lt;&gt;Patrícia Karla de Sousa Araújo",$B:$B,"&lt;&gt;Lorena Dias de Araujo",$B:$B,"&lt;&gt;Lucas Luiz Romero")*(35/1083),IF(C3074="Técnico II",SUMIFS($D:$D,$A:$A,$A3074,$B:$B,"&lt;&gt;Patrícia Karla de Sousa Araújo",$B:$B,"&lt;&gt;Lorena Dias de Araujo",$B:$B,"&lt;&gt;Lucas Luiz Romero")*(28/1083),IF(C3074="Técnico I",SUMIFS($D:$D,$A:$A,$A3074,$B:$B,"&lt;&gt;Patrícia Karla de Sousa Araújo",$B:$B,"&lt;&gt;Lorena Dias de Araujo",$B:$B,"&lt;&gt;Lucas Luiz Romero")*(23/1083),IF(C3074="JR",SUMIFS($D:$D,$A:$A,$A3074,$B:$B,"&lt;&gt;Patrícia Karla de Sousa Araújo",$B:$B,"&lt;&gt;Lorena Dias de Araujo",$B:$B,"&lt;&gt;Lucas Luiz Romero")*(20/1083),IF(C3074="Estágio",SUMIFS($D:$D,$A:$A,$A3074,$B:$B,"&lt;&gt;Patrícia Karla de Sousa Araújo",$B:$B,"&lt;&gt;Lorena Dias de Araujo",$B:$B,"&lt;&gt;Lucas Luiz Romero")*(10/1083),0)))))),0)</f>
        <v/>
      </c>
      <c r="K3074" s="3">
        <f>I3074-J3074</f>
        <v/>
      </c>
      <c r="L3074" s="3">
        <f>IF(K3074&lt;-5,"CRÍTICO",IF(K3074&lt;0,"ATENÇÃO",IF(K3074&lt;=5,"OPORTUNO","MUITO BOM")))</f>
        <v/>
      </c>
      <c r="M3074" s="3" t="n">
        <v>25</v>
      </c>
      <c r="N3074" s="3" t="n">
        <v>98.06</v>
      </c>
      <c r="O3074" s="12" t="n">
        <v>24.78991596638656</v>
      </c>
    </row>
    <row r="3075">
      <c r="A3075" s="10" t="n">
        <v>46098</v>
      </c>
      <c r="B3075" t="inlineStr">
        <is>
          <t>Francielson de Oliveira</t>
        </is>
      </c>
      <c r="C3075" s="1" t="inlineStr">
        <is>
          <t>Técnico III</t>
        </is>
      </c>
      <c r="D3075" s="3" t="n">
        <v>29</v>
      </c>
      <c r="E3075" s="3" t="n">
        <v>29</v>
      </c>
      <c r="F3075" s="3" t="n">
        <v>20.37</v>
      </c>
      <c r="G3075" s="3" t="n">
        <v>0</v>
      </c>
      <c r="H3075" s="3" t="n">
        <v>0</v>
      </c>
      <c r="I3075" s="3">
        <f>E3075+G3075+H3075</f>
        <v/>
      </c>
      <c r="J3075" s="3">
        <f>ROUND(MIN(IF(C3075="Técnico III",35,IF(C3075="Técnico II",28,IF(C3075="Técnico I",23,IF(C3075="JR",20,IF(C3075="Estágio",10,0))))),IF(C3075="Técnico III",SUMIFS($D:$D,$A:$A,$A3075,$B:$B,"&lt;&gt;Patrícia Karla de Sousa Araújo",$B:$B,"&lt;&gt;Lorena Dias de Araujo",$B:$B,"&lt;&gt;Lucas Luiz Romero")*(35/1083),IF(C3075="Técnico II",SUMIFS($D:$D,$A:$A,$A3075,$B:$B,"&lt;&gt;Patrícia Karla de Sousa Araújo",$B:$B,"&lt;&gt;Lorena Dias de Araujo",$B:$B,"&lt;&gt;Lucas Luiz Romero")*(28/1083),IF(C3075="Técnico I",SUMIFS($D:$D,$A:$A,$A3075,$B:$B,"&lt;&gt;Patrícia Karla de Sousa Araújo",$B:$B,"&lt;&gt;Lorena Dias de Araujo",$B:$B,"&lt;&gt;Lucas Luiz Romero")*(23/1083),IF(C3075="JR",SUMIFS($D:$D,$A:$A,$A3075,$B:$B,"&lt;&gt;Patrícia Karla de Sousa Araújo",$B:$B,"&lt;&gt;Lorena Dias de Araujo",$B:$B,"&lt;&gt;Lucas Luiz Romero")*(20/1083),IF(C3075="Estágio",SUMIFS($D:$D,$A:$A,$A3075,$B:$B,"&lt;&gt;Patrícia Karla de Sousa Araújo",$B:$B,"&lt;&gt;Lorena Dias de Araujo",$B:$B,"&lt;&gt;Lucas Luiz Romero")*(10/1083),0)))))),0)</f>
        <v/>
      </c>
      <c r="K3075" s="3">
        <f>I3075-J3075</f>
        <v/>
      </c>
      <c r="L3075" s="3">
        <f>IF(K3075&lt;-5,"CRÍTICO",IF(K3075&lt;0,"ATENÇÃO",IF(K3075&lt;=5,"OPORTUNO","MUITO BOM")))</f>
        <v/>
      </c>
      <c r="M3075" s="3" t="n">
        <v>27</v>
      </c>
      <c r="N3075" s="3" t="n">
        <v>97.78</v>
      </c>
      <c r="O3075" s="12" t="n">
        <v>25.49407114624506</v>
      </c>
    </row>
    <row r="3076">
      <c r="A3076" s="10" t="n">
        <v>46098</v>
      </c>
      <c r="B3076" t="inlineStr">
        <is>
          <t>Francilene Ferreira de Jesus</t>
        </is>
      </c>
      <c r="C3076" s="1" t="inlineStr">
        <is>
          <t>Técnico II</t>
        </is>
      </c>
      <c r="D3076" s="3" t="n">
        <v>21</v>
      </c>
      <c r="E3076" s="3" t="n">
        <v>20</v>
      </c>
      <c r="F3076" s="3" t="n">
        <v>18.32</v>
      </c>
      <c r="G3076" s="3" t="n">
        <v>0</v>
      </c>
      <c r="H3076" s="3" t="n">
        <v>0</v>
      </c>
      <c r="I3076" s="3">
        <f>E3076+G3076+H3076</f>
        <v/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/>
      </c>
      <c r="K3076" s="3">
        <f>I3076-J3076</f>
        <v/>
      </c>
      <c r="L3076" s="3">
        <f>IF(K3076&lt;-5,"CRÍTICO",IF(K3076&lt;0,"ATENÇÃO",IF(K3076&lt;=5,"OPORTUNO","MUITO BOM")))</f>
        <v/>
      </c>
      <c r="M3076" s="3" t="n">
        <v>18</v>
      </c>
      <c r="N3076" s="3" t="n">
        <v>98.02</v>
      </c>
      <c r="O3076" s="12" t="n">
        <v>23.48484848484848</v>
      </c>
    </row>
    <row r="3077">
      <c r="A3077" s="10" t="n">
        <v>46132</v>
      </c>
      <c r="B3077" t="inlineStr">
        <is>
          <t>Gabriel Gomes de Andrade</t>
        </is>
      </c>
      <c r="C3077" s="1" t="inlineStr">
        <is>
          <t>Técnico I</t>
        </is>
      </c>
      <c r="D3077" s="3" t="n">
        <v>10</v>
      </c>
      <c r="E3077" s="3" t="n">
        <v>9</v>
      </c>
      <c r="F3077" s="3" t="n">
        <v>23.48</v>
      </c>
      <c r="G3077" s="3" t="n">
        <v>0</v>
      </c>
      <c r="H3077" s="3" t="n">
        <v>0</v>
      </c>
      <c r="I3077" s="3">
        <f>E3077+G3077+H3077</f>
        <v/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/>
      </c>
      <c r="K3077" s="3">
        <f>I3077-J3077</f>
        <v/>
      </c>
      <c r="L3077" s="3">
        <f>IF(K3077&lt;-5,"CRÍTICO",IF(K3077&lt;0,"ATENÇÃO",IF(K3077&lt;=5,"OPORTUNO","MUITO BOM")))</f>
        <v/>
      </c>
      <c r="M3077" s="3" t="n">
        <v>11</v>
      </c>
      <c r="N3077" s="3" t="n">
        <v>99.28</v>
      </c>
      <c r="O3077" s="12" t="n">
        <v>27.68924302788844</v>
      </c>
    </row>
    <row r="3078">
      <c r="A3078" s="10" t="n">
        <v>46098</v>
      </c>
      <c r="B3078" t="inlineStr">
        <is>
          <t>Isabella Borges de Oliveira</t>
        </is>
      </c>
      <c r="C3078" s="1" t="inlineStr">
        <is>
          <t>Técnico II</t>
        </is>
      </c>
      <c r="D3078" s="3" t="n">
        <v>33</v>
      </c>
      <c r="E3078" s="3" t="n">
        <v>31</v>
      </c>
      <c r="F3078" s="3" t="n">
        <v>14.06</v>
      </c>
      <c r="G3078" s="3" t="n">
        <v>0</v>
      </c>
      <c r="H3078" s="3" t="n">
        <v>0</v>
      </c>
      <c r="I3078" s="3">
        <f>E3078+G3078+H3078</f>
        <v/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/>
      </c>
      <c r="K3078" s="3">
        <f>I3078-J3078</f>
        <v/>
      </c>
      <c r="L3078" s="3">
        <f>IF(K3078&lt;-5,"CRÍTICO",IF(K3078&lt;0,"ATENÇÃO",IF(K3078&lt;=5,"OPORTUNO","MUITO BOM")))</f>
        <v/>
      </c>
      <c r="M3078" s="3" t="n">
        <v>26</v>
      </c>
      <c r="N3078" s="3" t="n">
        <v>100</v>
      </c>
      <c r="O3078" s="12" t="n">
        <v>27.04918032786885</v>
      </c>
    </row>
    <row r="3079">
      <c r="A3079" s="10" t="n">
        <v>46098</v>
      </c>
      <c r="B3079" t="inlineStr">
        <is>
          <t>Janaina Lima dos Reis Urany</t>
        </is>
      </c>
      <c r="C3079" s="1" t="inlineStr">
        <is>
          <t>Técnico III</t>
        </is>
      </c>
      <c r="D3079" s="3" t="n">
        <v>45</v>
      </c>
      <c r="E3079" s="3" t="n">
        <v>39</v>
      </c>
      <c r="F3079" s="3" t="n">
        <v>15.06</v>
      </c>
      <c r="G3079" s="3" t="n">
        <v>0</v>
      </c>
      <c r="H3079" s="3" t="n">
        <v>0</v>
      </c>
      <c r="I3079" s="3">
        <f>E3079+G3079+H3079</f>
        <v/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/>
      </c>
      <c r="K3079" s="3">
        <f>I3079-J3079</f>
        <v/>
      </c>
      <c r="L3079" s="3">
        <f>IF(K3079&lt;-5,"CRÍTICO",IF(K3079&lt;0,"ATENÇÃO",IF(K3079&lt;=5,"OPORTUNO","MUITO BOM")))</f>
        <v/>
      </c>
      <c r="M3079" s="3" t="n">
        <v>38</v>
      </c>
      <c r="N3079" s="3" t="n">
        <v>97.83</v>
      </c>
      <c r="O3079" s="12" t="n">
        <v>26.31578947368421</v>
      </c>
    </row>
    <row r="3080">
      <c r="A3080" s="10" t="n">
        <v>46098</v>
      </c>
      <c r="B3080" t="inlineStr">
        <is>
          <t>Jaqueline Evangelista da Silva Martins</t>
        </is>
      </c>
      <c r="C3080" s="1" t="inlineStr">
        <is>
          <t>Técnico III</t>
        </is>
      </c>
      <c r="D3080" s="3" t="n">
        <v>9</v>
      </c>
      <c r="E3080" s="3" t="n">
        <v>8</v>
      </c>
      <c r="F3080" s="3" t="n">
        <v>18.23</v>
      </c>
      <c r="G3080" s="3" t="n">
        <v>0</v>
      </c>
      <c r="H3080" s="3" t="n">
        <v>0</v>
      </c>
      <c r="I3080" s="3">
        <f>E3080+G3080+H3080</f>
        <v/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/>
      </c>
      <c r="K3080" s="3">
        <f>I3080-J3080</f>
        <v/>
      </c>
      <c r="L3080" s="3">
        <f>IF(K3080&lt;-5,"CRÍTICO",IF(K3080&lt;0,"ATENÇÃO",IF(K3080&lt;=5,"OPORTUNO","MUITO BOM")))</f>
        <v/>
      </c>
      <c r="M3080" s="3" t="n">
        <v>16</v>
      </c>
      <c r="N3080" s="3" t="n">
        <v>100</v>
      </c>
      <c r="O3080" s="12" t="n">
        <v>26.70157068062827</v>
      </c>
    </row>
    <row r="3081">
      <c r="A3081" s="10" t="n">
        <v>46098</v>
      </c>
      <c r="B3081" t="inlineStr">
        <is>
          <t>Jessica Faria da Silveira</t>
        </is>
      </c>
      <c r="C3081" s="1" t="inlineStr">
        <is>
          <t>Técnico II</t>
        </is>
      </c>
      <c r="D3081" s="3" t="n">
        <v>29</v>
      </c>
      <c r="E3081" s="3" t="n">
        <v>26</v>
      </c>
      <c r="F3081" s="3" t="n">
        <v>20.14</v>
      </c>
      <c r="G3081" s="3" t="n">
        <v>0</v>
      </c>
      <c r="H3081" s="3" t="n">
        <v>0</v>
      </c>
      <c r="I3081" s="3">
        <f>E3081+G3081+H3081</f>
        <v/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/>
      </c>
      <c r="K3081" s="3">
        <f>I3081-J3081</f>
        <v/>
      </c>
      <c r="L3081" s="3">
        <f>IF(K3081&lt;-5,"CRÍTICO",IF(K3081&lt;0,"ATENÇÃO",IF(K3081&lt;=5,"OPORTUNO","MUITO BOM")))</f>
        <v/>
      </c>
      <c r="M3081" s="3" t="n">
        <v>24</v>
      </c>
      <c r="N3081" s="3" t="n">
        <v>97.47</v>
      </c>
      <c r="O3081" s="12" t="n">
        <v>22.88732394366197</v>
      </c>
    </row>
    <row r="3082">
      <c r="A3082" s="10" t="n">
        <v>46098</v>
      </c>
      <c r="B3082" t="inlineStr">
        <is>
          <t>Jéssica Fé Moura</t>
        </is>
      </c>
      <c r="C3082" s="1" t="inlineStr">
        <is>
          <t>Técnico III</t>
        </is>
      </c>
      <c r="D3082" s="3" t="n">
        <v>0</v>
      </c>
      <c r="E3082" s="3" t="n">
        <v>0</v>
      </c>
      <c r="F3082" s="3" t="n">
        <v>0</v>
      </c>
      <c r="G3082" s="3" t="n">
        <v>0</v>
      </c>
      <c r="H3082" s="3" t="n">
        <v>0</v>
      </c>
      <c r="I3082" s="3" t="n">
        <v>0</v>
      </c>
      <c r="J3082" s="3" t="n">
        <v>0</v>
      </c>
      <c r="K3082" s="3" t="n">
        <v>0</v>
      </c>
      <c r="L3082" s="3">
        <f>IF(K3082&lt;-5,"CRÍTICO",IF(K3082&lt;0,"ATENÇÃO",IF(K3082&lt;=5,"OPORTUNO","MUITO BOM")))</f>
        <v/>
      </c>
      <c r="M3082" s="3" t="n">
        <v>0</v>
      </c>
      <c r="N3082" s="3" t="n">
        <v>0</v>
      </c>
      <c r="O3082" s="12" t="n">
        <v>0</v>
      </c>
    </row>
    <row r="3083">
      <c r="A3083" s="10" t="n">
        <v>46098</v>
      </c>
      <c r="B3083" t="inlineStr">
        <is>
          <t>Karina Gonçalves Martins</t>
        </is>
      </c>
      <c r="C3083" s="1" t="inlineStr">
        <is>
          <t>JR</t>
        </is>
      </c>
      <c r="D3083" s="3" t="n">
        <v>8</v>
      </c>
      <c r="E3083" s="3" t="n">
        <v>6</v>
      </c>
      <c r="F3083" s="3" t="n">
        <v>32.02</v>
      </c>
      <c r="G3083" s="3" t="n">
        <v>0</v>
      </c>
      <c r="H3083" s="3" t="n">
        <v>0</v>
      </c>
      <c r="I3083" s="3">
        <f>E3083+G3083+H3083</f>
        <v/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/>
      </c>
      <c r="K3083" s="3">
        <f>I3083-J3083</f>
        <v/>
      </c>
      <c r="L3083" s="3">
        <f>IF(K3083&lt;-5,"CRÍTICO",IF(K3083&lt;0,"ATENÇÃO",IF(K3083&lt;=5,"OPORTUNO","MUITO BOM")))</f>
        <v/>
      </c>
      <c r="M3083" s="3" t="n">
        <v>7</v>
      </c>
      <c r="N3083" s="3" t="n">
        <v>98.31</v>
      </c>
      <c r="O3083" s="12" t="n">
        <v>24.92012779552715</v>
      </c>
    </row>
    <row r="3084">
      <c r="A3084" s="10" t="n">
        <v>46098</v>
      </c>
      <c r="B3084" t="inlineStr">
        <is>
          <t>Kerollen Cristielly de Jesus Siqueira</t>
        </is>
      </c>
      <c r="C3084" s="1" t="inlineStr">
        <is>
          <t>Técnico III</t>
        </is>
      </c>
      <c r="D3084" s="3" t="n">
        <v>1</v>
      </c>
      <c r="E3084" s="3" t="n">
        <v>1</v>
      </c>
      <c r="F3084" s="3" t="n">
        <v>10.12</v>
      </c>
      <c r="G3084" s="3" t="n">
        <v>0</v>
      </c>
      <c r="H3084" s="3" t="n">
        <v>0</v>
      </c>
      <c r="I3084" s="3">
        <f>E3084+G3084+H3084</f>
        <v/>
      </c>
      <c r="J3084" s="3">
        <f>ROUND(MIN(IF(C3084="Técnico III",35,IF(C3084="Técnico II",28,IF(C3084="Técnico I",23,IF(C3084="JR",20,IF(C3084="Estágio",10,0))))),IF(C3084="Técnico III",SUMIFS($D:$D,$A:$A,$A3084,$B:$B,"&lt;&gt;Patrícia Karla de Sousa Araújo",$B:$B,"&lt;&gt;Lorena Dias de Araujo",$B:$B,"&lt;&gt;Lucas Luiz Romero")*(35/1083),IF(C3084="Técnico II",SUMIFS($D:$D,$A:$A,$A3084,$B:$B,"&lt;&gt;Patrícia Karla de Sousa Araújo",$B:$B,"&lt;&gt;Lorena Dias de Araujo",$B:$B,"&lt;&gt;Lucas Luiz Romero")*(28/1083),IF(C3084="Técnico I",SUMIFS($D:$D,$A:$A,$A3084,$B:$B,"&lt;&gt;Patrícia Karla de Sousa Araújo",$B:$B,"&lt;&gt;Lorena Dias de Araujo",$B:$B,"&lt;&gt;Lucas Luiz Romero")*(23/1083),IF(C3084="JR",SUMIFS($D:$D,$A:$A,$A3084,$B:$B,"&lt;&gt;Patrícia Karla de Sousa Araújo",$B:$B,"&lt;&gt;Lorena Dias de Araujo",$B:$B,"&lt;&gt;Lucas Luiz Romero")*(20/1083),IF(C3084="Estágio",SUMIFS($D:$D,$A:$A,$A3084,$B:$B,"&lt;&gt;Patrícia Karla de Sousa Araújo",$B:$B,"&lt;&gt;Lorena Dias de Araujo",$B:$B,"&lt;&gt;Lucas Luiz Romero")*(10/1083),0)))))),0)</f>
        <v/>
      </c>
      <c r="K3084" s="3">
        <f>I3084-J3084</f>
        <v/>
      </c>
      <c r="L3084" s="3">
        <f>IF(K3084&lt;-5,"CRÍTICO",IF(K3084&lt;0,"ATENÇÃO",IF(K3084&lt;=5,"OPORTUNO","MUITO BOM")))</f>
        <v/>
      </c>
      <c r="M3084" s="3" t="n">
        <v>2</v>
      </c>
      <c r="N3084" s="3" t="n">
        <v>96.81</v>
      </c>
      <c r="O3084" s="12" t="n">
        <v>32.36514522821577</v>
      </c>
    </row>
    <row r="3085">
      <c r="A3085" s="10" t="n">
        <v>46098</v>
      </c>
      <c r="B3085" t="inlineStr">
        <is>
          <t>Leandro de Souza Silva</t>
        </is>
      </c>
      <c r="C3085" s="1" t="inlineStr">
        <is>
          <t>JR</t>
        </is>
      </c>
      <c r="D3085" s="3" t="n">
        <v>10</v>
      </c>
      <c r="E3085" s="3" t="n">
        <v>9</v>
      </c>
      <c r="F3085" s="3" t="n">
        <v>35.33</v>
      </c>
      <c r="G3085" s="3" t="n">
        <v>0</v>
      </c>
      <c r="H3085" s="3" t="n">
        <v>0</v>
      </c>
      <c r="I3085" s="3">
        <f>E3085+G3085+H3085</f>
        <v/>
      </c>
      <c r="J3085" s="3">
        <f>ROUND(MIN(IF(C3085="Técnico III",35,IF(C3085="Técnico II",28,IF(C3085="Técnico I",23,IF(C3085="JR",20,IF(C3085="Estágio",10,0))))),IF(C3085="Técnico III",SUMIFS($D:$D,$A:$A,$A3085,$B:$B,"&lt;&gt;Patrícia Karla de Sousa Araújo",$B:$B,"&lt;&gt;Lorena Dias de Araujo",$B:$B,"&lt;&gt;Lucas Luiz Romero")*(35/1083),IF(C3085="Técnico II",SUMIFS($D:$D,$A:$A,$A3085,$B:$B,"&lt;&gt;Patrícia Karla de Sousa Araújo",$B:$B,"&lt;&gt;Lorena Dias de Araujo",$B:$B,"&lt;&gt;Lucas Luiz Romero")*(28/1083),IF(C3085="Técnico I",SUMIFS($D:$D,$A:$A,$A3085,$B:$B,"&lt;&gt;Patrícia Karla de Sousa Araújo",$B:$B,"&lt;&gt;Lorena Dias de Araujo",$B:$B,"&lt;&gt;Lucas Luiz Romero")*(23/1083),IF(C3085="JR",SUMIFS($D:$D,$A:$A,$A3085,$B:$B,"&lt;&gt;Patrícia Karla de Sousa Araújo",$B:$B,"&lt;&gt;Lorena Dias de Araujo",$B:$B,"&lt;&gt;Lucas Luiz Romero")*(20/1083),IF(C3085="Estágio",SUMIFS($D:$D,$A:$A,$A3085,$B:$B,"&lt;&gt;Patrícia Karla de Sousa Araújo",$B:$B,"&lt;&gt;Lorena Dias de Araujo",$B:$B,"&lt;&gt;Lucas Luiz Romero")*(10/1083),0)))))),0)</f>
        <v/>
      </c>
      <c r="K3085" s="3">
        <f>I3085-J3085</f>
        <v/>
      </c>
      <c r="L3085" s="3">
        <f>IF(K3085&lt;-5,"CRÍTICO",IF(K3085&lt;0,"ATENÇÃO",IF(K3085&lt;=5,"OPORTUNO","MUITO BOM")))</f>
        <v/>
      </c>
      <c r="M3085" s="3" t="n">
        <v>8</v>
      </c>
      <c r="N3085" s="3" t="n">
        <v>100</v>
      </c>
      <c r="O3085" s="12" t="n">
        <v>26.47058823529412</v>
      </c>
    </row>
    <row r="3086">
      <c r="A3086" s="10" t="n">
        <v>46098</v>
      </c>
      <c r="B3086" t="inlineStr">
        <is>
          <t>Leandro Oliveira de Sousa</t>
        </is>
      </c>
      <c r="C3086" s="1" t="inlineStr">
        <is>
          <t>Técnico III</t>
        </is>
      </c>
      <c r="D3086" s="3" t="n">
        <v>18</v>
      </c>
      <c r="E3086" s="3" t="n">
        <v>18</v>
      </c>
      <c r="F3086" s="3" t="n">
        <v>25.22</v>
      </c>
      <c r="G3086" s="3" t="n">
        <v>0</v>
      </c>
      <c r="H3086" s="3" t="n">
        <v>0</v>
      </c>
      <c r="I3086" s="3">
        <f>E3086+G3086+H3086</f>
        <v/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/>
      </c>
      <c r="K3086" s="3">
        <f>I3086-J3086</f>
        <v/>
      </c>
      <c r="L3086" s="3">
        <f>IF(K3086&lt;-5,"CRÍTICO",IF(K3086&lt;0,"ATENÇÃO",IF(K3086&lt;=5,"OPORTUNO","MUITO BOM")))</f>
        <v/>
      </c>
      <c r="M3086" s="3" t="n">
        <v>16</v>
      </c>
      <c r="N3086" s="3" t="n">
        <v>100</v>
      </c>
      <c r="O3086" s="12" t="n">
        <v>28.49002849002849</v>
      </c>
    </row>
    <row r="3087">
      <c r="A3087" s="10" t="n">
        <v>46098</v>
      </c>
      <c r="B3087" t="inlineStr">
        <is>
          <t>Lizandra Gomes Duarte</t>
        </is>
      </c>
      <c r="C3087" s="1" t="inlineStr">
        <is>
          <t>Técnico II</t>
        </is>
      </c>
      <c r="D3087" s="3" t="n">
        <v>38</v>
      </c>
      <c r="E3087" s="3" t="n">
        <v>36</v>
      </c>
      <c r="F3087" s="3" t="n">
        <v>20.03</v>
      </c>
      <c r="G3087" s="3" t="n">
        <v>0</v>
      </c>
      <c r="H3087" s="3" t="n">
        <v>0</v>
      </c>
      <c r="I3087" s="3">
        <f>E3087+G3087+H3087</f>
        <v/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/>
      </c>
      <c r="K3087" s="3">
        <f>I3087-J3087</f>
        <v/>
      </c>
      <c r="L3087" s="3">
        <f>IF(K3087&lt;-5,"CRÍTICO",IF(K3087&lt;0,"ATENÇÃO",IF(K3087&lt;=5,"OPORTUNO","MUITO BOM")))</f>
        <v/>
      </c>
      <c r="M3087" s="3" t="n">
        <v>40</v>
      </c>
      <c r="N3087" s="3" t="n">
        <v>99.14</v>
      </c>
      <c r="O3087" s="12" t="n">
        <v>27.2289156626506</v>
      </c>
    </row>
    <row r="3088">
      <c r="A3088" s="10" t="n">
        <v>46098</v>
      </c>
      <c r="B3088" t="inlineStr">
        <is>
          <t>Lorena Dias de Araujo</t>
        </is>
      </c>
      <c r="C3088" s="1" t="inlineStr">
        <is>
          <t>Técnico II</t>
        </is>
      </c>
      <c r="D3088" s="3" t="n">
        <v>22</v>
      </c>
      <c r="E3088" s="3" t="n">
        <v>21</v>
      </c>
      <c r="F3088" s="3" t="n">
        <v>23.56</v>
      </c>
      <c r="G3088" s="3" t="n">
        <v>0</v>
      </c>
      <c r="H3088" s="3" t="n">
        <v>0</v>
      </c>
      <c r="I3088" s="3" t="n">
        <v>0</v>
      </c>
      <c r="J3088" s="3" t="n">
        <v>0</v>
      </c>
      <c r="K3088" s="3" t="n">
        <v>0</v>
      </c>
      <c r="L3088" s="3">
        <f>IF(K3088&lt;-5,"CRÍTICO",IF(K3088&lt;0,"ATENÇÃO",IF(K3088&lt;=5,"OPORTUNO","MUITO BOM")))</f>
        <v/>
      </c>
      <c r="M3088" s="3" t="n">
        <v>22</v>
      </c>
      <c r="N3088" s="3" t="n">
        <v>97.52</v>
      </c>
      <c r="O3088" s="12" t="n">
        <v>28.2051282051282</v>
      </c>
    </row>
    <row r="3089">
      <c r="A3089" s="10" t="n">
        <v>46098</v>
      </c>
      <c r="B3089" t="inlineStr">
        <is>
          <t>Lucas Luiz Romero</t>
        </is>
      </c>
      <c r="C3089" s="1" t="inlineStr">
        <is>
          <t>Técnico III</t>
        </is>
      </c>
      <c r="D3089" s="3" t="n">
        <v>0</v>
      </c>
      <c r="E3089" s="3" t="n">
        <v>0</v>
      </c>
      <c r="F3089" s="3" t="n">
        <v>0</v>
      </c>
      <c r="G3089" s="3" t="n">
        <v>0</v>
      </c>
      <c r="H3089" s="3" t="n">
        <v>0</v>
      </c>
      <c r="I3089" s="3" t="n">
        <v>0</v>
      </c>
      <c r="J3089" s="3" t="n">
        <v>0</v>
      </c>
      <c r="K3089" s="3" t="n">
        <v>0</v>
      </c>
      <c r="L3089" s="3">
        <f>IF(K3089&lt;-5,"CRÍTICO",IF(K3089&lt;0,"ATENÇÃO",IF(K3089&lt;=5,"OPORTUNO","MUITO BOM")))</f>
        <v/>
      </c>
      <c r="M3089" s="3" t="n">
        <v>0</v>
      </c>
      <c r="N3089" s="3" t="n">
        <v>90</v>
      </c>
      <c r="O3089" s="12" t="n">
        <v>24.18604651162791</v>
      </c>
    </row>
    <row r="3090">
      <c r="A3090" s="10" t="n">
        <v>46098</v>
      </c>
      <c r="B3090" t="inlineStr">
        <is>
          <t>Luiz Fernando de Carvalho Junior</t>
        </is>
      </c>
      <c r="C3090" s="1" t="inlineStr">
        <is>
          <t>Técnico I</t>
        </is>
      </c>
      <c r="D3090" s="3" t="n">
        <v>16</v>
      </c>
      <c r="E3090" s="3" t="n">
        <v>16</v>
      </c>
      <c r="F3090" s="3" t="n">
        <v>33.57</v>
      </c>
      <c r="G3090" s="3" t="n">
        <v>0</v>
      </c>
      <c r="H3090" s="3" t="n">
        <v>0</v>
      </c>
      <c r="I3090" s="3">
        <f>E3090+G3090+H3090</f>
        <v/>
      </c>
      <c r="J3090" s="3">
        <f>ROUND(MIN(IF(C3090="Técnico III",35,IF(C3090="Técnico II",28,IF(C3090="Técnico I",23,IF(C3090="JR",20,IF(C3090="Estágio",10,0))))),IF(C3090="Técnico III",SUMIFS($D:$D,$A:$A,$A3090,$B:$B,"&lt;&gt;Patrícia Karla de Sousa Araújo",$B:$B,"&lt;&gt;Lorena Dias de Araujo",$B:$B,"&lt;&gt;Lucas Luiz Romero")*(35/1083),IF(C3090="Técnico II",SUMIFS($D:$D,$A:$A,$A3090,$B:$B,"&lt;&gt;Patrícia Karla de Sousa Araújo",$B:$B,"&lt;&gt;Lorena Dias de Araujo",$B:$B,"&lt;&gt;Lucas Luiz Romero")*(28/1083),IF(C3090="Técnico I",SUMIFS($D:$D,$A:$A,$A3090,$B:$B,"&lt;&gt;Patrícia Karla de Sousa Araújo",$B:$B,"&lt;&gt;Lorena Dias de Araujo",$B:$B,"&lt;&gt;Lucas Luiz Romero")*(23/1083),IF(C3090="JR",SUMIFS($D:$D,$A:$A,$A3090,$B:$B,"&lt;&gt;Patrícia Karla de Sousa Araújo",$B:$B,"&lt;&gt;Lorena Dias de Araujo",$B:$B,"&lt;&gt;Lucas Luiz Romero")*(20/1083),IF(C3090="Estágio",SUMIFS($D:$D,$A:$A,$A3090,$B:$B,"&lt;&gt;Patrícia Karla de Sousa Araújo",$B:$B,"&lt;&gt;Lorena Dias de Araujo",$B:$B,"&lt;&gt;Lucas Luiz Romero")*(10/1083),0)))))),0)</f>
        <v/>
      </c>
      <c r="K3090" s="3">
        <f>I3090-J3090</f>
        <v/>
      </c>
      <c r="L3090" s="3">
        <f>IF(K3090&lt;-5,"CRÍTICO",IF(K3090&lt;0,"ATENÇÃO",IF(K3090&lt;=5,"OPORTUNO","MUITO BOM")))</f>
        <v/>
      </c>
      <c r="M3090" s="3" t="n">
        <v>16</v>
      </c>
      <c r="N3090" s="3" t="n">
        <v>98.90000000000001</v>
      </c>
      <c r="O3090" s="12" t="n">
        <v>26.7639902676399</v>
      </c>
    </row>
    <row r="3091">
      <c r="A3091" s="10" t="n">
        <v>46098</v>
      </c>
      <c r="B3091" t="inlineStr">
        <is>
          <t>Maria Eduarda Sousa Costa</t>
        </is>
      </c>
      <c r="C3091" s="1" t="inlineStr">
        <is>
          <t>Estágio</t>
        </is>
      </c>
      <c r="D3091" s="3" t="n">
        <v>8</v>
      </c>
      <c r="E3091" s="3" t="n">
        <v>8</v>
      </c>
      <c r="F3091" s="3" t="n">
        <v>38.31</v>
      </c>
      <c r="G3091" s="3" t="n">
        <v>0</v>
      </c>
      <c r="H3091" s="3" t="n">
        <v>0</v>
      </c>
      <c r="I3091" s="3">
        <f>E3091+G3091+H3091</f>
        <v/>
      </c>
      <c r="J3091" s="3">
        <f>ROUND(MIN(IF(C3091="Técnico III",35,IF(C3091="Técnico II",28,IF(C3091="Técnico I",23,IF(C3091="JR",20,IF(C3091="Estágio",10,0))))),IF(C3091="Técnico III",SUMIFS($D:$D,$A:$A,$A3091,$B:$B,"&lt;&gt;Patrícia Karla de Sousa Araújo",$B:$B,"&lt;&gt;Lorena Dias de Araujo",$B:$B,"&lt;&gt;Lucas Luiz Romero")*(35/1083),IF(C3091="Técnico II",SUMIFS($D:$D,$A:$A,$A3091,$B:$B,"&lt;&gt;Patrícia Karla de Sousa Araújo",$B:$B,"&lt;&gt;Lorena Dias de Araujo",$B:$B,"&lt;&gt;Lucas Luiz Romero")*(28/1083),IF(C3091="Técnico I",SUMIFS($D:$D,$A:$A,$A3091,$B:$B,"&lt;&gt;Patrícia Karla de Sousa Araújo",$B:$B,"&lt;&gt;Lorena Dias de Araujo",$B:$B,"&lt;&gt;Lucas Luiz Romero")*(23/1083),IF(C3091="JR",SUMIFS($D:$D,$A:$A,$A3091,$B:$B,"&lt;&gt;Patrícia Karla de Sousa Araújo",$B:$B,"&lt;&gt;Lorena Dias de Araujo",$B:$B,"&lt;&gt;Lucas Luiz Romero")*(20/1083),IF(C3091="Estágio",SUMIFS($D:$D,$A:$A,$A3091,$B:$B,"&lt;&gt;Patrícia Karla de Sousa Araújo",$B:$B,"&lt;&gt;Lorena Dias de Araujo",$B:$B,"&lt;&gt;Lucas Luiz Romero")*(10/1083),0)))))),0)</f>
        <v/>
      </c>
      <c r="K3091" s="3">
        <f>I3091-J3091</f>
        <v/>
      </c>
      <c r="L3091" s="3">
        <f>IF(K3091&lt;-5,"CRÍTICO",IF(K3091&lt;0,"ATENÇÃO",IF(K3091&lt;=5,"OPORTUNO","MUITO BOM")))</f>
        <v/>
      </c>
      <c r="M3091" s="3" t="n">
        <v>7</v>
      </c>
      <c r="N3091" s="3" t="n">
        <v>88.89</v>
      </c>
      <c r="O3091" s="12" t="n">
        <v>25.26315789473684</v>
      </c>
    </row>
    <row r="3092">
      <c r="A3092" s="10" t="n">
        <v>46118</v>
      </c>
      <c r="B3092" t="inlineStr">
        <is>
          <t>Matheus Farias De Souza</t>
        </is>
      </c>
      <c r="C3092" s="1" t="inlineStr">
        <is>
          <t>Técnico III</t>
        </is>
      </c>
      <c r="D3092" s="3" t="n">
        <v>44</v>
      </c>
      <c r="E3092" s="3" t="n">
        <v>42</v>
      </c>
      <c r="F3092" s="3" t="n">
        <v>12.16</v>
      </c>
      <c r="G3092" s="3" t="n">
        <v>0</v>
      </c>
      <c r="H3092" s="3" t="n">
        <v>0</v>
      </c>
      <c r="I3092" s="3">
        <f>E3092+G3092+H3092</f>
        <v/>
      </c>
      <c r="J3092" s="3">
        <f>ROUND(MIN(IF(C3092="Técnico III",35,IF(C3092="Técnico II",28,IF(C3092="Técnico I",23,IF(C3092="JR",20,IF(C3092="Estágio",10,0))))),IF(C3092="Técnico III",SUMIFS($D:$D,$A:$A,$A3092,$B:$B,"&lt;&gt;Patrícia Karla de Sousa Araújo",$B:$B,"&lt;&gt;Lorena Dias de Araujo",$B:$B,"&lt;&gt;Lucas Luiz Romero")*(35/1083),IF(C3092="Técnico II",SUMIFS($D:$D,$A:$A,$A3092,$B:$B,"&lt;&gt;Patrícia Karla de Sousa Araújo",$B:$B,"&lt;&gt;Lorena Dias de Araujo",$B:$B,"&lt;&gt;Lucas Luiz Romero")*(28/1083),IF(C3092="Técnico I",SUMIFS($D:$D,$A:$A,$A3092,$B:$B,"&lt;&gt;Patrícia Karla de Sousa Araújo",$B:$B,"&lt;&gt;Lorena Dias de Araujo",$B:$B,"&lt;&gt;Lucas Luiz Romero")*(23/1083),IF(C3092="JR",SUMIFS($D:$D,$A:$A,$A3092,$B:$B,"&lt;&gt;Patrícia Karla de Sousa Araújo",$B:$B,"&lt;&gt;Lorena Dias de Araujo",$B:$B,"&lt;&gt;Lucas Luiz Romero")*(20/1083),IF(C3092="Estágio",SUMIFS($D:$D,$A:$A,$A3092,$B:$B,"&lt;&gt;Patrícia Karla de Sousa Araújo",$B:$B,"&lt;&gt;Lorena Dias de Araujo",$B:$B,"&lt;&gt;Lucas Luiz Romero")*(10/1083),0)))))),0)</f>
        <v/>
      </c>
      <c r="K3092" s="3">
        <f>I3092-J3092</f>
        <v/>
      </c>
      <c r="L3092" s="3">
        <f>IF(K3092&lt;-5,"CRÍTICO",IF(K3092&lt;0,"ATENÇÃO",IF(K3092&lt;=5,"OPORTUNO","MUITO BOM")))</f>
        <v/>
      </c>
      <c r="M3092" s="3" t="n">
        <v>41</v>
      </c>
      <c r="N3092" s="3" t="n">
        <v>100</v>
      </c>
      <c r="O3092" s="12" t="n">
        <v>23.9870340356564</v>
      </c>
    </row>
    <row r="3093">
      <c r="A3093" s="10" t="n">
        <v>46098</v>
      </c>
      <c r="B3093" t="inlineStr">
        <is>
          <t>Maysa Victoria Dias Moura</t>
        </is>
      </c>
      <c r="C3093" s="1" t="inlineStr">
        <is>
          <t>Técnico III</t>
        </is>
      </c>
      <c r="D3093" s="3" t="n">
        <v>2</v>
      </c>
      <c r="E3093" s="3" t="n">
        <v>2</v>
      </c>
      <c r="F3093" s="3" t="n">
        <v>5.24</v>
      </c>
      <c r="G3093" s="3" t="n">
        <v>0</v>
      </c>
      <c r="H3093" s="3" t="n">
        <v>0</v>
      </c>
      <c r="I3093" s="3">
        <f>E3093+G3093+H3093</f>
        <v/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/>
      </c>
      <c r="K3093" s="3">
        <f>I3093-J3093</f>
        <v/>
      </c>
      <c r="L3093" s="3">
        <f>IF(K3093&lt;-5,"CRÍTICO",IF(K3093&lt;0,"ATENÇÃO",IF(K3093&lt;=5,"OPORTUNO","MUITO BOM")))</f>
        <v/>
      </c>
      <c r="M3093" s="3" t="n">
        <v>1</v>
      </c>
      <c r="N3093" s="3" t="n">
        <v>98.06</v>
      </c>
      <c r="O3093" s="12" t="n">
        <v>22.40566037735849</v>
      </c>
    </row>
    <row r="3094">
      <c r="A3094" s="10" t="n">
        <v>46126</v>
      </c>
      <c r="B3094" t="inlineStr">
        <is>
          <t>Michelle G Santos</t>
        </is>
      </c>
      <c r="C3094" s="1" t="inlineStr">
        <is>
          <t>Estágio</t>
        </is>
      </c>
      <c r="D3094" s="3" t="n">
        <v>0</v>
      </c>
      <c r="E3094" s="3" t="n">
        <v>0</v>
      </c>
      <c r="F3094" s="3" t="n">
        <v>0</v>
      </c>
      <c r="G3094" s="3" t="n">
        <v>0</v>
      </c>
      <c r="H3094" s="3" t="n">
        <v>0</v>
      </c>
      <c r="I3094" s="3" t="n">
        <v>0</v>
      </c>
      <c r="J3094" s="3" t="n">
        <v>0</v>
      </c>
      <c r="K3094" s="3" t="n">
        <v>0</v>
      </c>
      <c r="L3094" s="3">
        <f>IF(K3094&lt;-5,"CRÍTICO",IF(K3094&lt;0,"ATENÇÃO",IF(K3094&lt;=5,"OPORTUNO","MUITO BOM")))</f>
        <v/>
      </c>
      <c r="M3094" s="3" t="n">
        <v>0</v>
      </c>
      <c r="N3094" s="3" t="n">
        <v>100</v>
      </c>
      <c r="O3094" s="12" t="n">
        <v>23.77622377622378</v>
      </c>
    </row>
    <row r="3095">
      <c r="A3095" s="10" t="n">
        <v>46098</v>
      </c>
      <c r="B3095" t="inlineStr">
        <is>
          <t>Milena Sales</t>
        </is>
      </c>
      <c r="C3095" s="1" t="inlineStr">
        <is>
          <t>JR</t>
        </is>
      </c>
      <c r="D3095" s="3" t="n">
        <v>0</v>
      </c>
      <c r="E3095" s="3" t="n">
        <v>0</v>
      </c>
      <c r="F3095" s="3" t="n">
        <v>0</v>
      </c>
      <c r="G3095" s="3" t="n">
        <v>0</v>
      </c>
      <c r="H3095" s="3" t="n">
        <v>0</v>
      </c>
      <c r="I3095" s="3" t="n">
        <v>0</v>
      </c>
      <c r="J3095" s="3" t="n">
        <v>0</v>
      </c>
      <c r="K3095" s="3" t="n">
        <v>0</v>
      </c>
      <c r="L3095" s="3">
        <f>IF(K3095&lt;-5,"CRÍTICO",IF(K3095&lt;0,"ATENÇÃO",IF(K3095&lt;=5,"OPORTUNO","MUITO BOM")))</f>
        <v/>
      </c>
      <c r="M3095" s="3" t="n">
        <v>0</v>
      </c>
      <c r="N3095" s="3" t="n">
        <v>100</v>
      </c>
      <c r="O3095" s="12" t="n">
        <v>15.38461538461539</v>
      </c>
    </row>
    <row r="3096">
      <c r="A3096" s="10" t="n">
        <v>46098</v>
      </c>
      <c r="B3096" t="inlineStr">
        <is>
          <t>Patrícia Karla de Sousa Araújo</t>
        </is>
      </c>
      <c r="C3096" s="1" t="inlineStr">
        <is>
          <t>Técnico II</t>
        </is>
      </c>
      <c r="D3096" s="3" t="n">
        <v>36</v>
      </c>
      <c r="E3096" s="3" t="n">
        <v>33</v>
      </c>
      <c r="F3096" s="3" t="n">
        <v>18.33</v>
      </c>
      <c r="G3096" s="3" t="n">
        <v>0</v>
      </c>
      <c r="H3096" s="3" t="n">
        <v>0</v>
      </c>
      <c r="I3096" s="3">
        <f>E3096+G3096+H3096</f>
        <v/>
      </c>
      <c r="J3096" s="3">
        <f>ROUND(MIN(IF(C3096="Técnico III",35,IF(C3096="Técnico II",28,IF(C3096="Técnico I",23,IF(C3096="JR",20,IF(C3096="Estágio",10,0))))),IF(C3096="Técnico III",SUMIFS($D:$D,$A:$A,$A3096,$B:$B,"&lt;&gt;Patrícia Karla de Sousa Araújo",$B:$B,"&lt;&gt;Lorena Dias de Araujo",$B:$B,"&lt;&gt;Lucas Luiz Romero")*(35/1083),IF(C3096="Técnico II",SUMIFS($D:$D,$A:$A,$A3096,$B:$B,"&lt;&gt;Patrícia Karla de Sousa Araújo",$B:$B,"&lt;&gt;Lorena Dias de Araujo",$B:$B,"&lt;&gt;Lucas Luiz Romero")*(28/1083),IF(C3096="Técnico I",SUMIFS($D:$D,$A:$A,$A3096,$B:$B,"&lt;&gt;Patrícia Karla de Sousa Araújo",$B:$B,"&lt;&gt;Lorena Dias de Araujo",$B:$B,"&lt;&gt;Lucas Luiz Romero")*(23/1083),IF(C3096="JR",SUMIFS($D:$D,$A:$A,$A3096,$B:$B,"&lt;&gt;Patrícia Karla de Sousa Araújo",$B:$B,"&lt;&gt;Lorena Dias de Araujo",$B:$B,"&lt;&gt;Lucas Luiz Romero")*(20/1083),IF(C3096="Estágio",SUMIFS($D:$D,$A:$A,$A3096,$B:$B,"&lt;&gt;Patrícia Karla de Sousa Araújo",$B:$B,"&lt;&gt;Lorena Dias de Araujo",$B:$B,"&lt;&gt;Lucas Luiz Romero")*(10/1083),0)))))),0)</f>
        <v/>
      </c>
      <c r="K3096" s="3">
        <f>I3096-J3096</f>
        <v/>
      </c>
      <c r="L3096" s="3">
        <f>IF(K3096&lt;-5,"CRÍTICO",IF(K3096&lt;0,"ATENÇÃO",IF(K3096&lt;=5,"OPORTUNO","MUITO BOM")))</f>
        <v/>
      </c>
      <c r="M3096" s="3" t="n">
        <v>29</v>
      </c>
      <c r="N3096" s="3" t="n">
        <v>100</v>
      </c>
      <c r="O3096" s="12" t="n">
        <v>27.51479289940828</v>
      </c>
    </row>
    <row r="3097">
      <c r="A3097" s="10" t="n">
        <v>46098</v>
      </c>
      <c r="B3097" t="inlineStr">
        <is>
          <t>Paulo Ricardo Santos</t>
        </is>
      </c>
      <c r="C3097" s="1" t="inlineStr">
        <is>
          <t>JR</t>
        </is>
      </c>
      <c r="D3097" s="3" t="n">
        <v>14</v>
      </c>
      <c r="E3097" s="3" t="n">
        <v>14</v>
      </c>
      <c r="F3097" s="3" t="n">
        <v>25.2</v>
      </c>
      <c r="G3097" s="3" t="n">
        <v>0</v>
      </c>
      <c r="H3097" s="3" t="n">
        <v>0</v>
      </c>
      <c r="I3097" s="3">
        <f>E3097+G3097+H3097</f>
        <v/>
      </c>
      <c r="J3097" s="3">
        <f>ROUND(MIN(IF(C3097="Técnico III",35,IF(C3097="Técnico II",28,IF(C3097="Técnico I",23,IF(C3097="JR",20,IF(C3097="Estágio",10,0))))),IF(C3097="Técnico III",SUMIFS($D:$D,$A:$A,$A3097,$B:$B,"&lt;&gt;Patrícia Karla de Sousa Araújo",$B:$B,"&lt;&gt;Lorena Dias de Araujo",$B:$B,"&lt;&gt;Lucas Luiz Romero")*(35/1083),IF(C3097="Técnico II",SUMIFS($D:$D,$A:$A,$A3097,$B:$B,"&lt;&gt;Patrícia Karla de Sousa Araújo",$B:$B,"&lt;&gt;Lorena Dias de Araujo",$B:$B,"&lt;&gt;Lucas Luiz Romero")*(28/1083),IF(C3097="Técnico I",SUMIFS($D:$D,$A:$A,$A3097,$B:$B,"&lt;&gt;Patrícia Karla de Sousa Araújo",$B:$B,"&lt;&gt;Lorena Dias de Araujo",$B:$B,"&lt;&gt;Lucas Luiz Romero")*(23/1083),IF(C3097="JR",SUMIFS($D:$D,$A:$A,$A3097,$B:$B,"&lt;&gt;Patrícia Karla de Sousa Araújo",$B:$B,"&lt;&gt;Lorena Dias de Araujo",$B:$B,"&lt;&gt;Lucas Luiz Romero")*(20/1083),IF(C3097="Estágio",SUMIFS($D:$D,$A:$A,$A3097,$B:$B,"&lt;&gt;Patrícia Karla de Sousa Araújo",$B:$B,"&lt;&gt;Lorena Dias de Araujo",$B:$B,"&lt;&gt;Lucas Luiz Romero")*(10/1083),0)))))),0)</f>
        <v/>
      </c>
      <c r="K3097" s="3">
        <f>I3097-J3097</f>
        <v/>
      </c>
      <c r="L3097" s="3">
        <f>IF(K3097&lt;-5,"CRÍTICO",IF(K3097&lt;0,"ATENÇÃO",IF(K3097&lt;=5,"OPORTUNO","MUITO BOM")))</f>
        <v/>
      </c>
      <c r="M3097" s="3" t="n">
        <v>11</v>
      </c>
      <c r="N3097" s="3" t="n">
        <v>100</v>
      </c>
      <c r="O3097" s="12" t="n">
        <v>24.87562189054727</v>
      </c>
    </row>
    <row r="3098">
      <c r="A3098" s="10" t="n">
        <v>46098</v>
      </c>
      <c r="B3098" t="inlineStr">
        <is>
          <t>Pedro Luiz Mota Sousa</t>
        </is>
      </c>
      <c r="C3098" s="1" t="inlineStr">
        <is>
          <t>JR</t>
        </is>
      </c>
      <c r="D3098" s="3" t="n">
        <v>16</v>
      </c>
      <c r="E3098" s="3" t="n">
        <v>15</v>
      </c>
      <c r="F3098" s="3" t="n">
        <v>33.22</v>
      </c>
      <c r="G3098" s="3" t="n">
        <v>0</v>
      </c>
      <c r="H3098" s="3" t="n">
        <v>0</v>
      </c>
      <c r="I3098" s="3">
        <f>E3098+G3098+H3098</f>
        <v/>
      </c>
      <c r="J3098" s="3">
        <f>ROUND(MIN(IF(C3098="Técnico III",35,IF(C3098="Técnico II",28,IF(C3098="Técnico I",23,IF(C3098="JR",20,IF(C3098="Estágio",10,0))))),IF(C3098="Técnico III",SUMIFS($D:$D,$A:$A,$A3098,$B:$B,"&lt;&gt;Patrícia Karla de Sousa Araújo",$B:$B,"&lt;&gt;Lorena Dias de Araujo",$B:$B,"&lt;&gt;Lucas Luiz Romero")*(35/1083),IF(C3098="Técnico II",SUMIFS($D:$D,$A:$A,$A3098,$B:$B,"&lt;&gt;Patrícia Karla de Sousa Araújo",$B:$B,"&lt;&gt;Lorena Dias de Araujo",$B:$B,"&lt;&gt;Lucas Luiz Romero")*(28/1083),IF(C3098="Técnico I",SUMIFS($D:$D,$A:$A,$A3098,$B:$B,"&lt;&gt;Patrícia Karla de Sousa Araújo",$B:$B,"&lt;&gt;Lorena Dias de Araujo",$B:$B,"&lt;&gt;Lucas Luiz Romero")*(23/1083),IF(C3098="JR",SUMIFS($D:$D,$A:$A,$A3098,$B:$B,"&lt;&gt;Patrícia Karla de Sousa Araújo",$B:$B,"&lt;&gt;Lorena Dias de Araujo",$B:$B,"&lt;&gt;Lucas Luiz Romero")*(20/1083),IF(C3098="Estágio",SUMIFS($D:$D,$A:$A,$A3098,$B:$B,"&lt;&gt;Patrícia Karla de Sousa Araújo",$B:$B,"&lt;&gt;Lorena Dias de Araujo",$B:$B,"&lt;&gt;Lucas Luiz Romero")*(10/1083),0)))))),0)</f>
        <v/>
      </c>
      <c r="K3098" s="3">
        <f>I3098-J3098</f>
        <v/>
      </c>
      <c r="L3098" s="3">
        <f>IF(K3098&lt;-5,"CRÍTICO",IF(K3098&lt;0,"ATENÇÃO",IF(K3098&lt;=5,"OPORTUNO","MUITO BOM")))</f>
        <v/>
      </c>
      <c r="M3098" s="3" t="n">
        <v>12</v>
      </c>
      <c r="N3098" s="3" t="n">
        <v>100</v>
      </c>
      <c r="O3098" s="12" t="n">
        <v>28.10810810810811</v>
      </c>
    </row>
    <row r="3099">
      <c r="A3099" s="10" t="n">
        <v>46126</v>
      </c>
      <c r="B3099" t="inlineStr">
        <is>
          <t>Quirino Diogo Leite Torres</t>
        </is>
      </c>
      <c r="C3099" s="1" t="inlineStr">
        <is>
          <t>Estágio</t>
        </is>
      </c>
      <c r="D3099" s="3" t="n">
        <v>0</v>
      </c>
      <c r="E3099" s="3" t="n">
        <v>0</v>
      </c>
      <c r="F3099" s="3" t="n">
        <v>0</v>
      </c>
      <c r="G3099" s="3" t="n">
        <v>0</v>
      </c>
      <c r="H3099" s="3" t="n">
        <v>0</v>
      </c>
      <c r="I3099" s="3" t="n">
        <v>0</v>
      </c>
      <c r="J3099" s="3" t="n">
        <v>0</v>
      </c>
      <c r="K3099" s="3" t="n">
        <v>0</v>
      </c>
      <c r="L3099" s="3">
        <f>IF(K3099&lt;-5,"CRÍTICO",IF(K3099&lt;0,"ATENÇÃO",IF(K3099&lt;=5,"OPORTUNO","MUITO BOM")))</f>
        <v/>
      </c>
      <c r="M3099" s="3" t="n">
        <v>0</v>
      </c>
      <c r="N3099" s="3" t="n">
        <v>94.12</v>
      </c>
      <c r="O3099" s="12" t="n">
        <v>32.8</v>
      </c>
    </row>
    <row r="3100">
      <c r="A3100" s="10" t="n">
        <v>46098</v>
      </c>
      <c r="B3100" t="inlineStr">
        <is>
          <t>Raane Batista Matos</t>
        </is>
      </c>
      <c r="C3100" s="1" t="inlineStr">
        <is>
          <t>Técnico I</t>
        </is>
      </c>
      <c r="D3100" s="3" t="n">
        <v>19</v>
      </c>
      <c r="E3100" s="3" t="n">
        <v>19</v>
      </c>
      <c r="F3100" s="3" t="n">
        <v>33.4</v>
      </c>
      <c r="G3100" s="3" t="n">
        <v>0</v>
      </c>
      <c r="H3100" s="3" t="n">
        <v>0</v>
      </c>
      <c r="I3100" s="3">
        <f>E3100+G3100+H3100</f>
        <v/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/>
      </c>
      <c r="K3100" s="3">
        <f>I3100-J3100</f>
        <v/>
      </c>
      <c r="L3100" s="3">
        <f>IF(K3100&lt;-5,"CRÍTICO",IF(K3100&lt;0,"ATENÇÃO",IF(K3100&lt;=5,"OPORTUNO","MUITO BOM")))</f>
        <v/>
      </c>
      <c r="M3100" s="3" t="n">
        <v>14</v>
      </c>
      <c r="N3100" s="3" t="n">
        <v>95.34999999999999</v>
      </c>
      <c r="O3100" s="12" t="n">
        <v>28.61538461538461</v>
      </c>
    </row>
    <row r="3101">
      <c r="A3101" s="10" t="n">
        <v>46098</v>
      </c>
      <c r="B3101" t="inlineStr">
        <is>
          <t>Rafael Gomes de Morais</t>
        </is>
      </c>
      <c r="C3101" s="1" t="inlineStr">
        <is>
          <t>Técnico III</t>
        </is>
      </c>
      <c r="D3101" s="3" t="n">
        <v>37</v>
      </c>
      <c r="E3101" s="3" t="n">
        <v>37</v>
      </c>
      <c r="F3101" s="3" t="n">
        <v>15.07</v>
      </c>
      <c r="G3101" s="3" t="n">
        <v>0</v>
      </c>
      <c r="H3101" s="3" t="n">
        <v>0</v>
      </c>
      <c r="I3101" s="3">
        <f>E3101+G3101+H3101</f>
        <v/>
      </c>
      <c r="J3101" s="3">
        <f>ROUND(MIN(IF(C3101="Técnico III",35,IF(C3101="Técnico II",28,IF(C3101="Técnico I",23,IF(C3101="JR",20,IF(C3101="Estágio",10,0))))),IF(C3101="Técnico III",SUMIFS($D:$D,$A:$A,$A3101,$B:$B,"&lt;&gt;Patrícia Karla de Sousa Araújo",$B:$B,"&lt;&gt;Lorena Dias de Araujo",$B:$B,"&lt;&gt;Lucas Luiz Romero")*(35/1083),IF(C3101="Técnico II",SUMIFS($D:$D,$A:$A,$A3101,$B:$B,"&lt;&gt;Patrícia Karla de Sousa Araújo",$B:$B,"&lt;&gt;Lorena Dias de Araujo",$B:$B,"&lt;&gt;Lucas Luiz Romero")*(28/1083),IF(C3101="Técnico I",SUMIFS($D:$D,$A:$A,$A3101,$B:$B,"&lt;&gt;Patrícia Karla de Sousa Araújo",$B:$B,"&lt;&gt;Lorena Dias de Araujo",$B:$B,"&lt;&gt;Lucas Luiz Romero")*(23/1083),IF(C3101="JR",SUMIFS($D:$D,$A:$A,$A3101,$B:$B,"&lt;&gt;Patrícia Karla de Sousa Araújo",$B:$B,"&lt;&gt;Lorena Dias de Araujo",$B:$B,"&lt;&gt;Lucas Luiz Romero")*(20/1083),IF(C3101="Estágio",SUMIFS($D:$D,$A:$A,$A3101,$B:$B,"&lt;&gt;Patrícia Karla de Sousa Araújo",$B:$B,"&lt;&gt;Lorena Dias de Araujo",$B:$B,"&lt;&gt;Lucas Luiz Romero")*(10/1083),0)))))),0)</f>
        <v/>
      </c>
      <c r="K3101" s="3">
        <f>I3101-J3101</f>
        <v/>
      </c>
      <c r="L3101" s="3">
        <f>IF(K3101&lt;-5,"CRÍTICO",IF(K3101&lt;0,"ATENÇÃO",IF(K3101&lt;=5,"OPORTUNO","MUITO BOM")))</f>
        <v/>
      </c>
      <c r="M3101" s="3" t="n">
        <v>27</v>
      </c>
      <c r="N3101" s="3" t="n">
        <v>98.26000000000001</v>
      </c>
      <c r="O3101" s="12" t="n">
        <v>27.54491017964072</v>
      </c>
    </row>
    <row r="3102">
      <c r="A3102" s="10" t="n">
        <v>46098</v>
      </c>
      <c r="B3102" t="inlineStr">
        <is>
          <t>Sara Maria Monteiro Lopes</t>
        </is>
      </c>
      <c r="C3102" s="1" t="inlineStr">
        <is>
          <t>Técnico I</t>
        </is>
      </c>
      <c r="D3102" s="3" t="n">
        <v>10</v>
      </c>
      <c r="E3102" s="3" t="n">
        <v>10</v>
      </c>
      <c r="F3102" s="3" t="n">
        <v>48.4</v>
      </c>
      <c r="G3102" s="3" t="n">
        <v>0</v>
      </c>
      <c r="H3102" s="3" t="n">
        <v>0</v>
      </c>
      <c r="I3102" s="3">
        <f>E3102+G3102+H3102</f>
        <v/>
      </c>
      <c r="J3102" s="3">
        <f>ROUND(MIN(IF(C3102="Técnico III",35,IF(C3102="Técnico II",28,IF(C3102="Técnico I",23,IF(C3102="JR",20,IF(C3102="Estágio",10,0))))),IF(C3102="Técnico III",SUMIFS($D:$D,$A:$A,$A3102,$B:$B,"&lt;&gt;Patrícia Karla de Sousa Araújo",$B:$B,"&lt;&gt;Lorena Dias de Araujo",$B:$B,"&lt;&gt;Lucas Luiz Romero")*(35/1083),IF(C3102="Técnico II",SUMIFS($D:$D,$A:$A,$A3102,$B:$B,"&lt;&gt;Patrícia Karla de Sousa Araújo",$B:$B,"&lt;&gt;Lorena Dias de Araujo",$B:$B,"&lt;&gt;Lucas Luiz Romero")*(28/1083),IF(C3102="Técnico I",SUMIFS($D:$D,$A:$A,$A3102,$B:$B,"&lt;&gt;Patrícia Karla de Sousa Araújo",$B:$B,"&lt;&gt;Lorena Dias de Araujo",$B:$B,"&lt;&gt;Lucas Luiz Romero")*(23/1083),IF(C3102="JR",SUMIFS($D:$D,$A:$A,$A3102,$B:$B,"&lt;&gt;Patrícia Karla de Sousa Araújo",$B:$B,"&lt;&gt;Lorena Dias de Araujo",$B:$B,"&lt;&gt;Lucas Luiz Romero")*(20/1083),IF(C3102="Estágio",SUMIFS($D:$D,$A:$A,$A3102,$B:$B,"&lt;&gt;Patrícia Karla de Sousa Araújo",$B:$B,"&lt;&gt;Lorena Dias de Araujo",$B:$B,"&lt;&gt;Lucas Luiz Romero")*(10/1083),0)))))),0)</f>
        <v/>
      </c>
      <c r="K3102" s="3">
        <f>I3102-J3102</f>
        <v/>
      </c>
      <c r="L3102" s="3">
        <f>IF(K3102&lt;-5,"CRÍTICO",IF(K3102&lt;0,"ATENÇÃO",IF(K3102&lt;=5,"OPORTUNO","MUITO BOM")))</f>
        <v/>
      </c>
      <c r="M3102" s="3" t="n">
        <v>10</v>
      </c>
      <c r="N3102" s="3" t="n">
        <v>98.55</v>
      </c>
      <c r="O3102" s="12" t="n">
        <v>25.33783783783784</v>
      </c>
    </row>
    <row r="3103">
      <c r="A3103" s="10" t="n">
        <v>46098</v>
      </c>
      <c r="B3103" t="inlineStr">
        <is>
          <t>Sarah Steffanie de Lima Borges</t>
        </is>
      </c>
      <c r="C3103" s="1" t="inlineStr">
        <is>
          <t>Técnico III</t>
        </is>
      </c>
      <c r="D3103" s="3" t="n">
        <v>27</v>
      </c>
      <c r="E3103" s="3" t="n">
        <v>26</v>
      </c>
      <c r="F3103" s="3" t="n">
        <v>21.43</v>
      </c>
      <c r="G3103" s="3" t="n">
        <v>0</v>
      </c>
      <c r="H3103" s="3" t="n">
        <v>0</v>
      </c>
      <c r="I3103" s="3">
        <f>E3103+G3103+H3103</f>
        <v/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/>
      </c>
      <c r="K3103" s="3">
        <f>I3103-J3103</f>
        <v/>
      </c>
      <c r="L3103" s="3">
        <f>IF(K3103&lt;-5,"CRÍTICO",IF(K3103&lt;0,"ATENÇÃO",IF(K3103&lt;=5,"OPORTUNO","MUITO BOM")))</f>
        <v/>
      </c>
      <c r="M3103" s="3" t="n">
        <v>23</v>
      </c>
      <c r="N3103" s="3" t="n">
        <v>98.39</v>
      </c>
      <c r="O3103" s="12" t="n">
        <v>25.56390977443609</v>
      </c>
    </row>
    <row r="3104">
      <c r="A3104" s="10" t="n">
        <v>46099</v>
      </c>
      <c r="B3104" t="inlineStr">
        <is>
          <t>Alisson de Freitas Silva</t>
        </is>
      </c>
      <c r="C3104" s="1" t="inlineStr">
        <is>
          <t>Técnico II</t>
        </is>
      </c>
      <c r="D3104" s="3" t="n">
        <v>25</v>
      </c>
      <c r="E3104" s="3" t="n">
        <v>24</v>
      </c>
      <c r="F3104" s="3" t="n">
        <v>18.42</v>
      </c>
      <c r="G3104" s="3" t="n">
        <v>0</v>
      </c>
      <c r="H3104" s="3" t="n">
        <v>0</v>
      </c>
      <c r="I3104" s="3">
        <f>E3104+G3104+H3104</f>
        <v/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/>
      </c>
      <c r="K3104" s="3">
        <f>I3104-J3104</f>
        <v/>
      </c>
      <c r="L3104" s="3">
        <f>IF(K3104&lt;-5,"CRÍTICO",IF(K3104&lt;0,"ATENÇÃO",IF(K3104&lt;=5,"OPORTUNO","MUITO BOM")))</f>
        <v/>
      </c>
      <c r="M3104" s="3" t="n">
        <v>18</v>
      </c>
      <c r="N3104" s="3" t="n">
        <v>94.29000000000001</v>
      </c>
      <c r="O3104" s="12" t="n">
        <v>25.64766839378239</v>
      </c>
    </row>
    <row r="3105">
      <c r="A3105" s="10" t="n">
        <v>46099</v>
      </c>
      <c r="B3105" t="inlineStr">
        <is>
          <t>Amanda Moura Ferreira</t>
        </is>
      </c>
      <c r="C3105" s="1" t="inlineStr">
        <is>
          <t>Técnico III</t>
        </is>
      </c>
      <c r="D3105" s="3" t="n">
        <v>0</v>
      </c>
      <c r="E3105" s="3" t="n">
        <v>0</v>
      </c>
      <c r="F3105" s="3" t="n">
        <v>0</v>
      </c>
      <c r="G3105" s="3" t="n">
        <v>0</v>
      </c>
      <c r="H3105" s="3" t="n">
        <v>0</v>
      </c>
      <c r="I3105" s="3" t="n">
        <v>0</v>
      </c>
      <c r="J3105" s="3" t="n">
        <v>0</v>
      </c>
      <c r="K3105" s="3" t="n">
        <v>0</v>
      </c>
      <c r="L3105" s="3">
        <f>IF(K3105&lt;-5,"CRÍTICO",IF(K3105&lt;0,"ATENÇÃO",IF(K3105&lt;=5,"OPORTUNO","MUITO BOM")))</f>
        <v/>
      </c>
      <c r="M3105" s="3" t="n">
        <v>24</v>
      </c>
      <c r="N3105" s="3" t="n">
        <v>98.26000000000001</v>
      </c>
      <c r="O3105" s="12" t="n">
        <v>26.66666666666667</v>
      </c>
    </row>
    <row r="3106">
      <c r="A3106" s="10" t="n">
        <v>46099</v>
      </c>
      <c r="B3106" t="inlineStr">
        <is>
          <t>Ana Karollyne Souza Faria</t>
        </is>
      </c>
      <c r="C3106" s="1" t="inlineStr">
        <is>
          <t>Técnico I</t>
        </is>
      </c>
      <c r="D3106" s="3" t="n">
        <v>7</v>
      </c>
      <c r="E3106" s="3" t="n">
        <v>7</v>
      </c>
      <c r="F3106" s="3" t="n">
        <v>36.57</v>
      </c>
      <c r="G3106" s="3" t="n">
        <v>0</v>
      </c>
      <c r="H3106" s="3" t="n">
        <v>0</v>
      </c>
      <c r="I3106" s="3">
        <f>E3106+G3106+H3106</f>
        <v/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/>
      </c>
      <c r="K3106" s="3">
        <f>I3106-J3106</f>
        <v/>
      </c>
      <c r="L3106" s="3">
        <f>IF(K3106&lt;-5,"CRÍTICO",IF(K3106&lt;0,"ATENÇÃO",IF(K3106&lt;=5,"OPORTUNO","MUITO BOM")))</f>
        <v/>
      </c>
      <c r="M3106" s="3" t="n">
        <v>9</v>
      </c>
      <c r="N3106" s="3" t="n">
        <v>98.2</v>
      </c>
      <c r="O3106" s="12" t="n">
        <v>23.37962962962963</v>
      </c>
    </row>
    <row r="3107">
      <c r="A3107" s="10" t="n">
        <v>46099</v>
      </c>
      <c r="B3107" t="inlineStr">
        <is>
          <t>Ana Paula Da Luz Silva Aleixo</t>
        </is>
      </c>
      <c r="C3107" s="1" t="inlineStr">
        <is>
          <t>Técnico III</t>
        </is>
      </c>
      <c r="D3107" s="3" t="n">
        <v>28</v>
      </c>
      <c r="E3107" s="3" t="n">
        <v>28</v>
      </c>
      <c r="F3107" s="3" t="n">
        <v>20.21</v>
      </c>
      <c r="G3107" s="3" t="n">
        <v>0</v>
      </c>
      <c r="H3107" s="3" t="n">
        <v>0</v>
      </c>
      <c r="I3107" s="3">
        <f>E3107+G3107+H3107</f>
        <v/>
      </c>
      <c r="J3107" s="3">
        <f>ROUND(MIN(IF(C3107="Técnico III",35,IF(C3107="Técnico II",28,IF(C3107="Técnico I",23,IF(C3107="JR",20,IF(C3107="Estágio",10,0))))),IF(C3107="Técnico III",SUMIFS($D:$D,$A:$A,$A3107,$B:$B,"&lt;&gt;Patrícia Karla de Sousa Araújo",$B:$B,"&lt;&gt;Lorena Dias de Araujo",$B:$B,"&lt;&gt;Lucas Luiz Romero")*(35/1083),IF(C3107="Técnico II",SUMIFS($D:$D,$A:$A,$A3107,$B:$B,"&lt;&gt;Patrícia Karla de Sousa Araújo",$B:$B,"&lt;&gt;Lorena Dias de Araujo",$B:$B,"&lt;&gt;Lucas Luiz Romero")*(28/1083),IF(C3107="Técnico I",SUMIFS($D:$D,$A:$A,$A3107,$B:$B,"&lt;&gt;Patrícia Karla de Sousa Araújo",$B:$B,"&lt;&gt;Lorena Dias de Araujo",$B:$B,"&lt;&gt;Lucas Luiz Romero")*(23/1083),IF(C3107="JR",SUMIFS($D:$D,$A:$A,$A3107,$B:$B,"&lt;&gt;Patrícia Karla de Sousa Araújo",$B:$B,"&lt;&gt;Lorena Dias de Araujo",$B:$B,"&lt;&gt;Lucas Luiz Romero")*(20/1083),IF(C3107="Estágio",SUMIFS($D:$D,$A:$A,$A3107,$B:$B,"&lt;&gt;Patrícia Karla de Sousa Araújo",$B:$B,"&lt;&gt;Lorena Dias de Araujo",$B:$B,"&lt;&gt;Lucas Luiz Romero")*(10/1083),0)))))),0)</f>
        <v/>
      </c>
      <c r="K3107" s="3">
        <f>I3107-J3107</f>
        <v/>
      </c>
      <c r="L3107" s="3">
        <f>IF(K3107&lt;-5,"CRÍTICO",IF(K3107&lt;0,"ATENÇÃO",IF(K3107&lt;=5,"OPORTUNO","MUITO BOM")))</f>
        <v/>
      </c>
      <c r="M3107" s="3" t="n">
        <v>25</v>
      </c>
      <c r="N3107" s="3" t="n">
        <v>97.3</v>
      </c>
      <c r="O3107" s="12" t="n">
        <v>23.84769539078156</v>
      </c>
    </row>
    <row r="3108">
      <c r="A3108" s="10" t="n">
        <v>46099</v>
      </c>
      <c r="B3108" t="inlineStr">
        <is>
          <t>Anna Luiza Rezende Tavares</t>
        </is>
      </c>
      <c r="C3108" s="1" t="inlineStr">
        <is>
          <t>Estágio</t>
        </is>
      </c>
      <c r="D3108" s="3" t="n">
        <v>8</v>
      </c>
      <c r="E3108" s="3" t="n">
        <v>8</v>
      </c>
      <c r="F3108" s="3" t="n">
        <v>45.29</v>
      </c>
      <c r="G3108" s="3" t="n">
        <v>0</v>
      </c>
      <c r="H3108" s="3" t="n">
        <v>0</v>
      </c>
      <c r="I3108" s="3">
        <f>E3108+G3108+H3108</f>
        <v/>
      </c>
      <c r="J3108" s="3">
        <f>ROUND(MIN(IF(C3108="Técnico III",35,IF(C3108="Técnico II",28,IF(C3108="Técnico I",23,IF(C3108="JR",20,IF(C3108="Estágio",10,0))))),IF(C3108="Técnico III",SUMIFS($D:$D,$A:$A,$A3108,$B:$B,"&lt;&gt;Patrícia Karla de Sousa Araújo",$B:$B,"&lt;&gt;Lorena Dias de Araujo",$B:$B,"&lt;&gt;Lucas Luiz Romero")*(35/1083),IF(C3108="Técnico II",SUMIFS($D:$D,$A:$A,$A3108,$B:$B,"&lt;&gt;Patrícia Karla de Sousa Araújo",$B:$B,"&lt;&gt;Lorena Dias de Araujo",$B:$B,"&lt;&gt;Lucas Luiz Romero")*(28/1083),IF(C3108="Técnico I",SUMIFS($D:$D,$A:$A,$A3108,$B:$B,"&lt;&gt;Patrícia Karla de Sousa Araújo",$B:$B,"&lt;&gt;Lorena Dias de Araujo",$B:$B,"&lt;&gt;Lucas Luiz Romero")*(23/1083),IF(C3108="JR",SUMIFS($D:$D,$A:$A,$A3108,$B:$B,"&lt;&gt;Patrícia Karla de Sousa Araújo",$B:$B,"&lt;&gt;Lorena Dias de Araujo",$B:$B,"&lt;&gt;Lucas Luiz Romero")*(20/1083),IF(C3108="Estágio",SUMIFS($D:$D,$A:$A,$A3108,$B:$B,"&lt;&gt;Patrícia Karla de Sousa Araújo",$B:$B,"&lt;&gt;Lorena Dias de Araujo",$B:$B,"&lt;&gt;Lucas Luiz Romero")*(10/1083),0)))))),0)</f>
        <v/>
      </c>
      <c r="K3108" s="3">
        <f>I3108-J3108</f>
        <v/>
      </c>
      <c r="L3108" s="3">
        <f>IF(K3108&lt;-5,"CRÍTICO",IF(K3108&lt;0,"ATENÇÃO",IF(K3108&lt;=5,"OPORTUNO","MUITO BOM")))</f>
        <v/>
      </c>
      <c r="M3108" s="3" t="n">
        <v>5</v>
      </c>
      <c r="N3108" s="3" t="n">
        <v>100</v>
      </c>
      <c r="O3108" s="12" t="n">
        <v>25.26881720430108</v>
      </c>
    </row>
    <row r="3109">
      <c r="A3109" s="10" t="n">
        <v>46099</v>
      </c>
      <c r="B3109" t="inlineStr">
        <is>
          <t>Brenda de Menezes Silva</t>
        </is>
      </c>
      <c r="C3109" s="1" t="inlineStr">
        <is>
          <t>Técnico II</t>
        </is>
      </c>
      <c r="D3109" s="3" t="n">
        <v>31</v>
      </c>
      <c r="E3109" s="3" t="n">
        <v>26</v>
      </c>
      <c r="F3109" s="3" t="n">
        <v>18.32</v>
      </c>
      <c r="G3109" s="3" t="n">
        <v>0</v>
      </c>
      <c r="H3109" s="3" t="n">
        <v>0</v>
      </c>
      <c r="I3109" s="3">
        <f>E3109+G3109+H3109</f>
        <v/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/>
      </c>
      <c r="K3109" s="3">
        <f>I3109-J3109</f>
        <v/>
      </c>
      <c r="L3109" s="3">
        <f>IF(K3109&lt;-5,"CRÍTICO",IF(K3109&lt;0,"ATENÇÃO",IF(K3109&lt;=5,"OPORTUNO","MUITO BOM")))</f>
        <v/>
      </c>
      <c r="M3109" s="3" t="n">
        <v>24</v>
      </c>
      <c r="N3109" s="3" t="n">
        <v>99.31999999999999</v>
      </c>
      <c r="O3109" s="12" t="n">
        <v>22.82282282282282</v>
      </c>
    </row>
    <row r="3110">
      <c r="A3110" s="10" t="n">
        <v>46099</v>
      </c>
      <c r="B3110" t="inlineStr">
        <is>
          <t>Carlos Mateus Cassimiro Nunes</t>
        </is>
      </c>
      <c r="C3110" s="1" t="inlineStr">
        <is>
          <t>Técnico II</t>
        </is>
      </c>
      <c r="D3110" s="3" t="n">
        <v>17</v>
      </c>
      <c r="E3110" s="3" t="n">
        <v>16</v>
      </c>
      <c r="F3110" s="3" t="n">
        <v>18.24</v>
      </c>
      <c r="G3110" s="3" t="n">
        <v>0</v>
      </c>
      <c r="H3110" s="3" t="n">
        <v>0</v>
      </c>
      <c r="I3110" s="3">
        <f>E3110+G3110+H3110</f>
        <v/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/>
      </c>
      <c r="K3110" s="3">
        <f>I3110-J3110</f>
        <v/>
      </c>
      <c r="L3110" s="3">
        <f>IF(K3110&lt;-5,"CRÍTICO",IF(K3110&lt;0,"ATENÇÃO",IF(K3110&lt;=5,"OPORTUNO","MUITO BOM")))</f>
        <v/>
      </c>
      <c r="M3110" s="3" t="n">
        <v>16</v>
      </c>
      <c r="N3110" s="3" t="n">
        <v>100</v>
      </c>
      <c r="O3110" s="12" t="n">
        <v>27.96610169491525</v>
      </c>
    </row>
    <row r="3111">
      <c r="A3111" s="10" t="n">
        <v>46099</v>
      </c>
      <c r="B3111" t="inlineStr">
        <is>
          <t>Claudio de Sousa Velasco Filho</t>
        </is>
      </c>
      <c r="C3111" s="1" t="inlineStr">
        <is>
          <t>Estágio</t>
        </is>
      </c>
      <c r="D3111" s="3" t="n">
        <v>0</v>
      </c>
      <c r="E3111" s="3" t="n">
        <v>0</v>
      </c>
      <c r="F3111" s="3" t="n">
        <v>0</v>
      </c>
      <c r="G3111" s="3" t="n">
        <v>0</v>
      </c>
      <c r="H3111" s="3" t="n">
        <v>0</v>
      </c>
      <c r="I3111" s="3" t="n">
        <v>0</v>
      </c>
      <c r="J3111" s="3" t="n">
        <v>0</v>
      </c>
      <c r="K3111" s="3" t="n">
        <v>0</v>
      </c>
      <c r="L3111" s="3">
        <f>IF(K3111&lt;-5,"CRÍTICO",IF(K3111&lt;0,"ATENÇÃO",IF(K3111&lt;=5,"OPORTUNO","MUITO BOM")))</f>
        <v/>
      </c>
      <c r="M3111" s="3" t="n">
        <v>0</v>
      </c>
      <c r="N3111" s="3" t="n">
        <v>100</v>
      </c>
      <c r="O3111" s="12" t="n">
        <v>30.43478260869566</v>
      </c>
    </row>
    <row r="3112">
      <c r="A3112" s="10" t="n">
        <v>46099</v>
      </c>
      <c r="B3112" t="inlineStr">
        <is>
          <t>Clessiane Pereira dos Santos</t>
        </is>
      </c>
      <c r="C3112" s="1" t="inlineStr">
        <is>
          <t>Técnico I</t>
        </is>
      </c>
      <c r="D3112" s="3" t="n">
        <v>19</v>
      </c>
      <c r="E3112" s="3" t="n">
        <v>19</v>
      </c>
      <c r="F3112" s="3" t="n">
        <v>32.01</v>
      </c>
      <c r="G3112" s="3" t="n">
        <v>0</v>
      </c>
      <c r="H3112" s="3" t="n">
        <v>0</v>
      </c>
      <c r="I3112" s="3">
        <f>E3112+G3112+H3112</f>
        <v/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/>
      </c>
      <c r="K3112" s="3">
        <f>I3112-J3112</f>
        <v/>
      </c>
      <c r="L3112" s="3">
        <f>IF(K3112&lt;-5,"CRÍTICO",IF(K3112&lt;0,"ATENÇÃO",IF(K3112&lt;=5,"OPORTUNO","MUITO BOM")))</f>
        <v/>
      </c>
      <c r="M3112" s="3" t="n">
        <v>14</v>
      </c>
      <c r="N3112" s="3" t="n">
        <v>96.51000000000001</v>
      </c>
      <c r="O3112" s="12" t="n">
        <v>22.80285035629454</v>
      </c>
    </row>
    <row r="3113">
      <c r="A3113" s="10" t="n">
        <v>46099</v>
      </c>
      <c r="B3113" t="inlineStr">
        <is>
          <t>Cristiane Ramos da Silva Rocha</t>
        </is>
      </c>
      <c r="C3113" s="1" t="inlineStr">
        <is>
          <t>Técnico III</t>
        </is>
      </c>
      <c r="D3113" s="3" t="n">
        <v>0</v>
      </c>
      <c r="E3113" s="3" t="n">
        <v>0</v>
      </c>
      <c r="F3113" s="3" t="n">
        <v>0</v>
      </c>
      <c r="G3113" s="3" t="n">
        <v>0</v>
      </c>
      <c r="H3113" s="3" t="n">
        <v>0</v>
      </c>
      <c r="I3113" s="3" t="n">
        <v>0</v>
      </c>
      <c r="J3113" s="3" t="n">
        <v>0</v>
      </c>
      <c r="K3113" s="3" t="n">
        <v>0</v>
      </c>
      <c r="L3113" s="3">
        <f>IF(K3113&lt;-5,"CRÍTICO",IF(K3113&lt;0,"ATENÇÃO",IF(K3113&lt;=5,"OPORTUNO","MUITO BOM")))</f>
        <v/>
      </c>
      <c r="M3113" s="3" t="n">
        <v>9</v>
      </c>
      <c r="N3113" s="3" t="n">
        <v>92.68000000000001</v>
      </c>
      <c r="O3113" s="12" t="n">
        <v>27.77777777777778</v>
      </c>
    </row>
    <row r="3114">
      <c r="A3114" s="10" t="n">
        <v>46099</v>
      </c>
      <c r="B3114" t="inlineStr">
        <is>
          <t>Damyllis Lorraine de Oliveira Gonçalves</t>
        </is>
      </c>
      <c r="C3114" s="1" t="inlineStr">
        <is>
          <t>Técnico II</t>
        </is>
      </c>
      <c r="D3114" s="3" t="n">
        <v>25</v>
      </c>
      <c r="E3114" s="3" t="n">
        <v>24</v>
      </c>
      <c r="F3114" s="3" t="n">
        <v>24.13</v>
      </c>
      <c r="G3114" s="3" t="n">
        <v>0</v>
      </c>
      <c r="H3114" s="3" t="n">
        <v>0</v>
      </c>
      <c r="I3114" s="3" t="n">
        <v>0</v>
      </c>
      <c r="J3114" s="3" t="n">
        <v>0</v>
      </c>
      <c r="K3114" s="3" t="n">
        <v>0</v>
      </c>
      <c r="L3114" s="3">
        <f>IF(K3114&lt;-5,"CRÍTICO",IF(K3114&lt;0,"ATENÇÃO",IF(K3114&lt;=5,"OPORTUNO","MUITO BOM")))</f>
        <v/>
      </c>
      <c r="M3114" s="3" t="n">
        <v>22</v>
      </c>
      <c r="N3114" s="3" t="n">
        <v>99.03</v>
      </c>
      <c r="O3114" s="12" t="n">
        <v>23.99150743099788</v>
      </c>
    </row>
    <row r="3115">
      <c r="A3115" s="10" t="n">
        <v>46099</v>
      </c>
      <c r="B3115" t="inlineStr">
        <is>
          <t>Daniel Gomes da Silva</t>
        </is>
      </c>
      <c r="C3115" s="1" t="inlineStr">
        <is>
          <t>Técnico I</t>
        </is>
      </c>
      <c r="D3115" s="3" t="n">
        <v>12</v>
      </c>
      <c r="E3115" s="3" t="n">
        <v>12</v>
      </c>
      <c r="F3115" s="3" t="n">
        <v>25.21</v>
      </c>
      <c r="G3115" s="3" t="n">
        <v>0</v>
      </c>
      <c r="H3115" s="3" t="n">
        <v>0</v>
      </c>
      <c r="I3115" s="3">
        <f>E3115+G3115+H3115</f>
        <v/>
      </c>
      <c r="J3115" s="3">
        <f>ROUND(MIN(IF(C3115="Técnico III",35,IF(C3115="Técnico II",28,IF(C3115="Técnico I",23,IF(C3115="JR",20,IF(C3115="Estágio",10,0))))),IF(C3115="Técnico III",SUMIFS($D:$D,$A:$A,$A3115,$B:$B,"&lt;&gt;Patrícia Karla de Sousa Araújo",$B:$B,"&lt;&gt;Lorena Dias de Araujo",$B:$B,"&lt;&gt;Lucas Luiz Romero")*(35/1083),IF(C3115="Técnico II",SUMIFS($D:$D,$A:$A,$A3115,$B:$B,"&lt;&gt;Patrícia Karla de Sousa Araújo",$B:$B,"&lt;&gt;Lorena Dias de Araujo",$B:$B,"&lt;&gt;Lucas Luiz Romero")*(28/1083),IF(C3115="Técnico I",SUMIFS($D:$D,$A:$A,$A3115,$B:$B,"&lt;&gt;Patrícia Karla de Sousa Araújo",$B:$B,"&lt;&gt;Lorena Dias de Araujo",$B:$B,"&lt;&gt;Lucas Luiz Romero")*(23/1083),IF(C3115="JR",SUMIFS($D:$D,$A:$A,$A3115,$B:$B,"&lt;&gt;Patrícia Karla de Sousa Araújo",$B:$B,"&lt;&gt;Lorena Dias de Araujo",$B:$B,"&lt;&gt;Lucas Luiz Romero")*(20/1083),IF(C3115="Estágio",SUMIFS($D:$D,$A:$A,$A3115,$B:$B,"&lt;&gt;Patrícia Karla de Sousa Araújo",$B:$B,"&lt;&gt;Lorena Dias de Araujo",$B:$B,"&lt;&gt;Lucas Luiz Romero")*(10/1083),0)))))),0)</f>
        <v/>
      </c>
      <c r="K3115" s="3">
        <f>I3115-J3115</f>
        <v/>
      </c>
      <c r="L3115" s="3">
        <f>IF(K3115&lt;-5,"CRÍTICO",IF(K3115&lt;0,"ATENÇÃO",IF(K3115&lt;=5,"OPORTUNO","MUITO BOM")))</f>
        <v/>
      </c>
      <c r="M3115" s="3" t="n">
        <v>8</v>
      </c>
      <c r="N3115" s="3" t="n">
        <v>98.41</v>
      </c>
      <c r="O3115" s="12" t="n">
        <v>28.13852813852814</v>
      </c>
    </row>
    <row r="3116">
      <c r="A3116" s="10" t="n">
        <v>46099</v>
      </c>
      <c r="B3116" t="inlineStr">
        <is>
          <t>Davylla Rodrigues Freitas Silva</t>
        </is>
      </c>
      <c r="C3116" s="1" t="inlineStr">
        <is>
          <t>Técnico III</t>
        </is>
      </c>
      <c r="D3116" s="3" t="n">
        <v>19</v>
      </c>
      <c r="E3116" s="3" t="n">
        <v>18</v>
      </c>
      <c r="F3116" s="3" t="n">
        <v>38.28</v>
      </c>
      <c r="G3116" s="3" t="n">
        <v>0</v>
      </c>
      <c r="H3116" s="3" t="n">
        <v>0</v>
      </c>
      <c r="I3116" s="3" t="n">
        <v>0</v>
      </c>
      <c r="J3116" s="3" t="n">
        <v>0</v>
      </c>
      <c r="K3116" s="3" t="n">
        <v>0</v>
      </c>
      <c r="L3116" s="3">
        <f>IF(K3116&lt;-5,"CRÍTICO",IF(K3116&lt;0,"ATENÇÃO",IF(K3116&lt;=5,"OPORTUNO","MUITO BOM")))</f>
        <v/>
      </c>
      <c r="M3116" s="3" t="n">
        <v>17</v>
      </c>
      <c r="N3116" s="3" t="n">
        <v>98.73</v>
      </c>
      <c r="O3116" s="12" t="n">
        <v>29.14285714285714</v>
      </c>
    </row>
    <row r="3117">
      <c r="A3117" s="10" t="n">
        <v>46099</v>
      </c>
      <c r="B3117" t="inlineStr">
        <is>
          <t>Emilly Caylane Costa</t>
        </is>
      </c>
      <c r="C3117" s="1" t="inlineStr">
        <is>
          <t>Estágio</t>
        </is>
      </c>
      <c r="D3117" s="3" t="n">
        <v>6</v>
      </c>
      <c r="E3117" s="3" t="n">
        <v>6</v>
      </c>
      <c r="F3117" s="3" t="n">
        <v>52.09</v>
      </c>
      <c r="G3117" s="3" t="n">
        <v>0</v>
      </c>
      <c r="H3117" s="3" t="n">
        <v>0</v>
      </c>
      <c r="I3117" s="3">
        <f>E3117+G3117+H3117</f>
        <v/>
      </c>
      <c r="J3117" s="3">
        <f>ROUND(MIN(IF(C3117="Técnico III",35,IF(C3117="Técnico II",28,IF(C3117="Técnico I",23,IF(C3117="JR",20,IF(C3117="Estágio",10,0))))),IF(C3117="Técnico III",SUMIFS($D:$D,$A:$A,$A3117,$B:$B,"&lt;&gt;Patrícia Karla de Sousa Araújo",$B:$B,"&lt;&gt;Lorena Dias de Araujo",$B:$B,"&lt;&gt;Lucas Luiz Romero")*(35/1083),IF(C3117="Técnico II",SUMIFS($D:$D,$A:$A,$A3117,$B:$B,"&lt;&gt;Patrícia Karla de Sousa Araújo",$B:$B,"&lt;&gt;Lorena Dias de Araujo",$B:$B,"&lt;&gt;Lucas Luiz Romero")*(28/1083),IF(C3117="Técnico I",SUMIFS($D:$D,$A:$A,$A3117,$B:$B,"&lt;&gt;Patrícia Karla de Sousa Araújo",$B:$B,"&lt;&gt;Lorena Dias de Araujo",$B:$B,"&lt;&gt;Lucas Luiz Romero")*(23/1083),IF(C3117="JR",SUMIFS($D:$D,$A:$A,$A3117,$B:$B,"&lt;&gt;Patrícia Karla de Sousa Araújo",$B:$B,"&lt;&gt;Lorena Dias de Araujo",$B:$B,"&lt;&gt;Lucas Luiz Romero")*(20/1083),IF(C3117="Estágio",SUMIFS($D:$D,$A:$A,$A3117,$B:$B,"&lt;&gt;Patrícia Karla de Sousa Araújo",$B:$B,"&lt;&gt;Lorena Dias de Araujo",$B:$B,"&lt;&gt;Lucas Luiz Romero")*(10/1083),0)))))),0)</f>
        <v/>
      </c>
      <c r="K3117" s="3">
        <f>I3117-J3117</f>
        <v/>
      </c>
      <c r="L3117" s="3">
        <f>IF(K3117&lt;-5,"CRÍTICO",IF(K3117&lt;0,"ATENÇÃO",IF(K3117&lt;=5,"OPORTUNO","MUITO BOM")))</f>
        <v/>
      </c>
      <c r="M3117" s="3" t="n">
        <v>4</v>
      </c>
      <c r="N3117" s="3" t="n">
        <v>90.48</v>
      </c>
      <c r="O3117" s="12" t="n">
        <v>20.68965517241379</v>
      </c>
    </row>
    <row r="3118">
      <c r="A3118" s="10" t="n">
        <v>46099</v>
      </c>
      <c r="B3118" t="inlineStr">
        <is>
          <t>Emilly Kamilly Medeiros Miranda</t>
        </is>
      </c>
      <c r="C3118" s="1" t="inlineStr">
        <is>
          <t>Técnico II</t>
        </is>
      </c>
      <c r="D3118" s="3" t="n">
        <v>29</v>
      </c>
      <c r="E3118" s="3" t="n">
        <v>25</v>
      </c>
      <c r="F3118" s="3" t="n">
        <v>20.57</v>
      </c>
      <c r="G3118" s="3" t="n">
        <v>0</v>
      </c>
      <c r="H3118" s="3" t="n">
        <v>0</v>
      </c>
      <c r="I3118" s="3">
        <f>E3118+G3118+H3118</f>
        <v/>
      </c>
      <c r="J3118" s="3">
        <f>ROUND(MIN(IF(C3118="Técnico III",35,IF(C3118="Técnico II",28,IF(C3118="Técnico I",23,IF(C3118="JR",20,IF(C3118="Estágio",10,0))))),IF(C3118="Técnico III",SUMIFS($D:$D,$A:$A,$A3118,$B:$B,"&lt;&gt;Patrícia Karla de Sousa Araújo",$B:$B,"&lt;&gt;Lorena Dias de Araujo",$B:$B,"&lt;&gt;Lucas Luiz Romero")*(35/1083),IF(C3118="Técnico II",SUMIFS($D:$D,$A:$A,$A3118,$B:$B,"&lt;&gt;Patrícia Karla de Sousa Araújo",$B:$B,"&lt;&gt;Lorena Dias de Araujo",$B:$B,"&lt;&gt;Lucas Luiz Romero")*(28/1083),IF(C3118="Técnico I",SUMIFS($D:$D,$A:$A,$A3118,$B:$B,"&lt;&gt;Patrícia Karla de Sousa Araújo",$B:$B,"&lt;&gt;Lorena Dias de Araujo",$B:$B,"&lt;&gt;Lucas Luiz Romero")*(23/1083),IF(C3118="JR",SUMIFS($D:$D,$A:$A,$A3118,$B:$B,"&lt;&gt;Patrícia Karla de Sousa Araújo",$B:$B,"&lt;&gt;Lorena Dias de Araujo",$B:$B,"&lt;&gt;Lucas Luiz Romero")*(20/1083),IF(C3118="Estágio",SUMIFS($D:$D,$A:$A,$A3118,$B:$B,"&lt;&gt;Patrícia Karla de Sousa Araújo",$B:$B,"&lt;&gt;Lorena Dias de Araujo",$B:$B,"&lt;&gt;Lucas Luiz Romero")*(10/1083),0)))))),0)</f>
        <v/>
      </c>
      <c r="K3118" s="3">
        <f>I3118-J3118</f>
        <v/>
      </c>
      <c r="L3118" s="3">
        <f>IF(K3118&lt;-5,"CRÍTICO",IF(K3118&lt;0,"ATENÇÃO",IF(K3118&lt;=5,"OPORTUNO","MUITO BOM")))</f>
        <v/>
      </c>
      <c r="M3118" s="3" t="n">
        <v>28</v>
      </c>
      <c r="N3118" s="3" t="n">
        <v>98.06</v>
      </c>
      <c r="O3118" s="12" t="n">
        <v>24.78991596638656</v>
      </c>
    </row>
    <row r="3119">
      <c r="A3119" s="10" t="n">
        <v>46099</v>
      </c>
      <c r="B3119" t="inlineStr">
        <is>
          <t>Francielson de Oliveira</t>
        </is>
      </c>
      <c r="C3119" s="1" t="inlineStr">
        <is>
          <t>Técnico III</t>
        </is>
      </c>
      <c r="D3119" s="3" t="n">
        <v>31</v>
      </c>
      <c r="E3119" s="3" t="n">
        <v>30</v>
      </c>
      <c r="F3119" s="3" t="n">
        <v>14.14</v>
      </c>
      <c r="G3119" s="3" t="n">
        <v>0</v>
      </c>
      <c r="H3119" s="3" t="n">
        <v>0</v>
      </c>
      <c r="I3119" s="3">
        <f>E3119+G3119+H3119</f>
        <v/>
      </c>
      <c r="J3119" s="3">
        <f>ROUND(MIN(IF(C3119="Técnico III",35,IF(C3119="Técnico II",28,IF(C3119="Técnico I",23,IF(C3119="JR",20,IF(C3119="Estágio",10,0))))),IF(C3119="Técnico III",SUMIFS($D:$D,$A:$A,$A3119,$B:$B,"&lt;&gt;Patrícia Karla de Sousa Araújo",$B:$B,"&lt;&gt;Lorena Dias de Araujo",$B:$B,"&lt;&gt;Lucas Luiz Romero")*(35/1083),IF(C3119="Técnico II",SUMIFS($D:$D,$A:$A,$A3119,$B:$B,"&lt;&gt;Patrícia Karla de Sousa Araújo",$B:$B,"&lt;&gt;Lorena Dias de Araujo",$B:$B,"&lt;&gt;Lucas Luiz Romero")*(28/1083),IF(C3119="Técnico I",SUMIFS($D:$D,$A:$A,$A3119,$B:$B,"&lt;&gt;Patrícia Karla de Sousa Araújo",$B:$B,"&lt;&gt;Lorena Dias de Araujo",$B:$B,"&lt;&gt;Lucas Luiz Romero")*(23/1083),IF(C3119="JR",SUMIFS($D:$D,$A:$A,$A3119,$B:$B,"&lt;&gt;Patrícia Karla de Sousa Araújo",$B:$B,"&lt;&gt;Lorena Dias de Araujo",$B:$B,"&lt;&gt;Lucas Luiz Romero")*(20/1083),IF(C3119="Estágio",SUMIFS($D:$D,$A:$A,$A3119,$B:$B,"&lt;&gt;Patrícia Karla de Sousa Araújo",$B:$B,"&lt;&gt;Lorena Dias de Araujo",$B:$B,"&lt;&gt;Lucas Luiz Romero")*(10/1083),0)))))),0)</f>
        <v/>
      </c>
      <c r="K3119" s="3">
        <f>I3119-J3119</f>
        <v/>
      </c>
      <c r="L3119" s="3">
        <f>IF(K3119&lt;-5,"CRÍTICO",IF(K3119&lt;0,"ATENÇÃO",IF(K3119&lt;=5,"OPORTUNO","MUITO BOM")))</f>
        <v/>
      </c>
      <c r="M3119" s="3" t="n">
        <v>29</v>
      </c>
      <c r="N3119" s="3" t="n">
        <v>97.78</v>
      </c>
      <c r="O3119" s="12" t="n">
        <v>25.49407114624506</v>
      </c>
    </row>
    <row r="3120">
      <c r="A3120" s="10" t="n">
        <v>46099</v>
      </c>
      <c r="B3120" t="inlineStr">
        <is>
          <t>Francilene Ferreira de Jesus</t>
        </is>
      </c>
      <c r="C3120" s="1" t="inlineStr">
        <is>
          <t>Técnico II</t>
        </is>
      </c>
      <c r="D3120" s="3" t="n">
        <v>28</v>
      </c>
      <c r="E3120" s="3" t="n">
        <v>24</v>
      </c>
      <c r="F3120" s="3" t="n">
        <v>23.54</v>
      </c>
      <c r="G3120" s="3" t="n">
        <v>0</v>
      </c>
      <c r="H3120" s="3" t="n">
        <v>0</v>
      </c>
      <c r="I3120" s="3">
        <f>E3120+G3120+H3120</f>
        <v/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/>
      </c>
      <c r="K3120" s="3">
        <f>I3120-J3120</f>
        <v/>
      </c>
      <c r="L3120" s="3">
        <f>IF(K3120&lt;-5,"CRÍTICO",IF(K3120&lt;0,"ATENÇÃO",IF(K3120&lt;=5,"OPORTUNO","MUITO BOM")))</f>
        <v/>
      </c>
      <c r="M3120" s="3" t="n">
        <v>22</v>
      </c>
      <c r="N3120" s="3" t="n">
        <v>98.02</v>
      </c>
      <c r="O3120" s="12" t="n">
        <v>23.48484848484848</v>
      </c>
    </row>
    <row r="3121">
      <c r="A3121" s="10" t="n">
        <v>46134</v>
      </c>
      <c r="B3121" t="inlineStr">
        <is>
          <t>Gabriel Gomes de Andrade</t>
        </is>
      </c>
      <c r="C3121" s="1" t="inlineStr">
        <is>
          <t>Técnico I</t>
        </is>
      </c>
      <c r="D3121" s="3" t="n">
        <v>20</v>
      </c>
      <c r="E3121" s="3" t="n">
        <v>18</v>
      </c>
      <c r="F3121" s="3" t="n">
        <v>27.29</v>
      </c>
      <c r="G3121" s="3" t="n">
        <v>0</v>
      </c>
      <c r="H3121" s="3" t="n">
        <v>0</v>
      </c>
      <c r="I3121" s="3">
        <f>E3121+G3121+H3121</f>
        <v/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/>
      </c>
      <c r="K3121" s="3">
        <f>I3121-J3121</f>
        <v/>
      </c>
      <c r="L3121" s="3">
        <f>IF(K3121&lt;-5,"CRÍTICO",IF(K3121&lt;0,"ATENÇÃO",IF(K3121&lt;=5,"OPORTUNO","MUITO BOM")))</f>
        <v/>
      </c>
      <c r="M3121" s="3" t="n">
        <v>15</v>
      </c>
      <c r="N3121" s="3" t="n">
        <v>99.28</v>
      </c>
      <c r="O3121" s="12" t="n">
        <v>27.68924302788844</v>
      </c>
    </row>
    <row r="3122">
      <c r="A3122" s="10" t="n">
        <v>46099</v>
      </c>
      <c r="B3122" t="inlineStr">
        <is>
          <t>Isabella Borges de Oliveira</t>
        </is>
      </c>
      <c r="C3122" s="1" t="inlineStr">
        <is>
          <t>Técnico II</t>
        </is>
      </c>
      <c r="D3122" s="3" t="n">
        <v>29</v>
      </c>
      <c r="E3122" s="3" t="n">
        <v>27</v>
      </c>
      <c r="F3122" s="3" t="n">
        <v>17.32</v>
      </c>
      <c r="G3122" s="3" t="n">
        <v>0</v>
      </c>
      <c r="H3122" s="3" t="n">
        <v>0</v>
      </c>
      <c r="I3122" s="3">
        <f>E3122+G3122+H3122</f>
        <v/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/>
      </c>
      <c r="K3122" s="3">
        <f>I3122-J3122</f>
        <v/>
      </c>
      <c r="L3122" s="3">
        <f>IF(K3122&lt;-5,"CRÍTICO",IF(K3122&lt;0,"ATENÇÃO",IF(K3122&lt;=5,"OPORTUNO","MUITO BOM")))</f>
        <v/>
      </c>
      <c r="M3122" s="3" t="n">
        <v>24</v>
      </c>
      <c r="N3122" s="3" t="n">
        <v>100</v>
      </c>
      <c r="O3122" s="12" t="n">
        <v>27.04918032786885</v>
      </c>
    </row>
    <row r="3123">
      <c r="A3123" s="10" t="n">
        <v>46099</v>
      </c>
      <c r="B3123" t="inlineStr">
        <is>
          <t>Janaina Lima dos Reis Urany</t>
        </is>
      </c>
      <c r="C3123" s="1" t="inlineStr">
        <is>
          <t>Técnico III</t>
        </is>
      </c>
      <c r="D3123" s="3" t="n">
        <v>43</v>
      </c>
      <c r="E3123" s="3" t="n">
        <v>40</v>
      </c>
      <c r="F3123" s="3" t="n">
        <v>16.5</v>
      </c>
      <c r="G3123" s="3" t="n">
        <v>0</v>
      </c>
      <c r="H3123" s="3" t="n">
        <v>0</v>
      </c>
      <c r="I3123" s="3">
        <f>E3123+G3123+H3123</f>
        <v/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/>
      </c>
      <c r="K3123" s="3">
        <f>I3123-J3123</f>
        <v/>
      </c>
      <c r="L3123" s="3">
        <f>IF(K3123&lt;-5,"CRÍTICO",IF(K3123&lt;0,"ATENÇÃO",IF(K3123&lt;=5,"OPORTUNO","MUITO BOM")))</f>
        <v/>
      </c>
      <c r="M3123" s="3" t="n">
        <v>35</v>
      </c>
      <c r="N3123" s="3" t="n">
        <v>97.83</v>
      </c>
      <c r="O3123" s="12" t="n">
        <v>26.31578947368421</v>
      </c>
    </row>
    <row r="3124">
      <c r="A3124" s="10" t="n">
        <v>46099</v>
      </c>
      <c r="B3124" t="inlineStr">
        <is>
          <t>Jaqueline Evangelista da Silva Martins</t>
        </is>
      </c>
      <c r="C3124" s="1" t="inlineStr">
        <is>
          <t>Técnico III</t>
        </is>
      </c>
      <c r="D3124" s="3" t="n">
        <v>0</v>
      </c>
      <c r="E3124" s="3" t="n">
        <v>0</v>
      </c>
      <c r="F3124" s="3" t="n">
        <v>0</v>
      </c>
      <c r="G3124" s="3" t="n">
        <v>0</v>
      </c>
      <c r="H3124" s="3" t="n">
        <v>0</v>
      </c>
      <c r="I3124" s="3" t="n">
        <v>0</v>
      </c>
      <c r="J3124" s="3" t="n">
        <v>0</v>
      </c>
      <c r="K3124" s="3" t="n">
        <v>0</v>
      </c>
      <c r="L3124" s="3">
        <f>IF(K3124&lt;-5,"CRÍTICO",IF(K3124&lt;0,"ATENÇÃO",IF(K3124&lt;=5,"OPORTUNO","MUITO BOM")))</f>
        <v/>
      </c>
      <c r="M3124" s="3" t="n">
        <v>7</v>
      </c>
      <c r="N3124" s="3" t="n">
        <v>100</v>
      </c>
      <c r="O3124" s="12" t="n">
        <v>26.70157068062827</v>
      </c>
    </row>
    <row r="3125">
      <c r="A3125" s="10" t="n">
        <v>46099</v>
      </c>
      <c r="B3125" t="inlineStr">
        <is>
          <t>Jessica Faria da Silveira</t>
        </is>
      </c>
      <c r="C3125" s="1" t="inlineStr">
        <is>
          <t>Técnico II</t>
        </is>
      </c>
      <c r="D3125" s="3" t="n">
        <v>19</v>
      </c>
      <c r="E3125" s="3" t="n">
        <v>16</v>
      </c>
      <c r="F3125" s="3" t="n">
        <v>32.33</v>
      </c>
      <c r="G3125" s="3" t="n">
        <v>0</v>
      </c>
      <c r="H3125" s="3" t="n">
        <v>0</v>
      </c>
      <c r="I3125" s="3">
        <f>E3125+G3125+H3125</f>
        <v/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/>
      </c>
      <c r="K3125" s="3">
        <f>I3125-J3125</f>
        <v/>
      </c>
      <c r="L3125" s="3">
        <f>IF(K3125&lt;-5,"CRÍTICO",IF(K3125&lt;0,"ATENÇÃO",IF(K3125&lt;=5,"OPORTUNO","MUITO BOM")))</f>
        <v/>
      </c>
      <c r="M3125" s="3" t="n">
        <v>16</v>
      </c>
      <c r="N3125" s="3" t="n">
        <v>97.47</v>
      </c>
      <c r="O3125" s="12" t="n">
        <v>22.88732394366197</v>
      </c>
    </row>
    <row r="3126">
      <c r="A3126" s="10" t="n">
        <v>46099</v>
      </c>
      <c r="B3126" t="inlineStr">
        <is>
          <t>Jéssica Fé Moura</t>
        </is>
      </c>
      <c r="C3126" s="1" t="inlineStr">
        <is>
          <t>Técnico III</t>
        </is>
      </c>
      <c r="D3126" s="3" t="n">
        <v>0</v>
      </c>
      <c r="E3126" s="3" t="n">
        <v>0</v>
      </c>
      <c r="F3126" s="3" t="n">
        <v>0</v>
      </c>
      <c r="G3126" s="3" t="n">
        <v>0</v>
      </c>
      <c r="H3126" s="3" t="n">
        <v>0</v>
      </c>
      <c r="I3126" s="3" t="n">
        <v>0</v>
      </c>
      <c r="J3126" s="3" t="n">
        <v>0</v>
      </c>
      <c r="K3126" s="3" t="n">
        <v>0</v>
      </c>
      <c r="L3126" s="3">
        <f>IF(K3126&lt;-5,"CRÍTICO",IF(K3126&lt;0,"ATENÇÃO",IF(K3126&lt;=5,"OPORTUNO","MUITO BOM")))</f>
        <v/>
      </c>
      <c r="M3126" s="3" t="n">
        <v>0</v>
      </c>
      <c r="N3126" s="3" t="n">
        <v>0</v>
      </c>
      <c r="O3126" s="12" t="n">
        <v>0</v>
      </c>
    </row>
    <row r="3127">
      <c r="A3127" s="10" t="n">
        <v>46099</v>
      </c>
      <c r="B3127" t="inlineStr">
        <is>
          <t>Karina Gonçalves Martins</t>
        </is>
      </c>
      <c r="C3127" s="1" t="inlineStr">
        <is>
          <t>JR</t>
        </is>
      </c>
      <c r="D3127" s="3" t="n">
        <v>19</v>
      </c>
      <c r="E3127" s="3" t="n">
        <v>18</v>
      </c>
      <c r="F3127" s="3" t="n">
        <v>30.2</v>
      </c>
      <c r="G3127" s="3" t="n">
        <v>0</v>
      </c>
      <c r="H3127" s="3" t="n">
        <v>0</v>
      </c>
      <c r="I3127" s="3">
        <f>E3127+G3127+H3127</f>
        <v/>
      </c>
      <c r="J3127" s="3">
        <f>ROUND(MIN(IF(C3127="Técnico III",35,IF(C3127="Técnico II",28,IF(C3127="Técnico I",23,IF(C3127="JR",20,IF(C3127="Estágio",10,0))))),IF(C3127="Técnico III",SUMIFS($D:$D,$A:$A,$A3127,$B:$B,"&lt;&gt;Patrícia Karla de Sousa Araújo",$B:$B,"&lt;&gt;Lorena Dias de Araujo",$B:$B,"&lt;&gt;Lucas Luiz Romero")*(35/1083),IF(C3127="Técnico II",SUMIFS($D:$D,$A:$A,$A3127,$B:$B,"&lt;&gt;Patrícia Karla de Sousa Araújo",$B:$B,"&lt;&gt;Lorena Dias de Araujo",$B:$B,"&lt;&gt;Lucas Luiz Romero")*(28/1083),IF(C3127="Técnico I",SUMIFS($D:$D,$A:$A,$A3127,$B:$B,"&lt;&gt;Patrícia Karla de Sousa Araújo",$B:$B,"&lt;&gt;Lorena Dias de Araujo",$B:$B,"&lt;&gt;Lucas Luiz Romero")*(23/1083),IF(C3127="JR",SUMIFS($D:$D,$A:$A,$A3127,$B:$B,"&lt;&gt;Patrícia Karla de Sousa Araújo",$B:$B,"&lt;&gt;Lorena Dias de Araujo",$B:$B,"&lt;&gt;Lucas Luiz Romero")*(20/1083),IF(C3127="Estágio",SUMIFS($D:$D,$A:$A,$A3127,$B:$B,"&lt;&gt;Patrícia Karla de Sousa Araújo",$B:$B,"&lt;&gt;Lorena Dias de Araujo",$B:$B,"&lt;&gt;Lucas Luiz Romero")*(10/1083),0)))))),0)</f>
        <v/>
      </c>
      <c r="K3127" s="3">
        <f>I3127-J3127</f>
        <v/>
      </c>
      <c r="L3127" s="3">
        <f>IF(K3127&lt;-5,"CRÍTICO",IF(K3127&lt;0,"ATENÇÃO",IF(K3127&lt;=5,"OPORTUNO","MUITO BOM")))</f>
        <v/>
      </c>
      <c r="M3127" s="3" t="n">
        <v>14</v>
      </c>
      <c r="N3127" s="3" t="n">
        <v>98.31</v>
      </c>
      <c r="O3127" s="12" t="n">
        <v>24.92012779552715</v>
      </c>
    </row>
    <row r="3128">
      <c r="A3128" s="10" t="n">
        <v>46099</v>
      </c>
      <c r="B3128" t="inlineStr">
        <is>
          <t>Kerollen Cristielly de Jesus Siqueira</t>
        </is>
      </c>
      <c r="C3128" s="1" t="inlineStr">
        <is>
          <t>Técnico III</t>
        </is>
      </c>
      <c r="D3128" s="3" t="n">
        <v>11</v>
      </c>
      <c r="E3128" s="3" t="n">
        <v>7</v>
      </c>
      <c r="F3128" s="3" t="n">
        <v>14</v>
      </c>
      <c r="G3128" s="3" t="n">
        <v>0</v>
      </c>
      <c r="H3128" s="3" t="n">
        <v>0</v>
      </c>
      <c r="I3128" s="3">
        <f>E3128+G3128+H3128</f>
        <v/>
      </c>
      <c r="J3128" s="3">
        <f>ROUND(MIN(IF(C3128="Técnico III",35,IF(C3128="Técnico II",28,IF(C3128="Técnico I",23,IF(C3128="JR",20,IF(C3128="Estágio",10,0))))),IF(C3128="Técnico III",SUMIFS($D:$D,$A:$A,$A3128,$B:$B,"&lt;&gt;Patrícia Karla de Sousa Araújo",$B:$B,"&lt;&gt;Lorena Dias de Araujo",$B:$B,"&lt;&gt;Lucas Luiz Romero")*(35/1083),IF(C3128="Técnico II",SUMIFS($D:$D,$A:$A,$A3128,$B:$B,"&lt;&gt;Patrícia Karla de Sousa Araújo",$B:$B,"&lt;&gt;Lorena Dias de Araujo",$B:$B,"&lt;&gt;Lucas Luiz Romero")*(28/1083),IF(C3128="Técnico I",SUMIFS($D:$D,$A:$A,$A3128,$B:$B,"&lt;&gt;Patrícia Karla de Sousa Araújo",$B:$B,"&lt;&gt;Lorena Dias de Araujo",$B:$B,"&lt;&gt;Lucas Luiz Romero")*(23/1083),IF(C3128="JR",SUMIFS($D:$D,$A:$A,$A3128,$B:$B,"&lt;&gt;Patrícia Karla de Sousa Araújo",$B:$B,"&lt;&gt;Lorena Dias de Araujo",$B:$B,"&lt;&gt;Lucas Luiz Romero")*(20/1083),IF(C3128="Estágio",SUMIFS($D:$D,$A:$A,$A3128,$B:$B,"&lt;&gt;Patrícia Karla de Sousa Araújo",$B:$B,"&lt;&gt;Lorena Dias de Araujo",$B:$B,"&lt;&gt;Lucas Luiz Romero")*(10/1083),0)))))),0)</f>
        <v/>
      </c>
      <c r="K3128" s="3">
        <f>I3128-J3128</f>
        <v/>
      </c>
      <c r="L3128" s="3">
        <f>IF(K3128&lt;-5,"CRÍTICO",IF(K3128&lt;0,"ATENÇÃO",IF(K3128&lt;=5,"OPORTUNO","MUITO BOM")))</f>
        <v/>
      </c>
      <c r="M3128" s="3" t="n">
        <v>8</v>
      </c>
      <c r="N3128" s="3" t="n">
        <v>96.81</v>
      </c>
      <c r="O3128" s="12" t="n">
        <v>32.36514522821577</v>
      </c>
    </row>
    <row r="3129">
      <c r="A3129" s="10" t="n">
        <v>46099</v>
      </c>
      <c r="B3129" t="inlineStr">
        <is>
          <t>Leandro de Souza Silva</t>
        </is>
      </c>
      <c r="C3129" s="1" t="inlineStr">
        <is>
          <t>JR</t>
        </is>
      </c>
      <c r="D3129" s="3" t="n">
        <v>16</v>
      </c>
      <c r="E3129" s="3" t="n">
        <v>16</v>
      </c>
      <c r="F3129" s="3" t="n">
        <v>24.14</v>
      </c>
      <c r="G3129" s="3" t="n">
        <v>0</v>
      </c>
      <c r="H3129" s="3" t="n">
        <v>0</v>
      </c>
      <c r="I3129" s="3">
        <f>E3129+G3129+H3129</f>
        <v/>
      </c>
      <c r="J3129" s="3">
        <f>ROUND(MIN(IF(C3129="Técnico III",35,IF(C3129="Técnico II",28,IF(C3129="Técnico I",23,IF(C3129="JR",20,IF(C3129="Estágio",10,0))))),IF(C3129="Técnico III",SUMIFS($D:$D,$A:$A,$A3129,$B:$B,"&lt;&gt;Patrícia Karla de Sousa Araújo",$B:$B,"&lt;&gt;Lorena Dias de Araujo",$B:$B,"&lt;&gt;Lucas Luiz Romero")*(35/1083),IF(C3129="Técnico II",SUMIFS($D:$D,$A:$A,$A3129,$B:$B,"&lt;&gt;Patrícia Karla de Sousa Araújo",$B:$B,"&lt;&gt;Lorena Dias de Araujo",$B:$B,"&lt;&gt;Lucas Luiz Romero")*(28/1083),IF(C3129="Técnico I",SUMIFS($D:$D,$A:$A,$A3129,$B:$B,"&lt;&gt;Patrícia Karla de Sousa Araújo",$B:$B,"&lt;&gt;Lorena Dias de Araujo",$B:$B,"&lt;&gt;Lucas Luiz Romero")*(23/1083),IF(C3129="JR",SUMIFS($D:$D,$A:$A,$A3129,$B:$B,"&lt;&gt;Patrícia Karla de Sousa Araújo",$B:$B,"&lt;&gt;Lorena Dias de Araujo",$B:$B,"&lt;&gt;Lucas Luiz Romero")*(20/1083),IF(C3129="Estágio",SUMIFS($D:$D,$A:$A,$A3129,$B:$B,"&lt;&gt;Patrícia Karla de Sousa Araújo",$B:$B,"&lt;&gt;Lorena Dias de Araujo",$B:$B,"&lt;&gt;Lucas Luiz Romero")*(10/1083),0)))))),0)</f>
        <v/>
      </c>
      <c r="K3129" s="3">
        <f>I3129-J3129</f>
        <v/>
      </c>
      <c r="L3129" s="3">
        <f>IF(K3129&lt;-5,"CRÍTICO",IF(K3129&lt;0,"ATENÇÃO",IF(K3129&lt;=5,"OPORTUNO","MUITO BOM")))</f>
        <v/>
      </c>
      <c r="M3129" s="3" t="n">
        <v>7</v>
      </c>
      <c r="N3129" s="3" t="n">
        <v>100</v>
      </c>
      <c r="O3129" s="12" t="n">
        <v>26.47058823529412</v>
      </c>
    </row>
    <row r="3130">
      <c r="A3130" s="10" t="n">
        <v>46099</v>
      </c>
      <c r="B3130" t="inlineStr">
        <is>
          <t>Leandro Oliveira de Sousa</t>
        </is>
      </c>
      <c r="C3130" s="1" t="inlineStr">
        <is>
          <t>Técnico III</t>
        </is>
      </c>
      <c r="D3130" s="3" t="n">
        <v>18</v>
      </c>
      <c r="E3130" s="3" t="n">
        <v>18</v>
      </c>
      <c r="F3130" s="3" t="n">
        <v>30.43</v>
      </c>
      <c r="G3130" s="3" t="n">
        <v>0</v>
      </c>
      <c r="H3130" s="3" t="n">
        <v>0</v>
      </c>
      <c r="I3130" s="3">
        <f>E3130+G3130+H3130</f>
        <v/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/>
      </c>
      <c r="K3130" s="3">
        <f>I3130-J3130</f>
        <v/>
      </c>
      <c r="L3130" s="3">
        <f>IF(K3130&lt;-5,"CRÍTICO",IF(K3130&lt;0,"ATENÇÃO",IF(K3130&lt;=5,"OPORTUNO","MUITO BOM")))</f>
        <v/>
      </c>
      <c r="M3130" s="3" t="n">
        <v>16</v>
      </c>
      <c r="N3130" s="3" t="n">
        <v>100</v>
      </c>
      <c r="O3130" s="12" t="n">
        <v>28.49002849002849</v>
      </c>
    </row>
    <row r="3131">
      <c r="A3131" s="10" t="n">
        <v>46099</v>
      </c>
      <c r="B3131" t="inlineStr">
        <is>
          <t>Lizandra Gomes Duarte</t>
        </is>
      </c>
      <c r="C3131" s="1" t="inlineStr">
        <is>
          <t>Técnico II</t>
        </is>
      </c>
      <c r="D3131" s="3" t="n">
        <v>29</v>
      </c>
      <c r="E3131" s="3" t="n">
        <v>29</v>
      </c>
      <c r="F3131" s="3" t="n">
        <v>23.43</v>
      </c>
      <c r="G3131" s="3" t="n">
        <v>0</v>
      </c>
      <c r="H3131" s="3" t="n">
        <v>0</v>
      </c>
      <c r="I3131" s="3">
        <f>E3131+G3131+H3131</f>
        <v/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/>
      </c>
      <c r="K3131" s="3">
        <f>I3131-J3131</f>
        <v/>
      </c>
      <c r="L3131" s="3">
        <f>IF(K3131&lt;-5,"CRÍTICO",IF(K3131&lt;0,"ATENÇÃO",IF(K3131&lt;=5,"OPORTUNO","MUITO BOM")))</f>
        <v/>
      </c>
      <c r="M3131" s="3" t="n">
        <v>31</v>
      </c>
      <c r="N3131" s="3" t="n">
        <v>99.14</v>
      </c>
      <c r="O3131" s="12" t="n">
        <v>27.2289156626506</v>
      </c>
    </row>
    <row r="3132">
      <c r="A3132" s="10" t="n">
        <v>46099</v>
      </c>
      <c r="B3132" t="inlineStr">
        <is>
          <t>Lorena Dias de Araujo</t>
        </is>
      </c>
      <c r="C3132" s="1" t="inlineStr">
        <is>
          <t>Técnico II</t>
        </is>
      </c>
      <c r="D3132" s="3" t="n">
        <v>34</v>
      </c>
      <c r="E3132" s="3" t="n">
        <v>31</v>
      </c>
      <c r="F3132" s="3" t="n">
        <v>23.5</v>
      </c>
      <c r="G3132" s="3" t="n">
        <v>0</v>
      </c>
      <c r="H3132" s="3" t="n">
        <v>0</v>
      </c>
      <c r="I3132" s="3" t="n">
        <v>0</v>
      </c>
      <c r="J3132" s="3" t="n">
        <v>0</v>
      </c>
      <c r="K3132" s="3" t="n">
        <v>0</v>
      </c>
      <c r="L3132" s="3">
        <f>IF(K3132&lt;-5,"CRÍTICO",IF(K3132&lt;0,"ATENÇÃO",IF(K3132&lt;=5,"OPORTUNO","MUITO BOM")))</f>
        <v/>
      </c>
      <c r="M3132" s="3" t="n">
        <v>26</v>
      </c>
      <c r="N3132" s="3" t="n">
        <v>97.52</v>
      </c>
      <c r="O3132" s="12" t="n">
        <v>28.2051282051282</v>
      </c>
    </row>
    <row r="3133">
      <c r="A3133" s="10" t="n">
        <v>46099</v>
      </c>
      <c r="B3133" t="inlineStr">
        <is>
          <t>Lucas Luiz Romero</t>
        </is>
      </c>
      <c r="C3133" s="1" t="inlineStr">
        <is>
          <t>Técnico III</t>
        </is>
      </c>
      <c r="D3133" s="3" t="n">
        <v>0</v>
      </c>
      <c r="E3133" s="3" t="n">
        <v>0</v>
      </c>
      <c r="F3133" s="3" t="n">
        <v>0</v>
      </c>
      <c r="G3133" s="3" t="n">
        <v>0</v>
      </c>
      <c r="H3133" s="3" t="n">
        <v>0</v>
      </c>
      <c r="I3133" s="3" t="n">
        <v>0</v>
      </c>
      <c r="J3133" s="3" t="n">
        <v>0</v>
      </c>
      <c r="K3133" s="3" t="n">
        <v>0</v>
      </c>
      <c r="L3133" s="3">
        <f>IF(K3133&lt;-5,"CRÍTICO",IF(K3133&lt;0,"ATENÇÃO",IF(K3133&lt;=5,"OPORTUNO","MUITO BOM")))</f>
        <v/>
      </c>
      <c r="M3133" s="3" t="n">
        <v>0</v>
      </c>
      <c r="N3133" s="3" t="n">
        <v>90</v>
      </c>
      <c r="O3133" s="12" t="n">
        <v>24.18604651162791</v>
      </c>
    </row>
    <row r="3134">
      <c r="A3134" s="10" t="n">
        <v>46099</v>
      </c>
      <c r="B3134" t="inlineStr">
        <is>
          <t>Luiz Fernando de Carvalho Junior</t>
        </is>
      </c>
      <c r="C3134" s="1" t="inlineStr">
        <is>
          <t>Técnico I</t>
        </is>
      </c>
      <c r="D3134" s="3" t="n">
        <v>19</v>
      </c>
      <c r="E3134" s="3" t="n">
        <v>19</v>
      </c>
      <c r="F3134" s="3" t="n">
        <v>24.11</v>
      </c>
      <c r="G3134" s="3" t="n">
        <v>0</v>
      </c>
      <c r="H3134" s="3" t="n">
        <v>0</v>
      </c>
      <c r="I3134" s="3">
        <f>E3134+G3134+H3134</f>
        <v/>
      </c>
      <c r="J3134" s="3">
        <f>ROUND(MIN(IF(C3134="Técnico III",35,IF(C3134="Técnico II",28,IF(C3134="Técnico I",23,IF(C3134="JR",20,IF(C3134="Estágio",10,0))))),IF(C3134="Técnico III",SUMIFS($D:$D,$A:$A,$A3134,$B:$B,"&lt;&gt;Patrícia Karla de Sousa Araújo",$B:$B,"&lt;&gt;Lorena Dias de Araujo",$B:$B,"&lt;&gt;Lucas Luiz Romero")*(35/1083),IF(C3134="Técnico II",SUMIFS($D:$D,$A:$A,$A3134,$B:$B,"&lt;&gt;Patrícia Karla de Sousa Araújo",$B:$B,"&lt;&gt;Lorena Dias de Araujo",$B:$B,"&lt;&gt;Lucas Luiz Romero")*(28/1083),IF(C3134="Técnico I",SUMIFS($D:$D,$A:$A,$A3134,$B:$B,"&lt;&gt;Patrícia Karla de Sousa Araújo",$B:$B,"&lt;&gt;Lorena Dias de Araujo",$B:$B,"&lt;&gt;Lucas Luiz Romero")*(23/1083),IF(C3134="JR",SUMIFS($D:$D,$A:$A,$A3134,$B:$B,"&lt;&gt;Patrícia Karla de Sousa Araújo",$B:$B,"&lt;&gt;Lorena Dias de Araujo",$B:$B,"&lt;&gt;Lucas Luiz Romero")*(20/1083),IF(C3134="Estágio",SUMIFS($D:$D,$A:$A,$A3134,$B:$B,"&lt;&gt;Patrícia Karla de Sousa Araújo",$B:$B,"&lt;&gt;Lorena Dias de Araujo",$B:$B,"&lt;&gt;Lucas Luiz Romero")*(10/1083),0)))))),0)</f>
        <v/>
      </c>
      <c r="K3134" s="3">
        <f>I3134-J3134</f>
        <v/>
      </c>
      <c r="L3134" s="3">
        <f>IF(K3134&lt;-5,"CRÍTICO",IF(K3134&lt;0,"ATENÇÃO",IF(K3134&lt;=5,"OPORTUNO","MUITO BOM")))</f>
        <v/>
      </c>
      <c r="M3134" s="3" t="n">
        <v>17</v>
      </c>
      <c r="N3134" s="3" t="n">
        <v>98.90000000000001</v>
      </c>
      <c r="O3134" s="12" t="n">
        <v>26.7639902676399</v>
      </c>
    </row>
    <row r="3135">
      <c r="A3135" s="10" t="n">
        <v>46099</v>
      </c>
      <c r="B3135" t="inlineStr">
        <is>
          <t>Maria Eduarda Sousa Costa</t>
        </is>
      </c>
      <c r="C3135" s="1" t="inlineStr">
        <is>
          <t>Estágio</t>
        </is>
      </c>
      <c r="D3135" s="3" t="n">
        <v>4</v>
      </c>
      <c r="E3135" s="3" t="n">
        <v>4</v>
      </c>
      <c r="F3135" s="3" t="n">
        <v>67.31999999999999</v>
      </c>
      <c r="G3135" s="3" t="n">
        <v>0</v>
      </c>
      <c r="H3135" s="3" t="n">
        <v>0</v>
      </c>
      <c r="I3135" s="3">
        <f>E3135+G3135+H3135</f>
        <v/>
      </c>
      <c r="J3135" s="3">
        <f>ROUND(MIN(IF(C3135="Técnico III",35,IF(C3135="Técnico II",28,IF(C3135="Técnico I",23,IF(C3135="JR",20,IF(C3135="Estágio",10,0))))),IF(C3135="Técnico III",SUMIFS($D:$D,$A:$A,$A3135,$B:$B,"&lt;&gt;Patrícia Karla de Sousa Araújo",$B:$B,"&lt;&gt;Lorena Dias de Araujo",$B:$B,"&lt;&gt;Lucas Luiz Romero")*(35/1083),IF(C3135="Técnico II",SUMIFS($D:$D,$A:$A,$A3135,$B:$B,"&lt;&gt;Patrícia Karla de Sousa Araújo",$B:$B,"&lt;&gt;Lorena Dias de Araujo",$B:$B,"&lt;&gt;Lucas Luiz Romero")*(28/1083),IF(C3135="Técnico I",SUMIFS($D:$D,$A:$A,$A3135,$B:$B,"&lt;&gt;Patrícia Karla de Sousa Araújo",$B:$B,"&lt;&gt;Lorena Dias de Araujo",$B:$B,"&lt;&gt;Lucas Luiz Romero")*(23/1083),IF(C3135="JR",SUMIFS($D:$D,$A:$A,$A3135,$B:$B,"&lt;&gt;Patrícia Karla de Sousa Araújo",$B:$B,"&lt;&gt;Lorena Dias de Araujo",$B:$B,"&lt;&gt;Lucas Luiz Romero")*(20/1083),IF(C3135="Estágio",SUMIFS($D:$D,$A:$A,$A3135,$B:$B,"&lt;&gt;Patrícia Karla de Sousa Araújo",$B:$B,"&lt;&gt;Lorena Dias de Araujo",$B:$B,"&lt;&gt;Lucas Luiz Romero")*(10/1083),0)))))),0)</f>
        <v/>
      </c>
      <c r="K3135" s="3">
        <f>I3135-J3135</f>
        <v/>
      </c>
      <c r="L3135" s="3">
        <f>IF(K3135&lt;-5,"CRÍTICO",IF(K3135&lt;0,"ATENÇÃO",IF(K3135&lt;=5,"OPORTUNO","MUITO BOM")))</f>
        <v/>
      </c>
      <c r="M3135" s="3" t="n">
        <v>4</v>
      </c>
      <c r="N3135" s="3" t="n">
        <v>88.89</v>
      </c>
      <c r="O3135" s="12" t="n">
        <v>25.26315789473684</v>
      </c>
    </row>
    <row r="3136">
      <c r="A3136" s="10" t="n">
        <v>46119</v>
      </c>
      <c r="B3136" t="inlineStr">
        <is>
          <t>Matheus Farias De Souza</t>
        </is>
      </c>
      <c r="C3136" s="1" t="inlineStr">
        <is>
          <t>Técnico III</t>
        </is>
      </c>
      <c r="D3136" s="3" t="n">
        <v>44</v>
      </c>
      <c r="E3136" s="3" t="n">
        <v>43</v>
      </c>
      <c r="F3136" s="3" t="n">
        <v>15.07</v>
      </c>
      <c r="G3136" s="3" t="n">
        <v>0</v>
      </c>
      <c r="H3136" s="3" t="n">
        <v>0</v>
      </c>
      <c r="I3136" s="3">
        <f>E3136+G3136+H3136</f>
        <v/>
      </c>
      <c r="J3136" s="3">
        <f>ROUND(MIN(IF(C3136="Técnico III",35,IF(C3136="Técnico II",28,IF(C3136="Técnico I",23,IF(C3136="JR",20,IF(C3136="Estágio",10,0))))),IF(C3136="Técnico III",SUMIFS($D:$D,$A:$A,$A3136,$B:$B,"&lt;&gt;Patrícia Karla de Sousa Araújo",$B:$B,"&lt;&gt;Lorena Dias de Araujo",$B:$B,"&lt;&gt;Lucas Luiz Romero")*(35/1083),IF(C3136="Técnico II",SUMIFS($D:$D,$A:$A,$A3136,$B:$B,"&lt;&gt;Patrícia Karla de Sousa Araújo",$B:$B,"&lt;&gt;Lorena Dias de Araujo",$B:$B,"&lt;&gt;Lucas Luiz Romero")*(28/1083),IF(C3136="Técnico I",SUMIFS($D:$D,$A:$A,$A3136,$B:$B,"&lt;&gt;Patrícia Karla de Sousa Araújo",$B:$B,"&lt;&gt;Lorena Dias de Araujo",$B:$B,"&lt;&gt;Lucas Luiz Romero")*(23/1083),IF(C3136="JR",SUMIFS($D:$D,$A:$A,$A3136,$B:$B,"&lt;&gt;Patrícia Karla de Sousa Araújo",$B:$B,"&lt;&gt;Lorena Dias de Araujo",$B:$B,"&lt;&gt;Lucas Luiz Romero")*(20/1083),IF(C3136="Estágio",SUMIFS($D:$D,$A:$A,$A3136,$B:$B,"&lt;&gt;Patrícia Karla de Sousa Araújo",$B:$B,"&lt;&gt;Lorena Dias de Araujo",$B:$B,"&lt;&gt;Lucas Luiz Romero")*(10/1083),0)))))),0)</f>
        <v/>
      </c>
      <c r="K3136" s="3">
        <f>I3136-J3136</f>
        <v/>
      </c>
      <c r="L3136" s="3">
        <f>IF(K3136&lt;-5,"CRÍTICO",IF(K3136&lt;0,"ATENÇÃO",IF(K3136&lt;=5,"OPORTUNO","MUITO BOM")))</f>
        <v/>
      </c>
      <c r="M3136" s="3" t="n">
        <v>40</v>
      </c>
      <c r="N3136" s="3" t="n">
        <v>100</v>
      </c>
      <c r="O3136" s="12" t="n">
        <v>23.9870340356564</v>
      </c>
    </row>
    <row r="3137">
      <c r="A3137" s="10" t="n">
        <v>46099</v>
      </c>
      <c r="B3137" t="inlineStr">
        <is>
          <t>Maysa Victoria Dias Moura</t>
        </is>
      </c>
      <c r="C3137" s="1" t="inlineStr">
        <is>
          <t>Técnico III</t>
        </is>
      </c>
      <c r="D3137" s="3" t="n">
        <v>4</v>
      </c>
      <c r="E3137" s="3" t="n">
        <v>3</v>
      </c>
      <c r="F3137" s="3" t="n">
        <v>66.43000000000001</v>
      </c>
      <c r="G3137" s="3" t="n">
        <v>0</v>
      </c>
      <c r="H3137" s="3" t="n">
        <v>0</v>
      </c>
      <c r="I3137" s="3">
        <f>E3137+G3137+H3137</f>
        <v/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/>
      </c>
      <c r="K3137" s="3">
        <f>I3137-J3137</f>
        <v/>
      </c>
      <c r="L3137" s="3">
        <f>IF(K3137&lt;-5,"CRÍTICO",IF(K3137&lt;0,"ATENÇÃO",IF(K3137&lt;=5,"OPORTUNO","MUITO BOM")))</f>
        <v/>
      </c>
      <c r="M3137" s="3" t="n">
        <v>3</v>
      </c>
      <c r="N3137" s="3" t="n">
        <v>98.06</v>
      </c>
      <c r="O3137" s="12" t="n">
        <v>22.40566037735849</v>
      </c>
    </row>
    <row r="3138">
      <c r="A3138" s="10" t="n">
        <v>46127</v>
      </c>
      <c r="B3138" t="inlineStr">
        <is>
          <t>Michelle G Santos</t>
        </is>
      </c>
      <c r="C3138" s="1" t="inlineStr">
        <is>
          <t>Estágio</t>
        </is>
      </c>
      <c r="D3138" s="3" t="n">
        <v>19</v>
      </c>
      <c r="E3138" s="3" t="n">
        <v>19</v>
      </c>
      <c r="F3138" s="3" t="n">
        <v>30.04</v>
      </c>
      <c r="G3138" s="3" t="n">
        <v>0</v>
      </c>
      <c r="H3138" s="3" t="n">
        <v>0</v>
      </c>
      <c r="I3138" s="3">
        <f>E3138+G3138+H3138</f>
        <v/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/>
      </c>
      <c r="K3138" s="3">
        <f>I3138-J3138</f>
        <v/>
      </c>
      <c r="L3138" s="3">
        <f>IF(K3138&lt;-5,"CRÍTICO",IF(K3138&lt;0,"ATENÇÃO",IF(K3138&lt;=5,"OPORTUNO","MUITO BOM")))</f>
        <v/>
      </c>
      <c r="M3138" s="3" t="n">
        <v>15</v>
      </c>
      <c r="N3138" s="3" t="n">
        <v>100</v>
      </c>
      <c r="O3138" s="12" t="n">
        <v>23.77622377622378</v>
      </c>
    </row>
    <row r="3139">
      <c r="A3139" s="10" t="n">
        <v>46099</v>
      </c>
      <c r="B3139" t="inlineStr">
        <is>
          <t>Milena Sales</t>
        </is>
      </c>
      <c r="C3139" s="1" t="inlineStr">
        <is>
          <t>JR</t>
        </is>
      </c>
      <c r="D3139" s="3" t="n">
        <v>0</v>
      </c>
      <c r="E3139" s="3" t="n">
        <v>0</v>
      </c>
      <c r="F3139" s="3" t="n">
        <v>0</v>
      </c>
      <c r="G3139" s="3" t="n">
        <v>0</v>
      </c>
      <c r="H3139" s="3" t="n">
        <v>0</v>
      </c>
      <c r="I3139" s="3" t="n">
        <v>0</v>
      </c>
      <c r="J3139" s="3" t="n">
        <v>0</v>
      </c>
      <c r="K3139" s="3" t="n">
        <v>0</v>
      </c>
      <c r="L3139" s="3">
        <f>IF(K3139&lt;-5,"CRÍTICO",IF(K3139&lt;0,"ATENÇÃO",IF(K3139&lt;=5,"OPORTUNO","MUITO BOM")))</f>
        <v/>
      </c>
      <c r="M3139" s="3" t="n">
        <v>0</v>
      </c>
      <c r="N3139" s="3" t="n">
        <v>100</v>
      </c>
      <c r="O3139" s="12" t="n">
        <v>15.38461538461539</v>
      </c>
    </row>
    <row r="3140">
      <c r="A3140" s="10" t="n">
        <v>46099</v>
      </c>
      <c r="B3140" t="inlineStr">
        <is>
          <t>Patrícia Karla de Sousa Araújo</t>
        </is>
      </c>
      <c r="C3140" s="1" t="inlineStr">
        <is>
          <t>Técnico II</t>
        </is>
      </c>
      <c r="D3140" s="3" t="n">
        <v>16</v>
      </c>
      <c r="E3140" s="3" t="n">
        <v>12</v>
      </c>
      <c r="F3140" s="3" t="n">
        <v>16.43</v>
      </c>
      <c r="G3140" s="3" t="n">
        <v>0</v>
      </c>
      <c r="H3140" s="3" t="n">
        <v>0</v>
      </c>
      <c r="I3140" s="3">
        <f>E3140+G3140+H3140</f>
        <v/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/>
      </c>
      <c r="K3140" s="3">
        <f>I3140-J3140</f>
        <v/>
      </c>
      <c r="L3140" s="3">
        <f>IF(K3140&lt;-5,"CRÍTICO",IF(K3140&lt;0,"ATENÇÃO",IF(K3140&lt;=5,"OPORTUNO","MUITO BOM")))</f>
        <v/>
      </c>
      <c r="M3140" s="3" t="n">
        <v>10</v>
      </c>
      <c r="N3140" s="3" t="n">
        <v>100</v>
      </c>
      <c r="O3140" s="12" t="n">
        <v>27.51479289940828</v>
      </c>
    </row>
    <row r="3141">
      <c r="A3141" s="10" t="n">
        <v>46099</v>
      </c>
      <c r="B3141" t="inlineStr">
        <is>
          <t>Paulo Ricardo Santos</t>
        </is>
      </c>
      <c r="C3141" s="1" t="inlineStr">
        <is>
          <t>JR</t>
        </is>
      </c>
      <c r="D3141" s="3" t="n">
        <v>12</v>
      </c>
      <c r="E3141" s="3" t="n">
        <v>12</v>
      </c>
      <c r="F3141" s="3" t="n">
        <v>25.18</v>
      </c>
      <c r="G3141" s="3" t="n">
        <v>0</v>
      </c>
      <c r="H3141" s="3" t="n">
        <v>0</v>
      </c>
      <c r="I3141" s="3">
        <f>E3141+G3141+H3141</f>
        <v/>
      </c>
      <c r="J3141" s="3">
        <f>ROUND(MIN(IF(C3141="Técnico III",35,IF(C3141="Técnico II",28,IF(C3141="Técnico I",23,IF(C3141="JR",20,IF(C3141="Estágio",10,0))))),IF(C3141="Técnico III",SUMIFS($D:$D,$A:$A,$A3141,$B:$B,"&lt;&gt;Patrícia Karla de Sousa Araújo",$B:$B,"&lt;&gt;Lorena Dias de Araujo",$B:$B,"&lt;&gt;Lucas Luiz Romero")*(35/1083),IF(C3141="Técnico II",SUMIFS($D:$D,$A:$A,$A3141,$B:$B,"&lt;&gt;Patrícia Karla de Sousa Araújo",$B:$B,"&lt;&gt;Lorena Dias de Araujo",$B:$B,"&lt;&gt;Lucas Luiz Romero")*(28/1083),IF(C3141="Técnico I",SUMIFS($D:$D,$A:$A,$A3141,$B:$B,"&lt;&gt;Patrícia Karla de Sousa Araújo",$B:$B,"&lt;&gt;Lorena Dias de Araujo",$B:$B,"&lt;&gt;Lucas Luiz Romero")*(23/1083),IF(C3141="JR",SUMIFS($D:$D,$A:$A,$A3141,$B:$B,"&lt;&gt;Patrícia Karla de Sousa Araújo",$B:$B,"&lt;&gt;Lorena Dias de Araujo",$B:$B,"&lt;&gt;Lucas Luiz Romero")*(20/1083),IF(C3141="Estágio",SUMIFS($D:$D,$A:$A,$A3141,$B:$B,"&lt;&gt;Patrícia Karla de Sousa Araújo",$B:$B,"&lt;&gt;Lorena Dias de Araujo",$B:$B,"&lt;&gt;Lucas Luiz Romero")*(10/1083),0)))))),0)</f>
        <v/>
      </c>
      <c r="K3141" s="3">
        <f>I3141-J3141</f>
        <v/>
      </c>
      <c r="L3141" s="3">
        <f>IF(K3141&lt;-5,"CRÍTICO",IF(K3141&lt;0,"ATENÇÃO",IF(K3141&lt;=5,"OPORTUNO","MUITO BOM")))</f>
        <v/>
      </c>
      <c r="M3141" s="3" t="n">
        <v>9</v>
      </c>
      <c r="N3141" s="3" t="n">
        <v>100</v>
      </c>
      <c r="O3141" s="12" t="n">
        <v>24.87562189054727</v>
      </c>
    </row>
    <row r="3142">
      <c r="A3142" s="10" t="n">
        <v>46099</v>
      </c>
      <c r="B3142" t="inlineStr">
        <is>
          <t>Pedro Luiz Mota Sousa</t>
        </is>
      </c>
      <c r="C3142" s="1" t="inlineStr">
        <is>
          <t>JR</t>
        </is>
      </c>
      <c r="D3142" s="3" t="n">
        <v>11</v>
      </c>
      <c r="E3142" s="3" t="n">
        <v>11</v>
      </c>
      <c r="F3142" s="3" t="n">
        <v>42.15</v>
      </c>
      <c r="G3142" s="3" t="n">
        <v>0</v>
      </c>
      <c r="H3142" s="3" t="n">
        <v>0</v>
      </c>
      <c r="I3142" s="3">
        <f>E3142+G3142+H3142</f>
        <v/>
      </c>
      <c r="J3142" s="3">
        <f>ROUND(MIN(IF(C3142="Técnico III",35,IF(C3142="Técnico II",28,IF(C3142="Técnico I",23,IF(C3142="JR",20,IF(C3142="Estágio",10,0))))),IF(C3142="Técnico III",SUMIFS($D:$D,$A:$A,$A3142,$B:$B,"&lt;&gt;Patrícia Karla de Sousa Araújo",$B:$B,"&lt;&gt;Lorena Dias de Araujo",$B:$B,"&lt;&gt;Lucas Luiz Romero")*(35/1083),IF(C3142="Técnico II",SUMIFS($D:$D,$A:$A,$A3142,$B:$B,"&lt;&gt;Patrícia Karla de Sousa Araújo",$B:$B,"&lt;&gt;Lorena Dias de Araujo",$B:$B,"&lt;&gt;Lucas Luiz Romero")*(28/1083),IF(C3142="Técnico I",SUMIFS($D:$D,$A:$A,$A3142,$B:$B,"&lt;&gt;Patrícia Karla de Sousa Araújo",$B:$B,"&lt;&gt;Lorena Dias de Araujo",$B:$B,"&lt;&gt;Lucas Luiz Romero")*(23/1083),IF(C3142="JR",SUMIFS($D:$D,$A:$A,$A3142,$B:$B,"&lt;&gt;Patrícia Karla de Sousa Araújo",$B:$B,"&lt;&gt;Lorena Dias de Araujo",$B:$B,"&lt;&gt;Lucas Luiz Romero")*(20/1083),IF(C3142="Estágio",SUMIFS($D:$D,$A:$A,$A3142,$B:$B,"&lt;&gt;Patrícia Karla de Sousa Araújo",$B:$B,"&lt;&gt;Lorena Dias de Araujo",$B:$B,"&lt;&gt;Lucas Luiz Romero")*(10/1083),0)))))),0)</f>
        <v/>
      </c>
      <c r="K3142" s="3">
        <f>I3142-J3142</f>
        <v/>
      </c>
      <c r="L3142" s="3">
        <f>IF(K3142&lt;-5,"CRÍTICO",IF(K3142&lt;0,"ATENÇÃO",IF(K3142&lt;=5,"OPORTUNO","MUITO BOM")))</f>
        <v/>
      </c>
      <c r="M3142" s="3" t="n">
        <v>10</v>
      </c>
      <c r="N3142" s="3" t="n">
        <v>100</v>
      </c>
      <c r="O3142" s="12" t="n">
        <v>28.10810810810811</v>
      </c>
    </row>
    <row r="3143">
      <c r="A3143" s="10" t="n">
        <v>46127</v>
      </c>
      <c r="B3143" t="inlineStr">
        <is>
          <t>Quirino Diogo Leite Torres</t>
        </is>
      </c>
      <c r="C3143" s="1" t="inlineStr">
        <is>
          <t>Estágio</t>
        </is>
      </c>
      <c r="D3143" s="3" t="n">
        <v>11</v>
      </c>
      <c r="E3143" s="3" t="n">
        <v>11</v>
      </c>
      <c r="F3143" s="3" t="n">
        <v>27.16</v>
      </c>
      <c r="G3143" s="3" t="n">
        <v>0</v>
      </c>
      <c r="H3143" s="3" t="n">
        <v>0</v>
      </c>
      <c r="I3143" s="3">
        <f>E3143+G3143+H3143</f>
        <v/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/>
      </c>
      <c r="K3143" s="3">
        <f>I3143-J3143</f>
        <v/>
      </c>
      <c r="L3143" s="3">
        <f>IF(K3143&lt;-5,"CRÍTICO",IF(K3143&lt;0,"ATENÇÃO",IF(K3143&lt;=5,"OPORTUNO","MUITO BOM")))</f>
        <v/>
      </c>
      <c r="M3143" s="3" t="n">
        <v>10</v>
      </c>
      <c r="N3143" s="3" t="n">
        <v>94.12</v>
      </c>
      <c r="O3143" s="12" t="n">
        <v>32.8</v>
      </c>
    </row>
    <row r="3144">
      <c r="A3144" s="10" t="n">
        <v>46099</v>
      </c>
      <c r="B3144" t="inlineStr">
        <is>
          <t>Raane Batista Matos</t>
        </is>
      </c>
      <c r="C3144" s="1" t="inlineStr">
        <is>
          <t>Técnico I</t>
        </is>
      </c>
      <c r="D3144" s="3" t="n">
        <v>18</v>
      </c>
      <c r="E3144" s="3" t="n">
        <v>18</v>
      </c>
      <c r="F3144" s="3" t="n">
        <v>36.41</v>
      </c>
      <c r="G3144" s="3" t="n">
        <v>0</v>
      </c>
      <c r="H3144" s="3" t="n">
        <v>0</v>
      </c>
      <c r="I3144" s="3">
        <f>E3144+G3144+H3144</f>
        <v/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/>
      </c>
      <c r="K3144" s="3">
        <f>I3144-J3144</f>
        <v/>
      </c>
      <c r="L3144" s="3">
        <f>IF(K3144&lt;-5,"CRÍTICO",IF(K3144&lt;0,"ATENÇÃO",IF(K3144&lt;=5,"OPORTUNO","MUITO BOM")))</f>
        <v/>
      </c>
      <c r="M3144" s="3" t="n">
        <v>13</v>
      </c>
      <c r="N3144" s="3" t="n">
        <v>95.34999999999999</v>
      </c>
      <c r="O3144" s="12" t="n">
        <v>28.61538461538461</v>
      </c>
    </row>
    <row r="3145">
      <c r="A3145" s="10" t="n">
        <v>46099</v>
      </c>
      <c r="B3145" t="inlineStr">
        <is>
          <t>Rafael Gomes de Morais</t>
        </is>
      </c>
      <c r="C3145" s="1" t="inlineStr">
        <is>
          <t>Técnico III</t>
        </is>
      </c>
      <c r="D3145" s="3" t="n">
        <v>35</v>
      </c>
      <c r="E3145" s="3" t="n">
        <v>34</v>
      </c>
      <c r="F3145" s="3" t="n">
        <v>14.11</v>
      </c>
      <c r="G3145" s="3" t="n">
        <v>0</v>
      </c>
      <c r="H3145" s="3" t="n">
        <v>0</v>
      </c>
      <c r="I3145" s="3">
        <f>E3145+G3145+H3145</f>
        <v/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/>
      </c>
      <c r="K3145" s="3">
        <f>I3145-J3145</f>
        <v/>
      </c>
      <c r="L3145" s="3">
        <f>IF(K3145&lt;-5,"CRÍTICO",IF(K3145&lt;0,"ATENÇÃO",IF(K3145&lt;=5,"OPORTUNO","MUITO BOM")))</f>
        <v/>
      </c>
      <c r="M3145" s="3" t="n">
        <v>32</v>
      </c>
      <c r="N3145" s="3" t="n">
        <v>98.26000000000001</v>
      </c>
      <c r="O3145" s="12" t="n">
        <v>27.54491017964072</v>
      </c>
    </row>
    <row r="3146">
      <c r="A3146" s="10" t="n">
        <v>46099</v>
      </c>
      <c r="B3146" t="inlineStr">
        <is>
          <t>Sara Maria Monteiro Lopes</t>
        </is>
      </c>
      <c r="C3146" s="1" t="inlineStr">
        <is>
          <t>Técnico I</t>
        </is>
      </c>
      <c r="D3146" s="3" t="n">
        <v>12</v>
      </c>
      <c r="E3146" s="3" t="n">
        <v>12</v>
      </c>
      <c r="F3146" s="3" t="n">
        <v>38.48</v>
      </c>
      <c r="G3146" s="3" t="n">
        <v>0</v>
      </c>
      <c r="H3146" s="3" t="n">
        <v>0</v>
      </c>
      <c r="I3146" s="3">
        <f>E3146+G3146+H3146</f>
        <v/>
      </c>
      <c r="J3146" s="3">
        <f>ROUND(MIN(IF(C3146="Técnico III",35,IF(C3146="Técnico II",28,IF(C3146="Técnico I",23,IF(C3146="JR",20,IF(C3146="Estágio",10,0))))),IF(C3146="Técnico III",SUMIFS($D:$D,$A:$A,$A3146,$B:$B,"&lt;&gt;Patrícia Karla de Sousa Araújo",$B:$B,"&lt;&gt;Lorena Dias de Araujo",$B:$B,"&lt;&gt;Lucas Luiz Romero")*(35/1083),IF(C3146="Técnico II",SUMIFS($D:$D,$A:$A,$A3146,$B:$B,"&lt;&gt;Patrícia Karla de Sousa Araújo",$B:$B,"&lt;&gt;Lorena Dias de Araujo",$B:$B,"&lt;&gt;Lucas Luiz Romero")*(28/1083),IF(C3146="Técnico I",SUMIFS($D:$D,$A:$A,$A3146,$B:$B,"&lt;&gt;Patrícia Karla de Sousa Araújo",$B:$B,"&lt;&gt;Lorena Dias de Araujo",$B:$B,"&lt;&gt;Lucas Luiz Romero")*(23/1083),IF(C3146="JR",SUMIFS($D:$D,$A:$A,$A3146,$B:$B,"&lt;&gt;Patrícia Karla de Sousa Araújo",$B:$B,"&lt;&gt;Lorena Dias de Araujo",$B:$B,"&lt;&gt;Lucas Luiz Romero")*(20/1083),IF(C3146="Estágio",SUMIFS($D:$D,$A:$A,$A3146,$B:$B,"&lt;&gt;Patrícia Karla de Sousa Araújo",$B:$B,"&lt;&gt;Lorena Dias de Araujo",$B:$B,"&lt;&gt;Lucas Luiz Romero")*(10/1083),0)))))),0)</f>
        <v/>
      </c>
      <c r="K3146" s="3">
        <f>I3146-J3146</f>
        <v/>
      </c>
      <c r="L3146" s="3">
        <f>IF(K3146&lt;-5,"CRÍTICO",IF(K3146&lt;0,"ATENÇÃO",IF(K3146&lt;=5,"OPORTUNO","MUITO BOM")))</f>
        <v/>
      </c>
      <c r="M3146" s="3" t="n">
        <v>10</v>
      </c>
      <c r="N3146" s="3" t="n">
        <v>98.55</v>
      </c>
      <c r="O3146" s="12" t="n">
        <v>25.33783783783784</v>
      </c>
    </row>
    <row r="3147">
      <c r="A3147" s="10" t="n">
        <v>46099</v>
      </c>
      <c r="B3147" t="inlineStr">
        <is>
          <t>Sarah Steffanie de Lima Borges</t>
        </is>
      </c>
      <c r="C3147" s="1" t="inlineStr">
        <is>
          <t>Técnico III</t>
        </is>
      </c>
      <c r="D3147" s="3" t="n">
        <v>27</v>
      </c>
      <c r="E3147" s="3" t="n">
        <v>27</v>
      </c>
      <c r="F3147" s="3" t="n">
        <v>17.32</v>
      </c>
      <c r="G3147" s="3" t="n">
        <v>0</v>
      </c>
      <c r="H3147" s="3" t="n">
        <v>0</v>
      </c>
      <c r="I3147" s="3">
        <f>E3147+G3147+H3147</f>
        <v/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/>
      </c>
      <c r="K3147" s="3">
        <f>I3147-J3147</f>
        <v/>
      </c>
      <c r="L3147" s="3">
        <f>IF(K3147&lt;-5,"CRÍTICO",IF(K3147&lt;0,"ATENÇÃO",IF(K3147&lt;=5,"OPORTUNO","MUITO BOM")))</f>
        <v/>
      </c>
      <c r="M3147" s="3" t="n">
        <v>22</v>
      </c>
      <c r="N3147" s="3" t="n">
        <v>98.39</v>
      </c>
      <c r="O3147" s="12" t="n">
        <v>25.56390977443609</v>
      </c>
    </row>
    <row r="3148">
      <c r="A3148" s="10" t="n">
        <v>46100</v>
      </c>
      <c r="B3148" t="inlineStr">
        <is>
          <t>Alisson de Freitas Silva</t>
        </is>
      </c>
      <c r="C3148" s="1" t="inlineStr">
        <is>
          <t>Técnico II</t>
        </is>
      </c>
      <c r="D3148" s="3" t="n">
        <v>24</v>
      </c>
      <c r="E3148" s="3" t="n">
        <v>20</v>
      </c>
      <c r="F3148" s="3" t="n">
        <v>20.02</v>
      </c>
      <c r="G3148" s="3" t="n">
        <v>0</v>
      </c>
      <c r="H3148" s="3" t="n">
        <v>0</v>
      </c>
      <c r="I3148" s="3">
        <f>E3148+G3148+H3148</f>
        <v/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/>
      </c>
      <c r="K3148" s="3">
        <f>I3148-J3148</f>
        <v/>
      </c>
      <c r="L3148" s="3">
        <f>IF(K3148&lt;-5,"CRÍTICO",IF(K3148&lt;0,"ATENÇÃO",IF(K3148&lt;=5,"OPORTUNO","MUITO BOM")))</f>
        <v/>
      </c>
      <c r="M3148" s="3" t="n">
        <v>12</v>
      </c>
      <c r="N3148" s="3" t="n">
        <v>94.29000000000001</v>
      </c>
      <c r="O3148" s="12" t="n">
        <v>25.64766839378239</v>
      </c>
    </row>
    <row r="3149">
      <c r="A3149" s="10" t="n">
        <v>46100</v>
      </c>
      <c r="B3149" t="inlineStr">
        <is>
          <t>Amanda Moura Ferreira</t>
        </is>
      </c>
      <c r="C3149" s="1" t="inlineStr">
        <is>
          <t>Técnico III</t>
        </is>
      </c>
      <c r="D3149" s="3" t="n">
        <v>0</v>
      </c>
      <c r="E3149" s="3" t="n">
        <v>0</v>
      </c>
      <c r="F3149" s="3" t="n">
        <v>0</v>
      </c>
      <c r="G3149" s="3" t="n">
        <v>0</v>
      </c>
      <c r="H3149" s="3" t="n">
        <v>0</v>
      </c>
      <c r="I3149" s="3" t="n">
        <v>0</v>
      </c>
      <c r="J3149" s="3" t="n">
        <v>0</v>
      </c>
      <c r="K3149" s="3" t="n">
        <v>0</v>
      </c>
      <c r="L3149" s="3">
        <f>IF(K3149&lt;-5,"CRÍTICO",IF(K3149&lt;0,"ATENÇÃO",IF(K3149&lt;=5,"OPORTUNO","MUITO BOM")))</f>
        <v/>
      </c>
      <c r="M3149" s="3" t="n">
        <v>10</v>
      </c>
      <c r="N3149" s="3" t="n">
        <v>98.26000000000001</v>
      </c>
      <c r="O3149" s="12" t="n">
        <v>26.66666666666667</v>
      </c>
    </row>
    <row r="3150">
      <c r="A3150" s="10" t="n">
        <v>46100</v>
      </c>
      <c r="B3150" t="inlineStr">
        <is>
          <t>Ana Karollyne Souza Faria</t>
        </is>
      </c>
      <c r="C3150" s="1" t="inlineStr">
        <is>
          <t>Técnico I</t>
        </is>
      </c>
      <c r="D3150" s="3" t="n">
        <v>43</v>
      </c>
      <c r="E3150" s="3" t="n">
        <v>40</v>
      </c>
      <c r="F3150" s="3" t="n">
        <v>13.56</v>
      </c>
      <c r="G3150" s="3" t="n">
        <v>0</v>
      </c>
      <c r="H3150" s="3" t="n">
        <v>0</v>
      </c>
      <c r="I3150" s="3">
        <f>E3150+G3150+H3150</f>
        <v/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/>
      </c>
      <c r="K3150" s="3">
        <f>I3150-J3150</f>
        <v/>
      </c>
      <c r="L3150" s="3">
        <f>IF(K3150&lt;-5,"CRÍTICO",IF(K3150&lt;0,"ATENÇÃO",IF(K3150&lt;=5,"OPORTUNO","MUITO BOM")))</f>
        <v/>
      </c>
      <c r="M3150" s="3" t="n">
        <v>39</v>
      </c>
      <c r="N3150" s="3" t="n">
        <v>98.2</v>
      </c>
      <c r="O3150" s="12" t="n">
        <v>23.37962962962963</v>
      </c>
    </row>
    <row r="3151">
      <c r="A3151" s="10" t="n">
        <v>46100</v>
      </c>
      <c r="B3151" t="inlineStr">
        <is>
          <t>Ana Paula Da Luz Silva Aleixo</t>
        </is>
      </c>
      <c r="C3151" s="1" t="inlineStr">
        <is>
          <t>Técnico III</t>
        </is>
      </c>
      <c r="D3151" s="3" t="n">
        <v>9</v>
      </c>
      <c r="E3151" s="3" t="n">
        <v>8</v>
      </c>
      <c r="F3151" s="3" t="n">
        <v>18.37</v>
      </c>
      <c r="G3151" s="3" t="n">
        <v>0</v>
      </c>
      <c r="H3151" s="3" t="n">
        <v>0</v>
      </c>
      <c r="I3151" s="3">
        <f>E3151+G3151+H3151</f>
        <v/>
      </c>
      <c r="J3151" s="3">
        <f>ROUND(MIN(IF(C3151="Técnico III",35,IF(C3151="Técnico II",28,IF(C3151="Técnico I",23,IF(C3151="JR",20,IF(C3151="Estágio",10,0))))),IF(C3151="Técnico III",SUMIFS($D:$D,$A:$A,$A3151,$B:$B,"&lt;&gt;Patrícia Karla de Sousa Araújo",$B:$B,"&lt;&gt;Lorena Dias de Araujo",$B:$B,"&lt;&gt;Lucas Luiz Romero")*(35/1083),IF(C3151="Técnico II",SUMIFS($D:$D,$A:$A,$A3151,$B:$B,"&lt;&gt;Patrícia Karla de Sousa Araújo",$B:$B,"&lt;&gt;Lorena Dias de Araujo",$B:$B,"&lt;&gt;Lucas Luiz Romero")*(28/1083),IF(C3151="Técnico I",SUMIFS($D:$D,$A:$A,$A3151,$B:$B,"&lt;&gt;Patrícia Karla de Sousa Araújo",$B:$B,"&lt;&gt;Lorena Dias de Araujo",$B:$B,"&lt;&gt;Lucas Luiz Romero")*(23/1083),IF(C3151="JR",SUMIFS($D:$D,$A:$A,$A3151,$B:$B,"&lt;&gt;Patrícia Karla de Sousa Araújo",$B:$B,"&lt;&gt;Lorena Dias de Araujo",$B:$B,"&lt;&gt;Lucas Luiz Romero")*(20/1083),IF(C3151="Estágio",SUMIFS($D:$D,$A:$A,$A3151,$B:$B,"&lt;&gt;Patrícia Karla de Sousa Araújo",$B:$B,"&lt;&gt;Lorena Dias de Araujo",$B:$B,"&lt;&gt;Lucas Luiz Romero")*(10/1083),0)))))),0)</f>
        <v/>
      </c>
      <c r="K3151" s="3">
        <f>I3151-J3151</f>
        <v/>
      </c>
      <c r="L3151" s="3">
        <f>IF(K3151&lt;-5,"CRÍTICO",IF(K3151&lt;0,"ATENÇÃO",IF(K3151&lt;=5,"OPORTUNO","MUITO BOM")))</f>
        <v/>
      </c>
      <c r="M3151" s="3" t="n">
        <v>9</v>
      </c>
      <c r="N3151" s="3" t="n">
        <v>97.3</v>
      </c>
      <c r="O3151" s="12" t="n">
        <v>23.84769539078156</v>
      </c>
    </row>
    <row r="3152">
      <c r="A3152" s="10" t="n">
        <v>46100</v>
      </c>
      <c r="B3152" t="inlineStr">
        <is>
          <t>Anna Luiza Rezende Tavares</t>
        </is>
      </c>
      <c r="C3152" s="1" t="inlineStr">
        <is>
          <t>Estágio</t>
        </is>
      </c>
      <c r="D3152" s="3" t="n">
        <v>15</v>
      </c>
      <c r="E3152" s="3" t="n">
        <v>15</v>
      </c>
      <c r="F3152" s="3" t="n">
        <v>25.19</v>
      </c>
      <c r="G3152" s="3" t="n">
        <v>0</v>
      </c>
      <c r="H3152" s="3" t="n">
        <v>0</v>
      </c>
      <c r="I3152" s="3">
        <f>E3152+G3152+H3152</f>
        <v/>
      </c>
      <c r="J3152" s="3">
        <f>ROUND(MIN(IF(C3152="Técnico III",35,IF(C3152="Técnico II",28,IF(C3152="Técnico I",23,IF(C3152="JR",20,IF(C3152="Estágio",10,0))))),IF(C3152="Técnico III",SUMIFS($D:$D,$A:$A,$A3152,$B:$B,"&lt;&gt;Patrícia Karla de Sousa Araújo",$B:$B,"&lt;&gt;Lorena Dias de Araujo",$B:$B,"&lt;&gt;Lucas Luiz Romero")*(35/1083),IF(C3152="Técnico II",SUMIFS($D:$D,$A:$A,$A3152,$B:$B,"&lt;&gt;Patrícia Karla de Sousa Araújo",$B:$B,"&lt;&gt;Lorena Dias de Araujo",$B:$B,"&lt;&gt;Lucas Luiz Romero")*(28/1083),IF(C3152="Técnico I",SUMIFS($D:$D,$A:$A,$A3152,$B:$B,"&lt;&gt;Patrícia Karla de Sousa Araújo",$B:$B,"&lt;&gt;Lorena Dias de Araujo",$B:$B,"&lt;&gt;Lucas Luiz Romero")*(23/1083),IF(C3152="JR",SUMIFS($D:$D,$A:$A,$A3152,$B:$B,"&lt;&gt;Patrícia Karla de Sousa Araújo",$B:$B,"&lt;&gt;Lorena Dias de Araujo",$B:$B,"&lt;&gt;Lucas Luiz Romero")*(20/1083),IF(C3152="Estágio",SUMIFS($D:$D,$A:$A,$A3152,$B:$B,"&lt;&gt;Patrícia Karla de Sousa Araújo",$B:$B,"&lt;&gt;Lorena Dias de Araujo",$B:$B,"&lt;&gt;Lucas Luiz Romero")*(10/1083),0)))))),0)</f>
        <v/>
      </c>
      <c r="K3152" s="3">
        <f>I3152-J3152</f>
        <v/>
      </c>
      <c r="L3152" s="3">
        <f>IF(K3152&lt;-5,"CRÍTICO",IF(K3152&lt;0,"ATENÇÃO",IF(K3152&lt;=5,"OPORTUNO","MUITO BOM")))</f>
        <v/>
      </c>
      <c r="M3152" s="3" t="n">
        <v>11</v>
      </c>
      <c r="N3152" s="3" t="n">
        <v>100</v>
      </c>
      <c r="O3152" s="12" t="n">
        <v>25.26881720430108</v>
      </c>
    </row>
    <row r="3153">
      <c r="A3153" s="10" t="n">
        <v>46100</v>
      </c>
      <c r="B3153" t="inlineStr">
        <is>
          <t>Brenda de Menezes Silva</t>
        </is>
      </c>
      <c r="C3153" s="1" t="inlineStr">
        <is>
          <t>Técnico II</t>
        </is>
      </c>
      <c r="D3153" s="3" t="n">
        <v>27</v>
      </c>
      <c r="E3153" s="3" t="n">
        <v>22</v>
      </c>
      <c r="F3153" s="3" t="n">
        <v>15.16</v>
      </c>
      <c r="G3153" s="3" t="n">
        <v>0</v>
      </c>
      <c r="H3153" s="3" t="n">
        <v>0</v>
      </c>
      <c r="I3153" s="3">
        <f>E3153+G3153+H3153</f>
        <v/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/>
      </c>
      <c r="K3153" s="3">
        <f>I3153-J3153</f>
        <v/>
      </c>
      <c r="L3153" s="3">
        <f>IF(K3153&lt;-5,"CRÍTICO",IF(K3153&lt;0,"ATENÇÃO",IF(K3153&lt;=5,"OPORTUNO","MUITO BOM")))</f>
        <v/>
      </c>
      <c r="M3153" s="3" t="n">
        <v>22</v>
      </c>
      <c r="N3153" s="3" t="n">
        <v>99.31999999999999</v>
      </c>
      <c r="O3153" s="12" t="n">
        <v>22.82282282282282</v>
      </c>
    </row>
    <row r="3154">
      <c r="A3154" s="10" t="n">
        <v>46100</v>
      </c>
      <c r="B3154" t="inlineStr">
        <is>
          <t>Carlos Mateus Cassimiro Nunes</t>
        </is>
      </c>
      <c r="C3154" s="1" t="inlineStr">
        <is>
          <t>Técnico II</t>
        </is>
      </c>
      <c r="D3154" s="3" t="n">
        <v>27</v>
      </c>
      <c r="E3154" s="3" t="n">
        <v>24</v>
      </c>
      <c r="F3154" s="3" t="n">
        <v>25.5</v>
      </c>
      <c r="G3154" s="3" t="n">
        <v>0</v>
      </c>
      <c r="H3154" s="3" t="n">
        <v>0</v>
      </c>
      <c r="I3154" s="3">
        <f>E3154+G3154+H3154</f>
        <v/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/>
      </c>
      <c r="K3154" s="3">
        <f>I3154-J3154</f>
        <v/>
      </c>
      <c r="L3154" s="3">
        <f>IF(K3154&lt;-5,"CRÍTICO",IF(K3154&lt;0,"ATENÇÃO",IF(K3154&lt;=5,"OPORTUNO","MUITO BOM")))</f>
        <v/>
      </c>
      <c r="M3154" s="3" t="n">
        <v>24</v>
      </c>
      <c r="N3154" s="3" t="n">
        <v>100</v>
      </c>
      <c r="O3154" s="12" t="n">
        <v>27.96610169491525</v>
      </c>
    </row>
    <row r="3155">
      <c r="A3155" s="10" t="n">
        <v>46100</v>
      </c>
      <c r="B3155" t="inlineStr">
        <is>
          <t>Claudio de Sousa Velasco Filho</t>
        </is>
      </c>
      <c r="C3155" s="1" t="inlineStr">
        <is>
          <t>Estágio</t>
        </is>
      </c>
      <c r="D3155" s="3" t="n">
        <v>0</v>
      </c>
      <c r="E3155" s="3" t="n">
        <v>0</v>
      </c>
      <c r="F3155" s="3" t="n">
        <v>0</v>
      </c>
      <c r="G3155" s="3" t="n">
        <v>0</v>
      </c>
      <c r="H3155" s="3" t="n">
        <v>0</v>
      </c>
      <c r="I3155" s="3" t="n">
        <v>0</v>
      </c>
      <c r="J3155" s="3" t="n">
        <v>0</v>
      </c>
      <c r="K3155" s="3" t="n">
        <v>0</v>
      </c>
      <c r="L3155" s="3">
        <f>IF(K3155&lt;-5,"CRÍTICO",IF(K3155&lt;0,"ATENÇÃO",IF(K3155&lt;=5,"OPORTUNO","MUITO BOM")))</f>
        <v/>
      </c>
      <c r="M3155" s="3" t="n">
        <v>0</v>
      </c>
      <c r="N3155" s="3" t="n">
        <v>100</v>
      </c>
      <c r="O3155" s="12" t="n">
        <v>30.43478260869566</v>
      </c>
    </row>
    <row r="3156">
      <c r="A3156" s="10" t="n">
        <v>46100</v>
      </c>
      <c r="B3156" t="inlineStr">
        <is>
          <t>Clessiane Pereira dos Santos</t>
        </is>
      </c>
      <c r="C3156" s="1" t="inlineStr">
        <is>
          <t>Técnico I</t>
        </is>
      </c>
      <c r="D3156" s="3" t="n">
        <v>32</v>
      </c>
      <c r="E3156" s="3" t="n">
        <v>28</v>
      </c>
      <c r="F3156" s="3" t="n">
        <v>20.14</v>
      </c>
      <c r="G3156" s="3" t="n">
        <v>0</v>
      </c>
      <c r="H3156" s="3" t="n">
        <v>0</v>
      </c>
      <c r="I3156" s="3">
        <f>E3156+G3156+H3156</f>
        <v/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/>
      </c>
      <c r="K3156" s="3">
        <f>I3156-J3156</f>
        <v/>
      </c>
      <c r="L3156" s="3">
        <f>IF(K3156&lt;-5,"CRÍTICO",IF(K3156&lt;0,"ATENÇÃO",IF(K3156&lt;=5,"OPORTUNO","MUITO BOM")))</f>
        <v/>
      </c>
      <c r="M3156" s="3" t="n">
        <v>26</v>
      </c>
      <c r="N3156" s="3" t="n">
        <v>96.51000000000001</v>
      </c>
      <c r="O3156" s="12" t="n">
        <v>22.80285035629454</v>
      </c>
    </row>
    <row r="3157">
      <c r="A3157" s="10" t="n">
        <v>46100</v>
      </c>
      <c r="B3157" t="inlineStr">
        <is>
          <t>Cristiane Ramos da Silva Rocha</t>
        </is>
      </c>
      <c r="C3157" s="1" t="inlineStr">
        <is>
          <t>Técnico III</t>
        </is>
      </c>
      <c r="D3157" s="3" t="n">
        <v>0</v>
      </c>
      <c r="E3157" s="3" t="n">
        <v>0</v>
      </c>
      <c r="F3157" s="3" t="n">
        <v>0</v>
      </c>
      <c r="G3157" s="3" t="n">
        <v>0</v>
      </c>
      <c r="H3157" s="3" t="n">
        <v>0</v>
      </c>
      <c r="I3157" s="3" t="n">
        <v>0</v>
      </c>
      <c r="J3157" s="3" t="n">
        <v>0</v>
      </c>
      <c r="K3157" s="3" t="n">
        <v>0</v>
      </c>
      <c r="L3157" s="3">
        <f>IF(K3157&lt;-5,"CRÍTICO",IF(K3157&lt;0,"ATENÇÃO",IF(K3157&lt;=5,"OPORTUNO","MUITO BOM")))</f>
        <v/>
      </c>
      <c r="M3157" s="3" t="n">
        <v>10</v>
      </c>
      <c r="N3157" s="3" t="n">
        <v>92.68000000000001</v>
      </c>
      <c r="O3157" s="12" t="n">
        <v>27.77777777777778</v>
      </c>
    </row>
    <row r="3158">
      <c r="A3158" s="10" t="n">
        <v>46100</v>
      </c>
      <c r="B3158" t="inlineStr">
        <is>
          <t>Damyllis Lorraine de Oliveira Gonçalves</t>
        </is>
      </c>
      <c r="C3158" s="1" t="inlineStr">
        <is>
          <t>Técnico II</t>
        </is>
      </c>
      <c r="D3158" s="3" t="n">
        <v>20</v>
      </c>
      <c r="E3158" s="3" t="n">
        <v>19</v>
      </c>
      <c r="F3158" s="3" t="n">
        <v>21.43</v>
      </c>
      <c r="G3158" s="3" t="n">
        <v>0</v>
      </c>
      <c r="H3158" s="3" t="n">
        <v>0</v>
      </c>
      <c r="I3158" s="3" t="n">
        <v>0</v>
      </c>
      <c r="J3158" s="3" t="n">
        <v>0</v>
      </c>
      <c r="K3158" s="3" t="n">
        <v>0</v>
      </c>
      <c r="L3158" s="3">
        <f>IF(K3158&lt;-5,"CRÍTICO",IF(K3158&lt;0,"ATENÇÃO",IF(K3158&lt;=5,"OPORTUNO","MUITO BOM")))</f>
        <v/>
      </c>
      <c r="M3158" s="3" t="n">
        <v>17</v>
      </c>
      <c r="N3158" s="3" t="n">
        <v>99.03</v>
      </c>
      <c r="O3158" s="12" t="n">
        <v>23.99150743099788</v>
      </c>
    </row>
    <row r="3159">
      <c r="A3159" s="10" t="n">
        <v>46100</v>
      </c>
      <c r="B3159" t="inlineStr">
        <is>
          <t>Daniel Gomes da Silva</t>
        </is>
      </c>
      <c r="C3159" s="1" t="inlineStr">
        <is>
          <t>Técnico I</t>
        </is>
      </c>
      <c r="D3159" s="3" t="n">
        <v>21</v>
      </c>
      <c r="E3159" s="3" t="n">
        <v>21</v>
      </c>
      <c r="F3159" s="3" t="n">
        <v>27.08</v>
      </c>
      <c r="G3159" s="3" t="n">
        <v>0</v>
      </c>
      <c r="H3159" s="3" t="n">
        <v>0</v>
      </c>
      <c r="I3159" s="3">
        <f>E3159+G3159+H3159</f>
        <v/>
      </c>
      <c r="J3159" s="3">
        <f>ROUND(MIN(IF(C3159="Técnico III",35,IF(C3159="Técnico II",28,IF(C3159="Técnico I",23,IF(C3159="JR",20,IF(C3159="Estágio",10,0))))),IF(C3159="Técnico III",SUMIFS($D:$D,$A:$A,$A3159,$B:$B,"&lt;&gt;Patrícia Karla de Sousa Araújo",$B:$B,"&lt;&gt;Lorena Dias de Araujo",$B:$B,"&lt;&gt;Lucas Luiz Romero")*(35/1083),IF(C3159="Técnico II",SUMIFS($D:$D,$A:$A,$A3159,$B:$B,"&lt;&gt;Patrícia Karla de Sousa Araújo",$B:$B,"&lt;&gt;Lorena Dias de Araujo",$B:$B,"&lt;&gt;Lucas Luiz Romero")*(28/1083),IF(C3159="Técnico I",SUMIFS($D:$D,$A:$A,$A3159,$B:$B,"&lt;&gt;Patrícia Karla de Sousa Araújo",$B:$B,"&lt;&gt;Lorena Dias de Araujo",$B:$B,"&lt;&gt;Lucas Luiz Romero")*(23/1083),IF(C3159="JR",SUMIFS($D:$D,$A:$A,$A3159,$B:$B,"&lt;&gt;Patrícia Karla de Sousa Araújo",$B:$B,"&lt;&gt;Lorena Dias de Araujo",$B:$B,"&lt;&gt;Lucas Luiz Romero")*(20/1083),IF(C3159="Estágio",SUMIFS($D:$D,$A:$A,$A3159,$B:$B,"&lt;&gt;Patrícia Karla de Sousa Araújo",$B:$B,"&lt;&gt;Lorena Dias de Araujo",$B:$B,"&lt;&gt;Lucas Luiz Romero")*(10/1083),0)))))),0)</f>
        <v/>
      </c>
      <c r="K3159" s="3">
        <f>I3159-J3159</f>
        <v/>
      </c>
      <c r="L3159" s="3">
        <f>IF(K3159&lt;-5,"CRÍTICO",IF(K3159&lt;0,"ATENÇÃO",IF(K3159&lt;=5,"OPORTUNO","MUITO BOM")))</f>
        <v/>
      </c>
      <c r="M3159" s="3" t="n">
        <v>9</v>
      </c>
      <c r="N3159" s="3" t="n">
        <v>98.41</v>
      </c>
      <c r="O3159" s="12" t="n">
        <v>28.13852813852814</v>
      </c>
    </row>
    <row r="3160">
      <c r="A3160" s="10" t="n">
        <v>46100</v>
      </c>
      <c r="B3160" t="inlineStr">
        <is>
          <t>Davylla Rodrigues Freitas Silva</t>
        </is>
      </c>
      <c r="C3160" s="1" t="inlineStr">
        <is>
          <t>Técnico III</t>
        </is>
      </c>
      <c r="D3160" s="3" t="n">
        <v>22</v>
      </c>
      <c r="E3160" s="3" t="n">
        <v>21</v>
      </c>
      <c r="F3160" s="3" t="n">
        <v>30.31</v>
      </c>
      <c r="G3160" s="3" t="n">
        <v>0</v>
      </c>
      <c r="H3160" s="3" t="n">
        <v>0</v>
      </c>
      <c r="I3160" s="3" t="n">
        <v>0</v>
      </c>
      <c r="J3160" s="3" t="n">
        <v>0</v>
      </c>
      <c r="K3160" s="3" t="n">
        <v>0</v>
      </c>
      <c r="L3160" s="3">
        <f>IF(K3160&lt;-5,"CRÍTICO",IF(K3160&lt;0,"ATENÇÃO",IF(K3160&lt;=5,"OPORTUNO","MUITO BOM")))</f>
        <v/>
      </c>
      <c r="M3160" s="3" t="n">
        <v>22</v>
      </c>
      <c r="N3160" s="3" t="n">
        <v>98.73</v>
      </c>
      <c r="O3160" s="12" t="n">
        <v>29.14285714285714</v>
      </c>
    </row>
    <row r="3161">
      <c r="A3161" s="10" t="n">
        <v>46100</v>
      </c>
      <c r="B3161" t="inlineStr">
        <is>
          <t>Emilly Caylane Costa</t>
        </is>
      </c>
      <c r="C3161" s="1" t="inlineStr">
        <is>
          <t>Estágio</t>
        </is>
      </c>
      <c r="D3161" s="3" t="n">
        <v>8</v>
      </c>
      <c r="E3161" s="3" t="n">
        <v>8</v>
      </c>
      <c r="F3161" s="3" t="n">
        <v>46.58</v>
      </c>
      <c r="G3161" s="3" t="n">
        <v>0</v>
      </c>
      <c r="H3161" s="3" t="n">
        <v>0</v>
      </c>
      <c r="I3161" s="3">
        <f>E3161+G3161+H3161</f>
        <v/>
      </c>
      <c r="J3161" s="3">
        <f>ROUND(MIN(IF(C3161="Técnico III",35,IF(C3161="Técnico II",28,IF(C3161="Técnico I",23,IF(C3161="JR",20,IF(C3161="Estágio",10,0))))),IF(C3161="Técnico III",SUMIFS($D:$D,$A:$A,$A3161,$B:$B,"&lt;&gt;Patrícia Karla de Sousa Araújo",$B:$B,"&lt;&gt;Lorena Dias de Araujo",$B:$B,"&lt;&gt;Lucas Luiz Romero")*(35/1083),IF(C3161="Técnico II",SUMIFS($D:$D,$A:$A,$A3161,$B:$B,"&lt;&gt;Patrícia Karla de Sousa Araújo",$B:$B,"&lt;&gt;Lorena Dias de Araujo",$B:$B,"&lt;&gt;Lucas Luiz Romero")*(28/1083),IF(C3161="Técnico I",SUMIFS($D:$D,$A:$A,$A3161,$B:$B,"&lt;&gt;Patrícia Karla de Sousa Araújo",$B:$B,"&lt;&gt;Lorena Dias de Araujo",$B:$B,"&lt;&gt;Lucas Luiz Romero")*(23/1083),IF(C3161="JR",SUMIFS($D:$D,$A:$A,$A3161,$B:$B,"&lt;&gt;Patrícia Karla de Sousa Araújo",$B:$B,"&lt;&gt;Lorena Dias de Araujo",$B:$B,"&lt;&gt;Lucas Luiz Romero")*(20/1083),IF(C3161="Estágio",SUMIFS($D:$D,$A:$A,$A3161,$B:$B,"&lt;&gt;Patrícia Karla de Sousa Araújo",$B:$B,"&lt;&gt;Lorena Dias de Araujo",$B:$B,"&lt;&gt;Lucas Luiz Romero")*(10/1083),0)))))),0)</f>
        <v/>
      </c>
      <c r="K3161" s="3">
        <f>I3161-J3161</f>
        <v/>
      </c>
      <c r="L3161" s="3">
        <f>IF(K3161&lt;-5,"CRÍTICO",IF(K3161&lt;0,"ATENÇÃO",IF(K3161&lt;=5,"OPORTUNO","MUITO BOM")))</f>
        <v/>
      </c>
      <c r="M3161" s="3" t="n">
        <v>6</v>
      </c>
      <c r="N3161" s="3" t="n">
        <v>90.48</v>
      </c>
      <c r="O3161" s="12" t="n">
        <v>20.68965517241379</v>
      </c>
    </row>
    <row r="3162">
      <c r="A3162" s="10" t="n">
        <v>46100</v>
      </c>
      <c r="B3162" t="inlineStr">
        <is>
          <t>Emilly Kamilly Medeiros Miranda</t>
        </is>
      </c>
      <c r="C3162" s="1" t="inlineStr">
        <is>
          <t>Técnico II</t>
        </is>
      </c>
      <c r="D3162" s="3" t="n">
        <v>21</v>
      </c>
      <c r="E3162" s="3" t="n">
        <v>19</v>
      </c>
      <c r="F3162" s="3" t="n">
        <v>15.13</v>
      </c>
      <c r="G3162" s="3" t="n">
        <v>0</v>
      </c>
      <c r="H3162" s="3" t="n">
        <v>0</v>
      </c>
      <c r="I3162" s="3">
        <f>E3162+G3162+H3162</f>
        <v/>
      </c>
      <c r="J3162" s="3">
        <f>ROUND(MIN(IF(C3162="Técnico III",35,IF(C3162="Técnico II",28,IF(C3162="Técnico I",23,IF(C3162="JR",20,IF(C3162="Estágio",10,0))))),IF(C3162="Técnico III",SUMIFS($D:$D,$A:$A,$A3162,$B:$B,"&lt;&gt;Patrícia Karla de Sousa Araújo",$B:$B,"&lt;&gt;Lorena Dias de Araujo",$B:$B,"&lt;&gt;Lucas Luiz Romero")*(35/1083),IF(C3162="Técnico II",SUMIFS($D:$D,$A:$A,$A3162,$B:$B,"&lt;&gt;Patrícia Karla de Sousa Araújo",$B:$B,"&lt;&gt;Lorena Dias de Araujo",$B:$B,"&lt;&gt;Lucas Luiz Romero")*(28/1083),IF(C3162="Técnico I",SUMIFS($D:$D,$A:$A,$A3162,$B:$B,"&lt;&gt;Patrícia Karla de Sousa Araújo",$B:$B,"&lt;&gt;Lorena Dias de Araujo",$B:$B,"&lt;&gt;Lucas Luiz Romero")*(23/1083),IF(C3162="JR",SUMIFS($D:$D,$A:$A,$A3162,$B:$B,"&lt;&gt;Patrícia Karla de Sousa Araújo",$B:$B,"&lt;&gt;Lorena Dias de Araujo",$B:$B,"&lt;&gt;Lucas Luiz Romero")*(20/1083),IF(C3162="Estágio",SUMIFS($D:$D,$A:$A,$A3162,$B:$B,"&lt;&gt;Patrícia Karla de Sousa Araújo",$B:$B,"&lt;&gt;Lorena Dias de Araujo",$B:$B,"&lt;&gt;Lucas Luiz Romero")*(10/1083),0)))))),0)</f>
        <v/>
      </c>
      <c r="K3162" s="3">
        <f>I3162-J3162</f>
        <v/>
      </c>
      <c r="L3162" s="3">
        <f>IF(K3162&lt;-5,"CRÍTICO",IF(K3162&lt;0,"ATENÇÃO",IF(K3162&lt;=5,"OPORTUNO","MUITO BOM")))</f>
        <v/>
      </c>
      <c r="M3162" s="3" t="n">
        <v>16</v>
      </c>
      <c r="N3162" s="3" t="n">
        <v>98.06</v>
      </c>
      <c r="O3162" s="12" t="n">
        <v>24.78991596638656</v>
      </c>
    </row>
    <row r="3163">
      <c r="A3163" s="10" t="n">
        <v>46100</v>
      </c>
      <c r="B3163" t="inlineStr">
        <is>
          <t>Francielson de Oliveira</t>
        </is>
      </c>
      <c r="C3163" s="1" t="inlineStr">
        <is>
          <t>Técnico III</t>
        </is>
      </c>
      <c r="D3163" s="3" t="n">
        <v>29</v>
      </c>
      <c r="E3163" s="3" t="n">
        <v>27</v>
      </c>
      <c r="F3163" s="3" t="n">
        <v>17.38</v>
      </c>
      <c r="G3163" s="3" t="n">
        <v>0</v>
      </c>
      <c r="H3163" s="3" t="n">
        <v>0</v>
      </c>
      <c r="I3163" s="3">
        <f>E3163+G3163+H3163</f>
        <v/>
      </c>
      <c r="J3163" s="3">
        <f>ROUND(MIN(IF(C3163="Técnico III",35,IF(C3163="Técnico II",28,IF(C3163="Técnico I",23,IF(C3163="JR",20,IF(C3163="Estágio",10,0))))),IF(C3163="Técnico III",SUMIFS($D:$D,$A:$A,$A3163,$B:$B,"&lt;&gt;Patrícia Karla de Sousa Araújo",$B:$B,"&lt;&gt;Lorena Dias de Araujo",$B:$B,"&lt;&gt;Lucas Luiz Romero")*(35/1083),IF(C3163="Técnico II",SUMIFS($D:$D,$A:$A,$A3163,$B:$B,"&lt;&gt;Patrícia Karla de Sousa Araújo",$B:$B,"&lt;&gt;Lorena Dias de Araujo",$B:$B,"&lt;&gt;Lucas Luiz Romero")*(28/1083),IF(C3163="Técnico I",SUMIFS($D:$D,$A:$A,$A3163,$B:$B,"&lt;&gt;Patrícia Karla de Sousa Araújo",$B:$B,"&lt;&gt;Lorena Dias de Araujo",$B:$B,"&lt;&gt;Lucas Luiz Romero")*(23/1083),IF(C3163="JR",SUMIFS($D:$D,$A:$A,$A3163,$B:$B,"&lt;&gt;Patrícia Karla de Sousa Araújo",$B:$B,"&lt;&gt;Lorena Dias de Araujo",$B:$B,"&lt;&gt;Lucas Luiz Romero")*(20/1083),IF(C3163="Estágio",SUMIFS($D:$D,$A:$A,$A3163,$B:$B,"&lt;&gt;Patrícia Karla de Sousa Araújo",$B:$B,"&lt;&gt;Lorena Dias de Araujo",$B:$B,"&lt;&gt;Lucas Luiz Romero")*(10/1083),0)))))),0)</f>
        <v/>
      </c>
      <c r="K3163" s="3">
        <f>I3163-J3163</f>
        <v/>
      </c>
      <c r="L3163" s="3">
        <f>IF(K3163&lt;-5,"CRÍTICO",IF(K3163&lt;0,"ATENÇÃO",IF(K3163&lt;=5,"OPORTUNO","MUITO BOM")))</f>
        <v/>
      </c>
      <c r="M3163" s="3" t="n">
        <v>23</v>
      </c>
      <c r="N3163" s="3" t="n">
        <v>97.78</v>
      </c>
      <c r="O3163" s="12" t="n">
        <v>25.49407114624506</v>
      </c>
    </row>
    <row r="3164">
      <c r="A3164" s="10" t="n">
        <v>46100</v>
      </c>
      <c r="B3164" t="inlineStr">
        <is>
          <t>Francilene Ferreira de Jesus</t>
        </is>
      </c>
      <c r="C3164" s="1" t="inlineStr">
        <is>
          <t>Técnico II</t>
        </is>
      </c>
      <c r="D3164" s="3" t="n">
        <v>17</v>
      </c>
      <c r="E3164" s="3" t="n">
        <v>15</v>
      </c>
      <c r="F3164" s="3" t="n">
        <v>22</v>
      </c>
      <c r="G3164" s="3" t="n">
        <v>0</v>
      </c>
      <c r="H3164" s="3" t="n">
        <v>0</v>
      </c>
      <c r="I3164" s="3">
        <f>E3164+G3164+H3164</f>
        <v/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/>
      </c>
      <c r="K3164" s="3">
        <f>I3164-J3164</f>
        <v/>
      </c>
      <c r="L3164" s="3">
        <f>IF(K3164&lt;-5,"CRÍTICO",IF(K3164&lt;0,"ATENÇÃO",IF(K3164&lt;=5,"OPORTUNO","MUITO BOM")))</f>
        <v/>
      </c>
      <c r="M3164" s="3" t="n">
        <v>10</v>
      </c>
      <c r="N3164" s="3" t="n">
        <v>98.02</v>
      </c>
      <c r="O3164" s="12" t="n">
        <v>23.48484848484848</v>
      </c>
    </row>
    <row r="3165">
      <c r="A3165" s="10" t="n">
        <v>46135</v>
      </c>
      <c r="B3165" t="inlineStr">
        <is>
          <t>Gabriel Gomes de Andrade</t>
        </is>
      </c>
      <c r="C3165" s="1" t="inlineStr">
        <is>
          <t>Técnico I</t>
        </is>
      </c>
      <c r="D3165" s="3" t="n">
        <v>23</v>
      </c>
      <c r="E3165" s="3" t="n">
        <v>21</v>
      </c>
      <c r="F3165" s="3" t="n">
        <v>17.05</v>
      </c>
      <c r="G3165" s="3" t="n">
        <v>0</v>
      </c>
      <c r="H3165" s="3" t="n">
        <v>0</v>
      </c>
      <c r="I3165" s="3">
        <f>E3165+G3165+H3165</f>
        <v/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/>
      </c>
      <c r="K3165" s="3">
        <f>I3165-J3165</f>
        <v/>
      </c>
      <c r="L3165" s="3">
        <f>IF(K3165&lt;-5,"CRÍTICO",IF(K3165&lt;0,"ATENÇÃO",IF(K3165&lt;=5,"OPORTUNO","MUITO BOM")))</f>
        <v/>
      </c>
      <c r="M3165" s="3" t="n">
        <v>18</v>
      </c>
      <c r="N3165" s="3" t="n">
        <v>99.28</v>
      </c>
      <c r="O3165" s="12" t="n">
        <v>27.68924302788844</v>
      </c>
    </row>
    <row r="3166">
      <c r="A3166" s="10" t="n">
        <v>46100</v>
      </c>
      <c r="B3166" t="inlineStr">
        <is>
          <t>Isabella Borges de Oliveira</t>
        </is>
      </c>
      <c r="C3166" s="1" t="inlineStr">
        <is>
          <t>Técnico II</t>
        </is>
      </c>
      <c r="D3166" s="3" t="n">
        <v>23</v>
      </c>
      <c r="E3166" s="3" t="n">
        <v>22</v>
      </c>
      <c r="F3166" s="3" t="n">
        <v>27.1</v>
      </c>
      <c r="G3166" s="3" t="n">
        <v>0</v>
      </c>
      <c r="H3166" s="3" t="n">
        <v>0</v>
      </c>
      <c r="I3166" s="3">
        <f>E3166+G3166+H3166</f>
        <v/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/>
      </c>
      <c r="K3166" s="3">
        <f>I3166-J3166</f>
        <v/>
      </c>
      <c r="L3166" s="3">
        <f>IF(K3166&lt;-5,"CRÍTICO",IF(K3166&lt;0,"ATENÇÃO",IF(K3166&lt;=5,"OPORTUNO","MUITO BOM")))</f>
        <v/>
      </c>
      <c r="M3166" s="3" t="n">
        <v>18</v>
      </c>
      <c r="N3166" s="3" t="n">
        <v>100</v>
      </c>
      <c r="O3166" s="12" t="n">
        <v>27.04918032786885</v>
      </c>
    </row>
    <row r="3167">
      <c r="A3167" s="10" t="n">
        <v>46100</v>
      </c>
      <c r="B3167" t="inlineStr">
        <is>
          <t>Janaina Lima dos Reis Urany</t>
        </is>
      </c>
      <c r="C3167" s="1" t="inlineStr">
        <is>
          <t>Técnico III</t>
        </is>
      </c>
      <c r="D3167" s="3" t="n">
        <v>45</v>
      </c>
      <c r="E3167" s="3" t="n">
        <v>41</v>
      </c>
      <c r="F3167" s="3" t="n">
        <v>14</v>
      </c>
      <c r="G3167" s="3" t="n">
        <v>0</v>
      </c>
      <c r="H3167" s="3" t="n">
        <v>0</v>
      </c>
      <c r="I3167" s="3">
        <f>E3167+G3167+H3167</f>
        <v/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/>
      </c>
      <c r="K3167" s="3">
        <f>I3167-J3167</f>
        <v/>
      </c>
      <c r="L3167" s="3">
        <f>IF(K3167&lt;-5,"CRÍTICO",IF(K3167&lt;0,"ATENÇÃO",IF(K3167&lt;=5,"OPORTUNO","MUITO BOM")))</f>
        <v/>
      </c>
      <c r="M3167" s="3" t="n">
        <v>33</v>
      </c>
      <c r="N3167" s="3" t="n">
        <v>97.83</v>
      </c>
      <c r="O3167" s="12" t="n">
        <v>26.31578947368421</v>
      </c>
    </row>
    <row r="3168">
      <c r="A3168" s="10" t="n">
        <v>46100</v>
      </c>
      <c r="B3168" t="inlineStr">
        <is>
          <t>Jaqueline Evangelista da Silva Martins</t>
        </is>
      </c>
      <c r="C3168" s="1" t="inlineStr">
        <is>
          <t>Técnico III</t>
        </is>
      </c>
      <c r="D3168" s="3" t="n">
        <v>1</v>
      </c>
      <c r="E3168" s="3" t="n">
        <v>1</v>
      </c>
      <c r="F3168" s="3" t="n">
        <v>20.21</v>
      </c>
      <c r="G3168" s="3" t="n">
        <v>0</v>
      </c>
      <c r="H3168" s="3" t="n">
        <v>0</v>
      </c>
      <c r="I3168" s="3">
        <f>E3168+G3168+H3168</f>
        <v/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/>
      </c>
      <c r="K3168" s="3">
        <f>I3168-J3168</f>
        <v/>
      </c>
      <c r="L3168" s="3">
        <f>IF(K3168&lt;-5,"CRÍTICO",IF(K3168&lt;0,"ATENÇÃO",IF(K3168&lt;=5,"OPORTUNO","MUITO BOM")))</f>
        <v/>
      </c>
      <c r="M3168" s="3" t="n">
        <v>8</v>
      </c>
      <c r="N3168" s="3" t="n">
        <v>100</v>
      </c>
      <c r="O3168" s="12" t="n">
        <v>26.70157068062827</v>
      </c>
    </row>
    <row r="3169">
      <c r="A3169" s="10" t="n">
        <v>46100</v>
      </c>
      <c r="B3169" t="inlineStr">
        <is>
          <t>Jessica Faria da Silveira</t>
        </is>
      </c>
      <c r="C3169" s="1" t="inlineStr">
        <is>
          <t>Técnico II</t>
        </is>
      </c>
      <c r="D3169" s="3" t="n">
        <v>2</v>
      </c>
      <c r="E3169" s="3" t="n">
        <v>2</v>
      </c>
      <c r="F3169" s="3" t="n">
        <v>20.13</v>
      </c>
      <c r="G3169" s="3" t="n">
        <v>0</v>
      </c>
      <c r="H3169" s="3" t="n">
        <v>0</v>
      </c>
      <c r="I3169" s="3">
        <f>E3169+G3169+H3169</f>
        <v/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/>
      </c>
      <c r="K3169" s="3">
        <f>I3169-J3169</f>
        <v/>
      </c>
      <c r="L3169" s="3">
        <f>IF(K3169&lt;-5,"CRÍTICO",IF(K3169&lt;0,"ATENÇÃO",IF(K3169&lt;=5,"OPORTUNO","MUITO BOM")))</f>
        <v/>
      </c>
      <c r="M3169" s="3" t="n">
        <v>1</v>
      </c>
      <c r="N3169" s="3" t="n">
        <v>97.47</v>
      </c>
      <c r="O3169" s="12" t="n">
        <v>22.88732394366197</v>
      </c>
    </row>
    <row r="3170">
      <c r="A3170" s="10" t="n">
        <v>46100</v>
      </c>
      <c r="B3170" t="inlineStr">
        <is>
          <t>Jéssica Fé Moura</t>
        </is>
      </c>
      <c r="C3170" s="1" t="inlineStr">
        <is>
          <t>Técnico III</t>
        </is>
      </c>
      <c r="D3170" s="3" t="n">
        <v>0</v>
      </c>
      <c r="E3170" s="3" t="n">
        <v>0</v>
      </c>
      <c r="F3170" s="3" t="n">
        <v>0</v>
      </c>
      <c r="G3170" s="3" t="n">
        <v>0</v>
      </c>
      <c r="H3170" s="3" t="n">
        <v>0</v>
      </c>
      <c r="I3170" s="3" t="n">
        <v>0</v>
      </c>
      <c r="J3170" s="3" t="n">
        <v>0</v>
      </c>
      <c r="K3170" s="3" t="n">
        <v>0</v>
      </c>
      <c r="L3170" s="3">
        <f>IF(K3170&lt;-5,"CRÍTICO",IF(K3170&lt;0,"ATENÇÃO",IF(K3170&lt;=5,"OPORTUNO","MUITO BOM")))</f>
        <v/>
      </c>
      <c r="M3170" s="3" t="n">
        <v>0</v>
      </c>
      <c r="N3170" s="3" t="n">
        <v>0</v>
      </c>
      <c r="O3170" s="12" t="n">
        <v>0</v>
      </c>
    </row>
    <row r="3171">
      <c r="A3171" s="10" t="n">
        <v>46100</v>
      </c>
      <c r="B3171" t="inlineStr">
        <is>
          <t>Karina Gonçalves Martins</t>
        </is>
      </c>
      <c r="C3171" s="1" t="inlineStr">
        <is>
          <t>JR</t>
        </is>
      </c>
      <c r="D3171" s="3" t="n">
        <v>20</v>
      </c>
      <c r="E3171" s="3" t="n">
        <v>19</v>
      </c>
      <c r="F3171" s="3" t="n">
        <v>33.43</v>
      </c>
      <c r="G3171" s="3" t="n">
        <v>0</v>
      </c>
      <c r="H3171" s="3" t="n">
        <v>0</v>
      </c>
      <c r="I3171" s="3">
        <f>E3171+G3171+H3171</f>
        <v/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/>
      </c>
      <c r="K3171" s="3">
        <f>I3171-J3171</f>
        <v/>
      </c>
      <c r="L3171" s="3">
        <f>IF(K3171&lt;-5,"CRÍTICO",IF(K3171&lt;0,"ATENÇÃO",IF(K3171&lt;=5,"OPORTUNO","MUITO BOM")))</f>
        <v/>
      </c>
      <c r="M3171" s="3" t="n">
        <v>18</v>
      </c>
      <c r="N3171" s="3" t="n">
        <v>98.31</v>
      </c>
      <c r="O3171" s="12" t="n">
        <v>24.92012779552715</v>
      </c>
    </row>
    <row r="3172">
      <c r="A3172" s="10" t="n">
        <v>46100</v>
      </c>
      <c r="B3172" t="inlineStr">
        <is>
          <t>Kerollen Cristielly de Jesus Siqueira</t>
        </is>
      </c>
      <c r="C3172" s="1" t="inlineStr">
        <is>
          <t>Técnico III</t>
        </is>
      </c>
      <c r="D3172" s="3" t="n">
        <v>19</v>
      </c>
      <c r="E3172" s="3" t="n">
        <v>18</v>
      </c>
      <c r="F3172" s="3" t="n">
        <v>31.46</v>
      </c>
      <c r="G3172" s="3" t="n">
        <v>0</v>
      </c>
      <c r="H3172" s="3" t="n">
        <v>0</v>
      </c>
      <c r="I3172" s="3">
        <f>E3172+G3172+H3172</f>
        <v/>
      </c>
      <c r="J3172" s="3">
        <f>ROUND(MIN(IF(C3172="Técnico III",35,IF(C3172="Técnico II",28,IF(C3172="Técnico I",23,IF(C3172="JR",20,IF(C3172="Estágio",10,0))))),IF(C3172="Técnico III",SUMIFS($D:$D,$A:$A,$A3172,$B:$B,"&lt;&gt;Patrícia Karla de Sousa Araújo",$B:$B,"&lt;&gt;Lorena Dias de Araujo",$B:$B,"&lt;&gt;Lucas Luiz Romero")*(35/1083),IF(C3172="Técnico II",SUMIFS($D:$D,$A:$A,$A3172,$B:$B,"&lt;&gt;Patrícia Karla de Sousa Araújo",$B:$B,"&lt;&gt;Lorena Dias de Araujo",$B:$B,"&lt;&gt;Lucas Luiz Romero")*(28/1083),IF(C3172="Técnico I",SUMIFS($D:$D,$A:$A,$A3172,$B:$B,"&lt;&gt;Patrícia Karla de Sousa Araújo",$B:$B,"&lt;&gt;Lorena Dias de Araujo",$B:$B,"&lt;&gt;Lucas Luiz Romero")*(23/1083),IF(C3172="JR",SUMIFS($D:$D,$A:$A,$A3172,$B:$B,"&lt;&gt;Patrícia Karla de Sousa Araújo",$B:$B,"&lt;&gt;Lorena Dias de Araujo",$B:$B,"&lt;&gt;Lucas Luiz Romero")*(20/1083),IF(C3172="Estágio",SUMIFS($D:$D,$A:$A,$A3172,$B:$B,"&lt;&gt;Patrícia Karla de Sousa Araújo",$B:$B,"&lt;&gt;Lorena Dias de Araujo",$B:$B,"&lt;&gt;Lucas Luiz Romero")*(10/1083),0)))))),0)</f>
        <v/>
      </c>
      <c r="K3172" s="3">
        <f>I3172-J3172</f>
        <v/>
      </c>
      <c r="L3172" s="3">
        <f>IF(K3172&lt;-5,"CRÍTICO",IF(K3172&lt;0,"ATENÇÃO",IF(K3172&lt;=5,"OPORTUNO","MUITO BOM")))</f>
        <v/>
      </c>
      <c r="M3172" s="3" t="n">
        <v>18</v>
      </c>
      <c r="N3172" s="3" t="n">
        <v>96.81</v>
      </c>
      <c r="O3172" s="12" t="n">
        <v>32.36514522821577</v>
      </c>
    </row>
    <row r="3173">
      <c r="A3173" s="10" t="n">
        <v>46100</v>
      </c>
      <c r="B3173" t="inlineStr">
        <is>
          <t>Leandro de Souza Silva</t>
        </is>
      </c>
      <c r="C3173" s="1" t="inlineStr">
        <is>
          <t>JR</t>
        </is>
      </c>
      <c r="D3173" s="3" t="n">
        <v>13</v>
      </c>
      <c r="E3173" s="3" t="n">
        <v>13</v>
      </c>
      <c r="F3173" s="3" t="n">
        <v>40.06</v>
      </c>
      <c r="G3173" s="3" t="n">
        <v>0</v>
      </c>
      <c r="H3173" s="3" t="n">
        <v>0</v>
      </c>
      <c r="I3173" s="3">
        <f>E3173+G3173+H3173</f>
        <v/>
      </c>
      <c r="J3173" s="3">
        <f>ROUND(MIN(IF(C3173="Técnico III",35,IF(C3173="Técnico II",28,IF(C3173="Técnico I",23,IF(C3173="JR",20,IF(C3173="Estágio",10,0))))),IF(C3173="Técnico III",SUMIFS($D:$D,$A:$A,$A3173,$B:$B,"&lt;&gt;Patrícia Karla de Sousa Araújo",$B:$B,"&lt;&gt;Lorena Dias de Araujo",$B:$B,"&lt;&gt;Lucas Luiz Romero")*(35/1083),IF(C3173="Técnico II",SUMIFS($D:$D,$A:$A,$A3173,$B:$B,"&lt;&gt;Patrícia Karla de Sousa Araújo",$B:$B,"&lt;&gt;Lorena Dias de Araujo",$B:$B,"&lt;&gt;Lucas Luiz Romero")*(28/1083),IF(C3173="Técnico I",SUMIFS($D:$D,$A:$A,$A3173,$B:$B,"&lt;&gt;Patrícia Karla de Sousa Araújo",$B:$B,"&lt;&gt;Lorena Dias de Araujo",$B:$B,"&lt;&gt;Lucas Luiz Romero")*(23/1083),IF(C3173="JR",SUMIFS($D:$D,$A:$A,$A3173,$B:$B,"&lt;&gt;Patrícia Karla de Sousa Araújo",$B:$B,"&lt;&gt;Lorena Dias de Araujo",$B:$B,"&lt;&gt;Lucas Luiz Romero")*(20/1083),IF(C3173="Estágio",SUMIFS($D:$D,$A:$A,$A3173,$B:$B,"&lt;&gt;Patrícia Karla de Sousa Araújo",$B:$B,"&lt;&gt;Lorena Dias de Araujo",$B:$B,"&lt;&gt;Lucas Luiz Romero")*(10/1083),0)))))),0)</f>
        <v/>
      </c>
      <c r="K3173" s="3">
        <f>I3173-J3173</f>
        <v/>
      </c>
      <c r="L3173" s="3">
        <f>IF(K3173&lt;-5,"CRÍTICO",IF(K3173&lt;0,"ATENÇÃO",IF(K3173&lt;=5,"OPORTUNO","MUITO BOM")))</f>
        <v/>
      </c>
      <c r="M3173" s="3" t="n">
        <v>8</v>
      </c>
      <c r="N3173" s="3" t="n">
        <v>100</v>
      </c>
      <c r="O3173" s="12" t="n">
        <v>26.47058823529412</v>
      </c>
    </row>
    <row r="3174">
      <c r="A3174" s="10" t="n">
        <v>46100</v>
      </c>
      <c r="B3174" t="inlineStr">
        <is>
          <t>Leandro Oliveira de Sousa</t>
        </is>
      </c>
      <c r="C3174" s="1" t="inlineStr">
        <is>
          <t>Técnico III</t>
        </is>
      </c>
      <c r="D3174" s="3" t="n">
        <v>15</v>
      </c>
      <c r="E3174" s="3" t="n">
        <v>14</v>
      </c>
      <c r="F3174" s="3" t="n">
        <v>30.42</v>
      </c>
      <c r="G3174" s="3" t="n">
        <v>0</v>
      </c>
      <c r="H3174" s="3" t="n">
        <v>0</v>
      </c>
      <c r="I3174" s="3">
        <f>E3174+G3174+H3174</f>
        <v/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/>
      </c>
      <c r="K3174" s="3">
        <f>I3174-J3174</f>
        <v/>
      </c>
      <c r="L3174" s="3">
        <f>IF(K3174&lt;-5,"CRÍTICO",IF(K3174&lt;0,"ATENÇÃO",IF(K3174&lt;=5,"OPORTUNO","MUITO BOM")))</f>
        <v/>
      </c>
      <c r="M3174" s="3" t="n">
        <v>13</v>
      </c>
      <c r="N3174" s="3" t="n">
        <v>100</v>
      </c>
      <c r="O3174" s="12" t="n">
        <v>28.49002849002849</v>
      </c>
    </row>
    <row r="3175">
      <c r="A3175" s="10" t="n">
        <v>46100</v>
      </c>
      <c r="B3175" t="inlineStr">
        <is>
          <t>Lizandra Gomes Duarte</t>
        </is>
      </c>
      <c r="C3175" s="1" t="inlineStr">
        <is>
          <t>Técnico II</t>
        </is>
      </c>
      <c r="D3175" s="3" t="n">
        <v>19</v>
      </c>
      <c r="E3175" s="3" t="n">
        <v>18</v>
      </c>
      <c r="F3175" s="3" t="n">
        <v>32.37</v>
      </c>
      <c r="G3175" s="3" t="n">
        <v>0</v>
      </c>
      <c r="H3175" s="3" t="n">
        <v>0</v>
      </c>
      <c r="I3175" s="3">
        <f>E3175+G3175+H3175</f>
        <v/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/>
      </c>
      <c r="K3175" s="3">
        <f>I3175-J3175</f>
        <v/>
      </c>
      <c r="L3175" s="3">
        <f>IF(K3175&lt;-5,"CRÍTICO",IF(K3175&lt;0,"ATENÇÃO",IF(K3175&lt;=5,"OPORTUNO","MUITO BOM")))</f>
        <v/>
      </c>
      <c r="M3175" s="3" t="n">
        <v>10</v>
      </c>
      <c r="N3175" s="3" t="n">
        <v>99.14</v>
      </c>
      <c r="O3175" s="12" t="n">
        <v>27.2289156626506</v>
      </c>
    </row>
    <row r="3176">
      <c r="A3176" s="10" t="n">
        <v>46100</v>
      </c>
      <c r="B3176" t="inlineStr">
        <is>
          <t>Lorena Dias de Araujo</t>
        </is>
      </c>
      <c r="C3176" s="1" t="inlineStr">
        <is>
          <t>Técnico II</t>
        </is>
      </c>
      <c r="D3176" s="3" t="n">
        <v>25</v>
      </c>
      <c r="E3176" s="3" t="n">
        <v>24</v>
      </c>
      <c r="F3176" s="3" t="n">
        <v>25.3</v>
      </c>
      <c r="G3176" s="3" t="n">
        <v>0</v>
      </c>
      <c r="H3176" s="3" t="n">
        <v>0</v>
      </c>
      <c r="I3176" s="3" t="n">
        <v>0</v>
      </c>
      <c r="J3176" s="3" t="n">
        <v>0</v>
      </c>
      <c r="K3176" s="3" t="n">
        <v>0</v>
      </c>
      <c r="L3176" s="3">
        <f>IF(K3176&lt;-5,"CRÍTICO",IF(K3176&lt;0,"ATENÇÃO",IF(K3176&lt;=5,"OPORTUNO","MUITO BOM")))</f>
        <v/>
      </c>
      <c r="M3176" s="3" t="n">
        <v>20</v>
      </c>
      <c r="N3176" s="3" t="n">
        <v>97.52</v>
      </c>
      <c r="O3176" s="12" t="n">
        <v>28.2051282051282</v>
      </c>
    </row>
    <row r="3177">
      <c r="A3177" s="10" t="n">
        <v>46100</v>
      </c>
      <c r="B3177" t="inlineStr">
        <is>
          <t>Lucas Luiz Romero</t>
        </is>
      </c>
      <c r="C3177" s="1" t="inlineStr">
        <is>
          <t>Técnico III</t>
        </is>
      </c>
      <c r="D3177" s="3" t="n">
        <v>0</v>
      </c>
      <c r="E3177" s="3" t="n">
        <v>0</v>
      </c>
      <c r="F3177" s="3" t="n">
        <v>0</v>
      </c>
      <c r="G3177" s="3" t="n">
        <v>0</v>
      </c>
      <c r="H3177" s="3" t="n">
        <v>0</v>
      </c>
      <c r="I3177" s="3" t="n">
        <v>0</v>
      </c>
      <c r="J3177" s="3" t="n">
        <v>0</v>
      </c>
      <c r="K3177" s="3" t="n">
        <v>0</v>
      </c>
      <c r="L3177" s="3">
        <f>IF(K3177&lt;-5,"CRÍTICO",IF(K3177&lt;0,"ATENÇÃO",IF(K3177&lt;=5,"OPORTUNO","MUITO BOM")))</f>
        <v/>
      </c>
      <c r="M3177" s="3" t="n">
        <v>0</v>
      </c>
      <c r="N3177" s="3" t="n">
        <v>90</v>
      </c>
      <c r="O3177" s="12" t="n">
        <v>24.18604651162791</v>
      </c>
    </row>
    <row r="3178">
      <c r="A3178" s="10" t="n">
        <v>46100</v>
      </c>
      <c r="B3178" t="inlineStr">
        <is>
          <t>Luiz Fernando de Carvalho Junior</t>
        </is>
      </c>
      <c r="C3178" s="1" t="inlineStr">
        <is>
          <t>Técnico I</t>
        </is>
      </c>
      <c r="D3178" s="3" t="n">
        <v>18</v>
      </c>
      <c r="E3178" s="3" t="n">
        <v>17</v>
      </c>
      <c r="F3178" s="3" t="n">
        <v>25.47</v>
      </c>
      <c r="G3178" s="3" t="n">
        <v>0</v>
      </c>
      <c r="H3178" s="3" t="n">
        <v>0</v>
      </c>
      <c r="I3178" s="3">
        <f>E3178+G3178+H3178</f>
        <v/>
      </c>
      <c r="J3178" s="3">
        <f>ROUND(MIN(IF(C3178="Técnico III",35,IF(C3178="Técnico II",28,IF(C3178="Técnico I",23,IF(C3178="JR",20,IF(C3178="Estágio",10,0))))),IF(C3178="Técnico III",SUMIFS($D:$D,$A:$A,$A3178,$B:$B,"&lt;&gt;Patrícia Karla de Sousa Araújo",$B:$B,"&lt;&gt;Lorena Dias de Araujo",$B:$B,"&lt;&gt;Lucas Luiz Romero")*(35/1083),IF(C3178="Técnico II",SUMIFS($D:$D,$A:$A,$A3178,$B:$B,"&lt;&gt;Patrícia Karla de Sousa Araújo",$B:$B,"&lt;&gt;Lorena Dias de Araujo",$B:$B,"&lt;&gt;Lucas Luiz Romero")*(28/1083),IF(C3178="Técnico I",SUMIFS($D:$D,$A:$A,$A3178,$B:$B,"&lt;&gt;Patrícia Karla de Sousa Araújo",$B:$B,"&lt;&gt;Lorena Dias de Araujo",$B:$B,"&lt;&gt;Lucas Luiz Romero")*(23/1083),IF(C3178="JR",SUMIFS($D:$D,$A:$A,$A3178,$B:$B,"&lt;&gt;Patrícia Karla de Sousa Araújo",$B:$B,"&lt;&gt;Lorena Dias de Araujo",$B:$B,"&lt;&gt;Lucas Luiz Romero")*(20/1083),IF(C3178="Estágio",SUMIFS($D:$D,$A:$A,$A3178,$B:$B,"&lt;&gt;Patrícia Karla de Sousa Araújo",$B:$B,"&lt;&gt;Lorena Dias de Araujo",$B:$B,"&lt;&gt;Lucas Luiz Romero")*(10/1083),0)))))),0)</f>
        <v/>
      </c>
      <c r="K3178" s="3">
        <f>I3178-J3178</f>
        <v/>
      </c>
      <c r="L3178" s="3">
        <f>IF(K3178&lt;-5,"CRÍTICO",IF(K3178&lt;0,"ATENÇÃO",IF(K3178&lt;=5,"OPORTUNO","MUITO BOM")))</f>
        <v/>
      </c>
      <c r="M3178" s="3" t="n">
        <v>12</v>
      </c>
      <c r="N3178" s="3" t="n">
        <v>98.90000000000001</v>
      </c>
      <c r="O3178" s="12" t="n">
        <v>26.7639902676399</v>
      </c>
    </row>
    <row r="3179">
      <c r="A3179" s="10" t="n">
        <v>46100</v>
      </c>
      <c r="B3179" t="inlineStr">
        <is>
          <t>Maria Eduarda Sousa Costa</t>
        </is>
      </c>
      <c r="C3179" s="1" t="inlineStr">
        <is>
          <t>Estágio</t>
        </is>
      </c>
      <c r="D3179" s="3" t="n">
        <v>0</v>
      </c>
      <c r="E3179" s="3" t="n">
        <v>0</v>
      </c>
      <c r="F3179" s="3" t="n">
        <v>0</v>
      </c>
      <c r="G3179" s="3" t="n">
        <v>0</v>
      </c>
      <c r="H3179" s="3" t="n">
        <v>0</v>
      </c>
      <c r="I3179" s="3" t="n">
        <v>0</v>
      </c>
      <c r="J3179" s="3" t="n">
        <v>0</v>
      </c>
      <c r="K3179" s="3" t="n">
        <v>0</v>
      </c>
      <c r="L3179" s="3">
        <f>IF(K3179&lt;-5,"CRÍTICO",IF(K3179&lt;0,"ATENÇÃO",IF(K3179&lt;=5,"OPORTUNO","MUITO BOM")))</f>
        <v/>
      </c>
      <c r="M3179" s="3" t="n">
        <v>0</v>
      </c>
      <c r="N3179" s="3" t="n">
        <v>88.89</v>
      </c>
      <c r="O3179" s="12" t="n">
        <v>25.26315789473684</v>
      </c>
    </row>
    <row r="3180">
      <c r="A3180" s="10" t="n">
        <v>46120</v>
      </c>
      <c r="B3180" t="inlineStr">
        <is>
          <t>Matheus Farias De Souza</t>
        </is>
      </c>
      <c r="C3180" s="1" t="inlineStr">
        <is>
          <t>Técnico III</t>
        </is>
      </c>
      <c r="D3180" s="3" t="n">
        <v>18</v>
      </c>
      <c r="E3180" s="3" t="n">
        <v>18</v>
      </c>
      <c r="F3180" s="3" t="n">
        <v>15.45</v>
      </c>
      <c r="G3180" s="3" t="n">
        <v>0</v>
      </c>
      <c r="H3180" s="3" t="n">
        <v>0</v>
      </c>
      <c r="I3180" s="3">
        <f>E3180+G3180+H3180</f>
        <v/>
      </c>
      <c r="J3180" s="3">
        <f>ROUND(MIN(IF(C3180="Técnico III",35,IF(C3180="Técnico II",28,IF(C3180="Técnico I",23,IF(C3180="JR",20,IF(C3180="Estágio",10,0))))),IF(C3180="Técnico III",SUMIFS($D:$D,$A:$A,$A3180,$B:$B,"&lt;&gt;Patrícia Karla de Sousa Araújo",$B:$B,"&lt;&gt;Lorena Dias de Araujo",$B:$B,"&lt;&gt;Lucas Luiz Romero")*(35/1083),IF(C3180="Técnico II",SUMIFS($D:$D,$A:$A,$A3180,$B:$B,"&lt;&gt;Patrícia Karla de Sousa Araújo",$B:$B,"&lt;&gt;Lorena Dias de Araujo",$B:$B,"&lt;&gt;Lucas Luiz Romero")*(28/1083),IF(C3180="Técnico I",SUMIFS($D:$D,$A:$A,$A3180,$B:$B,"&lt;&gt;Patrícia Karla de Sousa Araújo",$B:$B,"&lt;&gt;Lorena Dias de Araujo",$B:$B,"&lt;&gt;Lucas Luiz Romero")*(23/1083),IF(C3180="JR",SUMIFS($D:$D,$A:$A,$A3180,$B:$B,"&lt;&gt;Patrícia Karla de Sousa Araújo",$B:$B,"&lt;&gt;Lorena Dias de Araujo",$B:$B,"&lt;&gt;Lucas Luiz Romero")*(20/1083),IF(C3180="Estágio",SUMIFS($D:$D,$A:$A,$A3180,$B:$B,"&lt;&gt;Patrícia Karla de Sousa Araújo",$B:$B,"&lt;&gt;Lorena Dias de Araujo",$B:$B,"&lt;&gt;Lucas Luiz Romero")*(10/1083),0)))))),0)</f>
        <v/>
      </c>
      <c r="K3180" s="3">
        <f>I3180-J3180</f>
        <v/>
      </c>
      <c r="L3180" s="3">
        <f>IF(K3180&lt;-5,"CRÍTICO",IF(K3180&lt;0,"ATENÇÃO",IF(K3180&lt;=5,"OPORTUNO","MUITO BOM")))</f>
        <v/>
      </c>
      <c r="M3180" s="3" t="n">
        <v>20</v>
      </c>
      <c r="N3180" s="3" t="n">
        <v>100</v>
      </c>
      <c r="O3180" s="12" t="n">
        <v>23.9870340356564</v>
      </c>
    </row>
    <row r="3181">
      <c r="A3181" s="10" t="n">
        <v>46100</v>
      </c>
      <c r="B3181" t="inlineStr">
        <is>
          <t>Maysa Victoria Dias Moura</t>
        </is>
      </c>
      <c r="C3181" s="1" t="inlineStr">
        <is>
          <t>Técnico III</t>
        </is>
      </c>
      <c r="D3181" s="3" t="n">
        <v>0</v>
      </c>
      <c r="E3181" s="3" t="n">
        <v>0</v>
      </c>
      <c r="F3181" s="3" t="n">
        <v>0</v>
      </c>
      <c r="G3181" s="3" t="n">
        <v>0</v>
      </c>
      <c r="H3181" s="3" t="n">
        <v>0</v>
      </c>
      <c r="I3181" s="3" t="n">
        <v>0</v>
      </c>
      <c r="J3181" s="3" t="n">
        <v>0</v>
      </c>
      <c r="K3181" s="3" t="n">
        <v>0</v>
      </c>
      <c r="L3181" s="3">
        <f>IF(K3181&lt;-5,"CRÍTICO",IF(K3181&lt;0,"ATENÇÃO",IF(K3181&lt;=5,"OPORTUNO","MUITO BOM")))</f>
        <v/>
      </c>
      <c r="M3181" s="3" t="n">
        <v>0</v>
      </c>
      <c r="N3181" s="3" t="n">
        <v>98.06</v>
      </c>
      <c r="O3181" s="12" t="n">
        <v>22.40566037735849</v>
      </c>
    </row>
    <row r="3182">
      <c r="A3182" s="10" t="n">
        <v>46128</v>
      </c>
      <c r="B3182" t="inlineStr">
        <is>
          <t>Michelle G Santos</t>
        </is>
      </c>
      <c r="C3182" s="1" t="inlineStr">
        <is>
          <t>Estágio</t>
        </is>
      </c>
      <c r="D3182" s="3" t="n">
        <v>18</v>
      </c>
      <c r="E3182" s="3" t="n">
        <v>16</v>
      </c>
      <c r="F3182" s="3" t="n">
        <v>25.32</v>
      </c>
      <c r="G3182" s="3" t="n">
        <v>0</v>
      </c>
      <c r="H3182" s="3" t="n">
        <v>0</v>
      </c>
      <c r="I3182" s="3">
        <f>E3182+G3182+H3182</f>
        <v/>
      </c>
      <c r="J3182" s="3">
        <f>ROUND(MIN(IF(C3182="Técnico III",35,IF(C3182="Técnico II",28,IF(C3182="Técnico I",23,IF(C3182="JR",20,IF(C3182="Estágio",10,0))))),IF(C3182="Técnico III",SUMIFS($D:$D,$A:$A,$A3182,$B:$B,"&lt;&gt;Patrícia Karla de Sousa Araújo",$B:$B,"&lt;&gt;Lorena Dias de Araujo",$B:$B,"&lt;&gt;Lucas Luiz Romero")*(35/1083),IF(C3182="Técnico II",SUMIFS($D:$D,$A:$A,$A3182,$B:$B,"&lt;&gt;Patrícia Karla de Sousa Araújo",$B:$B,"&lt;&gt;Lorena Dias de Araujo",$B:$B,"&lt;&gt;Lucas Luiz Romero")*(28/1083),IF(C3182="Técnico I",SUMIFS($D:$D,$A:$A,$A3182,$B:$B,"&lt;&gt;Patrícia Karla de Sousa Araújo",$B:$B,"&lt;&gt;Lorena Dias de Araujo",$B:$B,"&lt;&gt;Lucas Luiz Romero")*(23/1083),IF(C3182="JR",SUMIFS($D:$D,$A:$A,$A3182,$B:$B,"&lt;&gt;Patrícia Karla de Sousa Araújo",$B:$B,"&lt;&gt;Lorena Dias de Araujo",$B:$B,"&lt;&gt;Lucas Luiz Romero")*(20/1083),IF(C3182="Estágio",SUMIFS($D:$D,$A:$A,$A3182,$B:$B,"&lt;&gt;Patrícia Karla de Sousa Araújo",$B:$B,"&lt;&gt;Lorena Dias de Araujo",$B:$B,"&lt;&gt;Lucas Luiz Romero")*(10/1083),0)))))),0)</f>
        <v/>
      </c>
      <c r="K3182" s="3">
        <f>I3182-J3182</f>
        <v/>
      </c>
      <c r="L3182" s="3">
        <f>IF(K3182&lt;-5,"CRÍTICO",IF(K3182&lt;0,"ATENÇÃO",IF(K3182&lt;=5,"OPORTUNO","MUITO BOM")))</f>
        <v/>
      </c>
      <c r="M3182" s="3" t="n">
        <v>11</v>
      </c>
      <c r="N3182" s="3" t="n">
        <v>100</v>
      </c>
      <c r="O3182" s="12" t="n">
        <v>23.77622377622378</v>
      </c>
    </row>
    <row r="3183">
      <c r="A3183" s="10" t="n">
        <v>46100</v>
      </c>
      <c r="B3183" t="inlineStr">
        <is>
          <t>Milena Sales</t>
        </is>
      </c>
      <c r="C3183" s="1" t="inlineStr">
        <is>
          <t>JR</t>
        </is>
      </c>
      <c r="D3183" s="3" t="n">
        <v>0</v>
      </c>
      <c r="E3183" s="3" t="n">
        <v>0</v>
      </c>
      <c r="F3183" s="3" t="n">
        <v>0</v>
      </c>
      <c r="G3183" s="3" t="n">
        <v>0</v>
      </c>
      <c r="H3183" s="3" t="n">
        <v>0</v>
      </c>
      <c r="I3183" s="3" t="n">
        <v>0</v>
      </c>
      <c r="J3183" s="3" t="n">
        <v>0</v>
      </c>
      <c r="K3183" s="3" t="n">
        <v>0</v>
      </c>
      <c r="L3183" s="3">
        <f>IF(K3183&lt;-5,"CRÍTICO",IF(K3183&lt;0,"ATENÇÃO",IF(K3183&lt;=5,"OPORTUNO","MUITO BOM")))</f>
        <v/>
      </c>
      <c r="M3183" s="3" t="n">
        <v>0</v>
      </c>
      <c r="N3183" s="3" t="n">
        <v>100</v>
      </c>
      <c r="O3183" s="12" t="n">
        <v>15.38461538461539</v>
      </c>
    </row>
    <row r="3184">
      <c r="A3184" s="10" t="n">
        <v>46100</v>
      </c>
      <c r="B3184" t="inlineStr">
        <is>
          <t>Patrícia Karla de Sousa Araújo</t>
        </is>
      </c>
      <c r="C3184" s="1" t="inlineStr">
        <is>
          <t>Técnico II</t>
        </is>
      </c>
      <c r="D3184" s="3" t="n">
        <v>0</v>
      </c>
      <c r="E3184" s="3" t="n">
        <v>0</v>
      </c>
      <c r="F3184" s="3" t="n">
        <v>0</v>
      </c>
      <c r="G3184" s="3" t="n">
        <v>0</v>
      </c>
      <c r="H3184" s="3" t="n">
        <v>0</v>
      </c>
      <c r="I3184" s="3" t="n">
        <v>0</v>
      </c>
      <c r="J3184" s="3" t="n">
        <v>0</v>
      </c>
      <c r="K3184" s="3" t="n">
        <v>0</v>
      </c>
      <c r="L3184" s="3">
        <f>IF(K3184&lt;-5,"CRÍTICO",IF(K3184&lt;0,"ATENÇÃO",IF(K3184&lt;=5,"OPORTUNO","MUITO BOM")))</f>
        <v/>
      </c>
      <c r="M3184" s="3" t="n">
        <v>0</v>
      </c>
      <c r="N3184" s="3" t="n">
        <v>100</v>
      </c>
      <c r="O3184" s="12" t="n">
        <v>27.51479289940828</v>
      </c>
    </row>
    <row r="3185">
      <c r="A3185" s="10" t="n">
        <v>46100</v>
      </c>
      <c r="B3185" t="inlineStr">
        <is>
          <t>Paulo Ricardo Santos</t>
        </is>
      </c>
      <c r="C3185" s="1" t="inlineStr">
        <is>
          <t>JR</t>
        </is>
      </c>
      <c r="D3185" s="3" t="n">
        <v>12</v>
      </c>
      <c r="E3185" s="3" t="n">
        <v>12</v>
      </c>
      <c r="F3185" s="3" t="n">
        <v>27.16</v>
      </c>
      <c r="G3185" s="3" t="n">
        <v>0</v>
      </c>
      <c r="H3185" s="3" t="n">
        <v>0</v>
      </c>
      <c r="I3185" s="3">
        <f>E3185+G3185+H3185</f>
        <v/>
      </c>
      <c r="J3185" s="3">
        <f>ROUND(MIN(IF(C3185="Técnico III",35,IF(C3185="Técnico II",28,IF(C3185="Técnico I",23,IF(C3185="JR",20,IF(C3185="Estágio",10,0))))),IF(C3185="Técnico III",SUMIFS($D:$D,$A:$A,$A3185,$B:$B,"&lt;&gt;Patrícia Karla de Sousa Araújo",$B:$B,"&lt;&gt;Lorena Dias de Araujo",$B:$B,"&lt;&gt;Lucas Luiz Romero")*(35/1083),IF(C3185="Técnico II",SUMIFS($D:$D,$A:$A,$A3185,$B:$B,"&lt;&gt;Patrícia Karla de Sousa Araújo",$B:$B,"&lt;&gt;Lorena Dias de Araujo",$B:$B,"&lt;&gt;Lucas Luiz Romero")*(28/1083),IF(C3185="Técnico I",SUMIFS($D:$D,$A:$A,$A3185,$B:$B,"&lt;&gt;Patrícia Karla de Sousa Araújo",$B:$B,"&lt;&gt;Lorena Dias de Araujo",$B:$B,"&lt;&gt;Lucas Luiz Romero")*(23/1083),IF(C3185="JR",SUMIFS($D:$D,$A:$A,$A3185,$B:$B,"&lt;&gt;Patrícia Karla de Sousa Araújo",$B:$B,"&lt;&gt;Lorena Dias de Araujo",$B:$B,"&lt;&gt;Lucas Luiz Romero")*(20/1083),IF(C3185="Estágio",SUMIFS($D:$D,$A:$A,$A3185,$B:$B,"&lt;&gt;Patrícia Karla de Sousa Araújo",$B:$B,"&lt;&gt;Lorena Dias de Araujo",$B:$B,"&lt;&gt;Lucas Luiz Romero")*(10/1083),0)))))),0)</f>
        <v/>
      </c>
      <c r="K3185" s="3">
        <f>I3185-J3185</f>
        <v/>
      </c>
      <c r="L3185" s="3">
        <f>IF(K3185&lt;-5,"CRÍTICO",IF(K3185&lt;0,"ATENÇÃO",IF(K3185&lt;=5,"OPORTUNO","MUITO BOM")))</f>
        <v/>
      </c>
      <c r="M3185" s="3" t="n">
        <v>9</v>
      </c>
      <c r="N3185" s="3" t="n">
        <v>100</v>
      </c>
      <c r="O3185" s="12" t="n">
        <v>24.87562189054727</v>
      </c>
    </row>
    <row r="3186">
      <c r="A3186" s="10" t="n">
        <v>46100</v>
      </c>
      <c r="B3186" t="inlineStr">
        <is>
          <t>Pedro Luiz Mota Sousa</t>
        </is>
      </c>
      <c r="C3186" s="1" t="inlineStr">
        <is>
          <t>JR</t>
        </is>
      </c>
      <c r="D3186" s="3" t="n">
        <v>8</v>
      </c>
      <c r="E3186" s="3" t="n">
        <v>8</v>
      </c>
      <c r="F3186" s="3" t="n">
        <v>52.08</v>
      </c>
      <c r="G3186" s="3" t="n">
        <v>0</v>
      </c>
      <c r="H3186" s="3" t="n">
        <v>0</v>
      </c>
      <c r="I3186" s="3">
        <f>E3186+G3186+H3186</f>
        <v/>
      </c>
      <c r="J3186" s="3">
        <f>ROUND(MIN(IF(C3186="Técnico III",35,IF(C3186="Técnico II",28,IF(C3186="Técnico I",23,IF(C3186="JR",20,IF(C3186="Estágio",10,0))))),IF(C3186="Técnico III",SUMIFS($D:$D,$A:$A,$A3186,$B:$B,"&lt;&gt;Patrícia Karla de Sousa Araújo",$B:$B,"&lt;&gt;Lorena Dias de Araujo",$B:$B,"&lt;&gt;Lucas Luiz Romero")*(35/1083),IF(C3186="Técnico II",SUMIFS($D:$D,$A:$A,$A3186,$B:$B,"&lt;&gt;Patrícia Karla de Sousa Araújo",$B:$B,"&lt;&gt;Lorena Dias de Araujo",$B:$B,"&lt;&gt;Lucas Luiz Romero")*(28/1083),IF(C3186="Técnico I",SUMIFS($D:$D,$A:$A,$A3186,$B:$B,"&lt;&gt;Patrícia Karla de Sousa Araújo",$B:$B,"&lt;&gt;Lorena Dias de Araujo",$B:$B,"&lt;&gt;Lucas Luiz Romero")*(23/1083),IF(C3186="JR",SUMIFS($D:$D,$A:$A,$A3186,$B:$B,"&lt;&gt;Patrícia Karla de Sousa Araújo",$B:$B,"&lt;&gt;Lorena Dias de Araujo",$B:$B,"&lt;&gt;Lucas Luiz Romero")*(20/1083),IF(C3186="Estágio",SUMIFS($D:$D,$A:$A,$A3186,$B:$B,"&lt;&gt;Patrícia Karla de Sousa Araújo",$B:$B,"&lt;&gt;Lorena Dias de Araujo",$B:$B,"&lt;&gt;Lucas Luiz Romero")*(10/1083),0)))))),0)</f>
        <v/>
      </c>
      <c r="K3186" s="3">
        <f>I3186-J3186</f>
        <v/>
      </c>
      <c r="L3186" s="3">
        <f>IF(K3186&lt;-5,"CRÍTICO",IF(K3186&lt;0,"ATENÇÃO",IF(K3186&lt;=5,"OPORTUNO","MUITO BOM")))</f>
        <v/>
      </c>
      <c r="M3186" s="3" t="n">
        <v>7</v>
      </c>
      <c r="N3186" s="3" t="n">
        <v>100</v>
      </c>
      <c r="O3186" s="12" t="n">
        <v>28.10810810810811</v>
      </c>
    </row>
    <row r="3187">
      <c r="A3187" s="10" t="n">
        <v>46128</v>
      </c>
      <c r="B3187" t="inlineStr">
        <is>
          <t>Quirino Diogo Leite Torres</t>
        </is>
      </c>
      <c r="C3187" s="1" t="inlineStr">
        <is>
          <t>Estágio</t>
        </is>
      </c>
      <c r="D3187" s="3" t="n">
        <v>15</v>
      </c>
      <c r="E3187" s="3" t="n">
        <v>13</v>
      </c>
      <c r="F3187" s="3" t="n">
        <v>33.28</v>
      </c>
      <c r="G3187" s="3" t="n">
        <v>0</v>
      </c>
      <c r="H3187" s="3" t="n">
        <v>0</v>
      </c>
      <c r="I3187" s="3">
        <f>E3187+G3187+H3187</f>
        <v/>
      </c>
      <c r="J3187" s="3">
        <f>ROUND(MIN(IF(C3187="Técnico III",35,IF(C3187="Técnico II",28,IF(C3187="Técnico I",23,IF(C3187="JR",20,IF(C3187="Estágio",10,0))))),IF(C3187="Técnico III",SUMIFS($D:$D,$A:$A,$A3187,$B:$B,"&lt;&gt;Patrícia Karla de Sousa Araújo",$B:$B,"&lt;&gt;Lorena Dias de Araujo",$B:$B,"&lt;&gt;Lucas Luiz Romero")*(35/1083),IF(C3187="Técnico II",SUMIFS($D:$D,$A:$A,$A3187,$B:$B,"&lt;&gt;Patrícia Karla de Sousa Araújo",$B:$B,"&lt;&gt;Lorena Dias de Araujo",$B:$B,"&lt;&gt;Lucas Luiz Romero")*(28/1083),IF(C3187="Técnico I",SUMIFS($D:$D,$A:$A,$A3187,$B:$B,"&lt;&gt;Patrícia Karla de Sousa Araújo",$B:$B,"&lt;&gt;Lorena Dias de Araujo",$B:$B,"&lt;&gt;Lucas Luiz Romero")*(23/1083),IF(C3187="JR",SUMIFS($D:$D,$A:$A,$A3187,$B:$B,"&lt;&gt;Patrícia Karla de Sousa Araújo",$B:$B,"&lt;&gt;Lorena Dias de Araujo",$B:$B,"&lt;&gt;Lucas Luiz Romero")*(20/1083),IF(C3187="Estágio",SUMIFS($D:$D,$A:$A,$A3187,$B:$B,"&lt;&gt;Patrícia Karla de Sousa Araújo",$B:$B,"&lt;&gt;Lorena Dias de Araujo",$B:$B,"&lt;&gt;Lucas Luiz Romero")*(10/1083),0)))))),0)</f>
        <v/>
      </c>
      <c r="K3187" s="3">
        <f>I3187-J3187</f>
        <v/>
      </c>
      <c r="L3187" s="3">
        <f>IF(K3187&lt;-5,"CRÍTICO",IF(K3187&lt;0,"ATENÇÃO",IF(K3187&lt;=5,"OPORTUNO","MUITO BOM")))</f>
        <v/>
      </c>
      <c r="M3187" s="3" t="n">
        <v>9</v>
      </c>
      <c r="N3187" s="3" t="n">
        <v>94.12</v>
      </c>
      <c r="O3187" s="12" t="n">
        <v>32.8</v>
      </c>
    </row>
    <row r="3188">
      <c r="A3188" s="10" t="n">
        <v>46100</v>
      </c>
      <c r="B3188" t="inlineStr">
        <is>
          <t>Raane Batista Matos</t>
        </is>
      </c>
      <c r="C3188" s="1" t="inlineStr">
        <is>
          <t>Técnico I</t>
        </is>
      </c>
      <c r="D3188" s="3" t="n">
        <v>26</v>
      </c>
      <c r="E3188" s="3" t="n">
        <v>25</v>
      </c>
      <c r="F3188" s="3" t="n">
        <v>25.22</v>
      </c>
      <c r="G3188" s="3" t="n">
        <v>0</v>
      </c>
      <c r="H3188" s="3" t="n">
        <v>0</v>
      </c>
      <c r="I3188" s="3">
        <f>E3188+G3188+H3188</f>
        <v/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/>
      </c>
      <c r="K3188" s="3">
        <f>I3188-J3188</f>
        <v/>
      </c>
      <c r="L3188" s="3">
        <f>IF(K3188&lt;-5,"CRÍTICO",IF(K3188&lt;0,"ATENÇÃO",IF(K3188&lt;=5,"OPORTUNO","MUITO BOM")))</f>
        <v/>
      </c>
      <c r="M3188" s="3" t="n">
        <v>21</v>
      </c>
      <c r="N3188" s="3" t="n">
        <v>95.34999999999999</v>
      </c>
      <c r="O3188" s="12" t="n">
        <v>28.61538461538461</v>
      </c>
    </row>
    <row r="3189">
      <c r="A3189" s="10" t="n">
        <v>46100</v>
      </c>
      <c r="B3189" t="inlineStr">
        <is>
          <t>Rafael Gomes de Morais</t>
        </is>
      </c>
      <c r="C3189" s="1" t="inlineStr">
        <is>
          <t>Técnico III</t>
        </is>
      </c>
      <c r="D3189" s="3" t="n">
        <v>43</v>
      </c>
      <c r="E3189" s="3" t="n">
        <v>38</v>
      </c>
      <c r="F3189" s="3" t="n">
        <v>12.18</v>
      </c>
      <c r="G3189" s="3" t="n">
        <v>0</v>
      </c>
      <c r="H3189" s="3" t="n">
        <v>0</v>
      </c>
      <c r="I3189" s="3">
        <f>E3189+G3189+H3189</f>
        <v/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/>
      </c>
      <c r="K3189" s="3">
        <f>I3189-J3189</f>
        <v/>
      </c>
      <c r="L3189" s="3">
        <f>IF(K3189&lt;-5,"CRÍTICO",IF(K3189&lt;0,"ATENÇÃO",IF(K3189&lt;=5,"OPORTUNO","MUITO BOM")))</f>
        <v/>
      </c>
      <c r="M3189" s="3" t="n">
        <v>33</v>
      </c>
      <c r="N3189" s="3" t="n">
        <v>98.26000000000001</v>
      </c>
      <c r="O3189" s="12" t="n">
        <v>27.54491017964072</v>
      </c>
    </row>
    <row r="3190">
      <c r="A3190" s="10" t="n">
        <v>46100</v>
      </c>
      <c r="B3190" t="inlineStr">
        <is>
          <t>Sara Maria Monteiro Lopes</t>
        </is>
      </c>
      <c r="C3190" s="1" t="inlineStr">
        <is>
          <t>Técnico I</t>
        </is>
      </c>
      <c r="D3190" s="3" t="n">
        <v>17</v>
      </c>
      <c r="E3190" s="3" t="n">
        <v>17</v>
      </c>
      <c r="F3190" s="3" t="n">
        <v>32.04</v>
      </c>
      <c r="G3190" s="3" t="n">
        <v>0</v>
      </c>
      <c r="H3190" s="3" t="n">
        <v>0</v>
      </c>
      <c r="I3190" s="3">
        <f>E3190+G3190+H3190</f>
        <v/>
      </c>
      <c r="J3190" s="3">
        <f>ROUND(MIN(IF(C3190="Técnico III",35,IF(C3190="Técnico II",28,IF(C3190="Técnico I",23,IF(C3190="JR",20,IF(C3190="Estágio",10,0))))),IF(C3190="Técnico III",SUMIFS($D:$D,$A:$A,$A3190,$B:$B,"&lt;&gt;Patrícia Karla de Sousa Araújo",$B:$B,"&lt;&gt;Lorena Dias de Araujo",$B:$B,"&lt;&gt;Lucas Luiz Romero")*(35/1083),IF(C3190="Técnico II",SUMIFS($D:$D,$A:$A,$A3190,$B:$B,"&lt;&gt;Patrícia Karla de Sousa Araújo",$B:$B,"&lt;&gt;Lorena Dias de Araujo",$B:$B,"&lt;&gt;Lucas Luiz Romero")*(28/1083),IF(C3190="Técnico I",SUMIFS($D:$D,$A:$A,$A3190,$B:$B,"&lt;&gt;Patrícia Karla de Sousa Araújo",$B:$B,"&lt;&gt;Lorena Dias de Araujo",$B:$B,"&lt;&gt;Lucas Luiz Romero")*(23/1083),IF(C3190="JR",SUMIFS($D:$D,$A:$A,$A3190,$B:$B,"&lt;&gt;Patrícia Karla de Sousa Araújo",$B:$B,"&lt;&gt;Lorena Dias de Araujo",$B:$B,"&lt;&gt;Lucas Luiz Romero")*(20/1083),IF(C3190="Estágio",SUMIFS($D:$D,$A:$A,$A3190,$B:$B,"&lt;&gt;Patrícia Karla de Sousa Araújo",$B:$B,"&lt;&gt;Lorena Dias de Araujo",$B:$B,"&lt;&gt;Lucas Luiz Romero")*(10/1083),0)))))),0)</f>
        <v/>
      </c>
      <c r="K3190" s="3">
        <f>I3190-J3190</f>
        <v/>
      </c>
      <c r="L3190" s="3">
        <f>IF(K3190&lt;-5,"CRÍTICO",IF(K3190&lt;0,"ATENÇÃO",IF(K3190&lt;=5,"OPORTUNO","MUITO BOM")))</f>
        <v/>
      </c>
      <c r="M3190" s="3" t="n">
        <v>18</v>
      </c>
      <c r="N3190" s="3" t="n">
        <v>98.55</v>
      </c>
      <c r="O3190" s="12" t="n">
        <v>25.33783783783784</v>
      </c>
    </row>
    <row r="3191">
      <c r="A3191" s="10" t="n">
        <v>46100</v>
      </c>
      <c r="B3191" t="inlineStr">
        <is>
          <t>Sarah Steffanie de Lima Borges</t>
        </is>
      </c>
      <c r="C3191" s="1" t="inlineStr">
        <is>
          <t>Técnico III</t>
        </is>
      </c>
      <c r="D3191" s="3" t="n">
        <v>29</v>
      </c>
      <c r="E3191" s="3" t="n">
        <v>27</v>
      </c>
      <c r="F3191" s="3" t="n">
        <v>22.19</v>
      </c>
      <c r="G3191" s="3" t="n">
        <v>0</v>
      </c>
      <c r="H3191" s="3" t="n">
        <v>0</v>
      </c>
      <c r="I3191" s="3">
        <f>E3191+G3191+H3191</f>
        <v/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/>
      </c>
      <c r="K3191" s="3">
        <f>I3191-J3191</f>
        <v/>
      </c>
      <c r="L3191" s="3">
        <f>IF(K3191&lt;-5,"CRÍTICO",IF(K3191&lt;0,"ATENÇÃO",IF(K3191&lt;=5,"OPORTUNO","MUITO BOM")))</f>
        <v/>
      </c>
      <c r="M3191" s="3" t="n">
        <v>20</v>
      </c>
      <c r="N3191" s="3" t="n">
        <v>98.39</v>
      </c>
      <c r="O3191" s="12" t="n">
        <v>25.56390977443609</v>
      </c>
    </row>
    <row r="3192">
      <c r="A3192" s="10" t="n">
        <v>46101</v>
      </c>
      <c r="B3192" t="inlineStr">
        <is>
          <t>Alisson de Freitas Silva</t>
        </is>
      </c>
      <c r="C3192" s="1" t="inlineStr">
        <is>
          <t>Técnico II</t>
        </is>
      </c>
      <c r="D3192" s="3" t="n">
        <v>18</v>
      </c>
      <c r="E3192" s="3" t="n">
        <v>12</v>
      </c>
      <c r="F3192" s="3" t="n">
        <v>15.4</v>
      </c>
      <c r="G3192" s="3" t="n">
        <v>0</v>
      </c>
      <c r="H3192" s="3" t="n">
        <v>0</v>
      </c>
      <c r="I3192" s="3">
        <f>E3192+G3192+H3192</f>
        <v/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/>
      </c>
      <c r="K3192" s="3">
        <f>I3192-J3192</f>
        <v/>
      </c>
      <c r="L3192" s="3">
        <f>IF(K3192&lt;-5,"CRÍTICO",IF(K3192&lt;0,"ATENÇÃO",IF(K3192&lt;=5,"OPORTUNO","MUITO BOM")))</f>
        <v/>
      </c>
      <c r="M3192" s="3" t="n">
        <v>14</v>
      </c>
      <c r="N3192" s="3" t="n">
        <v>94.29000000000001</v>
      </c>
      <c r="O3192" s="12" t="n">
        <v>25.64766839378239</v>
      </c>
    </row>
    <row r="3193">
      <c r="A3193" s="10" t="n">
        <v>46101</v>
      </c>
      <c r="B3193" t="inlineStr">
        <is>
          <t>Amanda Moura Ferreira</t>
        </is>
      </c>
      <c r="C3193" s="1" t="inlineStr">
        <is>
          <t>Técnico III</t>
        </is>
      </c>
      <c r="D3193" s="3" t="n">
        <v>0</v>
      </c>
      <c r="E3193" s="3" t="n">
        <v>0</v>
      </c>
      <c r="F3193" s="3" t="n">
        <v>0</v>
      </c>
      <c r="G3193" s="3" t="n">
        <v>0</v>
      </c>
      <c r="H3193" s="3" t="n">
        <v>0</v>
      </c>
      <c r="I3193" s="3" t="n">
        <v>0</v>
      </c>
      <c r="J3193" s="3" t="n">
        <v>0</v>
      </c>
      <c r="K3193" s="3" t="n">
        <v>0</v>
      </c>
      <c r="L3193" s="3">
        <f>IF(K3193&lt;-5,"CRÍTICO",IF(K3193&lt;0,"ATENÇÃO",IF(K3193&lt;=5,"OPORTUNO","MUITO BOM")))</f>
        <v/>
      </c>
      <c r="M3193" s="3" t="n">
        <v>7</v>
      </c>
      <c r="N3193" s="3" t="n">
        <v>98.26000000000001</v>
      </c>
      <c r="O3193" s="12" t="n">
        <v>26.66666666666667</v>
      </c>
    </row>
    <row r="3194">
      <c r="A3194" s="10" t="n">
        <v>46101</v>
      </c>
      <c r="B3194" t="inlineStr">
        <is>
          <t>Ana Karollyne Souza Faria</t>
        </is>
      </c>
      <c r="C3194" s="1" t="inlineStr">
        <is>
          <t>Técnico I</t>
        </is>
      </c>
      <c r="D3194" s="3" t="n">
        <v>18</v>
      </c>
      <c r="E3194" s="3" t="n">
        <v>18</v>
      </c>
      <c r="F3194" s="3" t="n">
        <v>20.48</v>
      </c>
      <c r="G3194" s="3" t="n">
        <v>0</v>
      </c>
      <c r="H3194" s="3" t="n">
        <v>0</v>
      </c>
      <c r="I3194" s="3">
        <f>E3194+G3194+H3194</f>
        <v/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/>
      </c>
      <c r="K3194" s="3">
        <f>I3194-J3194</f>
        <v/>
      </c>
      <c r="L3194" s="3">
        <f>IF(K3194&lt;-5,"CRÍTICO",IF(K3194&lt;0,"ATENÇÃO",IF(K3194&lt;=5,"OPORTUNO","MUITO BOM")))</f>
        <v/>
      </c>
      <c r="M3194" s="3" t="n">
        <v>14</v>
      </c>
      <c r="N3194" s="3" t="n">
        <v>98.2</v>
      </c>
      <c r="O3194" s="12" t="n">
        <v>23.37962962962963</v>
      </c>
    </row>
    <row r="3195">
      <c r="A3195" s="10" t="n">
        <v>46101</v>
      </c>
      <c r="B3195" t="inlineStr">
        <is>
          <t>Ana Paula Da Luz Silva Aleixo</t>
        </is>
      </c>
      <c r="C3195" s="1" t="inlineStr">
        <is>
          <t>Técnico III</t>
        </is>
      </c>
      <c r="D3195" s="3" t="n">
        <v>22</v>
      </c>
      <c r="E3195" s="3" t="n">
        <v>21</v>
      </c>
      <c r="F3195" s="3" t="n">
        <v>23.54</v>
      </c>
      <c r="G3195" s="3" t="n">
        <v>0</v>
      </c>
      <c r="H3195" s="3" t="n">
        <v>0</v>
      </c>
      <c r="I3195" s="3">
        <f>E3195+G3195+H3195</f>
        <v/>
      </c>
      <c r="J3195" s="3">
        <f>ROUND(MIN(IF(C3195="Técnico III",35,IF(C3195="Técnico II",28,IF(C3195="Técnico I",23,IF(C3195="JR",20,IF(C3195="Estágio",10,0))))),IF(C3195="Técnico III",SUMIFS($D:$D,$A:$A,$A3195,$B:$B,"&lt;&gt;Patrícia Karla de Sousa Araújo",$B:$B,"&lt;&gt;Lorena Dias de Araujo",$B:$B,"&lt;&gt;Lucas Luiz Romero")*(35/1083),IF(C3195="Técnico II",SUMIFS($D:$D,$A:$A,$A3195,$B:$B,"&lt;&gt;Patrícia Karla de Sousa Araújo",$B:$B,"&lt;&gt;Lorena Dias de Araujo",$B:$B,"&lt;&gt;Lucas Luiz Romero")*(28/1083),IF(C3195="Técnico I",SUMIFS($D:$D,$A:$A,$A3195,$B:$B,"&lt;&gt;Patrícia Karla de Sousa Araújo",$B:$B,"&lt;&gt;Lorena Dias de Araujo",$B:$B,"&lt;&gt;Lucas Luiz Romero")*(23/1083),IF(C3195="JR",SUMIFS($D:$D,$A:$A,$A3195,$B:$B,"&lt;&gt;Patrícia Karla de Sousa Araújo",$B:$B,"&lt;&gt;Lorena Dias de Araujo",$B:$B,"&lt;&gt;Lucas Luiz Romero")*(20/1083),IF(C3195="Estágio",SUMIFS($D:$D,$A:$A,$A3195,$B:$B,"&lt;&gt;Patrícia Karla de Sousa Araújo",$B:$B,"&lt;&gt;Lorena Dias de Araujo",$B:$B,"&lt;&gt;Lucas Luiz Romero")*(10/1083),0)))))),0)</f>
        <v/>
      </c>
      <c r="K3195" s="3">
        <f>I3195-J3195</f>
        <v/>
      </c>
      <c r="L3195" s="3">
        <f>IF(K3195&lt;-5,"CRÍTICO",IF(K3195&lt;0,"ATENÇÃO",IF(K3195&lt;=5,"OPORTUNO","MUITO BOM")))</f>
        <v/>
      </c>
      <c r="M3195" s="3" t="n">
        <v>17</v>
      </c>
      <c r="N3195" s="3" t="n">
        <v>97.3</v>
      </c>
      <c r="O3195" s="12" t="n">
        <v>23.84769539078156</v>
      </c>
    </row>
    <row r="3196">
      <c r="A3196" s="10" t="n">
        <v>46101</v>
      </c>
      <c r="B3196" t="inlineStr">
        <is>
          <t>Anna Luiza Rezende Tavares</t>
        </is>
      </c>
      <c r="C3196" s="1" t="inlineStr">
        <is>
          <t>Estágio</t>
        </is>
      </c>
      <c r="D3196" s="3" t="n">
        <v>10</v>
      </c>
      <c r="E3196" s="3" t="n">
        <v>10</v>
      </c>
      <c r="F3196" s="3" t="n">
        <v>32.38</v>
      </c>
      <c r="G3196" s="3" t="n">
        <v>0</v>
      </c>
      <c r="H3196" s="3" t="n">
        <v>0</v>
      </c>
      <c r="I3196" s="3">
        <f>E3196+G3196+H3196</f>
        <v/>
      </c>
      <c r="J3196" s="3">
        <f>ROUND(MIN(IF(C3196="Técnico III",35,IF(C3196="Técnico II",28,IF(C3196="Técnico I",23,IF(C3196="JR",20,IF(C3196="Estágio",10,0))))),IF(C3196="Técnico III",SUMIFS($D:$D,$A:$A,$A3196,$B:$B,"&lt;&gt;Patrícia Karla de Sousa Araújo",$B:$B,"&lt;&gt;Lorena Dias de Araujo",$B:$B,"&lt;&gt;Lucas Luiz Romero")*(35/1083),IF(C3196="Técnico II",SUMIFS($D:$D,$A:$A,$A3196,$B:$B,"&lt;&gt;Patrícia Karla de Sousa Araújo",$B:$B,"&lt;&gt;Lorena Dias de Araujo",$B:$B,"&lt;&gt;Lucas Luiz Romero")*(28/1083),IF(C3196="Técnico I",SUMIFS($D:$D,$A:$A,$A3196,$B:$B,"&lt;&gt;Patrícia Karla de Sousa Araújo",$B:$B,"&lt;&gt;Lorena Dias de Araujo",$B:$B,"&lt;&gt;Lucas Luiz Romero")*(23/1083),IF(C3196="JR",SUMIFS($D:$D,$A:$A,$A3196,$B:$B,"&lt;&gt;Patrícia Karla de Sousa Araújo",$B:$B,"&lt;&gt;Lorena Dias de Araujo",$B:$B,"&lt;&gt;Lucas Luiz Romero")*(20/1083),IF(C3196="Estágio",SUMIFS($D:$D,$A:$A,$A3196,$B:$B,"&lt;&gt;Patrícia Karla de Sousa Araújo",$B:$B,"&lt;&gt;Lorena Dias de Araujo",$B:$B,"&lt;&gt;Lucas Luiz Romero")*(10/1083),0)))))),0)</f>
        <v/>
      </c>
      <c r="K3196" s="3">
        <f>I3196-J3196</f>
        <v/>
      </c>
      <c r="L3196" s="3">
        <f>IF(K3196&lt;-5,"CRÍTICO",IF(K3196&lt;0,"ATENÇÃO",IF(K3196&lt;=5,"OPORTUNO","MUITO BOM")))</f>
        <v/>
      </c>
      <c r="M3196" s="3" t="n">
        <v>9</v>
      </c>
      <c r="N3196" s="3" t="n">
        <v>100</v>
      </c>
      <c r="O3196" s="12" t="n">
        <v>25.26881720430108</v>
      </c>
    </row>
    <row r="3197">
      <c r="A3197" s="10" t="n">
        <v>46101</v>
      </c>
      <c r="B3197" t="inlineStr">
        <is>
          <t>Brenda de Menezes Silva</t>
        </is>
      </c>
      <c r="C3197" s="1" t="inlineStr">
        <is>
          <t>Técnico II</t>
        </is>
      </c>
      <c r="D3197" s="3" t="n">
        <v>14</v>
      </c>
      <c r="E3197" s="3" t="n">
        <v>12</v>
      </c>
      <c r="F3197" s="3" t="n">
        <v>24.18</v>
      </c>
      <c r="G3197" s="3" t="n">
        <v>0</v>
      </c>
      <c r="H3197" s="3" t="n">
        <v>0</v>
      </c>
      <c r="I3197" s="3">
        <f>E3197+G3197+H3197</f>
        <v/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/>
      </c>
      <c r="K3197" s="3">
        <f>I3197-J3197</f>
        <v/>
      </c>
      <c r="L3197" s="3">
        <f>IF(K3197&lt;-5,"CRÍTICO",IF(K3197&lt;0,"ATENÇÃO",IF(K3197&lt;=5,"OPORTUNO","MUITO BOM")))</f>
        <v/>
      </c>
      <c r="M3197" s="3" t="n">
        <v>12</v>
      </c>
      <c r="N3197" s="3" t="n">
        <v>99.31999999999999</v>
      </c>
      <c r="O3197" s="12" t="n">
        <v>22.82282282282282</v>
      </c>
    </row>
    <row r="3198">
      <c r="A3198" s="10" t="n">
        <v>46101</v>
      </c>
      <c r="B3198" t="inlineStr">
        <is>
          <t>Carlos Mateus Cassimiro Nunes</t>
        </is>
      </c>
      <c r="C3198" s="1" t="inlineStr">
        <is>
          <t>Técnico II</t>
        </is>
      </c>
      <c r="D3198" s="3" t="n">
        <v>25</v>
      </c>
      <c r="E3198" s="3" t="n">
        <v>24</v>
      </c>
      <c r="F3198" s="3" t="n">
        <v>29.11</v>
      </c>
      <c r="G3198" s="3" t="n">
        <v>0</v>
      </c>
      <c r="H3198" s="3" t="n">
        <v>0</v>
      </c>
      <c r="I3198" s="3">
        <f>E3198+G3198+H3198</f>
        <v/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/>
      </c>
      <c r="K3198" s="3">
        <f>I3198-J3198</f>
        <v/>
      </c>
      <c r="L3198" s="3">
        <f>IF(K3198&lt;-5,"CRÍTICO",IF(K3198&lt;0,"ATENÇÃO",IF(K3198&lt;=5,"OPORTUNO","MUITO BOM")))</f>
        <v/>
      </c>
      <c r="M3198" s="3" t="n">
        <v>23</v>
      </c>
      <c r="N3198" s="3" t="n">
        <v>100</v>
      </c>
      <c r="O3198" s="12" t="n">
        <v>27.96610169491525</v>
      </c>
    </row>
    <row r="3199">
      <c r="A3199" s="10" t="n">
        <v>46101</v>
      </c>
      <c r="B3199" t="inlineStr">
        <is>
          <t>Claudio de Sousa Velasco Filho</t>
        </is>
      </c>
      <c r="C3199" s="1" t="inlineStr">
        <is>
          <t>Estágio</t>
        </is>
      </c>
      <c r="D3199" s="3" t="n">
        <v>0</v>
      </c>
      <c r="E3199" s="3" t="n">
        <v>0</v>
      </c>
      <c r="F3199" s="3" t="n">
        <v>0</v>
      </c>
      <c r="G3199" s="3" t="n">
        <v>0</v>
      </c>
      <c r="H3199" s="3" t="n">
        <v>0</v>
      </c>
      <c r="I3199" s="3" t="n">
        <v>0</v>
      </c>
      <c r="J3199" s="3" t="n">
        <v>0</v>
      </c>
      <c r="K3199" s="3" t="n">
        <v>0</v>
      </c>
      <c r="L3199" s="3">
        <f>IF(K3199&lt;-5,"CRÍTICO",IF(K3199&lt;0,"ATENÇÃO",IF(K3199&lt;=5,"OPORTUNO","MUITO BOM")))</f>
        <v/>
      </c>
      <c r="M3199" s="3" t="n">
        <v>0</v>
      </c>
      <c r="N3199" s="3" t="n">
        <v>100</v>
      </c>
      <c r="O3199" s="12" t="n">
        <v>30.43478260869566</v>
      </c>
    </row>
    <row r="3200">
      <c r="A3200" s="10" t="n">
        <v>46101</v>
      </c>
      <c r="B3200" t="inlineStr">
        <is>
          <t>Clessiane Pereira dos Santos</t>
        </is>
      </c>
      <c r="C3200" s="1" t="inlineStr">
        <is>
          <t>Técnico I</t>
        </is>
      </c>
      <c r="D3200" s="3" t="n">
        <v>25</v>
      </c>
      <c r="E3200" s="3" t="n">
        <v>23</v>
      </c>
      <c r="F3200" s="3" t="n">
        <v>20.24</v>
      </c>
      <c r="G3200" s="3" t="n">
        <v>0</v>
      </c>
      <c r="H3200" s="3" t="n">
        <v>0</v>
      </c>
      <c r="I3200" s="3">
        <f>E3200+G3200+H3200</f>
        <v/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/>
      </c>
      <c r="K3200" s="3">
        <f>I3200-J3200</f>
        <v/>
      </c>
      <c r="L3200" s="3">
        <f>IF(K3200&lt;-5,"CRÍTICO",IF(K3200&lt;0,"ATENÇÃO",IF(K3200&lt;=5,"OPORTUNO","MUITO BOM")))</f>
        <v/>
      </c>
      <c r="M3200" s="3" t="n">
        <v>20</v>
      </c>
      <c r="N3200" s="3" t="n">
        <v>96.51000000000001</v>
      </c>
      <c r="O3200" s="12" t="n">
        <v>22.80285035629454</v>
      </c>
    </row>
    <row r="3201">
      <c r="A3201" s="10" t="n">
        <v>46101</v>
      </c>
      <c r="B3201" t="inlineStr">
        <is>
          <t>Cristiane Ramos da Silva Rocha</t>
        </is>
      </c>
      <c r="C3201" s="1" t="inlineStr">
        <is>
          <t>Técnico III</t>
        </is>
      </c>
      <c r="D3201" s="3" t="n">
        <v>0</v>
      </c>
      <c r="E3201" s="3" t="n">
        <v>0</v>
      </c>
      <c r="F3201" s="3" t="n">
        <v>0</v>
      </c>
      <c r="G3201" s="3" t="n">
        <v>0</v>
      </c>
      <c r="H3201" s="3" t="n">
        <v>0</v>
      </c>
      <c r="I3201" s="3" t="n">
        <v>0</v>
      </c>
      <c r="J3201" s="3" t="n">
        <v>0</v>
      </c>
      <c r="K3201" s="3" t="n">
        <v>0</v>
      </c>
      <c r="L3201" s="3">
        <f>IF(K3201&lt;-5,"CRÍTICO",IF(K3201&lt;0,"ATENÇÃO",IF(K3201&lt;=5,"OPORTUNO","MUITO BOM")))</f>
        <v/>
      </c>
      <c r="M3201" s="3" t="n">
        <v>0</v>
      </c>
      <c r="N3201" s="3" t="n">
        <v>92.68000000000001</v>
      </c>
      <c r="O3201" s="12" t="n">
        <v>27.77777777777778</v>
      </c>
    </row>
    <row r="3202">
      <c r="A3202" s="10" t="n">
        <v>46101</v>
      </c>
      <c r="B3202" t="inlineStr">
        <is>
          <t>Damyllis Lorraine de Oliveira Gonçalves</t>
        </is>
      </c>
      <c r="C3202" s="1" t="inlineStr">
        <is>
          <t>Técnico II</t>
        </is>
      </c>
      <c r="D3202" s="3" t="n">
        <v>30</v>
      </c>
      <c r="E3202" s="3" t="n">
        <v>27</v>
      </c>
      <c r="F3202" s="3" t="n">
        <v>22.12</v>
      </c>
      <c r="G3202" s="3" t="n">
        <v>0</v>
      </c>
      <c r="H3202" s="3" t="n">
        <v>0</v>
      </c>
      <c r="I3202" s="3" t="n">
        <v>0</v>
      </c>
      <c r="J3202" s="3" t="n">
        <v>0</v>
      </c>
      <c r="K3202" s="3" t="n">
        <v>0</v>
      </c>
      <c r="L3202" s="3">
        <f>IF(K3202&lt;-5,"CRÍTICO",IF(K3202&lt;0,"ATENÇÃO",IF(K3202&lt;=5,"OPORTUNO","MUITO BOM")))</f>
        <v/>
      </c>
      <c r="M3202" s="3" t="n">
        <v>24</v>
      </c>
      <c r="N3202" s="3" t="n">
        <v>99.03</v>
      </c>
      <c r="O3202" s="12" t="n">
        <v>23.99150743099788</v>
      </c>
    </row>
    <row r="3203">
      <c r="A3203" s="10" t="n">
        <v>46101</v>
      </c>
      <c r="B3203" t="inlineStr">
        <is>
          <t>Daniel Gomes da Silva</t>
        </is>
      </c>
      <c r="C3203" s="1" t="inlineStr">
        <is>
          <t>Técnico I</t>
        </is>
      </c>
      <c r="D3203" s="3" t="n">
        <v>24</v>
      </c>
      <c r="E3203" s="3" t="n">
        <v>22</v>
      </c>
      <c r="F3203" s="3" t="n">
        <v>24.01</v>
      </c>
      <c r="G3203" s="3" t="n">
        <v>0</v>
      </c>
      <c r="H3203" s="3" t="n">
        <v>0</v>
      </c>
      <c r="I3203" s="3">
        <f>E3203+G3203+H3203</f>
        <v/>
      </c>
      <c r="J3203" s="3">
        <f>ROUND(MIN(IF(C3203="Técnico III",35,IF(C3203="Técnico II",28,IF(C3203="Técnico I",23,IF(C3203="JR",20,IF(C3203="Estágio",10,0))))),IF(C3203="Técnico III",SUMIFS($D:$D,$A:$A,$A3203,$B:$B,"&lt;&gt;Patrícia Karla de Sousa Araújo",$B:$B,"&lt;&gt;Lorena Dias de Araujo",$B:$B,"&lt;&gt;Lucas Luiz Romero")*(35/1083),IF(C3203="Técnico II",SUMIFS($D:$D,$A:$A,$A3203,$B:$B,"&lt;&gt;Patrícia Karla de Sousa Araújo",$B:$B,"&lt;&gt;Lorena Dias de Araujo",$B:$B,"&lt;&gt;Lucas Luiz Romero")*(28/1083),IF(C3203="Técnico I",SUMIFS($D:$D,$A:$A,$A3203,$B:$B,"&lt;&gt;Patrícia Karla de Sousa Araújo",$B:$B,"&lt;&gt;Lorena Dias de Araujo",$B:$B,"&lt;&gt;Lucas Luiz Romero")*(23/1083),IF(C3203="JR",SUMIFS($D:$D,$A:$A,$A3203,$B:$B,"&lt;&gt;Patrícia Karla de Sousa Araújo",$B:$B,"&lt;&gt;Lorena Dias de Araujo",$B:$B,"&lt;&gt;Lucas Luiz Romero")*(20/1083),IF(C3203="Estágio",SUMIFS($D:$D,$A:$A,$A3203,$B:$B,"&lt;&gt;Patrícia Karla de Sousa Araújo",$B:$B,"&lt;&gt;Lorena Dias de Araujo",$B:$B,"&lt;&gt;Lucas Luiz Romero")*(10/1083),0)))))),0)</f>
        <v/>
      </c>
      <c r="K3203" s="3">
        <f>I3203-J3203</f>
        <v/>
      </c>
      <c r="L3203" s="3">
        <f>IF(K3203&lt;-5,"CRÍTICO",IF(K3203&lt;0,"ATENÇÃO",IF(K3203&lt;=5,"OPORTUNO","MUITO BOM")))</f>
        <v/>
      </c>
      <c r="M3203" s="3" t="n">
        <v>12</v>
      </c>
      <c r="N3203" s="3" t="n">
        <v>98.41</v>
      </c>
      <c r="O3203" s="12" t="n">
        <v>28.13852813852814</v>
      </c>
    </row>
    <row r="3204">
      <c r="A3204" s="10" t="n">
        <v>46101</v>
      </c>
      <c r="B3204" t="inlineStr">
        <is>
          <t>Davylla Rodrigues Freitas Silva</t>
        </is>
      </c>
      <c r="C3204" s="1" t="inlineStr">
        <is>
          <t>Técnico III</t>
        </is>
      </c>
      <c r="D3204" s="3" t="n">
        <v>18</v>
      </c>
      <c r="E3204" s="3" t="n">
        <v>18</v>
      </c>
      <c r="F3204" s="3" t="n">
        <v>30.39</v>
      </c>
      <c r="G3204" s="3" t="n">
        <v>0</v>
      </c>
      <c r="H3204" s="3" t="n">
        <v>0</v>
      </c>
      <c r="I3204" s="3" t="n">
        <v>0</v>
      </c>
      <c r="J3204" s="3" t="n">
        <v>0</v>
      </c>
      <c r="K3204" s="3" t="n">
        <v>0</v>
      </c>
      <c r="L3204" s="3">
        <f>IF(K3204&lt;-5,"CRÍTICO",IF(K3204&lt;0,"ATENÇÃO",IF(K3204&lt;=5,"OPORTUNO","MUITO BOM")))</f>
        <v/>
      </c>
      <c r="M3204" s="3" t="n">
        <v>22</v>
      </c>
      <c r="N3204" s="3" t="n">
        <v>98.73</v>
      </c>
      <c r="O3204" s="12" t="n">
        <v>29.14285714285714</v>
      </c>
    </row>
    <row r="3205">
      <c r="A3205" s="10" t="n">
        <v>46101</v>
      </c>
      <c r="B3205" t="inlineStr">
        <is>
          <t>Emilly Caylane Costa</t>
        </is>
      </c>
      <c r="C3205" s="1" t="inlineStr">
        <is>
          <t>Estágio</t>
        </is>
      </c>
      <c r="D3205" s="3" t="n">
        <v>8</v>
      </c>
      <c r="E3205" s="3" t="n">
        <v>8</v>
      </c>
      <c r="F3205" s="3" t="n">
        <v>44.17</v>
      </c>
      <c r="G3205" s="3" t="n">
        <v>0</v>
      </c>
      <c r="H3205" s="3" t="n">
        <v>0</v>
      </c>
      <c r="I3205" s="3">
        <f>E3205+G3205+H3205</f>
        <v/>
      </c>
      <c r="J3205" s="3">
        <f>ROUND(MIN(IF(C3205="Técnico III",35,IF(C3205="Técnico II",28,IF(C3205="Técnico I",23,IF(C3205="JR",20,IF(C3205="Estágio",10,0))))),IF(C3205="Técnico III",SUMIFS($D:$D,$A:$A,$A3205,$B:$B,"&lt;&gt;Patrícia Karla de Sousa Araújo",$B:$B,"&lt;&gt;Lorena Dias de Araujo",$B:$B,"&lt;&gt;Lucas Luiz Romero")*(35/1083),IF(C3205="Técnico II",SUMIFS($D:$D,$A:$A,$A3205,$B:$B,"&lt;&gt;Patrícia Karla de Sousa Araújo",$B:$B,"&lt;&gt;Lorena Dias de Araujo",$B:$B,"&lt;&gt;Lucas Luiz Romero")*(28/1083),IF(C3205="Técnico I",SUMIFS($D:$D,$A:$A,$A3205,$B:$B,"&lt;&gt;Patrícia Karla de Sousa Araújo",$B:$B,"&lt;&gt;Lorena Dias de Araujo",$B:$B,"&lt;&gt;Lucas Luiz Romero")*(23/1083),IF(C3205="JR",SUMIFS($D:$D,$A:$A,$A3205,$B:$B,"&lt;&gt;Patrícia Karla de Sousa Araújo",$B:$B,"&lt;&gt;Lorena Dias de Araujo",$B:$B,"&lt;&gt;Lucas Luiz Romero")*(20/1083),IF(C3205="Estágio",SUMIFS($D:$D,$A:$A,$A3205,$B:$B,"&lt;&gt;Patrícia Karla de Sousa Araújo",$B:$B,"&lt;&gt;Lorena Dias de Araujo",$B:$B,"&lt;&gt;Lucas Luiz Romero")*(10/1083),0)))))),0)</f>
        <v/>
      </c>
      <c r="K3205" s="3">
        <f>I3205-J3205</f>
        <v/>
      </c>
      <c r="L3205" s="3">
        <f>IF(K3205&lt;-5,"CRÍTICO",IF(K3205&lt;0,"ATENÇÃO",IF(K3205&lt;=5,"OPORTUNO","MUITO BOM")))</f>
        <v/>
      </c>
      <c r="M3205" s="3" t="n">
        <v>7</v>
      </c>
      <c r="N3205" s="3" t="n">
        <v>90.48</v>
      </c>
      <c r="O3205" s="12" t="n">
        <v>20.68965517241379</v>
      </c>
    </row>
    <row r="3206">
      <c r="A3206" s="10" t="n">
        <v>46101</v>
      </c>
      <c r="B3206" t="inlineStr">
        <is>
          <t>Emilly Kamilly Medeiros Miranda</t>
        </is>
      </c>
      <c r="C3206" s="1" t="inlineStr">
        <is>
          <t>Técnico II</t>
        </is>
      </c>
      <c r="D3206" s="3" t="n">
        <v>17</v>
      </c>
      <c r="E3206" s="3" t="n">
        <v>15</v>
      </c>
      <c r="F3206" s="3" t="n">
        <v>25.32</v>
      </c>
      <c r="G3206" s="3" t="n">
        <v>0</v>
      </c>
      <c r="H3206" s="3" t="n">
        <v>0</v>
      </c>
      <c r="I3206" s="3">
        <f>E3206+G3206+H3206</f>
        <v/>
      </c>
      <c r="J3206" s="3">
        <f>ROUND(MIN(IF(C3206="Técnico III",35,IF(C3206="Técnico II",28,IF(C3206="Técnico I",23,IF(C3206="JR",20,IF(C3206="Estágio",10,0))))),IF(C3206="Técnico III",SUMIFS($D:$D,$A:$A,$A3206,$B:$B,"&lt;&gt;Patrícia Karla de Sousa Araújo",$B:$B,"&lt;&gt;Lorena Dias de Araujo",$B:$B,"&lt;&gt;Lucas Luiz Romero")*(35/1083),IF(C3206="Técnico II",SUMIFS($D:$D,$A:$A,$A3206,$B:$B,"&lt;&gt;Patrícia Karla de Sousa Araújo",$B:$B,"&lt;&gt;Lorena Dias de Araujo",$B:$B,"&lt;&gt;Lucas Luiz Romero")*(28/1083),IF(C3206="Técnico I",SUMIFS($D:$D,$A:$A,$A3206,$B:$B,"&lt;&gt;Patrícia Karla de Sousa Araújo",$B:$B,"&lt;&gt;Lorena Dias de Araujo",$B:$B,"&lt;&gt;Lucas Luiz Romero")*(23/1083),IF(C3206="JR",SUMIFS($D:$D,$A:$A,$A3206,$B:$B,"&lt;&gt;Patrícia Karla de Sousa Araújo",$B:$B,"&lt;&gt;Lorena Dias de Araujo",$B:$B,"&lt;&gt;Lucas Luiz Romero")*(20/1083),IF(C3206="Estágio",SUMIFS($D:$D,$A:$A,$A3206,$B:$B,"&lt;&gt;Patrícia Karla de Sousa Araújo",$B:$B,"&lt;&gt;Lorena Dias de Araujo",$B:$B,"&lt;&gt;Lucas Luiz Romero")*(10/1083),0)))))),0)</f>
        <v/>
      </c>
      <c r="K3206" s="3">
        <f>I3206-J3206</f>
        <v/>
      </c>
      <c r="L3206" s="3">
        <f>IF(K3206&lt;-5,"CRÍTICO",IF(K3206&lt;0,"ATENÇÃO",IF(K3206&lt;=5,"OPORTUNO","MUITO BOM")))</f>
        <v/>
      </c>
      <c r="M3206" s="3" t="n">
        <v>11</v>
      </c>
      <c r="N3206" s="3" t="n">
        <v>98.06</v>
      </c>
      <c r="O3206" s="12" t="n">
        <v>24.78991596638656</v>
      </c>
    </row>
    <row r="3207">
      <c r="A3207" s="10" t="n">
        <v>46101</v>
      </c>
      <c r="B3207" t="inlineStr">
        <is>
          <t>Francielson de Oliveira</t>
        </is>
      </c>
      <c r="C3207" s="1" t="inlineStr">
        <is>
          <t>Técnico III</t>
        </is>
      </c>
      <c r="D3207" s="3" t="n">
        <v>27</v>
      </c>
      <c r="E3207" s="3" t="n">
        <v>27</v>
      </c>
      <c r="F3207" s="3" t="n">
        <v>18.4</v>
      </c>
      <c r="G3207" s="3" t="n">
        <v>0</v>
      </c>
      <c r="H3207" s="3" t="n">
        <v>0</v>
      </c>
      <c r="I3207" s="3">
        <f>E3207+G3207+H3207</f>
        <v/>
      </c>
      <c r="J3207" s="3">
        <f>ROUND(MIN(IF(C3207="Técnico III",35,IF(C3207="Técnico II",28,IF(C3207="Técnico I",23,IF(C3207="JR",20,IF(C3207="Estágio",10,0))))),IF(C3207="Técnico III",SUMIFS($D:$D,$A:$A,$A3207,$B:$B,"&lt;&gt;Patrícia Karla de Sousa Araújo",$B:$B,"&lt;&gt;Lorena Dias de Araujo",$B:$B,"&lt;&gt;Lucas Luiz Romero")*(35/1083),IF(C3207="Técnico II",SUMIFS($D:$D,$A:$A,$A3207,$B:$B,"&lt;&gt;Patrícia Karla de Sousa Araújo",$B:$B,"&lt;&gt;Lorena Dias de Araujo",$B:$B,"&lt;&gt;Lucas Luiz Romero")*(28/1083),IF(C3207="Técnico I",SUMIFS($D:$D,$A:$A,$A3207,$B:$B,"&lt;&gt;Patrícia Karla de Sousa Araújo",$B:$B,"&lt;&gt;Lorena Dias de Araujo",$B:$B,"&lt;&gt;Lucas Luiz Romero")*(23/1083),IF(C3207="JR",SUMIFS($D:$D,$A:$A,$A3207,$B:$B,"&lt;&gt;Patrícia Karla de Sousa Araújo",$B:$B,"&lt;&gt;Lorena Dias de Araujo",$B:$B,"&lt;&gt;Lucas Luiz Romero")*(20/1083),IF(C3207="Estágio",SUMIFS($D:$D,$A:$A,$A3207,$B:$B,"&lt;&gt;Patrícia Karla de Sousa Araújo",$B:$B,"&lt;&gt;Lorena Dias de Araujo",$B:$B,"&lt;&gt;Lucas Luiz Romero")*(10/1083),0)))))),0)</f>
        <v/>
      </c>
      <c r="K3207" s="3">
        <f>I3207-J3207</f>
        <v/>
      </c>
      <c r="L3207" s="3">
        <f>IF(K3207&lt;-5,"CRÍTICO",IF(K3207&lt;0,"ATENÇÃO",IF(K3207&lt;=5,"OPORTUNO","MUITO BOM")))</f>
        <v/>
      </c>
      <c r="M3207" s="3" t="n">
        <v>28</v>
      </c>
      <c r="N3207" s="3" t="n">
        <v>97.78</v>
      </c>
      <c r="O3207" s="12" t="n">
        <v>25.49407114624506</v>
      </c>
    </row>
    <row r="3208">
      <c r="A3208" s="10" t="n">
        <v>46101</v>
      </c>
      <c r="B3208" t="inlineStr">
        <is>
          <t>Francilene Ferreira de Jesus</t>
        </is>
      </c>
      <c r="C3208" s="1" t="inlineStr">
        <is>
          <t>Técnico II</t>
        </is>
      </c>
      <c r="D3208" s="3" t="n">
        <v>12</v>
      </c>
      <c r="E3208" s="3" t="n">
        <v>10</v>
      </c>
      <c r="F3208" s="3" t="n">
        <v>35.19</v>
      </c>
      <c r="G3208" s="3" t="n">
        <v>0</v>
      </c>
      <c r="H3208" s="3" t="n">
        <v>0</v>
      </c>
      <c r="I3208" s="3">
        <f>E3208+G3208+H3208</f>
        <v/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/>
      </c>
      <c r="K3208" s="3">
        <f>I3208-J3208</f>
        <v/>
      </c>
      <c r="L3208" s="3">
        <f>IF(K3208&lt;-5,"CRÍTICO",IF(K3208&lt;0,"ATENÇÃO",IF(K3208&lt;=5,"OPORTUNO","MUITO BOM")))</f>
        <v/>
      </c>
      <c r="M3208" s="3" t="n">
        <v>10</v>
      </c>
      <c r="N3208" s="3" t="n">
        <v>98.02</v>
      </c>
      <c r="O3208" s="12" t="n">
        <v>23.48484848484848</v>
      </c>
    </row>
    <row r="3209">
      <c r="A3209" s="10" t="n">
        <v>46136</v>
      </c>
      <c r="B3209" t="inlineStr">
        <is>
          <t>Gabriel Gomes de Andrade</t>
        </is>
      </c>
      <c r="C3209" s="1" t="inlineStr">
        <is>
          <t>Técnico I</t>
        </is>
      </c>
      <c r="D3209" s="3" t="n">
        <v>16</v>
      </c>
      <c r="E3209" s="3" t="n">
        <v>15</v>
      </c>
      <c r="F3209" s="3" t="n">
        <v>24.14</v>
      </c>
      <c r="G3209" s="3" t="n">
        <v>0</v>
      </c>
      <c r="H3209" s="3" t="n">
        <v>0</v>
      </c>
      <c r="I3209" s="3">
        <f>E3209+G3209+H3209</f>
        <v/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/>
      </c>
      <c r="K3209" s="3">
        <f>I3209-J3209</f>
        <v/>
      </c>
      <c r="L3209" s="3">
        <f>IF(K3209&lt;-5,"CRÍTICO",IF(K3209&lt;0,"ATENÇÃO",IF(K3209&lt;=5,"OPORTUNO","MUITO BOM")))</f>
        <v/>
      </c>
      <c r="M3209" s="3" t="n">
        <v>21</v>
      </c>
      <c r="N3209" s="3" t="n">
        <v>99.28</v>
      </c>
      <c r="O3209" s="12" t="n">
        <v>27.68924302788844</v>
      </c>
    </row>
    <row r="3210">
      <c r="A3210" s="10" t="n">
        <v>46101</v>
      </c>
      <c r="B3210" t="inlineStr">
        <is>
          <t>Isabella Borges de Oliveira</t>
        </is>
      </c>
      <c r="C3210" s="1" t="inlineStr">
        <is>
          <t>Técnico II</t>
        </is>
      </c>
      <c r="D3210" s="3" t="n">
        <v>29</v>
      </c>
      <c r="E3210" s="3" t="n">
        <v>28</v>
      </c>
      <c r="F3210" s="3" t="n">
        <v>20.32</v>
      </c>
      <c r="G3210" s="3" t="n">
        <v>0</v>
      </c>
      <c r="H3210" s="3" t="n">
        <v>0</v>
      </c>
      <c r="I3210" s="3">
        <f>E3210+G3210+H3210</f>
        <v/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/>
      </c>
      <c r="K3210" s="3">
        <f>I3210-J3210</f>
        <v/>
      </c>
      <c r="L3210" s="3">
        <f>IF(K3210&lt;-5,"CRÍTICO",IF(K3210&lt;0,"ATENÇÃO",IF(K3210&lt;=5,"OPORTUNO","MUITO BOM")))</f>
        <v/>
      </c>
      <c r="M3210" s="3" t="n">
        <v>27</v>
      </c>
      <c r="N3210" s="3" t="n">
        <v>100</v>
      </c>
      <c r="O3210" s="12" t="n">
        <v>27.04918032786885</v>
      </c>
    </row>
    <row r="3211">
      <c r="A3211" s="10" t="n">
        <v>46101</v>
      </c>
      <c r="B3211" t="inlineStr">
        <is>
          <t>Janaina Lima dos Reis Urany</t>
        </is>
      </c>
      <c r="C3211" s="1" t="inlineStr">
        <is>
          <t>Técnico III</t>
        </is>
      </c>
      <c r="D3211" s="3" t="n">
        <v>39</v>
      </c>
      <c r="E3211" s="3" t="n">
        <v>38</v>
      </c>
      <c r="F3211" s="3" t="n">
        <v>16.5</v>
      </c>
      <c r="G3211" s="3" t="n">
        <v>0</v>
      </c>
      <c r="H3211" s="3" t="n">
        <v>0</v>
      </c>
      <c r="I3211" s="3">
        <f>E3211+G3211+H3211</f>
        <v/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/>
      </c>
      <c r="K3211" s="3">
        <f>I3211-J3211</f>
        <v/>
      </c>
      <c r="L3211" s="3">
        <f>IF(K3211&lt;-5,"CRÍTICO",IF(K3211&lt;0,"ATENÇÃO",IF(K3211&lt;=5,"OPORTUNO","MUITO BOM")))</f>
        <v/>
      </c>
      <c r="M3211" s="3" t="n">
        <v>33</v>
      </c>
      <c r="N3211" s="3" t="n">
        <v>97.83</v>
      </c>
      <c r="O3211" s="12" t="n">
        <v>26.31578947368421</v>
      </c>
    </row>
    <row r="3212">
      <c r="A3212" s="10" t="n">
        <v>46101</v>
      </c>
      <c r="B3212" t="inlineStr">
        <is>
          <t>Jaqueline Evangelista da Silva Martins</t>
        </is>
      </c>
      <c r="C3212" s="1" t="inlineStr">
        <is>
          <t>Técnico III</t>
        </is>
      </c>
      <c r="D3212" s="3" t="n">
        <v>3</v>
      </c>
      <c r="E3212" s="3" t="n">
        <v>3</v>
      </c>
      <c r="F3212" s="3" t="n">
        <v>4.02</v>
      </c>
      <c r="G3212" s="3" t="n">
        <v>0</v>
      </c>
      <c r="H3212" s="3" t="n">
        <v>0</v>
      </c>
      <c r="I3212" s="3">
        <f>E3212+G3212+H3212</f>
        <v/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/>
      </c>
      <c r="K3212" s="3">
        <f>I3212-J3212</f>
        <v/>
      </c>
      <c r="L3212" s="3">
        <f>IF(K3212&lt;-5,"CRÍTICO",IF(K3212&lt;0,"ATENÇÃO",IF(K3212&lt;=5,"OPORTUNO","MUITO BOM")))</f>
        <v/>
      </c>
      <c r="M3212" s="3" t="n">
        <v>9</v>
      </c>
      <c r="N3212" s="3" t="n">
        <v>100</v>
      </c>
      <c r="O3212" s="12" t="n">
        <v>26.70157068062827</v>
      </c>
    </row>
    <row r="3213">
      <c r="A3213" s="10" t="n">
        <v>46101</v>
      </c>
      <c r="B3213" t="inlineStr">
        <is>
          <t>Jessica Faria da Silveira</t>
        </is>
      </c>
      <c r="C3213" s="1" t="inlineStr">
        <is>
          <t>Técnico II</t>
        </is>
      </c>
      <c r="D3213" s="3" t="n">
        <v>0</v>
      </c>
      <c r="E3213" s="3" t="n">
        <v>0</v>
      </c>
      <c r="F3213" s="3" t="n">
        <v>0</v>
      </c>
      <c r="G3213" s="3" t="n">
        <v>0</v>
      </c>
      <c r="H3213" s="3" t="n">
        <v>0</v>
      </c>
      <c r="I3213" s="3" t="n">
        <v>0</v>
      </c>
      <c r="J3213" s="3" t="n">
        <v>0</v>
      </c>
      <c r="K3213" s="3" t="n">
        <v>0</v>
      </c>
      <c r="L3213" s="3">
        <f>IF(K3213&lt;-5,"CRÍTICO",IF(K3213&lt;0,"ATENÇÃO",IF(K3213&lt;=5,"OPORTUNO","MUITO BOM")))</f>
        <v/>
      </c>
      <c r="M3213" s="3" t="n">
        <v>0</v>
      </c>
      <c r="N3213" s="3" t="n">
        <v>97.47</v>
      </c>
      <c r="O3213" s="12" t="n">
        <v>22.88732394366197</v>
      </c>
    </row>
    <row r="3214">
      <c r="A3214" s="10" t="n">
        <v>46101</v>
      </c>
      <c r="B3214" t="inlineStr">
        <is>
          <t>Jéssica Fé Moura</t>
        </is>
      </c>
      <c r="C3214" s="1" t="inlineStr">
        <is>
          <t>Técnico III</t>
        </is>
      </c>
      <c r="D3214" s="3" t="n">
        <v>0</v>
      </c>
      <c r="E3214" s="3" t="n">
        <v>0</v>
      </c>
      <c r="F3214" s="3" t="n">
        <v>0</v>
      </c>
      <c r="G3214" s="3" t="n">
        <v>0</v>
      </c>
      <c r="H3214" s="3" t="n">
        <v>0</v>
      </c>
      <c r="I3214" s="3" t="n">
        <v>0</v>
      </c>
      <c r="J3214" s="3" t="n">
        <v>0</v>
      </c>
      <c r="K3214" s="3" t="n">
        <v>0</v>
      </c>
      <c r="L3214" s="3">
        <f>IF(K3214&lt;-5,"CRÍTICO",IF(K3214&lt;0,"ATENÇÃO",IF(K3214&lt;=5,"OPORTUNO","MUITO BOM")))</f>
        <v/>
      </c>
      <c r="M3214" s="3" t="n">
        <v>0</v>
      </c>
      <c r="N3214" s="3" t="n">
        <v>0</v>
      </c>
      <c r="O3214" s="12" t="n">
        <v>0</v>
      </c>
    </row>
    <row r="3215">
      <c r="A3215" s="10" t="n">
        <v>46101</v>
      </c>
      <c r="B3215" t="inlineStr">
        <is>
          <t>Karina Gonçalves Martins</t>
        </is>
      </c>
      <c r="C3215" s="1" t="inlineStr">
        <is>
          <t>JR</t>
        </is>
      </c>
      <c r="D3215" s="3" t="n">
        <v>23</v>
      </c>
      <c r="E3215" s="3" t="n">
        <v>22</v>
      </c>
      <c r="F3215" s="3" t="n">
        <v>26.4</v>
      </c>
      <c r="G3215" s="3" t="n">
        <v>0</v>
      </c>
      <c r="H3215" s="3" t="n">
        <v>0</v>
      </c>
      <c r="I3215" s="3">
        <f>E3215+G3215+H3215</f>
        <v/>
      </c>
      <c r="J3215" s="3">
        <f>ROUND(MIN(IF(C3215="Técnico III",35,IF(C3215="Técnico II",28,IF(C3215="Técnico I",23,IF(C3215="JR",20,IF(C3215="Estágio",10,0))))),IF(C3215="Técnico III",SUMIFS($D:$D,$A:$A,$A3215,$B:$B,"&lt;&gt;Patrícia Karla de Sousa Araújo",$B:$B,"&lt;&gt;Lorena Dias de Araujo",$B:$B,"&lt;&gt;Lucas Luiz Romero")*(35/1083),IF(C3215="Técnico II",SUMIFS($D:$D,$A:$A,$A3215,$B:$B,"&lt;&gt;Patrícia Karla de Sousa Araújo",$B:$B,"&lt;&gt;Lorena Dias de Araujo",$B:$B,"&lt;&gt;Lucas Luiz Romero")*(28/1083),IF(C3215="Técnico I",SUMIFS($D:$D,$A:$A,$A3215,$B:$B,"&lt;&gt;Patrícia Karla de Sousa Araújo",$B:$B,"&lt;&gt;Lorena Dias de Araujo",$B:$B,"&lt;&gt;Lucas Luiz Romero")*(23/1083),IF(C3215="JR",SUMIFS($D:$D,$A:$A,$A3215,$B:$B,"&lt;&gt;Patrícia Karla de Sousa Araújo",$B:$B,"&lt;&gt;Lorena Dias de Araujo",$B:$B,"&lt;&gt;Lucas Luiz Romero")*(20/1083),IF(C3215="Estágio",SUMIFS($D:$D,$A:$A,$A3215,$B:$B,"&lt;&gt;Patrícia Karla de Sousa Araújo",$B:$B,"&lt;&gt;Lorena Dias de Araujo",$B:$B,"&lt;&gt;Lucas Luiz Romero")*(10/1083),0)))))),0)</f>
        <v/>
      </c>
      <c r="K3215" s="3">
        <f>I3215-J3215</f>
        <v/>
      </c>
      <c r="L3215" s="3">
        <f>IF(K3215&lt;-5,"CRÍTICO",IF(K3215&lt;0,"ATENÇÃO",IF(K3215&lt;=5,"OPORTUNO","MUITO BOM")))</f>
        <v/>
      </c>
      <c r="M3215" s="3" t="n">
        <v>23</v>
      </c>
      <c r="N3215" s="3" t="n">
        <v>98.31</v>
      </c>
      <c r="O3215" s="12" t="n">
        <v>24.92012779552715</v>
      </c>
    </row>
    <row r="3216">
      <c r="A3216" s="10" t="n">
        <v>46101</v>
      </c>
      <c r="B3216" t="inlineStr">
        <is>
          <t>Kerollen Cristielly de Jesus Siqueira</t>
        </is>
      </c>
      <c r="C3216" s="1" t="inlineStr">
        <is>
          <t>Técnico III</t>
        </is>
      </c>
      <c r="D3216" s="3" t="n">
        <v>5</v>
      </c>
      <c r="E3216" s="3" t="n">
        <v>5</v>
      </c>
      <c r="F3216" s="3" t="n">
        <v>44.14</v>
      </c>
      <c r="G3216" s="3" t="n">
        <v>0</v>
      </c>
      <c r="H3216" s="3" t="n">
        <v>0</v>
      </c>
      <c r="I3216" s="3">
        <f>E3216+G3216+H3216</f>
        <v/>
      </c>
      <c r="J3216" s="3">
        <f>ROUND(MIN(IF(C3216="Técnico III",35,IF(C3216="Técnico II",28,IF(C3216="Técnico I",23,IF(C3216="JR",20,IF(C3216="Estágio",10,0))))),IF(C3216="Técnico III",SUMIFS($D:$D,$A:$A,$A3216,$B:$B,"&lt;&gt;Patrícia Karla de Sousa Araújo",$B:$B,"&lt;&gt;Lorena Dias de Araujo",$B:$B,"&lt;&gt;Lucas Luiz Romero")*(35/1083),IF(C3216="Técnico II",SUMIFS($D:$D,$A:$A,$A3216,$B:$B,"&lt;&gt;Patrícia Karla de Sousa Araújo",$B:$B,"&lt;&gt;Lorena Dias de Araujo",$B:$B,"&lt;&gt;Lucas Luiz Romero")*(28/1083),IF(C3216="Técnico I",SUMIFS($D:$D,$A:$A,$A3216,$B:$B,"&lt;&gt;Patrícia Karla de Sousa Araújo",$B:$B,"&lt;&gt;Lorena Dias de Araujo",$B:$B,"&lt;&gt;Lucas Luiz Romero")*(23/1083),IF(C3216="JR",SUMIFS($D:$D,$A:$A,$A3216,$B:$B,"&lt;&gt;Patrícia Karla de Sousa Araújo",$B:$B,"&lt;&gt;Lorena Dias de Araujo",$B:$B,"&lt;&gt;Lucas Luiz Romero")*(20/1083),IF(C3216="Estágio",SUMIFS($D:$D,$A:$A,$A3216,$B:$B,"&lt;&gt;Patrícia Karla de Sousa Araújo",$B:$B,"&lt;&gt;Lorena Dias de Araujo",$B:$B,"&lt;&gt;Lucas Luiz Romero")*(10/1083),0)))))),0)</f>
        <v/>
      </c>
      <c r="K3216" s="3">
        <f>I3216-J3216</f>
        <v/>
      </c>
      <c r="L3216" s="3">
        <f>IF(K3216&lt;-5,"CRÍTICO",IF(K3216&lt;0,"ATENÇÃO",IF(K3216&lt;=5,"OPORTUNO","MUITO BOM")))</f>
        <v/>
      </c>
      <c r="M3216" s="3" t="n">
        <v>5</v>
      </c>
      <c r="N3216" s="3" t="n">
        <v>96.81</v>
      </c>
      <c r="O3216" s="12" t="n">
        <v>32.36514522821577</v>
      </c>
    </row>
    <row r="3217">
      <c r="A3217" s="10" t="n">
        <v>46101</v>
      </c>
      <c r="B3217" t="inlineStr">
        <is>
          <t>Leandro de Souza Silva</t>
        </is>
      </c>
      <c r="C3217" s="1" t="inlineStr">
        <is>
          <t>JR</t>
        </is>
      </c>
      <c r="D3217" s="3" t="n">
        <v>15</v>
      </c>
      <c r="E3217" s="3" t="n">
        <v>12</v>
      </c>
      <c r="F3217" s="3" t="n">
        <v>32.02</v>
      </c>
      <c r="G3217" s="3" t="n">
        <v>0</v>
      </c>
      <c r="H3217" s="3" t="n">
        <v>0</v>
      </c>
      <c r="I3217" s="3">
        <f>E3217+G3217+H3217</f>
        <v/>
      </c>
      <c r="J3217" s="3">
        <f>ROUND(MIN(IF(C3217="Técnico III",35,IF(C3217="Técnico II",28,IF(C3217="Técnico I",23,IF(C3217="JR",20,IF(C3217="Estágio",10,0))))),IF(C3217="Técnico III",SUMIFS($D:$D,$A:$A,$A3217,$B:$B,"&lt;&gt;Patrícia Karla de Sousa Araújo",$B:$B,"&lt;&gt;Lorena Dias de Araujo",$B:$B,"&lt;&gt;Lucas Luiz Romero")*(35/1083),IF(C3217="Técnico II",SUMIFS($D:$D,$A:$A,$A3217,$B:$B,"&lt;&gt;Patrícia Karla de Sousa Araújo",$B:$B,"&lt;&gt;Lorena Dias de Araujo",$B:$B,"&lt;&gt;Lucas Luiz Romero")*(28/1083),IF(C3217="Técnico I",SUMIFS($D:$D,$A:$A,$A3217,$B:$B,"&lt;&gt;Patrícia Karla de Sousa Araújo",$B:$B,"&lt;&gt;Lorena Dias de Araujo",$B:$B,"&lt;&gt;Lucas Luiz Romero")*(23/1083),IF(C3217="JR",SUMIFS($D:$D,$A:$A,$A3217,$B:$B,"&lt;&gt;Patrícia Karla de Sousa Araújo",$B:$B,"&lt;&gt;Lorena Dias de Araujo",$B:$B,"&lt;&gt;Lucas Luiz Romero")*(20/1083),IF(C3217="Estágio",SUMIFS($D:$D,$A:$A,$A3217,$B:$B,"&lt;&gt;Patrícia Karla de Sousa Araújo",$B:$B,"&lt;&gt;Lorena Dias de Araujo",$B:$B,"&lt;&gt;Lucas Luiz Romero")*(10/1083),0)))))),0)</f>
        <v/>
      </c>
      <c r="K3217" s="3">
        <f>I3217-J3217</f>
        <v/>
      </c>
      <c r="L3217" s="3">
        <f>IF(K3217&lt;-5,"CRÍTICO",IF(K3217&lt;0,"ATENÇÃO",IF(K3217&lt;=5,"OPORTUNO","MUITO BOM")))</f>
        <v/>
      </c>
      <c r="M3217" s="3" t="n">
        <v>6</v>
      </c>
      <c r="N3217" s="3" t="n">
        <v>100</v>
      </c>
      <c r="O3217" s="12" t="n">
        <v>26.47058823529412</v>
      </c>
    </row>
    <row r="3218">
      <c r="A3218" s="10" t="n">
        <v>46101</v>
      </c>
      <c r="B3218" t="inlineStr">
        <is>
          <t>Leandro Oliveira de Sousa</t>
        </is>
      </c>
      <c r="C3218" s="1" t="inlineStr">
        <is>
          <t>Técnico III</t>
        </is>
      </c>
      <c r="D3218" s="3" t="n">
        <v>21</v>
      </c>
      <c r="E3218" s="3" t="n">
        <v>19</v>
      </c>
      <c r="F3218" s="3" t="n">
        <v>30.07</v>
      </c>
      <c r="G3218" s="3" t="n">
        <v>0</v>
      </c>
      <c r="H3218" s="3" t="n">
        <v>0</v>
      </c>
      <c r="I3218" s="3">
        <f>E3218+G3218+H3218</f>
        <v/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/>
      </c>
      <c r="K3218" s="3">
        <f>I3218-J3218</f>
        <v/>
      </c>
      <c r="L3218" s="3">
        <f>IF(K3218&lt;-5,"CRÍTICO",IF(K3218&lt;0,"ATENÇÃO",IF(K3218&lt;=5,"OPORTUNO","MUITO BOM")))</f>
        <v/>
      </c>
      <c r="M3218" s="3" t="n">
        <v>22</v>
      </c>
      <c r="N3218" s="3" t="n">
        <v>100</v>
      </c>
      <c r="O3218" s="12" t="n">
        <v>28.49002849002849</v>
      </c>
    </row>
    <row r="3219">
      <c r="A3219" s="10" t="n">
        <v>46101</v>
      </c>
      <c r="B3219" t="inlineStr">
        <is>
          <t>Lizandra Gomes Duarte</t>
        </is>
      </c>
      <c r="C3219" s="1" t="inlineStr">
        <is>
          <t>Técnico II</t>
        </is>
      </c>
      <c r="D3219" s="3" t="n">
        <v>26</v>
      </c>
      <c r="E3219" s="3" t="n">
        <v>23</v>
      </c>
      <c r="F3219" s="3" t="n">
        <v>24.09</v>
      </c>
      <c r="G3219" s="3" t="n">
        <v>0</v>
      </c>
      <c r="H3219" s="3" t="n">
        <v>0</v>
      </c>
      <c r="I3219" s="3">
        <f>E3219+G3219+H3219</f>
        <v/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/>
      </c>
      <c r="K3219" s="3">
        <f>I3219-J3219</f>
        <v/>
      </c>
      <c r="L3219" s="3">
        <f>IF(K3219&lt;-5,"CRÍTICO",IF(K3219&lt;0,"ATENÇÃO",IF(K3219&lt;=5,"OPORTUNO","MUITO BOM")))</f>
        <v/>
      </c>
      <c r="M3219" s="3" t="n">
        <v>22</v>
      </c>
      <c r="N3219" s="3" t="n">
        <v>99.14</v>
      </c>
      <c r="O3219" s="12" t="n">
        <v>27.2289156626506</v>
      </c>
    </row>
    <row r="3220">
      <c r="A3220" s="10" t="n">
        <v>46101</v>
      </c>
      <c r="B3220" t="inlineStr">
        <is>
          <t>Lorena Dias de Araujo</t>
        </is>
      </c>
      <c r="C3220" s="1" t="inlineStr">
        <is>
          <t>Técnico II</t>
        </is>
      </c>
      <c r="D3220" s="3" t="n">
        <v>32</v>
      </c>
      <c r="E3220" s="3" t="n">
        <v>29</v>
      </c>
      <c r="F3220" s="3" t="n">
        <v>15.52</v>
      </c>
      <c r="G3220" s="3" t="n">
        <v>0</v>
      </c>
      <c r="H3220" s="3" t="n">
        <v>0</v>
      </c>
      <c r="I3220" s="3" t="n">
        <v>0</v>
      </c>
      <c r="J3220" s="3" t="n">
        <v>0</v>
      </c>
      <c r="K3220" s="3" t="n">
        <v>0</v>
      </c>
      <c r="L3220" s="3">
        <f>IF(K3220&lt;-5,"CRÍTICO",IF(K3220&lt;0,"ATENÇÃO",IF(K3220&lt;=5,"OPORTUNO","MUITO BOM")))</f>
        <v/>
      </c>
      <c r="M3220" s="3" t="n">
        <v>26</v>
      </c>
      <c r="N3220" s="3" t="n">
        <v>97.52</v>
      </c>
      <c r="O3220" s="12" t="n">
        <v>28.2051282051282</v>
      </c>
    </row>
    <row r="3221">
      <c r="A3221" s="10" t="n">
        <v>46101</v>
      </c>
      <c r="B3221" t="inlineStr">
        <is>
          <t>Lucas Luiz Romero</t>
        </is>
      </c>
      <c r="C3221" s="1" t="inlineStr">
        <is>
          <t>Técnico III</t>
        </is>
      </c>
      <c r="D3221" s="3" t="n">
        <v>0</v>
      </c>
      <c r="E3221" s="3" t="n">
        <v>0</v>
      </c>
      <c r="F3221" s="3" t="n">
        <v>0</v>
      </c>
      <c r="G3221" s="3" t="n">
        <v>0</v>
      </c>
      <c r="H3221" s="3" t="n">
        <v>0</v>
      </c>
      <c r="I3221" s="3" t="n">
        <v>0</v>
      </c>
      <c r="J3221" s="3" t="n">
        <v>0</v>
      </c>
      <c r="K3221" s="3" t="n">
        <v>0</v>
      </c>
      <c r="L3221" s="3">
        <f>IF(K3221&lt;-5,"CRÍTICO",IF(K3221&lt;0,"ATENÇÃO",IF(K3221&lt;=5,"OPORTUNO","MUITO BOM")))</f>
        <v/>
      </c>
      <c r="M3221" s="3" t="n">
        <v>0</v>
      </c>
      <c r="N3221" s="3" t="n">
        <v>90</v>
      </c>
      <c r="O3221" s="12" t="n">
        <v>24.18604651162791</v>
      </c>
    </row>
    <row r="3222">
      <c r="A3222" s="10" t="n">
        <v>46101</v>
      </c>
      <c r="B3222" t="inlineStr">
        <is>
          <t>Luiz Fernando de Carvalho Junior</t>
        </is>
      </c>
      <c r="C3222" s="1" t="inlineStr">
        <is>
          <t>Técnico I</t>
        </is>
      </c>
      <c r="D3222" s="3" t="n">
        <v>27</v>
      </c>
      <c r="E3222" s="3" t="n">
        <v>25</v>
      </c>
      <c r="F3222" s="3" t="n">
        <v>22.33</v>
      </c>
      <c r="G3222" s="3" t="n">
        <v>0</v>
      </c>
      <c r="H3222" s="3" t="n">
        <v>0</v>
      </c>
      <c r="I3222" s="3">
        <f>E3222+G3222+H3222</f>
        <v/>
      </c>
      <c r="J3222" s="3">
        <f>ROUND(MIN(IF(C3222="Técnico III",35,IF(C3222="Técnico II",28,IF(C3222="Técnico I",23,IF(C3222="JR",20,IF(C3222="Estágio",10,0))))),IF(C3222="Técnico III",SUMIFS($D:$D,$A:$A,$A3222,$B:$B,"&lt;&gt;Patrícia Karla de Sousa Araújo",$B:$B,"&lt;&gt;Lorena Dias de Araujo",$B:$B,"&lt;&gt;Lucas Luiz Romero")*(35/1083),IF(C3222="Técnico II",SUMIFS($D:$D,$A:$A,$A3222,$B:$B,"&lt;&gt;Patrícia Karla de Sousa Araújo",$B:$B,"&lt;&gt;Lorena Dias de Araujo",$B:$B,"&lt;&gt;Lucas Luiz Romero")*(28/1083),IF(C3222="Técnico I",SUMIFS($D:$D,$A:$A,$A3222,$B:$B,"&lt;&gt;Patrícia Karla de Sousa Araújo",$B:$B,"&lt;&gt;Lorena Dias de Araujo",$B:$B,"&lt;&gt;Lucas Luiz Romero")*(23/1083),IF(C3222="JR",SUMIFS($D:$D,$A:$A,$A3222,$B:$B,"&lt;&gt;Patrícia Karla de Sousa Araújo",$B:$B,"&lt;&gt;Lorena Dias de Araujo",$B:$B,"&lt;&gt;Lucas Luiz Romero")*(20/1083),IF(C3222="Estágio",SUMIFS($D:$D,$A:$A,$A3222,$B:$B,"&lt;&gt;Patrícia Karla de Sousa Araújo",$B:$B,"&lt;&gt;Lorena Dias de Araujo",$B:$B,"&lt;&gt;Lucas Luiz Romero")*(10/1083),0)))))),0)</f>
        <v/>
      </c>
      <c r="K3222" s="3">
        <f>I3222-J3222</f>
        <v/>
      </c>
      <c r="L3222" s="3">
        <f>IF(K3222&lt;-5,"CRÍTICO",IF(K3222&lt;0,"ATENÇÃO",IF(K3222&lt;=5,"OPORTUNO","MUITO BOM")))</f>
        <v/>
      </c>
      <c r="M3222" s="3" t="n">
        <v>23</v>
      </c>
      <c r="N3222" s="3" t="n">
        <v>98.90000000000001</v>
      </c>
      <c r="O3222" s="12" t="n">
        <v>26.7639902676399</v>
      </c>
    </row>
    <row r="3223">
      <c r="A3223" s="10" t="n">
        <v>46101</v>
      </c>
      <c r="B3223" t="inlineStr">
        <is>
          <t>Maria Eduarda Sousa Costa</t>
        </is>
      </c>
      <c r="C3223" s="1" t="inlineStr">
        <is>
          <t>Estágio</t>
        </is>
      </c>
      <c r="D3223" s="3" t="n">
        <v>9</v>
      </c>
      <c r="E3223" s="3" t="n">
        <v>7</v>
      </c>
      <c r="F3223" s="3" t="n">
        <v>38.37</v>
      </c>
      <c r="G3223" s="3" t="n">
        <v>0</v>
      </c>
      <c r="H3223" s="3" t="n">
        <v>0</v>
      </c>
      <c r="I3223" s="3">
        <f>E3223+G3223+H3223</f>
        <v/>
      </c>
      <c r="J3223" s="3">
        <f>ROUND(MIN(IF(C3223="Técnico III",35,IF(C3223="Técnico II",28,IF(C3223="Técnico I",23,IF(C3223="JR",20,IF(C3223="Estágio",10,0))))),IF(C3223="Técnico III",SUMIFS($D:$D,$A:$A,$A3223,$B:$B,"&lt;&gt;Patrícia Karla de Sousa Araújo",$B:$B,"&lt;&gt;Lorena Dias de Araujo",$B:$B,"&lt;&gt;Lucas Luiz Romero")*(35/1083),IF(C3223="Técnico II",SUMIFS($D:$D,$A:$A,$A3223,$B:$B,"&lt;&gt;Patrícia Karla de Sousa Araújo",$B:$B,"&lt;&gt;Lorena Dias de Araujo",$B:$B,"&lt;&gt;Lucas Luiz Romero")*(28/1083),IF(C3223="Técnico I",SUMIFS($D:$D,$A:$A,$A3223,$B:$B,"&lt;&gt;Patrícia Karla de Sousa Araújo",$B:$B,"&lt;&gt;Lorena Dias de Araujo",$B:$B,"&lt;&gt;Lucas Luiz Romero")*(23/1083),IF(C3223="JR",SUMIFS($D:$D,$A:$A,$A3223,$B:$B,"&lt;&gt;Patrícia Karla de Sousa Araújo",$B:$B,"&lt;&gt;Lorena Dias de Araujo",$B:$B,"&lt;&gt;Lucas Luiz Romero")*(20/1083),IF(C3223="Estágio",SUMIFS($D:$D,$A:$A,$A3223,$B:$B,"&lt;&gt;Patrícia Karla de Sousa Araújo",$B:$B,"&lt;&gt;Lorena Dias de Araujo",$B:$B,"&lt;&gt;Lucas Luiz Romero")*(10/1083),0)))))),0)</f>
        <v/>
      </c>
      <c r="K3223" s="3">
        <f>I3223-J3223</f>
        <v/>
      </c>
      <c r="L3223" s="3">
        <f>IF(K3223&lt;-5,"CRÍTICO",IF(K3223&lt;0,"ATENÇÃO",IF(K3223&lt;=5,"OPORTUNO","MUITO BOM")))</f>
        <v/>
      </c>
      <c r="M3223" s="3" t="n">
        <v>7</v>
      </c>
      <c r="N3223" s="3" t="n">
        <v>88.89</v>
      </c>
      <c r="O3223" s="12" t="n">
        <v>25.26315789473684</v>
      </c>
    </row>
    <row r="3224">
      <c r="A3224" s="10" t="n">
        <v>46121</v>
      </c>
      <c r="B3224" t="inlineStr">
        <is>
          <t>Matheus Farias De Souza</t>
        </is>
      </c>
      <c r="C3224" s="1" t="inlineStr">
        <is>
          <t>Técnico III</t>
        </is>
      </c>
      <c r="D3224" s="3" t="n">
        <v>27</v>
      </c>
      <c r="E3224" s="3" t="n">
        <v>27</v>
      </c>
      <c r="F3224" s="3" t="n">
        <v>17.13</v>
      </c>
      <c r="G3224" s="3" t="n">
        <v>0</v>
      </c>
      <c r="H3224" s="3" t="n">
        <v>0</v>
      </c>
      <c r="I3224" s="3">
        <f>E3224+G3224+H3224</f>
        <v/>
      </c>
      <c r="J3224" s="3">
        <f>ROUND(MIN(IF(C3224="Técnico III",35,IF(C3224="Técnico II",28,IF(C3224="Técnico I",23,IF(C3224="JR",20,IF(C3224="Estágio",10,0))))),IF(C3224="Técnico III",SUMIFS($D:$D,$A:$A,$A3224,$B:$B,"&lt;&gt;Patrícia Karla de Sousa Araújo",$B:$B,"&lt;&gt;Lorena Dias de Araujo",$B:$B,"&lt;&gt;Lucas Luiz Romero")*(35/1083),IF(C3224="Técnico II",SUMIFS($D:$D,$A:$A,$A3224,$B:$B,"&lt;&gt;Patrícia Karla de Sousa Araújo",$B:$B,"&lt;&gt;Lorena Dias de Araujo",$B:$B,"&lt;&gt;Lucas Luiz Romero")*(28/1083),IF(C3224="Técnico I",SUMIFS($D:$D,$A:$A,$A3224,$B:$B,"&lt;&gt;Patrícia Karla de Sousa Araújo",$B:$B,"&lt;&gt;Lorena Dias de Araujo",$B:$B,"&lt;&gt;Lucas Luiz Romero")*(23/1083),IF(C3224="JR",SUMIFS($D:$D,$A:$A,$A3224,$B:$B,"&lt;&gt;Patrícia Karla de Sousa Araújo",$B:$B,"&lt;&gt;Lorena Dias de Araujo",$B:$B,"&lt;&gt;Lucas Luiz Romero")*(20/1083),IF(C3224="Estágio",SUMIFS($D:$D,$A:$A,$A3224,$B:$B,"&lt;&gt;Patrícia Karla de Sousa Araújo",$B:$B,"&lt;&gt;Lorena Dias de Araujo",$B:$B,"&lt;&gt;Lucas Luiz Romero")*(10/1083),0)))))),0)</f>
        <v/>
      </c>
      <c r="K3224" s="3">
        <f>I3224-J3224</f>
        <v/>
      </c>
      <c r="L3224" s="3">
        <f>IF(K3224&lt;-5,"CRÍTICO",IF(K3224&lt;0,"ATENÇÃO",IF(K3224&lt;=5,"OPORTUNO","MUITO BOM")))</f>
        <v/>
      </c>
      <c r="M3224" s="3" t="n">
        <v>28</v>
      </c>
      <c r="N3224" s="3" t="n">
        <v>100</v>
      </c>
      <c r="O3224" s="12" t="n">
        <v>23.9870340356564</v>
      </c>
    </row>
    <row r="3225">
      <c r="A3225" s="10" t="n">
        <v>46101</v>
      </c>
      <c r="B3225" t="inlineStr">
        <is>
          <t>Maysa Victoria Dias Moura</t>
        </is>
      </c>
      <c r="C3225" s="1" t="inlineStr">
        <is>
          <t>Técnico III</t>
        </is>
      </c>
      <c r="D3225" s="3" t="n">
        <v>0</v>
      </c>
      <c r="E3225" s="3" t="n">
        <v>0</v>
      </c>
      <c r="F3225" s="3" t="n">
        <v>0</v>
      </c>
      <c r="G3225" s="3" t="n">
        <v>0</v>
      </c>
      <c r="H3225" s="3" t="n">
        <v>0</v>
      </c>
      <c r="I3225" s="3" t="n">
        <v>0</v>
      </c>
      <c r="J3225" s="3" t="n">
        <v>0</v>
      </c>
      <c r="K3225" s="3" t="n">
        <v>0</v>
      </c>
      <c r="L3225" s="3">
        <f>IF(K3225&lt;-5,"CRÍTICO",IF(K3225&lt;0,"ATENÇÃO",IF(K3225&lt;=5,"OPORTUNO","MUITO BOM")))</f>
        <v/>
      </c>
      <c r="M3225" s="3" t="n">
        <v>0</v>
      </c>
      <c r="N3225" s="3" t="n">
        <v>98.06</v>
      </c>
      <c r="O3225" s="12" t="n">
        <v>22.40566037735849</v>
      </c>
    </row>
    <row r="3226">
      <c r="A3226" s="10" t="n">
        <v>46129</v>
      </c>
      <c r="B3226" t="inlineStr">
        <is>
          <t>Michelle G Santos</t>
        </is>
      </c>
      <c r="C3226" s="1" t="inlineStr">
        <is>
          <t>Estágio</t>
        </is>
      </c>
      <c r="D3226" s="3" t="n">
        <v>13</v>
      </c>
      <c r="E3226" s="3" t="n">
        <v>12</v>
      </c>
      <c r="F3226" s="3" t="n">
        <v>25.3</v>
      </c>
      <c r="G3226" s="3" t="n">
        <v>0</v>
      </c>
      <c r="H3226" s="3" t="n">
        <v>0</v>
      </c>
      <c r="I3226" s="3">
        <f>E3226+G3226+H3226</f>
        <v/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/>
      </c>
      <c r="K3226" s="3">
        <f>I3226-J3226</f>
        <v/>
      </c>
      <c r="L3226" s="3">
        <f>IF(K3226&lt;-5,"CRÍTICO",IF(K3226&lt;0,"ATENÇÃO",IF(K3226&lt;=5,"OPORTUNO","MUITO BOM")))</f>
        <v/>
      </c>
      <c r="M3226" s="3" t="n">
        <v>5</v>
      </c>
      <c r="N3226" s="3" t="n">
        <v>100</v>
      </c>
      <c r="O3226" s="12" t="n">
        <v>23.77622377622378</v>
      </c>
    </row>
    <row r="3227">
      <c r="A3227" s="10" t="n">
        <v>46101</v>
      </c>
      <c r="B3227" t="inlineStr">
        <is>
          <t>Milena Sales</t>
        </is>
      </c>
      <c r="C3227" s="1" t="inlineStr">
        <is>
          <t>JR</t>
        </is>
      </c>
      <c r="D3227" s="3" t="n">
        <v>0</v>
      </c>
      <c r="E3227" s="3" t="n">
        <v>0</v>
      </c>
      <c r="F3227" s="3" t="n">
        <v>0</v>
      </c>
      <c r="G3227" s="3" t="n">
        <v>0</v>
      </c>
      <c r="H3227" s="3" t="n">
        <v>0</v>
      </c>
      <c r="I3227" s="3" t="n">
        <v>0</v>
      </c>
      <c r="J3227" s="3" t="n">
        <v>0</v>
      </c>
      <c r="K3227" s="3" t="n">
        <v>0</v>
      </c>
      <c r="L3227" s="3">
        <f>IF(K3227&lt;-5,"CRÍTICO",IF(K3227&lt;0,"ATENÇÃO",IF(K3227&lt;=5,"OPORTUNO","MUITO BOM")))</f>
        <v/>
      </c>
      <c r="M3227" s="3" t="n">
        <v>0</v>
      </c>
      <c r="N3227" s="3" t="n">
        <v>100</v>
      </c>
      <c r="O3227" s="12" t="n">
        <v>15.38461538461539</v>
      </c>
    </row>
    <row r="3228">
      <c r="A3228" s="10" t="n">
        <v>46101</v>
      </c>
      <c r="B3228" t="inlineStr">
        <is>
          <t>Patrícia Karla de Sousa Araújo</t>
        </is>
      </c>
      <c r="C3228" s="1" t="inlineStr">
        <is>
          <t>Técnico II</t>
        </is>
      </c>
      <c r="D3228" s="3" t="n">
        <v>36</v>
      </c>
      <c r="E3228" s="3" t="n">
        <v>34</v>
      </c>
      <c r="F3228" s="3" t="n">
        <v>17.15</v>
      </c>
      <c r="G3228" s="3" t="n">
        <v>0</v>
      </c>
      <c r="H3228" s="3" t="n">
        <v>0</v>
      </c>
      <c r="I3228" s="3">
        <f>E3228+G3228+H3228</f>
        <v/>
      </c>
      <c r="J3228" s="3">
        <f>ROUND(MIN(IF(C3228="Técnico III",35,IF(C3228="Técnico II",28,IF(C3228="Técnico I",23,IF(C3228="JR",20,IF(C3228="Estágio",10,0))))),IF(C3228="Técnico III",SUMIFS($D:$D,$A:$A,$A3228,$B:$B,"&lt;&gt;Patrícia Karla de Sousa Araújo",$B:$B,"&lt;&gt;Lorena Dias de Araujo",$B:$B,"&lt;&gt;Lucas Luiz Romero")*(35/1083),IF(C3228="Técnico II",SUMIFS($D:$D,$A:$A,$A3228,$B:$B,"&lt;&gt;Patrícia Karla de Sousa Araújo",$B:$B,"&lt;&gt;Lorena Dias de Araujo",$B:$B,"&lt;&gt;Lucas Luiz Romero")*(28/1083),IF(C3228="Técnico I",SUMIFS($D:$D,$A:$A,$A3228,$B:$B,"&lt;&gt;Patrícia Karla de Sousa Araújo",$B:$B,"&lt;&gt;Lorena Dias de Araujo",$B:$B,"&lt;&gt;Lucas Luiz Romero")*(23/1083),IF(C3228="JR",SUMIFS($D:$D,$A:$A,$A3228,$B:$B,"&lt;&gt;Patrícia Karla de Sousa Araújo",$B:$B,"&lt;&gt;Lorena Dias de Araujo",$B:$B,"&lt;&gt;Lucas Luiz Romero")*(20/1083),IF(C3228="Estágio",SUMIFS($D:$D,$A:$A,$A3228,$B:$B,"&lt;&gt;Patrícia Karla de Sousa Araújo",$B:$B,"&lt;&gt;Lorena Dias de Araujo",$B:$B,"&lt;&gt;Lucas Luiz Romero")*(10/1083),0)))))),0)</f>
        <v/>
      </c>
      <c r="K3228" s="3">
        <f>I3228-J3228</f>
        <v/>
      </c>
      <c r="L3228" s="3">
        <f>IF(K3228&lt;-5,"CRÍTICO",IF(K3228&lt;0,"ATENÇÃO",IF(K3228&lt;=5,"OPORTUNO","MUITO BOM")))</f>
        <v/>
      </c>
      <c r="M3228" s="3" t="n">
        <v>27</v>
      </c>
      <c r="N3228" s="3" t="n">
        <v>100</v>
      </c>
      <c r="O3228" s="12" t="n">
        <v>27.51479289940828</v>
      </c>
    </row>
    <row r="3229">
      <c r="A3229" s="10" t="n">
        <v>46101</v>
      </c>
      <c r="B3229" t="inlineStr">
        <is>
          <t>Paulo Ricardo Santos</t>
        </is>
      </c>
      <c r="C3229" s="1" t="inlineStr">
        <is>
          <t>JR</t>
        </is>
      </c>
      <c r="D3229" s="3" t="n">
        <v>14</v>
      </c>
      <c r="E3229" s="3" t="n">
        <v>13</v>
      </c>
      <c r="F3229" s="3" t="n">
        <v>38.42</v>
      </c>
      <c r="G3229" s="3" t="n">
        <v>0</v>
      </c>
      <c r="H3229" s="3" t="n">
        <v>0</v>
      </c>
      <c r="I3229" s="3">
        <f>E3229+G3229+H3229</f>
        <v/>
      </c>
      <c r="J3229" s="3">
        <f>ROUND(MIN(IF(C3229="Técnico III",35,IF(C3229="Técnico II",28,IF(C3229="Técnico I",23,IF(C3229="JR",20,IF(C3229="Estágio",10,0))))),IF(C3229="Técnico III",SUMIFS($D:$D,$A:$A,$A3229,$B:$B,"&lt;&gt;Patrícia Karla de Sousa Araújo",$B:$B,"&lt;&gt;Lorena Dias de Araujo",$B:$B,"&lt;&gt;Lucas Luiz Romero")*(35/1083),IF(C3229="Técnico II",SUMIFS($D:$D,$A:$A,$A3229,$B:$B,"&lt;&gt;Patrícia Karla de Sousa Araújo",$B:$B,"&lt;&gt;Lorena Dias de Araujo",$B:$B,"&lt;&gt;Lucas Luiz Romero")*(28/1083),IF(C3229="Técnico I",SUMIFS($D:$D,$A:$A,$A3229,$B:$B,"&lt;&gt;Patrícia Karla de Sousa Araújo",$B:$B,"&lt;&gt;Lorena Dias de Araujo",$B:$B,"&lt;&gt;Lucas Luiz Romero")*(23/1083),IF(C3229="JR",SUMIFS($D:$D,$A:$A,$A3229,$B:$B,"&lt;&gt;Patrícia Karla de Sousa Araújo",$B:$B,"&lt;&gt;Lorena Dias de Araujo",$B:$B,"&lt;&gt;Lucas Luiz Romero")*(20/1083),IF(C3229="Estágio",SUMIFS($D:$D,$A:$A,$A3229,$B:$B,"&lt;&gt;Patrícia Karla de Sousa Araújo",$B:$B,"&lt;&gt;Lorena Dias de Araujo",$B:$B,"&lt;&gt;Lucas Luiz Romero")*(10/1083),0)))))),0)</f>
        <v/>
      </c>
      <c r="K3229" s="3">
        <f>I3229-J3229</f>
        <v/>
      </c>
      <c r="L3229" s="3">
        <f>IF(K3229&lt;-5,"CRÍTICO",IF(K3229&lt;0,"ATENÇÃO",IF(K3229&lt;=5,"OPORTUNO","MUITO BOM")))</f>
        <v/>
      </c>
      <c r="M3229" s="3" t="n">
        <v>12</v>
      </c>
      <c r="N3229" s="3" t="n">
        <v>100</v>
      </c>
      <c r="O3229" s="12" t="n">
        <v>24.87562189054727</v>
      </c>
    </row>
    <row r="3230">
      <c r="A3230" s="10" t="n">
        <v>46101</v>
      </c>
      <c r="B3230" t="inlineStr">
        <is>
          <t>Pedro Luiz Mota Sousa</t>
        </is>
      </c>
      <c r="C3230" s="1" t="inlineStr">
        <is>
          <t>JR</t>
        </is>
      </c>
      <c r="D3230" s="3" t="n">
        <v>16</v>
      </c>
      <c r="E3230" s="3" t="n">
        <v>16</v>
      </c>
      <c r="F3230" s="3" t="n">
        <v>33.32</v>
      </c>
      <c r="G3230" s="3" t="n">
        <v>0</v>
      </c>
      <c r="H3230" s="3" t="n">
        <v>0</v>
      </c>
      <c r="I3230" s="3">
        <f>E3230+G3230+H3230</f>
        <v/>
      </c>
      <c r="J3230" s="3">
        <f>ROUND(MIN(IF(C3230="Técnico III",35,IF(C3230="Técnico II",28,IF(C3230="Técnico I",23,IF(C3230="JR",20,IF(C3230="Estágio",10,0))))),IF(C3230="Técnico III",SUMIFS($D:$D,$A:$A,$A3230,$B:$B,"&lt;&gt;Patrícia Karla de Sousa Araújo",$B:$B,"&lt;&gt;Lorena Dias de Araujo",$B:$B,"&lt;&gt;Lucas Luiz Romero")*(35/1083),IF(C3230="Técnico II",SUMIFS($D:$D,$A:$A,$A3230,$B:$B,"&lt;&gt;Patrícia Karla de Sousa Araújo",$B:$B,"&lt;&gt;Lorena Dias de Araujo",$B:$B,"&lt;&gt;Lucas Luiz Romero")*(28/1083),IF(C3230="Técnico I",SUMIFS($D:$D,$A:$A,$A3230,$B:$B,"&lt;&gt;Patrícia Karla de Sousa Araújo",$B:$B,"&lt;&gt;Lorena Dias de Araujo",$B:$B,"&lt;&gt;Lucas Luiz Romero")*(23/1083),IF(C3230="JR",SUMIFS($D:$D,$A:$A,$A3230,$B:$B,"&lt;&gt;Patrícia Karla de Sousa Araújo",$B:$B,"&lt;&gt;Lorena Dias de Araujo",$B:$B,"&lt;&gt;Lucas Luiz Romero")*(20/1083),IF(C3230="Estágio",SUMIFS($D:$D,$A:$A,$A3230,$B:$B,"&lt;&gt;Patrícia Karla de Sousa Araújo",$B:$B,"&lt;&gt;Lorena Dias de Araujo",$B:$B,"&lt;&gt;Lucas Luiz Romero")*(10/1083),0)))))),0)</f>
        <v/>
      </c>
      <c r="K3230" s="3">
        <f>I3230-J3230</f>
        <v/>
      </c>
      <c r="L3230" s="3">
        <f>IF(K3230&lt;-5,"CRÍTICO",IF(K3230&lt;0,"ATENÇÃO",IF(K3230&lt;=5,"OPORTUNO","MUITO BOM")))</f>
        <v/>
      </c>
      <c r="M3230" s="3" t="n">
        <v>9</v>
      </c>
      <c r="N3230" s="3" t="n">
        <v>100</v>
      </c>
      <c r="O3230" s="12" t="n">
        <v>28.10810810810811</v>
      </c>
    </row>
    <row r="3231">
      <c r="A3231" s="10" t="n">
        <v>46129</v>
      </c>
      <c r="B3231" t="inlineStr">
        <is>
          <t>Quirino Diogo Leite Torres</t>
        </is>
      </c>
      <c r="C3231" s="1" t="inlineStr">
        <is>
          <t>Estágio</t>
        </is>
      </c>
      <c r="D3231" s="3" t="n">
        <v>16</v>
      </c>
      <c r="E3231" s="3" t="n">
        <v>14</v>
      </c>
      <c r="F3231" s="3" t="n">
        <v>30.56</v>
      </c>
      <c r="G3231" s="3" t="n">
        <v>0</v>
      </c>
      <c r="H3231" s="3" t="n">
        <v>0</v>
      </c>
      <c r="I3231" s="3">
        <f>E3231+G3231+H3231</f>
        <v/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/>
      </c>
      <c r="K3231" s="3">
        <f>I3231-J3231</f>
        <v/>
      </c>
      <c r="L3231" s="3">
        <f>IF(K3231&lt;-5,"CRÍTICO",IF(K3231&lt;0,"ATENÇÃO",IF(K3231&lt;=5,"OPORTUNO","MUITO BOM")))</f>
        <v/>
      </c>
      <c r="M3231" s="3" t="n">
        <v>10</v>
      </c>
      <c r="N3231" s="3" t="n">
        <v>94.12</v>
      </c>
      <c r="O3231" s="12" t="n">
        <v>32.8</v>
      </c>
    </row>
    <row r="3232">
      <c r="A3232" s="10" t="n">
        <v>46101</v>
      </c>
      <c r="B3232" t="inlineStr">
        <is>
          <t>Raane Batista Matos</t>
        </is>
      </c>
      <c r="C3232" s="1" t="inlineStr">
        <is>
          <t>Técnico I</t>
        </is>
      </c>
      <c r="D3232" s="3" t="n">
        <v>21</v>
      </c>
      <c r="E3232" s="3" t="n">
        <v>20</v>
      </c>
      <c r="F3232" s="3" t="n">
        <v>29.14</v>
      </c>
      <c r="G3232" s="3" t="n">
        <v>0</v>
      </c>
      <c r="H3232" s="3" t="n">
        <v>0</v>
      </c>
      <c r="I3232" s="3">
        <f>E3232+G3232+H3232</f>
        <v/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/>
      </c>
      <c r="K3232" s="3">
        <f>I3232-J3232</f>
        <v/>
      </c>
      <c r="L3232" s="3">
        <f>IF(K3232&lt;-5,"CRÍTICO",IF(K3232&lt;0,"ATENÇÃO",IF(K3232&lt;=5,"OPORTUNO","MUITO BOM")))</f>
        <v/>
      </c>
      <c r="M3232" s="3" t="n">
        <v>12</v>
      </c>
      <c r="N3232" s="3" t="n">
        <v>95.34999999999999</v>
      </c>
      <c r="O3232" s="12" t="n">
        <v>28.61538461538461</v>
      </c>
    </row>
    <row r="3233">
      <c r="A3233" s="10" t="n">
        <v>46101</v>
      </c>
      <c r="B3233" t="inlineStr">
        <is>
          <t>Rafael Gomes de Morais</t>
        </is>
      </c>
      <c r="C3233" s="1" t="inlineStr">
        <is>
          <t>Técnico III</t>
        </is>
      </c>
      <c r="D3233" s="3" t="n">
        <v>34</v>
      </c>
      <c r="E3233" s="3" t="n">
        <v>34</v>
      </c>
      <c r="F3233" s="3" t="n">
        <v>15.17</v>
      </c>
      <c r="G3233" s="3" t="n">
        <v>0</v>
      </c>
      <c r="H3233" s="3" t="n">
        <v>0</v>
      </c>
      <c r="I3233" s="3">
        <f>E3233+G3233+H3233</f>
        <v/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/>
      </c>
      <c r="K3233" s="3">
        <f>I3233-J3233</f>
        <v/>
      </c>
      <c r="L3233" s="3">
        <f>IF(K3233&lt;-5,"CRÍTICO",IF(K3233&lt;0,"ATENÇÃO",IF(K3233&lt;=5,"OPORTUNO","MUITO BOM")))</f>
        <v/>
      </c>
      <c r="M3233" s="3" t="n">
        <v>32</v>
      </c>
      <c r="N3233" s="3" t="n">
        <v>98.26000000000001</v>
      </c>
      <c r="O3233" s="12" t="n">
        <v>27.54491017964072</v>
      </c>
    </row>
    <row r="3234">
      <c r="A3234" s="10" t="n">
        <v>46101</v>
      </c>
      <c r="B3234" t="inlineStr">
        <is>
          <t>Sara Maria Monteiro Lopes</t>
        </is>
      </c>
      <c r="C3234" s="1" t="inlineStr">
        <is>
          <t>Técnico I</t>
        </is>
      </c>
      <c r="D3234" s="3" t="n">
        <v>19</v>
      </c>
      <c r="E3234" s="3" t="n">
        <v>18</v>
      </c>
      <c r="F3234" s="3" t="n">
        <v>24.03</v>
      </c>
      <c r="G3234" s="3" t="n">
        <v>0</v>
      </c>
      <c r="H3234" s="3" t="n">
        <v>0</v>
      </c>
      <c r="I3234" s="3">
        <f>E3234+G3234+H3234</f>
        <v/>
      </c>
      <c r="J3234" s="3">
        <f>ROUND(MIN(IF(C3234="Técnico III",35,IF(C3234="Técnico II",28,IF(C3234="Técnico I",23,IF(C3234="JR",20,IF(C3234="Estágio",10,0))))),IF(C3234="Técnico III",SUMIFS($D:$D,$A:$A,$A3234,$B:$B,"&lt;&gt;Patrícia Karla de Sousa Araújo",$B:$B,"&lt;&gt;Lorena Dias de Araujo",$B:$B,"&lt;&gt;Lucas Luiz Romero")*(35/1083),IF(C3234="Técnico II",SUMIFS($D:$D,$A:$A,$A3234,$B:$B,"&lt;&gt;Patrícia Karla de Sousa Araújo",$B:$B,"&lt;&gt;Lorena Dias de Araujo",$B:$B,"&lt;&gt;Lucas Luiz Romero")*(28/1083),IF(C3234="Técnico I",SUMIFS($D:$D,$A:$A,$A3234,$B:$B,"&lt;&gt;Patrícia Karla de Sousa Araújo",$B:$B,"&lt;&gt;Lorena Dias de Araujo",$B:$B,"&lt;&gt;Lucas Luiz Romero")*(23/1083),IF(C3234="JR",SUMIFS($D:$D,$A:$A,$A3234,$B:$B,"&lt;&gt;Patrícia Karla de Sousa Araújo",$B:$B,"&lt;&gt;Lorena Dias de Araujo",$B:$B,"&lt;&gt;Lucas Luiz Romero")*(20/1083),IF(C3234="Estágio",SUMIFS($D:$D,$A:$A,$A3234,$B:$B,"&lt;&gt;Patrícia Karla de Sousa Araújo",$B:$B,"&lt;&gt;Lorena Dias de Araujo",$B:$B,"&lt;&gt;Lucas Luiz Romero")*(10/1083),0)))))),0)</f>
        <v/>
      </c>
      <c r="K3234" s="3">
        <f>I3234-J3234</f>
        <v/>
      </c>
      <c r="L3234" s="3">
        <f>IF(K3234&lt;-5,"CRÍTICO",IF(K3234&lt;0,"ATENÇÃO",IF(K3234&lt;=5,"OPORTUNO","MUITO BOM")))</f>
        <v/>
      </c>
      <c r="M3234" s="3" t="n">
        <v>16</v>
      </c>
      <c r="N3234" s="3" t="n">
        <v>98.55</v>
      </c>
      <c r="O3234" s="12" t="n">
        <v>25.33783783783784</v>
      </c>
    </row>
    <row r="3235">
      <c r="A3235" s="10" t="n">
        <v>46101</v>
      </c>
      <c r="B3235" t="inlineStr">
        <is>
          <t>Sarah Steffanie de Lima Borges</t>
        </is>
      </c>
      <c r="C3235" s="1" t="inlineStr">
        <is>
          <t>Técnico III</t>
        </is>
      </c>
      <c r="D3235" s="3" t="n">
        <v>33</v>
      </c>
      <c r="E3235" s="3" t="n">
        <v>32</v>
      </c>
      <c r="F3235" s="3" t="n">
        <v>19.05</v>
      </c>
      <c r="G3235" s="3" t="n">
        <v>0</v>
      </c>
      <c r="H3235" s="3" t="n">
        <v>0</v>
      </c>
      <c r="I3235" s="3">
        <f>E3235+G3235+H3235</f>
        <v/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/>
      </c>
      <c r="K3235" s="3">
        <f>I3235-J3235</f>
        <v/>
      </c>
      <c r="L3235" s="3">
        <f>IF(K3235&lt;-5,"CRÍTICO",IF(K3235&lt;0,"ATENÇÃO",IF(K3235&lt;=5,"OPORTUNO","MUITO BOM")))</f>
        <v/>
      </c>
      <c r="M3235" s="3" t="n">
        <v>26</v>
      </c>
      <c r="N3235" s="3" t="n">
        <v>98.39</v>
      </c>
      <c r="O3235" s="12" t="n">
        <v>25.56390977443609</v>
      </c>
    </row>
    <row r="3236">
      <c r="A3236" s="10" t="n">
        <v>46104</v>
      </c>
      <c r="B3236" t="inlineStr">
        <is>
          <t>Alisson de Freitas Silva</t>
        </is>
      </c>
      <c r="C3236" s="1" t="inlineStr">
        <is>
          <t>Técnico II</t>
        </is>
      </c>
      <c r="D3236" s="3" t="n">
        <v>28</v>
      </c>
      <c r="E3236" s="3" t="n">
        <v>25</v>
      </c>
      <c r="F3236" s="3" t="n">
        <v>13.45</v>
      </c>
      <c r="G3236" s="3" t="n">
        <v>0</v>
      </c>
      <c r="H3236" s="3" t="n">
        <v>0</v>
      </c>
      <c r="I3236" s="3">
        <f>E3236+G3236+H3236</f>
        <v/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/>
      </c>
      <c r="K3236" s="3">
        <f>I3236-J3236</f>
        <v/>
      </c>
      <c r="L3236" s="3">
        <f>IF(K3236&lt;-5,"CRÍTICO",IF(K3236&lt;0,"ATENÇÃO",IF(K3236&lt;=5,"OPORTUNO","MUITO BOM")))</f>
        <v/>
      </c>
      <c r="M3236" s="3" t="n">
        <v>17</v>
      </c>
      <c r="N3236" s="3" t="n">
        <v>94.29000000000001</v>
      </c>
      <c r="O3236" s="12" t="n">
        <v>25.64766839378239</v>
      </c>
    </row>
    <row r="3237">
      <c r="A3237" s="10" t="n">
        <v>46104</v>
      </c>
      <c r="B3237" t="inlineStr">
        <is>
          <t>Amanda Moura Ferreira</t>
        </is>
      </c>
      <c r="C3237" s="1" t="inlineStr">
        <is>
          <t>Técnico III</t>
        </is>
      </c>
      <c r="D3237" s="3" t="n">
        <v>0</v>
      </c>
      <c r="E3237" s="3" t="n">
        <v>0</v>
      </c>
      <c r="F3237" s="3" t="n">
        <v>0</v>
      </c>
      <c r="G3237" s="3" t="n">
        <v>0</v>
      </c>
      <c r="H3237" s="3" t="n">
        <v>0</v>
      </c>
      <c r="I3237" s="3" t="n">
        <v>0</v>
      </c>
      <c r="J3237" s="3" t="n">
        <v>0</v>
      </c>
      <c r="K3237" s="3" t="n">
        <v>0</v>
      </c>
      <c r="L3237" s="3">
        <f>IF(K3237&lt;-5,"CRÍTICO",IF(K3237&lt;0,"ATENÇÃO",IF(K3237&lt;=5,"OPORTUNO","MUITO BOM")))</f>
        <v/>
      </c>
      <c r="M3237" s="3" t="n">
        <v>20</v>
      </c>
      <c r="N3237" s="3" t="n">
        <v>98.26000000000001</v>
      </c>
      <c r="O3237" s="12" t="n">
        <v>26.66666666666667</v>
      </c>
    </row>
    <row r="3238">
      <c r="A3238" s="10" t="n">
        <v>46104</v>
      </c>
      <c r="B3238" t="inlineStr">
        <is>
          <t>Ana Karollyne Souza Faria</t>
        </is>
      </c>
      <c r="C3238" s="1" t="inlineStr">
        <is>
          <t>Técnico I</t>
        </is>
      </c>
      <c r="D3238" s="3" t="n">
        <v>24</v>
      </c>
      <c r="E3238" s="3" t="n">
        <v>22</v>
      </c>
      <c r="F3238" s="3" t="n">
        <v>23.59</v>
      </c>
      <c r="G3238" s="3" t="n">
        <v>0</v>
      </c>
      <c r="H3238" s="3" t="n">
        <v>0</v>
      </c>
      <c r="I3238" s="3">
        <f>E3238+G3238+H3238</f>
        <v/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/>
      </c>
      <c r="K3238" s="3">
        <f>I3238-J3238</f>
        <v/>
      </c>
      <c r="L3238" s="3">
        <f>IF(K3238&lt;-5,"CRÍTICO",IF(K3238&lt;0,"ATENÇÃO",IF(K3238&lt;=5,"OPORTUNO","MUITO BOM")))</f>
        <v/>
      </c>
      <c r="M3238" s="3" t="n">
        <v>20</v>
      </c>
      <c r="N3238" s="3" t="n">
        <v>98.2</v>
      </c>
      <c r="O3238" s="12" t="n">
        <v>23.37962962962963</v>
      </c>
    </row>
    <row r="3239">
      <c r="A3239" s="10" t="n">
        <v>46104</v>
      </c>
      <c r="B3239" t="inlineStr">
        <is>
          <t>Ana Paula Da Luz Silva Aleixo</t>
        </is>
      </c>
      <c r="C3239" s="1" t="inlineStr">
        <is>
          <t>Técnico III</t>
        </is>
      </c>
      <c r="D3239" s="3" t="n">
        <v>21</v>
      </c>
      <c r="E3239" s="3" t="n">
        <v>18</v>
      </c>
      <c r="F3239" s="3" t="n">
        <v>18.25</v>
      </c>
      <c r="G3239" s="3" t="n">
        <v>0</v>
      </c>
      <c r="H3239" s="3" t="n">
        <v>0</v>
      </c>
      <c r="I3239" s="3">
        <f>E3239+G3239+H3239</f>
        <v/>
      </c>
      <c r="J3239" s="3">
        <f>ROUND(MIN(IF(C3239="Técnico III",35,IF(C3239="Técnico II",28,IF(C3239="Técnico I",23,IF(C3239="JR",20,IF(C3239="Estágio",10,0))))),IF(C3239="Técnico III",SUMIFS($D:$D,$A:$A,$A3239,$B:$B,"&lt;&gt;Patrícia Karla de Sousa Araújo",$B:$B,"&lt;&gt;Lorena Dias de Araujo",$B:$B,"&lt;&gt;Lucas Luiz Romero")*(35/1083),IF(C3239="Técnico II",SUMIFS($D:$D,$A:$A,$A3239,$B:$B,"&lt;&gt;Patrícia Karla de Sousa Araújo",$B:$B,"&lt;&gt;Lorena Dias de Araujo",$B:$B,"&lt;&gt;Lucas Luiz Romero")*(28/1083),IF(C3239="Técnico I",SUMIFS($D:$D,$A:$A,$A3239,$B:$B,"&lt;&gt;Patrícia Karla de Sousa Araújo",$B:$B,"&lt;&gt;Lorena Dias de Araujo",$B:$B,"&lt;&gt;Lucas Luiz Romero")*(23/1083),IF(C3239="JR",SUMIFS($D:$D,$A:$A,$A3239,$B:$B,"&lt;&gt;Patrícia Karla de Sousa Araújo",$B:$B,"&lt;&gt;Lorena Dias de Araujo",$B:$B,"&lt;&gt;Lucas Luiz Romero")*(20/1083),IF(C3239="Estágio",SUMIFS($D:$D,$A:$A,$A3239,$B:$B,"&lt;&gt;Patrícia Karla de Sousa Araújo",$B:$B,"&lt;&gt;Lorena Dias de Araujo",$B:$B,"&lt;&gt;Lucas Luiz Romero")*(10/1083),0)))))),0)</f>
        <v/>
      </c>
      <c r="K3239" s="3">
        <f>I3239-J3239</f>
        <v/>
      </c>
      <c r="L3239" s="3">
        <f>IF(K3239&lt;-5,"CRÍTICO",IF(K3239&lt;0,"ATENÇÃO",IF(K3239&lt;=5,"OPORTUNO","MUITO BOM")))</f>
        <v/>
      </c>
      <c r="M3239" s="3" t="n">
        <v>19</v>
      </c>
      <c r="N3239" s="3" t="n">
        <v>97.3</v>
      </c>
      <c r="O3239" s="12" t="n">
        <v>23.84769539078156</v>
      </c>
    </row>
    <row r="3240">
      <c r="A3240" s="10" t="n">
        <v>46104</v>
      </c>
      <c r="B3240" t="inlineStr">
        <is>
          <t>Anna Luiza Rezende Tavares</t>
        </is>
      </c>
      <c r="C3240" s="1" t="inlineStr">
        <is>
          <t>Estágio</t>
        </is>
      </c>
      <c r="D3240" s="3" t="n">
        <v>12</v>
      </c>
      <c r="E3240" s="3" t="n">
        <v>10</v>
      </c>
      <c r="F3240" s="3" t="n">
        <v>33.47</v>
      </c>
      <c r="G3240" s="3" t="n">
        <v>0</v>
      </c>
      <c r="H3240" s="3" t="n">
        <v>0</v>
      </c>
      <c r="I3240" s="3">
        <f>E3240+G3240+H3240</f>
        <v/>
      </c>
      <c r="J3240" s="3">
        <f>ROUND(MIN(IF(C3240="Técnico III",35,IF(C3240="Técnico II",28,IF(C3240="Técnico I",23,IF(C3240="JR",20,IF(C3240="Estágio",10,0))))),IF(C3240="Técnico III",SUMIFS($D:$D,$A:$A,$A3240,$B:$B,"&lt;&gt;Patrícia Karla de Sousa Araújo",$B:$B,"&lt;&gt;Lorena Dias de Araujo",$B:$B,"&lt;&gt;Lucas Luiz Romero")*(35/1083),IF(C3240="Técnico II",SUMIFS($D:$D,$A:$A,$A3240,$B:$B,"&lt;&gt;Patrícia Karla de Sousa Araújo",$B:$B,"&lt;&gt;Lorena Dias de Araujo",$B:$B,"&lt;&gt;Lucas Luiz Romero")*(28/1083),IF(C3240="Técnico I",SUMIFS($D:$D,$A:$A,$A3240,$B:$B,"&lt;&gt;Patrícia Karla de Sousa Araújo",$B:$B,"&lt;&gt;Lorena Dias de Araujo",$B:$B,"&lt;&gt;Lucas Luiz Romero")*(23/1083),IF(C3240="JR",SUMIFS($D:$D,$A:$A,$A3240,$B:$B,"&lt;&gt;Patrícia Karla de Sousa Araújo",$B:$B,"&lt;&gt;Lorena Dias de Araujo",$B:$B,"&lt;&gt;Lucas Luiz Romero")*(20/1083),IF(C3240="Estágio",SUMIFS($D:$D,$A:$A,$A3240,$B:$B,"&lt;&gt;Patrícia Karla de Sousa Araújo",$B:$B,"&lt;&gt;Lorena Dias de Araujo",$B:$B,"&lt;&gt;Lucas Luiz Romero")*(10/1083),0)))))),0)</f>
        <v/>
      </c>
      <c r="K3240" s="3">
        <f>I3240-J3240</f>
        <v/>
      </c>
      <c r="L3240" s="3">
        <f>IF(K3240&lt;-5,"CRÍTICO",IF(K3240&lt;0,"ATENÇÃO",IF(K3240&lt;=5,"OPORTUNO","MUITO BOM")))</f>
        <v/>
      </c>
      <c r="M3240" s="3" t="n">
        <v>10</v>
      </c>
      <c r="N3240" s="3" t="n">
        <v>100</v>
      </c>
      <c r="O3240" s="12" t="n">
        <v>25.26881720430108</v>
      </c>
    </row>
    <row r="3241">
      <c r="A3241" s="10" t="n">
        <v>46104</v>
      </c>
      <c r="B3241" t="inlineStr">
        <is>
          <t>Brenda de Menezes Silva</t>
        </is>
      </c>
      <c r="C3241" s="1" t="inlineStr">
        <is>
          <t>Técnico II</t>
        </is>
      </c>
      <c r="D3241" s="3" t="n">
        <v>24</v>
      </c>
      <c r="E3241" s="3" t="n">
        <v>21</v>
      </c>
      <c r="F3241" s="3" t="n">
        <v>12.05</v>
      </c>
      <c r="G3241" s="3" t="n">
        <v>0</v>
      </c>
      <c r="H3241" s="3" t="n">
        <v>0</v>
      </c>
      <c r="I3241" s="3">
        <f>E3241+G3241+H3241</f>
        <v/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/>
      </c>
      <c r="K3241" s="3">
        <f>I3241-J3241</f>
        <v/>
      </c>
      <c r="L3241" s="3">
        <f>IF(K3241&lt;-5,"CRÍTICO",IF(K3241&lt;0,"ATENÇÃO",IF(K3241&lt;=5,"OPORTUNO","MUITO BOM")))</f>
        <v/>
      </c>
      <c r="M3241" s="3" t="n">
        <v>22</v>
      </c>
      <c r="N3241" s="3" t="n">
        <v>99.31999999999999</v>
      </c>
      <c r="O3241" s="12" t="n">
        <v>22.82282282282282</v>
      </c>
    </row>
    <row r="3242">
      <c r="A3242" s="10" t="n">
        <v>46104</v>
      </c>
      <c r="B3242" t="inlineStr">
        <is>
          <t>Carlos Mateus Cassimiro Nunes</t>
        </is>
      </c>
      <c r="C3242" s="1" t="inlineStr">
        <is>
          <t>Técnico II</t>
        </is>
      </c>
      <c r="D3242" s="3" t="n">
        <v>18</v>
      </c>
      <c r="E3242" s="3" t="n">
        <v>17</v>
      </c>
      <c r="F3242" s="3" t="n">
        <v>25.42</v>
      </c>
      <c r="G3242" s="3" t="n">
        <v>0</v>
      </c>
      <c r="H3242" s="3" t="n">
        <v>0</v>
      </c>
      <c r="I3242" s="3">
        <f>E3242+G3242+H3242</f>
        <v/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/>
      </c>
      <c r="K3242" s="3">
        <f>I3242-J3242</f>
        <v/>
      </c>
      <c r="L3242" s="3">
        <f>IF(K3242&lt;-5,"CRÍTICO",IF(K3242&lt;0,"ATENÇÃO",IF(K3242&lt;=5,"OPORTUNO","MUITO BOM")))</f>
        <v/>
      </c>
      <c r="M3242" s="3" t="n">
        <v>14</v>
      </c>
      <c r="N3242" s="3" t="n">
        <v>100</v>
      </c>
      <c r="O3242" s="12" t="n">
        <v>27.96610169491525</v>
      </c>
    </row>
    <row r="3243">
      <c r="A3243" s="10" t="n">
        <v>46104</v>
      </c>
      <c r="B3243" t="inlineStr">
        <is>
          <t>Claudio de Sousa Velasco Filho</t>
        </is>
      </c>
      <c r="C3243" s="1" t="inlineStr">
        <is>
          <t>Estágio</t>
        </is>
      </c>
      <c r="D3243" s="3" t="n">
        <v>0</v>
      </c>
      <c r="E3243" s="3" t="n">
        <v>0</v>
      </c>
      <c r="F3243" s="3" t="n">
        <v>0</v>
      </c>
      <c r="G3243" s="3" t="n">
        <v>0</v>
      </c>
      <c r="H3243" s="3" t="n">
        <v>0</v>
      </c>
      <c r="I3243" s="3" t="n">
        <v>0</v>
      </c>
      <c r="J3243" s="3" t="n">
        <v>0</v>
      </c>
      <c r="K3243" s="3" t="n">
        <v>0</v>
      </c>
      <c r="L3243" s="3">
        <f>IF(K3243&lt;-5,"CRÍTICO",IF(K3243&lt;0,"ATENÇÃO",IF(K3243&lt;=5,"OPORTUNO","MUITO BOM")))</f>
        <v/>
      </c>
      <c r="M3243" s="3" t="n">
        <v>0</v>
      </c>
      <c r="N3243" s="3" t="n">
        <v>100</v>
      </c>
      <c r="O3243" s="12" t="n">
        <v>30.43478260869566</v>
      </c>
    </row>
    <row r="3244">
      <c r="A3244" s="10" t="n">
        <v>46104</v>
      </c>
      <c r="B3244" t="inlineStr">
        <is>
          <t>Clessiane Pereira dos Santos</t>
        </is>
      </c>
      <c r="C3244" s="1" t="inlineStr">
        <is>
          <t>Técnico I</t>
        </is>
      </c>
      <c r="D3244" s="3" t="n">
        <v>25</v>
      </c>
      <c r="E3244" s="3" t="n">
        <v>22</v>
      </c>
      <c r="F3244" s="3" t="n">
        <v>21.53</v>
      </c>
      <c r="G3244" s="3" t="n">
        <v>0</v>
      </c>
      <c r="H3244" s="3" t="n">
        <v>0</v>
      </c>
      <c r="I3244" s="3">
        <f>E3244+G3244+H3244</f>
        <v/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/>
      </c>
      <c r="K3244" s="3">
        <f>I3244-J3244</f>
        <v/>
      </c>
      <c r="L3244" s="3">
        <f>IF(K3244&lt;-5,"CRÍTICO",IF(K3244&lt;0,"ATENÇÃO",IF(K3244&lt;=5,"OPORTUNO","MUITO BOM")))</f>
        <v/>
      </c>
      <c r="M3244" s="3" t="n">
        <v>20</v>
      </c>
      <c r="N3244" s="3" t="n">
        <v>96.51000000000001</v>
      </c>
      <c r="O3244" s="12" t="n">
        <v>22.80285035629454</v>
      </c>
    </row>
    <row r="3245">
      <c r="A3245" s="10" t="n">
        <v>46104</v>
      </c>
      <c r="B3245" t="inlineStr">
        <is>
          <t>Cristiane Ramos da Silva Rocha</t>
        </is>
      </c>
      <c r="C3245" s="1" t="inlineStr">
        <is>
          <t>Técnico III</t>
        </is>
      </c>
      <c r="D3245" s="3" t="n">
        <v>6</v>
      </c>
      <c r="E3245" s="3" t="n">
        <v>6</v>
      </c>
      <c r="F3245" s="3" t="n">
        <v>25.29</v>
      </c>
      <c r="G3245" s="3" t="n">
        <v>0</v>
      </c>
      <c r="H3245" s="3" t="n">
        <v>0</v>
      </c>
      <c r="I3245" s="3">
        <f>E3245+G3245+H3245</f>
        <v/>
      </c>
      <c r="J3245" s="3">
        <f>ROUND(MIN(IF(C3245="Técnico III",35,IF(C3245="Técnico II",28,IF(C3245="Técnico I",23,IF(C3245="JR",20,IF(C3245="Estágio",10,0))))),IF(C3245="Técnico III",SUMIFS($D:$D,$A:$A,$A3245,$B:$B,"&lt;&gt;Patrícia Karla de Sousa Araújo",$B:$B,"&lt;&gt;Lorena Dias de Araujo",$B:$B,"&lt;&gt;Lucas Luiz Romero")*(35/1083),IF(C3245="Técnico II",SUMIFS($D:$D,$A:$A,$A3245,$B:$B,"&lt;&gt;Patrícia Karla de Sousa Araújo",$B:$B,"&lt;&gt;Lorena Dias de Araujo",$B:$B,"&lt;&gt;Lucas Luiz Romero")*(28/1083),IF(C3245="Técnico I",SUMIFS($D:$D,$A:$A,$A3245,$B:$B,"&lt;&gt;Patrícia Karla de Sousa Araújo",$B:$B,"&lt;&gt;Lorena Dias de Araujo",$B:$B,"&lt;&gt;Lucas Luiz Romero")*(23/1083),IF(C3245="JR",SUMIFS($D:$D,$A:$A,$A3245,$B:$B,"&lt;&gt;Patrícia Karla de Sousa Araújo",$B:$B,"&lt;&gt;Lorena Dias de Araujo",$B:$B,"&lt;&gt;Lucas Luiz Romero")*(20/1083),IF(C3245="Estágio",SUMIFS($D:$D,$A:$A,$A3245,$B:$B,"&lt;&gt;Patrícia Karla de Sousa Araújo",$B:$B,"&lt;&gt;Lorena Dias de Araujo",$B:$B,"&lt;&gt;Lucas Luiz Romero")*(10/1083),0)))))),0)</f>
        <v/>
      </c>
      <c r="K3245" s="3">
        <f>I3245-J3245</f>
        <v/>
      </c>
      <c r="L3245" s="3">
        <f>IF(K3245&lt;-5,"CRÍTICO",IF(K3245&lt;0,"ATENÇÃO",IF(K3245&lt;=5,"OPORTUNO","MUITO BOM")))</f>
        <v/>
      </c>
      <c r="M3245" s="3" t="n">
        <v>7</v>
      </c>
      <c r="N3245" s="3" t="n">
        <v>92.68000000000001</v>
      </c>
      <c r="O3245" s="12" t="n">
        <v>27.77777777777778</v>
      </c>
    </row>
    <row r="3246">
      <c r="A3246" s="10" t="n">
        <v>46104</v>
      </c>
      <c r="B3246" t="inlineStr">
        <is>
          <t>Damyllis Lorraine de Oliveira Gonçalves</t>
        </is>
      </c>
      <c r="C3246" s="1" t="inlineStr">
        <is>
          <t>Técnico II</t>
        </is>
      </c>
      <c r="D3246" s="3" t="n">
        <v>29</v>
      </c>
      <c r="E3246" s="3" t="n">
        <v>20</v>
      </c>
      <c r="F3246" s="3" t="n">
        <v>27.17</v>
      </c>
      <c r="G3246" s="3" t="n">
        <v>0</v>
      </c>
      <c r="H3246" s="3" t="n">
        <v>0</v>
      </c>
      <c r="I3246" s="3" t="n">
        <v>0</v>
      </c>
      <c r="J3246" s="3" t="n">
        <v>0</v>
      </c>
      <c r="K3246" s="3" t="n">
        <v>0</v>
      </c>
      <c r="L3246" s="3">
        <f>IF(K3246&lt;-5,"CRÍTICO",IF(K3246&lt;0,"ATENÇÃO",IF(K3246&lt;=5,"OPORTUNO","MUITO BOM")))</f>
        <v/>
      </c>
      <c r="M3246" s="3" t="n">
        <v>17</v>
      </c>
      <c r="N3246" s="3" t="n">
        <v>99.03</v>
      </c>
      <c r="O3246" s="12" t="n">
        <v>23.99150743099788</v>
      </c>
    </row>
    <row r="3247">
      <c r="A3247" s="10" t="n">
        <v>46104</v>
      </c>
      <c r="B3247" t="inlineStr">
        <is>
          <t>Daniel Gomes da Silva</t>
        </is>
      </c>
      <c r="C3247" s="1" t="inlineStr">
        <is>
          <t>Técnico I</t>
        </is>
      </c>
      <c r="D3247" s="3" t="n">
        <v>18</v>
      </c>
      <c r="E3247" s="3" t="n">
        <v>18</v>
      </c>
      <c r="F3247" s="3" t="n">
        <v>21.48</v>
      </c>
      <c r="G3247" s="3" t="n">
        <v>0</v>
      </c>
      <c r="H3247" s="3" t="n">
        <v>0</v>
      </c>
      <c r="I3247" s="3">
        <f>E3247+G3247+H3247</f>
        <v/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/>
      </c>
      <c r="K3247" s="3">
        <f>I3247-J3247</f>
        <v/>
      </c>
      <c r="L3247" s="3">
        <f>IF(K3247&lt;-5,"CRÍTICO",IF(K3247&lt;0,"ATENÇÃO",IF(K3247&lt;=5,"OPORTUNO","MUITO BOM")))</f>
        <v/>
      </c>
      <c r="M3247" s="3" t="n">
        <v>6</v>
      </c>
      <c r="N3247" s="3" t="n">
        <v>98.41</v>
      </c>
      <c r="O3247" s="12" t="n">
        <v>28.13852813852814</v>
      </c>
    </row>
    <row r="3248">
      <c r="A3248" s="10" t="n">
        <v>46104</v>
      </c>
      <c r="B3248" t="inlineStr">
        <is>
          <t>Davylla Rodrigues Freitas Silva</t>
        </is>
      </c>
      <c r="C3248" s="1" t="inlineStr">
        <is>
          <t>Técnico III</t>
        </is>
      </c>
      <c r="D3248" s="3" t="n">
        <v>18</v>
      </c>
      <c r="E3248" s="3" t="n">
        <v>17</v>
      </c>
      <c r="F3248" s="3" t="n">
        <v>25.34</v>
      </c>
      <c r="G3248" s="3" t="n">
        <v>0</v>
      </c>
      <c r="H3248" s="3" t="n">
        <v>0</v>
      </c>
      <c r="I3248" s="3" t="n">
        <v>0</v>
      </c>
      <c r="J3248" s="3" t="n">
        <v>0</v>
      </c>
      <c r="K3248" s="3" t="n">
        <v>0</v>
      </c>
      <c r="L3248" s="3">
        <f>IF(K3248&lt;-5,"CRÍTICO",IF(K3248&lt;0,"ATENÇÃO",IF(K3248&lt;=5,"OPORTUNO","MUITO BOM")))</f>
        <v/>
      </c>
      <c r="M3248" s="3" t="n">
        <v>19</v>
      </c>
      <c r="N3248" s="3" t="n">
        <v>98.73</v>
      </c>
      <c r="O3248" s="12" t="n">
        <v>29.14285714285714</v>
      </c>
    </row>
    <row r="3249">
      <c r="A3249" s="10" t="n">
        <v>46104</v>
      </c>
      <c r="B3249" t="inlineStr">
        <is>
          <t>Emilly Caylane Costa</t>
        </is>
      </c>
      <c r="C3249" s="1" t="inlineStr">
        <is>
          <t>Estágio</t>
        </is>
      </c>
      <c r="D3249" s="3" t="n">
        <v>6</v>
      </c>
      <c r="E3249" s="3" t="n">
        <v>6</v>
      </c>
      <c r="F3249" s="3" t="n">
        <v>42.25</v>
      </c>
      <c r="G3249" s="3" t="n">
        <v>0</v>
      </c>
      <c r="H3249" s="3" t="n">
        <v>0</v>
      </c>
      <c r="I3249" s="3">
        <f>E3249+G3249+H3249</f>
        <v/>
      </c>
      <c r="J3249" s="3">
        <f>ROUND(MIN(IF(C3249="Técnico III",35,IF(C3249="Técnico II",28,IF(C3249="Técnico I",23,IF(C3249="JR",20,IF(C3249="Estágio",10,0))))),IF(C3249="Técnico III",SUMIFS($D:$D,$A:$A,$A3249,$B:$B,"&lt;&gt;Patrícia Karla de Sousa Araújo",$B:$B,"&lt;&gt;Lorena Dias de Araujo",$B:$B,"&lt;&gt;Lucas Luiz Romero")*(35/1083),IF(C3249="Técnico II",SUMIFS($D:$D,$A:$A,$A3249,$B:$B,"&lt;&gt;Patrícia Karla de Sousa Araújo",$B:$B,"&lt;&gt;Lorena Dias de Araujo",$B:$B,"&lt;&gt;Lucas Luiz Romero")*(28/1083),IF(C3249="Técnico I",SUMIFS($D:$D,$A:$A,$A3249,$B:$B,"&lt;&gt;Patrícia Karla de Sousa Araújo",$B:$B,"&lt;&gt;Lorena Dias de Araujo",$B:$B,"&lt;&gt;Lucas Luiz Romero")*(23/1083),IF(C3249="JR",SUMIFS($D:$D,$A:$A,$A3249,$B:$B,"&lt;&gt;Patrícia Karla de Sousa Araújo",$B:$B,"&lt;&gt;Lorena Dias de Araujo",$B:$B,"&lt;&gt;Lucas Luiz Romero")*(20/1083),IF(C3249="Estágio",SUMIFS($D:$D,$A:$A,$A3249,$B:$B,"&lt;&gt;Patrícia Karla de Sousa Araújo",$B:$B,"&lt;&gt;Lorena Dias de Araujo",$B:$B,"&lt;&gt;Lucas Luiz Romero")*(10/1083),0)))))),0)</f>
        <v/>
      </c>
      <c r="K3249" s="3">
        <f>I3249-J3249</f>
        <v/>
      </c>
      <c r="L3249" s="3">
        <f>IF(K3249&lt;-5,"CRÍTICO",IF(K3249&lt;0,"ATENÇÃO",IF(K3249&lt;=5,"OPORTUNO","MUITO BOM")))</f>
        <v/>
      </c>
      <c r="M3249" s="3" t="n">
        <v>5</v>
      </c>
      <c r="N3249" s="3" t="n">
        <v>90.48</v>
      </c>
      <c r="O3249" s="12" t="n">
        <v>20.68965517241379</v>
      </c>
    </row>
    <row r="3250">
      <c r="A3250" s="10" t="n">
        <v>46104</v>
      </c>
      <c r="B3250" t="inlineStr">
        <is>
          <t>Emilly Kamilly Medeiros Miranda</t>
        </is>
      </c>
      <c r="C3250" s="1" t="inlineStr">
        <is>
          <t>Técnico II</t>
        </is>
      </c>
      <c r="D3250" s="3" t="n">
        <v>26</v>
      </c>
      <c r="E3250" s="3" t="n">
        <v>25</v>
      </c>
      <c r="F3250" s="3" t="n">
        <v>17.31</v>
      </c>
      <c r="G3250" s="3" t="n">
        <v>0</v>
      </c>
      <c r="H3250" s="3" t="n">
        <v>0</v>
      </c>
      <c r="I3250" s="3">
        <f>E3250+G3250+H3250</f>
        <v/>
      </c>
      <c r="J3250" s="3">
        <f>ROUND(MIN(IF(C3250="Técnico III",35,IF(C3250="Técnico II",28,IF(C3250="Técnico I",23,IF(C3250="JR",20,IF(C3250="Estágio",10,0))))),IF(C3250="Técnico III",SUMIFS($D:$D,$A:$A,$A3250,$B:$B,"&lt;&gt;Patrícia Karla de Sousa Araújo",$B:$B,"&lt;&gt;Lorena Dias de Araujo",$B:$B,"&lt;&gt;Lucas Luiz Romero")*(35/1083),IF(C3250="Técnico II",SUMIFS($D:$D,$A:$A,$A3250,$B:$B,"&lt;&gt;Patrícia Karla de Sousa Araújo",$B:$B,"&lt;&gt;Lorena Dias de Araujo",$B:$B,"&lt;&gt;Lucas Luiz Romero")*(28/1083),IF(C3250="Técnico I",SUMIFS($D:$D,$A:$A,$A3250,$B:$B,"&lt;&gt;Patrícia Karla de Sousa Araújo",$B:$B,"&lt;&gt;Lorena Dias de Araujo",$B:$B,"&lt;&gt;Lucas Luiz Romero")*(23/1083),IF(C3250="JR",SUMIFS($D:$D,$A:$A,$A3250,$B:$B,"&lt;&gt;Patrícia Karla de Sousa Araújo",$B:$B,"&lt;&gt;Lorena Dias de Araujo",$B:$B,"&lt;&gt;Lucas Luiz Romero")*(20/1083),IF(C3250="Estágio",SUMIFS($D:$D,$A:$A,$A3250,$B:$B,"&lt;&gt;Patrícia Karla de Sousa Araújo",$B:$B,"&lt;&gt;Lorena Dias de Araujo",$B:$B,"&lt;&gt;Lucas Luiz Romero")*(10/1083),0)))))),0)</f>
        <v/>
      </c>
      <c r="K3250" s="3">
        <f>I3250-J3250</f>
        <v/>
      </c>
      <c r="L3250" s="3">
        <f>IF(K3250&lt;-5,"CRÍTICO",IF(K3250&lt;0,"ATENÇÃO",IF(K3250&lt;=5,"OPORTUNO","MUITO BOM")))</f>
        <v/>
      </c>
      <c r="M3250" s="3" t="n">
        <v>22</v>
      </c>
      <c r="N3250" s="3" t="n">
        <v>98.06</v>
      </c>
      <c r="O3250" s="12" t="n">
        <v>24.78991596638656</v>
      </c>
    </row>
    <row r="3251">
      <c r="A3251" s="10" t="n">
        <v>46104</v>
      </c>
      <c r="B3251" t="inlineStr">
        <is>
          <t>Francielson de Oliveira</t>
        </is>
      </c>
      <c r="C3251" s="1" t="inlineStr">
        <is>
          <t>Técnico III</t>
        </is>
      </c>
      <c r="D3251" s="3" t="n">
        <v>27</v>
      </c>
      <c r="E3251" s="3" t="n">
        <v>27</v>
      </c>
      <c r="F3251" s="3" t="n">
        <v>15.59</v>
      </c>
      <c r="G3251" s="3" t="n">
        <v>0</v>
      </c>
      <c r="H3251" s="3" t="n">
        <v>0</v>
      </c>
      <c r="I3251" s="3">
        <f>E3251+G3251+H3251</f>
        <v/>
      </c>
      <c r="J3251" s="3">
        <f>ROUND(MIN(IF(C3251="Técnico III",35,IF(C3251="Técnico II",28,IF(C3251="Técnico I",23,IF(C3251="JR",20,IF(C3251="Estágio",10,0))))),IF(C3251="Técnico III",SUMIFS($D:$D,$A:$A,$A3251,$B:$B,"&lt;&gt;Patrícia Karla de Sousa Araújo",$B:$B,"&lt;&gt;Lorena Dias de Araujo",$B:$B,"&lt;&gt;Lucas Luiz Romero")*(35/1083),IF(C3251="Técnico II",SUMIFS($D:$D,$A:$A,$A3251,$B:$B,"&lt;&gt;Patrícia Karla de Sousa Araújo",$B:$B,"&lt;&gt;Lorena Dias de Araujo",$B:$B,"&lt;&gt;Lucas Luiz Romero")*(28/1083),IF(C3251="Técnico I",SUMIFS($D:$D,$A:$A,$A3251,$B:$B,"&lt;&gt;Patrícia Karla de Sousa Araújo",$B:$B,"&lt;&gt;Lorena Dias de Araujo",$B:$B,"&lt;&gt;Lucas Luiz Romero")*(23/1083),IF(C3251="JR",SUMIFS($D:$D,$A:$A,$A3251,$B:$B,"&lt;&gt;Patrícia Karla de Sousa Araújo",$B:$B,"&lt;&gt;Lorena Dias de Araujo",$B:$B,"&lt;&gt;Lucas Luiz Romero")*(20/1083),IF(C3251="Estágio",SUMIFS($D:$D,$A:$A,$A3251,$B:$B,"&lt;&gt;Patrícia Karla de Sousa Araújo",$B:$B,"&lt;&gt;Lorena Dias de Araujo",$B:$B,"&lt;&gt;Lucas Luiz Romero")*(10/1083),0)))))),0)</f>
        <v/>
      </c>
      <c r="K3251" s="3">
        <f>I3251-J3251</f>
        <v/>
      </c>
      <c r="L3251" s="3">
        <f>IF(K3251&lt;-5,"CRÍTICO",IF(K3251&lt;0,"ATENÇÃO",IF(K3251&lt;=5,"OPORTUNO","MUITO BOM")))</f>
        <v/>
      </c>
      <c r="M3251" s="3" t="n">
        <v>27</v>
      </c>
      <c r="N3251" s="3" t="n">
        <v>97.78</v>
      </c>
      <c r="O3251" s="12" t="n">
        <v>25.49407114624506</v>
      </c>
    </row>
    <row r="3252">
      <c r="A3252" s="10" t="n">
        <v>46104</v>
      </c>
      <c r="B3252" t="inlineStr">
        <is>
          <t>Francilene Ferreira de Jesus</t>
        </is>
      </c>
      <c r="C3252" s="1" t="inlineStr">
        <is>
          <t>Técnico II</t>
        </is>
      </c>
      <c r="D3252" s="3" t="n">
        <v>28</v>
      </c>
      <c r="E3252" s="3" t="n">
        <v>26</v>
      </c>
      <c r="F3252" s="3" t="n">
        <v>20.49</v>
      </c>
      <c r="G3252" s="3" t="n">
        <v>0</v>
      </c>
      <c r="H3252" s="3" t="n">
        <v>0</v>
      </c>
      <c r="I3252" s="3">
        <f>E3252+G3252+H3252</f>
        <v/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/>
      </c>
      <c r="K3252" s="3">
        <f>I3252-J3252</f>
        <v/>
      </c>
      <c r="L3252" s="3">
        <f>IF(K3252&lt;-5,"CRÍTICO",IF(K3252&lt;0,"ATENÇÃO",IF(K3252&lt;=5,"OPORTUNO","MUITO BOM")))</f>
        <v/>
      </c>
      <c r="M3252" s="3" t="n">
        <v>23</v>
      </c>
      <c r="N3252" s="3" t="n">
        <v>98.02</v>
      </c>
      <c r="O3252" s="12" t="n">
        <v>23.48484848484848</v>
      </c>
    </row>
    <row r="3253">
      <c r="A3253" s="10" t="n">
        <v>46139</v>
      </c>
      <c r="B3253" t="inlineStr">
        <is>
          <t>Gabriel Gomes de Andrade</t>
        </is>
      </c>
      <c r="C3253" s="1" t="inlineStr">
        <is>
          <t>Técnico I</t>
        </is>
      </c>
      <c r="D3253" s="3" t="n">
        <v>13</v>
      </c>
      <c r="E3253" s="3" t="n">
        <v>12</v>
      </c>
      <c r="F3253" s="3" t="n">
        <v>13.29</v>
      </c>
      <c r="G3253" s="3" t="n">
        <v>0</v>
      </c>
      <c r="H3253" s="3" t="n">
        <v>0</v>
      </c>
      <c r="I3253" s="3">
        <f>E3253+G3253+H3253</f>
        <v/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/>
      </c>
      <c r="K3253" s="3">
        <f>I3253-J3253</f>
        <v/>
      </c>
      <c r="L3253" s="3">
        <f>IF(K3253&lt;-5,"CRÍTICO",IF(K3253&lt;0,"ATENÇÃO",IF(K3253&lt;=5,"OPORTUNO","MUITO BOM")))</f>
        <v/>
      </c>
      <c r="M3253" s="3" t="n">
        <v>10</v>
      </c>
      <c r="N3253" s="3" t="n">
        <v>99.28</v>
      </c>
      <c r="O3253" s="12" t="n">
        <v>27.68924302788844</v>
      </c>
    </row>
    <row r="3254">
      <c r="A3254" s="10" t="n">
        <v>46104</v>
      </c>
      <c r="B3254" t="inlineStr">
        <is>
          <t>Isabella Borges de Oliveira</t>
        </is>
      </c>
      <c r="C3254" s="1" t="inlineStr">
        <is>
          <t>Técnico II</t>
        </is>
      </c>
      <c r="D3254" s="3" t="n">
        <v>32</v>
      </c>
      <c r="E3254" s="3" t="n">
        <v>29</v>
      </c>
      <c r="F3254" s="3" t="n">
        <v>20.14</v>
      </c>
      <c r="G3254" s="3" t="n">
        <v>0</v>
      </c>
      <c r="H3254" s="3" t="n">
        <v>0</v>
      </c>
      <c r="I3254" s="3">
        <f>E3254+G3254+H3254</f>
        <v/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/>
      </c>
      <c r="K3254" s="3">
        <f>I3254-J3254</f>
        <v/>
      </c>
      <c r="L3254" s="3">
        <f>IF(K3254&lt;-5,"CRÍTICO",IF(K3254&lt;0,"ATENÇÃO",IF(K3254&lt;=5,"OPORTUNO","MUITO BOM")))</f>
        <v/>
      </c>
      <c r="M3254" s="3" t="n">
        <v>27</v>
      </c>
      <c r="N3254" s="3" t="n">
        <v>100</v>
      </c>
      <c r="O3254" s="12" t="n">
        <v>27.04918032786885</v>
      </c>
    </row>
    <row r="3255">
      <c r="A3255" s="10" t="n">
        <v>46104</v>
      </c>
      <c r="B3255" t="inlineStr">
        <is>
          <t>Janaina Lima dos Reis Urany</t>
        </is>
      </c>
      <c r="C3255" s="1" t="inlineStr">
        <is>
          <t>Técnico III</t>
        </is>
      </c>
      <c r="D3255" s="3" t="n">
        <v>32</v>
      </c>
      <c r="E3255" s="3" t="n">
        <v>30</v>
      </c>
      <c r="F3255" s="3" t="n">
        <v>16.42</v>
      </c>
      <c r="G3255" s="3" t="n">
        <v>0</v>
      </c>
      <c r="H3255" s="3" t="n">
        <v>0</v>
      </c>
      <c r="I3255" s="3">
        <f>E3255+G3255+H3255</f>
        <v/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/>
      </c>
      <c r="K3255" s="3">
        <f>I3255-J3255</f>
        <v/>
      </c>
      <c r="L3255" s="3">
        <f>IF(K3255&lt;-5,"CRÍTICO",IF(K3255&lt;0,"ATENÇÃO",IF(K3255&lt;=5,"OPORTUNO","MUITO BOM")))</f>
        <v/>
      </c>
      <c r="M3255" s="3" t="n">
        <v>26</v>
      </c>
      <c r="N3255" s="3" t="n">
        <v>97.83</v>
      </c>
      <c r="O3255" s="12" t="n">
        <v>26.31578947368421</v>
      </c>
    </row>
    <row r="3256">
      <c r="A3256" s="10" t="n">
        <v>46104</v>
      </c>
      <c r="B3256" t="inlineStr">
        <is>
          <t>Jaqueline Evangelista da Silva Martins</t>
        </is>
      </c>
      <c r="C3256" s="1" t="inlineStr">
        <is>
          <t>Técnico III</t>
        </is>
      </c>
      <c r="D3256" s="3" t="n">
        <v>7</v>
      </c>
      <c r="E3256" s="3" t="n">
        <v>6</v>
      </c>
      <c r="F3256" s="3" t="n">
        <v>15.49</v>
      </c>
      <c r="G3256" s="3" t="n">
        <v>0</v>
      </c>
      <c r="H3256" s="3" t="n">
        <v>0</v>
      </c>
      <c r="I3256" s="3">
        <f>E3256+G3256+H3256</f>
        <v/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/>
      </c>
      <c r="K3256" s="3">
        <f>I3256-J3256</f>
        <v/>
      </c>
      <c r="L3256" s="3">
        <f>IF(K3256&lt;-5,"CRÍTICO",IF(K3256&lt;0,"ATENÇÃO",IF(K3256&lt;=5,"OPORTUNO","MUITO BOM")))</f>
        <v/>
      </c>
      <c r="M3256" s="3" t="n">
        <v>6</v>
      </c>
      <c r="N3256" s="3" t="n">
        <v>100</v>
      </c>
      <c r="O3256" s="12" t="n">
        <v>26.70157068062827</v>
      </c>
    </row>
    <row r="3257">
      <c r="A3257" s="10" t="n">
        <v>46104</v>
      </c>
      <c r="B3257" t="inlineStr">
        <is>
          <t>Jessica Faria da Silveira</t>
        </is>
      </c>
      <c r="C3257" s="1" t="inlineStr">
        <is>
          <t>Técnico II</t>
        </is>
      </c>
      <c r="D3257" s="3" t="n">
        <v>0</v>
      </c>
      <c r="E3257" s="3" t="n">
        <v>0</v>
      </c>
      <c r="F3257" s="3" t="n">
        <v>0</v>
      </c>
      <c r="G3257" s="3" t="n">
        <v>0</v>
      </c>
      <c r="H3257" s="3" t="n">
        <v>0</v>
      </c>
      <c r="I3257" s="3" t="n">
        <v>0</v>
      </c>
      <c r="J3257" s="3" t="n">
        <v>0</v>
      </c>
      <c r="K3257" s="3" t="n">
        <v>0</v>
      </c>
      <c r="L3257" s="3">
        <f>IF(K3257&lt;-5,"CRÍTICO",IF(K3257&lt;0,"ATENÇÃO",IF(K3257&lt;=5,"OPORTUNO","MUITO BOM")))</f>
        <v/>
      </c>
      <c r="M3257" s="3" t="n">
        <v>0</v>
      </c>
      <c r="N3257" s="3" t="n">
        <v>97.47</v>
      </c>
      <c r="O3257" s="12" t="n">
        <v>22.88732394366197</v>
      </c>
    </row>
    <row r="3258">
      <c r="A3258" s="10" t="n">
        <v>46104</v>
      </c>
      <c r="B3258" t="inlineStr">
        <is>
          <t>Jéssica Fé Moura</t>
        </is>
      </c>
      <c r="C3258" s="1" t="inlineStr">
        <is>
          <t>Técnico III</t>
        </is>
      </c>
      <c r="D3258" s="3" t="n">
        <v>0</v>
      </c>
      <c r="E3258" s="3" t="n">
        <v>0</v>
      </c>
      <c r="F3258" s="3" t="n">
        <v>0</v>
      </c>
      <c r="G3258" s="3" t="n">
        <v>0</v>
      </c>
      <c r="H3258" s="3" t="n">
        <v>0</v>
      </c>
      <c r="I3258" s="3" t="n">
        <v>0</v>
      </c>
      <c r="J3258" s="3" t="n">
        <v>0</v>
      </c>
      <c r="K3258" s="3" t="n">
        <v>0</v>
      </c>
      <c r="L3258" s="3">
        <f>IF(K3258&lt;-5,"CRÍTICO",IF(K3258&lt;0,"ATENÇÃO",IF(K3258&lt;=5,"OPORTUNO","MUITO BOM")))</f>
        <v/>
      </c>
      <c r="M3258" s="3" t="n">
        <v>0</v>
      </c>
      <c r="N3258" s="3" t="n">
        <v>0</v>
      </c>
      <c r="O3258" s="12" t="n">
        <v>0</v>
      </c>
    </row>
    <row r="3259">
      <c r="A3259" s="10" t="n">
        <v>46104</v>
      </c>
      <c r="B3259" t="inlineStr">
        <is>
          <t>Karina Gonçalves Martins</t>
        </is>
      </c>
      <c r="C3259" s="1" t="inlineStr">
        <is>
          <t>JR</t>
        </is>
      </c>
      <c r="D3259" s="3" t="n">
        <v>10</v>
      </c>
      <c r="E3259" s="3" t="n">
        <v>9</v>
      </c>
      <c r="F3259" s="3" t="n">
        <v>42.22</v>
      </c>
      <c r="G3259" s="3" t="n">
        <v>0</v>
      </c>
      <c r="H3259" s="3" t="n">
        <v>0</v>
      </c>
      <c r="I3259" s="3">
        <f>E3259+G3259+H3259</f>
        <v/>
      </c>
      <c r="J3259" s="3">
        <f>ROUND(MIN(IF(C3259="Técnico III",35,IF(C3259="Técnico II",28,IF(C3259="Técnico I",23,IF(C3259="JR",20,IF(C3259="Estágio",10,0))))),IF(C3259="Técnico III",SUMIFS($D:$D,$A:$A,$A3259,$B:$B,"&lt;&gt;Patrícia Karla de Sousa Araújo",$B:$B,"&lt;&gt;Lorena Dias de Araujo",$B:$B,"&lt;&gt;Lucas Luiz Romero")*(35/1083),IF(C3259="Técnico II",SUMIFS($D:$D,$A:$A,$A3259,$B:$B,"&lt;&gt;Patrícia Karla de Sousa Araújo",$B:$B,"&lt;&gt;Lorena Dias de Araujo",$B:$B,"&lt;&gt;Lucas Luiz Romero")*(28/1083),IF(C3259="Técnico I",SUMIFS($D:$D,$A:$A,$A3259,$B:$B,"&lt;&gt;Patrícia Karla de Sousa Araújo",$B:$B,"&lt;&gt;Lorena Dias de Araujo",$B:$B,"&lt;&gt;Lucas Luiz Romero")*(23/1083),IF(C3259="JR",SUMIFS($D:$D,$A:$A,$A3259,$B:$B,"&lt;&gt;Patrícia Karla de Sousa Araújo",$B:$B,"&lt;&gt;Lorena Dias de Araujo",$B:$B,"&lt;&gt;Lucas Luiz Romero")*(20/1083),IF(C3259="Estágio",SUMIFS($D:$D,$A:$A,$A3259,$B:$B,"&lt;&gt;Patrícia Karla de Sousa Araújo",$B:$B,"&lt;&gt;Lorena Dias de Araujo",$B:$B,"&lt;&gt;Lucas Luiz Romero")*(10/1083),0)))))),0)</f>
        <v/>
      </c>
      <c r="K3259" s="3">
        <f>I3259-J3259</f>
        <v/>
      </c>
      <c r="L3259" s="3">
        <f>IF(K3259&lt;-5,"CRÍTICO",IF(K3259&lt;0,"ATENÇÃO",IF(K3259&lt;=5,"OPORTUNO","MUITO BOM")))</f>
        <v/>
      </c>
      <c r="M3259" s="3" t="n">
        <v>8</v>
      </c>
      <c r="N3259" s="3" t="n">
        <v>98.31</v>
      </c>
      <c r="O3259" s="12" t="n">
        <v>24.92012779552715</v>
      </c>
    </row>
    <row r="3260">
      <c r="A3260" s="10" t="n">
        <v>46104</v>
      </c>
      <c r="B3260" t="inlineStr">
        <is>
          <t>Kerollen Cristielly de Jesus Siqueira</t>
        </is>
      </c>
      <c r="C3260" s="1" t="inlineStr">
        <is>
          <t>Técnico III</t>
        </is>
      </c>
      <c r="D3260" s="3" t="n">
        <v>13</v>
      </c>
      <c r="E3260" s="3" t="n">
        <v>13</v>
      </c>
      <c r="F3260" s="3" t="n">
        <v>27.29</v>
      </c>
      <c r="G3260" s="3" t="n">
        <v>0</v>
      </c>
      <c r="H3260" s="3" t="n">
        <v>0</v>
      </c>
      <c r="I3260" s="3">
        <f>E3260+G3260+H3260</f>
        <v/>
      </c>
      <c r="J3260" s="3">
        <f>ROUND(MIN(IF(C3260="Técnico III",35,IF(C3260="Técnico II",28,IF(C3260="Técnico I",23,IF(C3260="JR",20,IF(C3260="Estágio",10,0))))),IF(C3260="Técnico III",SUMIFS($D:$D,$A:$A,$A3260,$B:$B,"&lt;&gt;Patrícia Karla de Sousa Araújo",$B:$B,"&lt;&gt;Lorena Dias de Araujo",$B:$B,"&lt;&gt;Lucas Luiz Romero")*(35/1083),IF(C3260="Técnico II",SUMIFS($D:$D,$A:$A,$A3260,$B:$B,"&lt;&gt;Patrícia Karla de Sousa Araújo",$B:$B,"&lt;&gt;Lorena Dias de Araujo",$B:$B,"&lt;&gt;Lucas Luiz Romero")*(28/1083),IF(C3260="Técnico I",SUMIFS($D:$D,$A:$A,$A3260,$B:$B,"&lt;&gt;Patrícia Karla de Sousa Araújo",$B:$B,"&lt;&gt;Lorena Dias de Araujo",$B:$B,"&lt;&gt;Lucas Luiz Romero")*(23/1083),IF(C3260="JR",SUMIFS($D:$D,$A:$A,$A3260,$B:$B,"&lt;&gt;Patrícia Karla de Sousa Araújo",$B:$B,"&lt;&gt;Lorena Dias de Araujo",$B:$B,"&lt;&gt;Lucas Luiz Romero")*(20/1083),IF(C3260="Estágio",SUMIFS($D:$D,$A:$A,$A3260,$B:$B,"&lt;&gt;Patrícia Karla de Sousa Araújo",$B:$B,"&lt;&gt;Lorena Dias de Araujo",$B:$B,"&lt;&gt;Lucas Luiz Romero")*(10/1083),0)))))),0)</f>
        <v/>
      </c>
      <c r="K3260" s="3">
        <f>I3260-J3260</f>
        <v/>
      </c>
      <c r="L3260" s="3">
        <f>IF(K3260&lt;-5,"CRÍTICO",IF(K3260&lt;0,"ATENÇÃO",IF(K3260&lt;=5,"OPORTUNO","MUITO BOM")))</f>
        <v/>
      </c>
      <c r="M3260" s="3" t="n">
        <v>13</v>
      </c>
      <c r="N3260" s="3" t="n">
        <v>96.81</v>
      </c>
      <c r="O3260" s="12" t="n">
        <v>32.36514522821577</v>
      </c>
    </row>
    <row r="3261">
      <c r="A3261" s="10" t="n">
        <v>46104</v>
      </c>
      <c r="B3261" t="inlineStr">
        <is>
          <t>Leandro de Souza Silva</t>
        </is>
      </c>
      <c r="C3261" s="1" t="inlineStr">
        <is>
          <t>JR</t>
        </is>
      </c>
      <c r="D3261" s="3" t="n">
        <v>17</v>
      </c>
      <c r="E3261" s="3" t="n">
        <v>16</v>
      </c>
      <c r="F3261" s="3" t="n">
        <v>22.37</v>
      </c>
      <c r="G3261" s="3" t="n">
        <v>0</v>
      </c>
      <c r="H3261" s="3" t="n">
        <v>0</v>
      </c>
      <c r="I3261" s="3">
        <f>E3261+G3261+H3261</f>
        <v/>
      </c>
      <c r="J3261" s="3">
        <f>ROUND(MIN(IF(C3261="Técnico III",35,IF(C3261="Técnico II",28,IF(C3261="Técnico I",23,IF(C3261="JR",20,IF(C3261="Estágio",10,0))))),IF(C3261="Técnico III",SUMIFS($D:$D,$A:$A,$A3261,$B:$B,"&lt;&gt;Patrícia Karla de Sousa Araújo",$B:$B,"&lt;&gt;Lorena Dias de Araujo",$B:$B,"&lt;&gt;Lucas Luiz Romero")*(35/1083),IF(C3261="Técnico II",SUMIFS($D:$D,$A:$A,$A3261,$B:$B,"&lt;&gt;Patrícia Karla de Sousa Araújo",$B:$B,"&lt;&gt;Lorena Dias de Araujo",$B:$B,"&lt;&gt;Lucas Luiz Romero")*(28/1083),IF(C3261="Técnico I",SUMIFS($D:$D,$A:$A,$A3261,$B:$B,"&lt;&gt;Patrícia Karla de Sousa Araújo",$B:$B,"&lt;&gt;Lorena Dias de Araujo",$B:$B,"&lt;&gt;Lucas Luiz Romero")*(23/1083),IF(C3261="JR",SUMIFS($D:$D,$A:$A,$A3261,$B:$B,"&lt;&gt;Patrícia Karla de Sousa Araújo",$B:$B,"&lt;&gt;Lorena Dias de Araujo",$B:$B,"&lt;&gt;Lucas Luiz Romero")*(20/1083),IF(C3261="Estágio",SUMIFS($D:$D,$A:$A,$A3261,$B:$B,"&lt;&gt;Patrícia Karla de Sousa Araújo",$B:$B,"&lt;&gt;Lorena Dias de Araujo",$B:$B,"&lt;&gt;Lucas Luiz Romero")*(10/1083),0)))))),0)</f>
        <v/>
      </c>
      <c r="K3261" s="3">
        <f>I3261-J3261</f>
        <v/>
      </c>
      <c r="L3261" s="3">
        <f>IF(K3261&lt;-5,"CRÍTICO",IF(K3261&lt;0,"ATENÇÃO",IF(K3261&lt;=5,"OPORTUNO","MUITO BOM")))</f>
        <v/>
      </c>
      <c r="M3261" s="3" t="n">
        <v>12</v>
      </c>
      <c r="N3261" s="3" t="n">
        <v>100</v>
      </c>
      <c r="O3261" s="12" t="n">
        <v>26.47058823529412</v>
      </c>
    </row>
    <row r="3262">
      <c r="A3262" s="10" t="n">
        <v>46104</v>
      </c>
      <c r="B3262" t="inlineStr">
        <is>
          <t>Leandro Oliveira de Sousa</t>
        </is>
      </c>
      <c r="C3262" s="1" t="inlineStr">
        <is>
          <t>Técnico III</t>
        </is>
      </c>
      <c r="D3262" s="3" t="n">
        <v>15</v>
      </c>
      <c r="E3262" s="3" t="n">
        <v>15</v>
      </c>
      <c r="F3262" s="3" t="n">
        <v>22.15</v>
      </c>
      <c r="G3262" s="3" t="n">
        <v>0</v>
      </c>
      <c r="H3262" s="3" t="n">
        <v>0</v>
      </c>
      <c r="I3262" s="3">
        <f>E3262+G3262+H3262</f>
        <v/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/>
      </c>
      <c r="K3262" s="3">
        <f>I3262-J3262</f>
        <v/>
      </c>
      <c r="L3262" s="3">
        <f>IF(K3262&lt;-5,"CRÍTICO",IF(K3262&lt;0,"ATENÇÃO",IF(K3262&lt;=5,"OPORTUNO","MUITO BOM")))</f>
        <v/>
      </c>
      <c r="M3262" s="3" t="n">
        <v>14</v>
      </c>
      <c r="N3262" s="3" t="n">
        <v>100</v>
      </c>
      <c r="O3262" s="12" t="n">
        <v>28.49002849002849</v>
      </c>
    </row>
    <row r="3263">
      <c r="A3263" s="10" t="n">
        <v>46104</v>
      </c>
      <c r="B3263" t="inlineStr">
        <is>
          <t>Lizandra Gomes Duarte</t>
        </is>
      </c>
      <c r="C3263" s="1" t="inlineStr">
        <is>
          <t>Técnico II</t>
        </is>
      </c>
      <c r="D3263" s="3" t="n">
        <v>20</v>
      </c>
      <c r="E3263" s="3" t="n">
        <v>19</v>
      </c>
      <c r="F3263" s="3" t="n">
        <v>21.56</v>
      </c>
      <c r="G3263" s="3" t="n">
        <v>0</v>
      </c>
      <c r="H3263" s="3" t="n">
        <v>0</v>
      </c>
      <c r="I3263" s="3">
        <f>E3263+G3263+H3263</f>
        <v/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/>
      </c>
      <c r="K3263" s="3">
        <f>I3263-J3263</f>
        <v/>
      </c>
      <c r="L3263" s="3">
        <f>IF(K3263&lt;-5,"CRÍTICO",IF(K3263&lt;0,"ATENÇÃO",IF(K3263&lt;=5,"OPORTUNO","MUITO BOM")))</f>
        <v/>
      </c>
      <c r="M3263" s="3" t="n">
        <v>32</v>
      </c>
      <c r="N3263" s="3" t="n">
        <v>99.14</v>
      </c>
      <c r="O3263" s="12" t="n">
        <v>27.2289156626506</v>
      </c>
    </row>
    <row r="3264">
      <c r="A3264" s="10" t="n">
        <v>46104</v>
      </c>
      <c r="B3264" t="inlineStr">
        <is>
          <t>Lorena Dias de Araujo</t>
        </is>
      </c>
      <c r="C3264" s="1" t="inlineStr">
        <is>
          <t>Técnico II</t>
        </is>
      </c>
      <c r="D3264" s="3" t="n">
        <v>27</v>
      </c>
      <c r="E3264" s="3" t="n">
        <v>26</v>
      </c>
      <c r="F3264" s="3" t="n">
        <v>15.59</v>
      </c>
      <c r="G3264" s="3" t="n">
        <v>0</v>
      </c>
      <c r="H3264" s="3" t="n">
        <v>0</v>
      </c>
      <c r="I3264" s="3" t="n">
        <v>0</v>
      </c>
      <c r="J3264" s="3" t="n">
        <v>0</v>
      </c>
      <c r="K3264" s="3" t="n">
        <v>0</v>
      </c>
      <c r="L3264" s="3">
        <f>IF(K3264&lt;-5,"CRÍTICO",IF(K3264&lt;0,"ATENÇÃO",IF(K3264&lt;=5,"OPORTUNO","MUITO BOM")))</f>
        <v/>
      </c>
      <c r="M3264" s="3" t="n">
        <v>22</v>
      </c>
      <c r="N3264" s="3" t="n">
        <v>97.52</v>
      </c>
      <c r="O3264" s="12" t="n">
        <v>28.2051282051282</v>
      </c>
    </row>
    <row r="3265">
      <c r="A3265" s="10" t="n">
        <v>46104</v>
      </c>
      <c r="B3265" t="inlineStr">
        <is>
          <t>Lucas Luiz Romero</t>
        </is>
      </c>
      <c r="C3265" s="1" t="inlineStr">
        <is>
          <t>Técnico III</t>
        </is>
      </c>
      <c r="D3265" s="3" t="n">
        <v>0</v>
      </c>
      <c r="E3265" s="3" t="n">
        <v>0</v>
      </c>
      <c r="F3265" s="3" t="n">
        <v>0</v>
      </c>
      <c r="G3265" s="3" t="n">
        <v>0</v>
      </c>
      <c r="H3265" s="3" t="n">
        <v>0</v>
      </c>
      <c r="I3265" s="3" t="n">
        <v>0</v>
      </c>
      <c r="J3265" s="3" t="n">
        <v>0</v>
      </c>
      <c r="K3265" s="3" t="n">
        <v>0</v>
      </c>
      <c r="L3265" s="3">
        <f>IF(K3265&lt;-5,"CRÍTICO",IF(K3265&lt;0,"ATENÇÃO",IF(K3265&lt;=5,"OPORTUNO","MUITO BOM")))</f>
        <v/>
      </c>
      <c r="M3265" s="3" t="n">
        <v>0</v>
      </c>
      <c r="N3265" s="3" t="n">
        <v>90</v>
      </c>
      <c r="O3265" s="12" t="n">
        <v>24.18604651162791</v>
      </c>
    </row>
    <row r="3266">
      <c r="A3266" s="10" t="n">
        <v>46104</v>
      </c>
      <c r="B3266" t="inlineStr">
        <is>
          <t>Luiz Fernando de Carvalho Junior</t>
        </is>
      </c>
      <c r="C3266" s="1" t="inlineStr">
        <is>
          <t>Técnico I</t>
        </is>
      </c>
      <c r="D3266" s="3" t="n">
        <v>21</v>
      </c>
      <c r="E3266" s="3" t="n">
        <v>21</v>
      </c>
      <c r="F3266" s="3" t="n">
        <v>23.4</v>
      </c>
      <c r="G3266" s="3" t="n">
        <v>0</v>
      </c>
      <c r="H3266" s="3" t="n">
        <v>0</v>
      </c>
      <c r="I3266" s="3">
        <f>E3266+G3266+H3266</f>
        <v/>
      </c>
      <c r="J3266" s="3">
        <f>ROUND(MIN(IF(C3266="Técnico III",35,IF(C3266="Técnico II",28,IF(C3266="Técnico I",23,IF(C3266="JR",20,IF(C3266="Estágio",10,0))))),IF(C3266="Técnico III",SUMIFS($D:$D,$A:$A,$A3266,$B:$B,"&lt;&gt;Patrícia Karla de Sousa Araújo",$B:$B,"&lt;&gt;Lorena Dias de Araujo",$B:$B,"&lt;&gt;Lucas Luiz Romero")*(35/1083),IF(C3266="Técnico II",SUMIFS($D:$D,$A:$A,$A3266,$B:$B,"&lt;&gt;Patrícia Karla de Sousa Araújo",$B:$B,"&lt;&gt;Lorena Dias de Araujo",$B:$B,"&lt;&gt;Lucas Luiz Romero")*(28/1083),IF(C3266="Técnico I",SUMIFS($D:$D,$A:$A,$A3266,$B:$B,"&lt;&gt;Patrícia Karla de Sousa Araújo",$B:$B,"&lt;&gt;Lorena Dias de Araujo",$B:$B,"&lt;&gt;Lucas Luiz Romero")*(23/1083),IF(C3266="JR",SUMIFS($D:$D,$A:$A,$A3266,$B:$B,"&lt;&gt;Patrícia Karla de Sousa Araújo",$B:$B,"&lt;&gt;Lorena Dias de Araujo",$B:$B,"&lt;&gt;Lucas Luiz Romero")*(20/1083),IF(C3266="Estágio",SUMIFS($D:$D,$A:$A,$A3266,$B:$B,"&lt;&gt;Patrícia Karla de Sousa Araújo",$B:$B,"&lt;&gt;Lorena Dias de Araujo",$B:$B,"&lt;&gt;Lucas Luiz Romero")*(10/1083),0)))))),0)</f>
        <v/>
      </c>
      <c r="K3266" s="3">
        <f>I3266-J3266</f>
        <v/>
      </c>
      <c r="L3266" s="3">
        <f>IF(K3266&lt;-5,"CRÍTICO",IF(K3266&lt;0,"ATENÇÃO",IF(K3266&lt;=5,"OPORTUNO","MUITO BOM")))</f>
        <v/>
      </c>
      <c r="M3266" s="3" t="n">
        <v>16</v>
      </c>
      <c r="N3266" s="3" t="n">
        <v>98.90000000000001</v>
      </c>
      <c r="O3266" s="12" t="n">
        <v>26.7639902676399</v>
      </c>
    </row>
    <row r="3267">
      <c r="A3267" s="10" t="n">
        <v>46104</v>
      </c>
      <c r="B3267" t="inlineStr">
        <is>
          <t>Maria Eduarda Sousa Costa</t>
        </is>
      </c>
      <c r="C3267" s="1" t="inlineStr">
        <is>
          <t>Estágio</t>
        </is>
      </c>
      <c r="D3267" s="3" t="n">
        <v>8</v>
      </c>
      <c r="E3267" s="3" t="n">
        <v>8</v>
      </c>
      <c r="F3267" s="3" t="n">
        <v>42.12</v>
      </c>
      <c r="G3267" s="3" t="n">
        <v>0</v>
      </c>
      <c r="H3267" s="3" t="n">
        <v>0</v>
      </c>
      <c r="I3267" s="3">
        <f>E3267+G3267+H3267</f>
        <v/>
      </c>
      <c r="J3267" s="3">
        <f>ROUND(MIN(IF(C3267="Técnico III",35,IF(C3267="Técnico II",28,IF(C3267="Técnico I",23,IF(C3267="JR",20,IF(C3267="Estágio",10,0))))),IF(C3267="Técnico III",SUMIFS($D:$D,$A:$A,$A3267,$B:$B,"&lt;&gt;Patrícia Karla de Sousa Araújo",$B:$B,"&lt;&gt;Lorena Dias de Araujo",$B:$B,"&lt;&gt;Lucas Luiz Romero")*(35/1083),IF(C3267="Técnico II",SUMIFS($D:$D,$A:$A,$A3267,$B:$B,"&lt;&gt;Patrícia Karla de Sousa Araújo",$B:$B,"&lt;&gt;Lorena Dias de Araujo",$B:$B,"&lt;&gt;Lucas Luiz Romero")*(28/1083),IF(C3267="Técnico I",SUMIFS($D:$D,$A:$A,$A3267,$B:$B,"&lt;&gt;Patrícia Karla de Sousa Araújo",$B:$B,"&lt;&gt;Lorena Dias de Araujo",$B:$B,"&lt;&gt;Lucas Luiz Romero")*(23/1083),IF(C3267="JR",SUMIFS($D:$D,$A:$A,$A3267,$B:$B,"&lt;&gt;Patrícia Karla de Sousa Araújo",$B:$B,"&lt;&gt;Lorena Dias de Araujo",$B:$B,"&lt;&gt;Lucas Luiz Romero")*(20/1083),IF(C3267="Estágio",SUMIFS($D:$D,$A:$A,$A3267,$B:$B,"&lt;&gt;Patrícia Karla de Sousa Araújo",$B:$B,"&lt;&gt;Lorena Dias de Araujo",$B:$B,"&lt;&gt;Lucas Luiz Romero")*(10/1083),0)))))),0)</f>
        <v/>
      </c>
      <c r="K3267" s="3">
        <f>I3267-J3267</f>
        <v/>
      </c>
      <c r="L3267" s="3">
        <f>IF(K3267&lt;-5,"CRÍTICO",IF(K3267&lt;0,"ATENÇÃO",IF(K3267&lt;=5,"OPORTUNO","MUITO BOM")))</f>
        <v/>
      </c>
      <c r="M3267" s="3" t="n">
        <v>5</v>
      </c>
      <c r="N3267" s="3" t="n">
        <v>88.89</v>
      </c>
      <c r="O3267" s="12" t="n">
        <v>25.26315789473684</v>
      </c>
    </row>
    <row r="3268">
      <c r="A3268" s="10" t="n">
        <v>46122</v>
      </c>
      <c r="B3268" t="inlineStr">
        <is>
          <t>Matheus Farias De Souza</t>
        </is>
      </c>
      <c r="C3268" s="1" t="inlineStr">
        <is>
          <t>Técnico III</t>
        </is>
      </c>
      <c r="D3268" s="3" t="n">
        <v>13</v>
      </c>
      <c r="E3268" s="3" t="n">
        <v>11</v>
      </c>
      <c r="F3268" s="3" t="n">
        <v>18.43</v>
      </c>
      <c r="G3268" s="3" t="n">
        <v>0</v>
      </c>
      <c r="H3268" s="3" t="n">
        <v>0</v>
      </c>
      <c r="I3268" s="3">
        <f>E3268+G3268+H3268</f>
        <v/>
      </c>
      <c r="J3268" s="3">
        <f>ROUND(MIN(IF(C3268="Técnico III",35,IF(C3268="Técnico II",28,IF(C3268="Técnico I",23,IF(C3268="JR",20,IF(C3268="Estágio",10,0))))),IF(C3268="Técnico III",SUMIFS($D:$D,$A:$A,$A3268,$B:$B,"&lt;&gt;Patrícia Karla de Sousa Araújo",$B:$B,"&lt;&gt;Lorena Dias de Araujo",$B:$B,"&lt;&gt;Lucas Luiz Romero")*(35/1083),IF(C3268="Técnico II",SUMIFS($D:$D,$A:$A,$A3268,$B:$B,"&lt;&gt;Patrícia Karla de Sousa Araújo",$B:$B,"&lt;&gt;Lorena Dias de Araujo",$B:$B,"&lt;&gt;Lucas Luiz Romero")*(28/1083),IF(C3268="Técnico I",SUMIFS($D:$D,$A:$A,$A3268,$B:$B,"&lt;&gt;Patrícia Karla de Sousa Araújo",$B:$B,"&lt;&gt;Lorena Dias de Araujo",$B:$B,"&lt;&gt;Lucas Luiz Romero")*(23/1083),IF(C3268="JR",SUMIFS($D:$D,$A:$A,$A3268,$B:$B,"&lt;&gt;Patrícia Karla de Sousa Araújo",$B:$B,"&lt;&gt;Lorena Dias de Araujo",$B:$B,"&lt;&gt;Lucas Luiz Romero")*(20/1083),IF(C3268="Estágio",SUMIFS($D:$D,$A:$A,$A3268,$B:$B,"&lt;&gt;Patrícia Karla de Sousa Araújo",$B:$B,"&lt;&gt;Lorena Dias de Araujo",$B:$B,"&lt;&gt;Lucas Luiz Romero")*(10/1083),0)))))),0)</f>
        <v/>
      </c>
      <c r="K3268" s="3">
        <f>I3268-J3268</f>
        <v/>
      </c>
      <c r="L3268" s="3">
        <f>IF(K3268&lt;-5,"CRÍTICO",IF(K3268&lt;0,"ATENÇÃO",IF(K3268&lt;=5,"OPORTUNO","MUITO BOM")))</f>
        <v/>
      </c>
      <c r="M3268" s="3" t="n">
        <v>19</v>
      </c>
      <c r="N3268" s="3" t="n">
        <v>100</v>
      </c>
      <c r="O3268" s="12" t="n">
        <v>23.9870340356564</v>
      </c>
    </row>
    <row r="3269">
      <c r="A3269" s="10" t="n">
        <v>46104</v>
      </c>
      <c r="B3269" t="inlineStr">
        <is>
          <t>Maysa Victoria Dias Moura</t>
        </is>
      </c>
      <c r="C3269" s="1" t="inlineStr">
        <is>
          <t>Técnico III</t>
        </is>
      </c>
      <c r="D3269" s="3" t="n">
        <v>33</v>
      </c>
      <c r="E3269" s="3" t="n">
        <v>30</v>
      </c>
      <c r="F3269" s="3" t="n">
        <v>10.43</v>
      </c>
      <c r="G3269" s="3" t="n">
        <v>0</v>
      </c>
      <c r="H3269" s="3" t="n">
        <v>0</v>
      </c>
      <c r="I3269" s="3">
        <f>E3269+G3269+H3269</f>
        <v/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/>
      </c>
      <c r="K3269" s="3">
        <f>I3269-J3269</f>
        <v/>
      </c>
      <c r="L3269" s="3">
        <f>IF(K3269&lt;-5,"CRÍTICO",IF(K3269&lt;0,"ATENÇÃO",IF(K3269&lt;=5,"OPORTUNO","MUITO BOM")))</f>
        <v/>
      </c>
      <c r="M3269" s="3" t="n">
        <v>27</v>
      </c>
      <c r="N3269" s="3" t="n">
        <v>98.06</v>
      </c>
      <c r="O3269" s="12" t="n">
        <v>22.40566037735849</v>
      </c>
    </row>
    <row r="3270">
      <c r="A3270" s="10" t="n">
        <v>46132</v>
      </c>
      <c r="B3270" t="inlineStr">
        <is>
          <t>Michelle G Santos</t>
        </is>
      </c>
      <c r="C3270" s="1" t="inlineStr">
        <is>
          <t>Estágio</t>
        </is>
      </c>
      <c r="D3270" s="3" t="n">
        <v>0</v>
      </c>
      <c r="E3270" s="3" t="n">
        <v>0</v>
      </c>
      <c r="F3270" s="3" t="n">
        <v>0</v>
      </c>
      <c r="G3270" s="3" t="n">
        <v>0</v>
      </c>
      <c r="H3270" s="3" t="n">
        <v>0</v>
      </c>
      <c r="I3270" s="3" t="n">
        <v>0</v>
      </c>
      <c r="J3270" s="3" t="n">
        <v>0</v>
      </c>
      <c r="K3270" s="3" t="n">
        <v>0</v>
      </c>
      <c r="L3270" s="3">
        <f>IF(K3270&lt;-5,"CRÍTICO",IF(K3270&lt;0,"ATENÇÃO",IF(K3270&lt;=5,"OPORTUNO","MUITO BOM")))</f>
        <v/>
      </c>
      <c r="M3270" s="3" t="n">
        <v>0</v>
      </c>
      <c r="N3270" s="3" t="n">
        <v>100</v>
      </c>
      <c r="O3270" s="12" t="n">
        <v>23.77622377622378</v>
      </c>
    </row>
    <row r="3271">
      <c r="A3271" s="10" t="n">
        <v>46104</v>
      </c>
      <c r="B3271" t="inlineStr">
        <is>
          <t>Milena Sales</t>
        </is>
      </c>
      <c r="C3271" s="1" t="inlineStr">
        <is>
          <t>JR</t>
        </is>
      </c>
      <c r="D3271" s="3" t="n">
        <v>0</v>
      </c>
      <c r="E3271" s="3" t="n">
        <v>0</v>
      </c>
      <c r="F3271" s="3" t="n">
        <v>0</v>
      </c>
      <c r="G3271" s="3" t="n">
        <v>0</v>
      </c>
      <c r="H3271" s="3" t="n">
        <v>0</v>
      </c>
      <c r="I3271" s="3" t="n">
        <v>0</v>
      </c>
      <c r="J3271" s="3" t="n">
        <v>0</v>
      </c>
      <c r="K3271" s="3" t="n">
        <v>0</v>
      </c>
      <c r="L3271" s="3">
        <f>IF(K3271&lt;-5,"CRÍTICO",IF(K3271&lt;0,"ATENÇÃO",IF(K3271&lt;=5,"OPORTUNO","MUITO BOM")))</f>
        <v/>
      </c>
      <c r="M3271" s="3" t="n">
        <v>0</v>
      </c>
      <c r="N3271" s="3" t="n">
        <v>100</v>
      </c>
      <c r="O3271" s="12" t="n">
        <v>15.38461538461539</v>
      </c>
    </row>
    <row r="3272">
      <c r="A3272" s="10" t="n">
        <v>46104</v>
      </c>
      <c r="B3272" t="inlineStr">
        <is>
          <t>Patrícia Karla de Sousa Araújo</t>
        </is>
      </c>
      <c r="C3272" s="1" t="inlineStr">
        <is>
          <t>Técnico II</t>
        </is>
      </c>
      <c r="D3272" s="3" t="n">
        <v>21</v>
      </c>
      <c r="E3272" s="3" t="n">
        <v>20</v>
      </c>
      <c r="F3272" s="3" t="n">
        <v>22.12</v>
      </c>
      <c r="G3272" s="3" t="n">
        <v>0</v>
      </c>
      <c r="H3272" s="3" t="n">
        <v>0</v>
      </c>
      <c r="I3272" s="3">
        <f>E3272+G3272+H3272</f>
        <v/>
      </c>
      <c r="J3272" s="3">
        <f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/>
      </c>
      <c r="K3272" s="3">
        <f>I3272-J3272</f>
        <v/>
      </c>
      <c r="L3272" s="3">
        <f>IF(K3272&lt;-5,"CRÍTICO",IF(K3272&lt;0,"ATENÇÃO",IF(K3272&lt;=5,"OPORTUNO","MUITO BOM")))</f>
        <v/>
      </c>
      <c r="M3272" s="3" t="n">
        <v>17</v>
      </c>
      <c r="N3272" s="3" t="n">
        <v>100</v>
      </c>
      <c r="O3272" s="12" t="n">
        <v>27.51479289940828</v>
      </c>
    </row>
    <row r="3273">
      <c r="A3273" s="10" t="n">
        <v>46104</v>
      </c>
      <c r="B3273" t="inlineStr">
        <is>
          <t>Paulo Ricardo Santos</t>
        </is>
      </c>
      <c r="C3273" s="1" t="inlineStr">
        <is>
          <t>JR</t>
        </is>
      </c>
      <c r="D3273" s="3" t="n">
        <v>18</v>
      </c>
      <c r="E3273" s="3" t="n">
        <v>16</v>
      </c>
      <c r="F3273" s="3" t="n">
        <v>19.04</v>
      </c>
      <c r="G3273" s="3" t="n">
        <v>0</v>
      </c>
      <c r="H3273" s="3" t="n">
        <v>0</v>
      </c>
      <c r="I3273" s="3">
        <f>E3273+G3273+H3273</f>
        <v/>
      </c>
      <c r="J3273" s="3">
        <f>ROUND(MIN(IF(C3273="Técnico III",35,IF(C3273="Técnico II",28,IF(C3273="Técnico I",23,IF(C3273="JR",20,IF(C3273="Estágio",10,0))))),IF(C3273="Técnico III",SUMIFS($D:$D,$A:$A,$A3273,$B:$B,"&lt;&gt;Patrícia Karla de Sousa Araújo",$B:$B,"&lt;&gt;Lorena Dias de Araujo",$B:$B,"&lt;&gt;Lucas Luiz Romero")*(35/1083),IF(C3273="Técnico II",SUMIFS($D:$D,$A:$A,$A3273,$B:$B,"&lt;&gt;Patrícia Karla de Sousa Araújo",$B:$B,"&lt;&gt;Lorena Dias de Araujo",$B:$B,"&lt;&gt;Lucas Luiz Romero")*(28/1083),IF(C3273="Técnico I",SUMIFS($D:$D,$A:$A,$A3273,$B:$B,"&lt;&gt;Patrícia Karla de Sousa Araújo",$B:$B,"&lt;&gt;Lorena Dias de Araujo",$B:$B,"&lt;&gt;Lucas Luiz Romero")*(23/1083),IF(C3273="JR",SUMIFS($D:$D,$A:$A,$A3273,$B:$B,"&lt;&gt;Patrícia Karla de Sousa Araújo",$B:$B,"&lt;&gt;Lorena Dias de Araujo",$B:$B,"&lt;&gt;Lucas Luiz Romero")*(20/1083),IF(C3273="Estágio",SUMIFS($D:$D,$A:$A,$A3273,$B:$B,"&lt;&gt;Patrícia Karla de Sousa Araújo",$B:$B,"&lt;&gt;Lorena Dias de Araujo",$B:$B,"&lt;&gt;Lucas Luiz Romero")*(10/1083),0)))))),0)</f>
        <v/>
      </c>
      <c r="K3273" s="3">
        <f>I3273-J3273</f>
        <v/>
      </c>
      <c r="L3273" s="3">
        <f>IF(K3273&lt;-5,"CRÍTICO",IF(K3273&lt;0,"ATENÇÃO",IF(K3273&lt;=5,"OPORTUNO","MUITO BOM")))</f>
        <v/>
      </c>
      <c r="M3273" s="3" t="n">
        <v>25</v>
      </c>
      <c r="N3273" s="3" t="n">
        <v>100</v>
      </c>
      <c r="O3273" s="12" t="n">
        <v>24.87562189054727</v>
      </c>
    </row>
    <row r="3274">
      <c r="A3274" s="10" t="n">
        <v>46104</v>
      </c>
      <c r="B3274" t="inlineStr">
        <is>
          <t>Pedro Luiz Mota Sousa</t>
        </is>
      </c>
      <c r="C3274" s="1" t="inlineStr">
        <is>
          <t>JR</t>
        </is>
      </c>
      <c r="D3274" s="3" t="n">
        <v>17</v>
      </c>
      <c r="E3274" s="3" t="n">
        <v>16</v>
      </c>
      <c r="F3274" s="3" t="n">
        <v>25.52</v>
      </c>
      <c r="G3274" s="3" t="n">
        <v>0</v>
      </c>
      <c r="H3274" s="3" t="n">
        <v>0</v>
      </c>
      <c r="I3274" s="3">
        <f>E3274+G3274+H3274</f>
        <v/>
      </c>
      <c r="J3274" s="3">
        <f>ROUND(MIN(IF(C3274="Técnico III",35,IF(C3274="Técnico II",28,IF(C3274="Técnico I",23,IF(C3274="JR",20,IF(C3274="Estágio",10,0))))),IF(C3274="Técnico III",SUMIFS($D:$D,$A:$A,$A3274,$B:$B,"&lt;&gt;Patrícia Karla de Sousa Araújo",$B:$B,"&lt;&gt;Lorena Dias de Araujo",$B:$B,"&lt;&gt;Lucas Luiz Romero")*(35/1083),IF(C3274="Técnico II",SUMIFS($D:$D,$A:$A,$A3274,$B:$B,"&lt;&gt;Patrícia Karla de Sousa Araújo",$B:$B,"&lt;&gt;Lorena Dias de Araujo",$B:$B,"&lt;&gt;Lucas Luiz Romero")*(28/1083),IF(C3274="Técnico I",SUMIFS($D:$D,$A:$A,$A3274,$B:$B,"&lt;&gt;Patrícia Karla de Sousa Araújo",$B:$B,"&lt;&gt;Lorena Dias de Araujo",$B:$B,"&lt;&gt;Lucas Luiz Romero")*(23/1083),IF(C3274="JR",SUMIFS($D:$D,$A:$A,$A3274,$B:$B,"&lt;&gt;Patrícia Karla de Sousa Araújo",$B:$B,"&lt;&gt;Lorena Dias de Araujo",$B:$B,"&lt;&gt;Lucas Luiz Romero")*(20/1083),IF(C3274="Estágio",SUMIFS($D:$D,$A:$A,$A3274,$B:$B,"&lt;&gt;Patrícia Karla de Sousa Araújo",$B:$B,"&lt;&gt;Lorena Dias de Araujo",$B:$B,"&lt;&gt;Lucas Luiz Romero")*(10/1083),0)))))),0)</f>
        <v/>
      </c>
      <c r="K3274" s="3">
        <f>I3274-J3274</f>
        <v/>
      </c>
      <c r="L3274" s="3">
        <f>IF(K3274&lt;-5,"CRÍTICO",IF(K3274&lt;0,"ATENÇÃO",IF(K3274&lt;=5,"OPORTUNO","MUITO BOM")))</f>
        <v/>
      </c>
      <c r="M3274" s="3" t="n">
        <v>11</v>
      </c>
      <c r="N3274" s="3" t="n">
        <v>100</v>
      </c>
      <c r="O3274" s="12" t="n">
        <v>28.10810810810811</v>
      </c>
    </row>
    <row r="3275">
      <c r="A3275" s="10" t="n">
        <v>46132</v>
      </c>
      <c r="B3275" t="inlineStr">
        <is>
          <t>Quirino Diogo Leite Torres</t>
        </is>
      </c>
      <c r="C3275" s="1" t="inlineStr">
        <is>
          <t>Estágio</t>
        </is>
      </c>
      <c r="D3275" s="3" t="n">
        <v>6</v>
      </c>
      <c r="E3275" s="3" t="n">
        <v>6</v>
      </c>
      <c r="F3275" s="3" t="n">
        <v>36.4</v>
      </c>
      <c r="G3275" s="3" t="n">
        <v>0</v>
      </c>
      <c r="H3275" s="3" t="n">
        <v>0</v>
      </c>
      <c r="I3275" s="3">
        <f>E3275+G3275+H3275</f>
        <v/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/>
      </c>
      <c r="K3275" s="3">
        <f>I3275-J3275</f>
        <v/>
      </c>
      <c r="L3275" s="3">
        <f>IF(K3275&lt;-5,"CRÍTICO",IF(K3275&lt;0,"ATENÇÃO",IF(K3275&lt;=5,"OPORTUNO","MUITO BOM")))</f>
        <v/>
      </c>
      <c r="M3275" s="3" t="n">
        <v>5</v>
      </c>
      <c r="N3275" s="3" t="n">
        <v>94.12</v>
      </c>
      <c r="O3275" s="12" t="n">
        <v>32.8</v>
      </c>
    </row>
    <row r="3276">
      <c r="A3276" s="10" t="n">
        <v>46104</v>
      </c>
      <c r="B3276" t="inlineStr">
        <is>
          <t>Raane Batista Matos</t>
        </is>
      </c>
      <c r="C3276" s="1" t="inlineStr">
        <is>
          <t>Técnico I</t>
        </is>
      </c>
      <c r="D3276" s="3" t="n">
        <v>21</v>
      </c>
      <c r="E3276" s="3" t="n">
        <v>19</v>
      </c>
      <c r="F3276" s="3" t="n">
        <v>25.55</v>
      </c>
      <c r="G3276" s="3" t="n">
        <v>0</v>
      </c>
      <c r="H3276" s="3" t="n">
        <v>0</v>
      </c>
      <c r="I3276" s="3">
        <f>E3276+G3276+H3276</f>
        <v/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/>
      </c>
      <c r="K3276" s="3">
        <f>I3276-J3276</f>
        <v/>
      </c>
      <c r="L3276" s="3">
        <f>IF(K3276&lt;-5,"CRÍTICO",IF(K3276&lt;0,"ATENÇÃO",IF(K3276&lt;=5,"OPORTUNO","MUITO BOM")))</f>
        <v/>
      </c>
      <c r="M3276" s="3" t="n">
        <v>17</v>
      </c>
      <c r="N3276" s="3" t="n">
        <v>95.34999999999999</v>
      </c>
      <c r="O3276" s="12" t="n">
        <v>28.61538461538461</v>
      </c>
    </row>
    <row r="3277">
      <c r="A3277" s="10" t="n">
        <v>46104</v>
      </c>
      <c r="B3277" t="inlineStr">
        <is>
          <t>Rafael Gomes de Morais</t>
        </is>
      </c>
      <c r="C3277" s="1" t="inlineStr">
        <is>
          <t>Técnico III</t>
        </is>
      </c>
      <c r="D3277" s="3" t="n">
        <v>28</v>
      </c>
      <c r="E3277" s="3" t="n">
        <v>25</v>
      </c>
      <c r="F3277" s="3" t="n">
        <v>15.07</v>
      </c>
      <c r="G3277" s="3" t="n">
        <v>0</v>
      </c>
      <c r="H3277" s="3" t="n">
        <v>0</v>
      </c>
      <c r="I3277" s="3">
        <f>E3277+G3277+H3277</f>
        <v/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/>
      </c>
      <c r="K3277" s="3">
        <f>I3277-J3277</f>
        <v/>
      </c>
      <c r="L3277" s="3">
        <f>IF(K3277&lt;-5,"CRÍTICO",IF(K3277&lt;0,"ATENÇÃO",IF(K3277&lt;=5,"OPORTUNO","MUITO BOM")))</f>
        <v/>
      </c>
      <c r="M3277" s="3" t="n">
        <v>21</v>
      </c>
      <c r="N3277" s="3" t="n">
        <v>98.26000000000001</v>
      </c>
      <c r="O3277" s="12" t="n">
        <v>27.54491017964072</v>
      </c>
    </row>
    <row r="3278">
      <c r="A3278" s="10" t="n">
        <v>46104</v>
      </c>
      <c r="B3278" t="inlineStr">
        <is>
          <t>Sara Maria Monteiro Lopes</t>
        </is>
      </c>
      <c r="C3278" s="1" t="inlineStr">
        <is>
          <t>Técnico I</t>
        </is>
      </c>
      <c r="D3278" s="3" t="n">
        <v>10</v>
      </c>
      <c r="E3278" s="3" t="n">
        <v>10</v>
      </c>
      <c r="F3278" s="3" t="n">
        <v>48.41</v>
      </c>
      <c r="G3278" s="3" t="n">
        <v>0</v>
      </c>
      <c r="H3278" s="3" t="n">
        <v>0</v>
      </c>
      <c r="I3278" s="3">
        <f>E3278+G3278+H3278</f>
        <v/>
      </c>
      <c r="J3278" s="3">
        <f>ROUND(MIN(IF(C3278="Técnico III",35,IF(C3278="Técnico II",28,IF(C3278="Técnico I",23,IF(C3278="JR",20,IF(C3278="Estágio",10,0))))),IF(C3278="Técnico III",SUMIFS($D:$D,$A:$A,$A3278,$B:$B,"&lt;&gt;Patrícia Karla de Sousa Araújo",$B:$B,"&lt;&gt;Lorena Dias de Araujo",$B:$B,"&lt;&gt;Lucas Luiz Romero")*(35/1083),IF(C3278="Técnico II",SUMIFS($D:$D,$A:$A,$A3278,$B:$B,"&lt;&gt;Patrícia Karla de Sousa Araújo",$B:$B,"&lt;&gt;Lorena Dias de Araujo",$B:$B,"&lt;&gt;Lucas Luiz Romero")*(28/1083),IF(C3278="Técnico I",SUMIFS($D:$D,$A:$A,$A3278,$B:$B,"&lt;&gt;Patrícia Karla de Sousa Araújo",$B:$B,"&lt;&gt;Lorena Dias de Araujo",$B:$B,"&lt;&gt;Lucas Luiz Romero")*(23/1083),IF(C3278="JR",SUMIFS($D:$D,$A:$A,$A3278,$B:$B,"&lt;&gt;Patrícia Karla de Sousa Araújo",$B:$B,"&lt;&gt;Lorena Dias de Araujo",$B:$B,"&lt;&gt;Lucas Luiz Romero")*(20/1083),IF(C3278="Estágio",SUMIFS($D:$D,$A:$A,$A3278,$B:$B,"&lt;&gt;Patrícia Karla de Sousa Araújo",$B:$B,"&lt;&gt;Lorena Dias de Araujo",$B:$B,"&lt;&gt;Lucas Luiz Romero")*(10/1083),0)))))),0)</f>
        <v/>
      </c>
      <c r="K3278" s="3">
        <f>I3278-J3278</f>
        <v/>
      </c>
      <c r="L3278" s="3">
        <f>IF(K3278&lt;-5,"CRÍTICO",IF(K3278&lt;0,"ATENÇÃO",IF(K3278&lt;=5,"OPORTUNO","MUITO BOM")))</f>
        <v/>
      </c>
      <c r="M3278" s="3" t="n">
        <v>12</v>
      </c>
      <c r="N3278" s="3" t="n">
        <v>98.55</v>
      </c>
      <c r="O3278" s="12" t="n">
        <v>25.33783783783784</v>
      </c>
    </row>
    <row r="3279">
      <c r="A3279" s="10" t="n">
        <v>46104</v>
      </c>
      <c r="B3279" t="inlineStr">
        <is>
          <t>Sarah Steffanie de Lima Borges</t>
        </is>
      </c>
      <c r="C3279" s="1" t="inlineStr">
        <is>
          <t>Técnico III</t>
        </is>
      </c>
      <c r="D3279" s="3" t="n">
        <v>25</v>
      </c>
      <c r="E3279" s="3" t="n">
        <v>24</v>
      </c>
      <c r="F3279" s="3" t="n">
        <v>17.36</v>
      </c>
      <c r="G3279" s="3" t="n">
        <v>0</v>
      </c>
      <c r="H3279" s="3" t="n">
        <v>0</v>
      </c>
      <c r="I3279" s="3">
        <f>E3279+G3279+H3279</f>
        <v/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/>
      </c>
      <c r="K3279" s="3">
        <f>I3279-J3279</f>
        <v/>
      </c>
      <c r="L3279" s="3">
        <f>IF(K3279&lt;-5,"CRÍTICO",IF(K3279&lt;0,"ATENÇÃO",IF(K3279&lt;=5,"OPORTUNO","MUITO BOM")))</f>
        <v/>
      </c>
      <c r="M3279" s="3" t="n">
        <v>18</v>
      </c>
      <c r="N3279" s="3" t="n">
        <v>98.39</v>
      </c>
      <c r="O3279" s="12" t="n">
        <v>25.56390977443609</v>
      </c>
    </row>
    <row r="3280">
      <c r="A3280" s="10" t="n">
        <v>46105</v>
      </c>
      <c r="B3280" t="inlineStr">
        <is>
          <t>Alisson de Freitas Silva</t>
        </is>
      </c>
      <c r="C3280" s="1" t="inlineStr">
        <is>
          <t>Técnico II</t>
        </is>
      </c>
      <c r="D3280" s="3" t="n">
        <v>28</v>
      </c>
      <c r="E3280" s="3" t="n">
        <v>21</v>
      </c>
      <c r="F3280" s="3" t="n">
        <v>12.34</v>
      </c>
      <c r="G3280" s="3" t="n">
        <v>0</v>
      </c>
      <c r="H3280" s="3" t="n">
        <v>0</v>
      </c>
      <c r="I3280" s="3">
        <f>E3280+G3280+H3280</f>
        <v/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/>
      </c>
      <c r="K3280" s="3">
        <f>I3280-J3280</f>
        <v/>
      </c>
      <c r="L3280" s="3">
        <f>IF(K3280&lt;-5,"CRÍTICO",IF(K3280&lt;0,"ATENÇÃO",IF(K3280&lt;=5,"OPORTUNO","MUITO BOM")))</f>
        <v/>
      </c>
      <c r="M3280" s="3" t="n">
        <v>19</v>
      </c>
      <c r="N3280" s="3" t="n">
        <v>94.29000000000001</v>
      </c>
      <c r="O3280" s="12" t="n">
        <v>25.64766839378239</v>
      </c>
    </row>
    <row r="3281">
      <c r="A3281" s="10" t="n">
        <v>46105</v>
      </c>
      <c r="B3281" t="inlineStr">
        <is>
          <t>Amanda Moura Ferreira</t>
        </is>
      </c>
      <c r="C3281" s="1" t="inlineStr">
        <is>
          <t>Técnico III</t>
        </is>
      </c>
      <c r="D3281" s="3" t="n">
        <v>0</v>
      </c>
      <c r="E3281" s="3" t="n">
        <v>0</v>
      </c>
      <c r="F3281" s="3" t="n">
        <v>0</v>
      </c>
      <c r="G3281" s="3" t="n">
        <v>0</v>
      </c>
      <c r="H3281" s="3" t="n">
        <v>0</v>
      </c>
      <c r="I3281" s="3" t="n">
        <v>0</v>
      </c>
      <c r="J3281" s="3" t="n">
        <v>0</v>
      </c>
      <c r="K3281" s="3" t="n">
        <v>0</v>
      </c>
      <c r="L3281" s="3">
        <f>IF(K3281&lt;-5,"CRÍTICO",IF(K3281&lt;0,"ATENÇÃO",IF(K3281&lt;=5,"OPORTUNO","MUITO BOM")))</f>
        <v/>
      </c>
      <c r="M3281" s="3" t="n">
        <v>23</v>
      </c>
      <c r="N3281" s="3" t="n">
        <v>98.26000000000001</v>
      </c>
      <c r="O3281" s="12" t="n">
        <v>26.66666666666667</v>
      </c>
    </row>
    <row r="3282">
      <c r="A3282" s="10" t="n">
        <v>46105</v>
      </c>
      <c r="B3282" t="inlineStr">
        <is>
          <t>Ana Karollyne Souza Faria</t>
        </is>
      </c>
      <c r="C3282" s="1" t="inlineStr">
        <is>
          <t>Técnico I</t>
        </is>
      </c>
      <c r="D3282" s="3" t="n">
        <v>28</v>
      </c>
      <c r="E3282" s="3" t="n">
        <v>26</v>
      </c>
      <c r="F3282" s="3" t="n">
        <v>17.24</v>
      </c>
      <c r="G3282" s="3" t="n">
        <v>0</v>
      </c>
      <c r="H3282" s="3" t="n">
        <v>0</v>
      </c>
      <c r="I3282" s="3">
        <f>E3282+G3282+H3282</f>
        <v/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/>
      </c>
      <c r="K3282" s="3">
        <f>I3282-J3282</f>
        <v/>
      </c>
      <c r="L3282" s="3">
        <f>IF(K3282&lt;-5,"CRÍTICO",IF(K3282&lt;0,"ATENÇÃO",IF(K3282&lt;=5,"OPORTUNO","MUITO BOM")))</f>
        <v/>
      </c>
      <c r="M3282" s="3" t="n">
        <v>26</v>
      </c>
      <c r="N3282" s="3" t="n">
        <v>98.2</v>
      </c>
      <c r="O3282" s="12" t="n">
        <v>23.37962962962963</v>
      </c>
    </row>
    <row r="3283">
      <c r="A3283" s="10" t="n">
        <v>46105</v>
      </c>
      <c r="B3283" t="inlineStr">
        <is>
          <t>Ana Paula Da Luz Silva Aleixo</t>
        </is>
      </c>
      <c r="C3283" s="1" t="inlineStr">
        <is>
          <t>Técnico III</t>
        </is>
      </c>
      <c r="D3283" s="3" t="n">
        <v>36</v>
      </c>
      <c r="E3283" s="3" t="n">
        <v>34</v>
      </c>
      <c r="F3283" s="3" t="n">
        <v>17.36</v>
      </c>
      <c r="G3283" s="3" t="n">
        <v>0</v>
      </c>
      <c r="H3283" s="3" t="n">
        <v>0</v>
      </c>
      <c r="I3283" s="3">
        <f>E3283+G3283+H3283</f>
        <v/>
      </c>
      <c r="J3283" s="3">
        <f>ROUND(MIN(IF(C3283="Técnico III",35,IF(C3283="Técnico II",28,IF(C3283="Técnico I",23,IF(C3283="JR",20,IF(C3283="Estágio",10,0))))),IF(C3283="Técnico III",SUMIFS($D:$D,$A:$A,$A3283,$B:$B,"&lt;&gt;Patrícia Karla de Sousa Araújo",$B:$B,"&lt;&gt;Lorena Dias de Araujo",$B:$B,"&lt;&gt;Lucas Luiz Romero")*(35/1083),IF(C3283="Técnico II",SUMIFS($D:$D,$A:$A,$A3283,$B:$B,"&lt;&gt;Patrícia Karla de Sousa Araújo",$B:$B,"&lt;&gt;Lorena Dias de Araujo",$B:$B,"&lt;&gt;Lucas Luiz Romero")*(28/1083),IF(C3283="Técnico I",SUMIFS($D:$D,$A:$A,$A3283,$B:$B,"&lt;&gt;Patrícia Karla de Sousa Araújo",$B:$B,"&lt;&gt;Lorena Dias de Araujo",$B:$B,"&lt;&gt;Lucas Luiz Romero")*(23/1083),IF(C3283="JR",SUMIFS($D:$D,$A:$A,$A3283,$B:$B,"&lt;&gt;Patrícia Karla de Sousa Araújo",$B:$B,"&lt;&gt;Lorena Dias de Araujo",$B:$B,"&lt;&gt;Lucas Luiz Romero")*(20/1083),IF(C3283="Estágio",SUMIFS($D:$D,$A:$A,$A3283,$B:$B,"&lt;&gt;Patrícia Karla de Sousa Araújo",$B:$B,"&lt;&gt;Lorena Dias de Araujo",$B:$B,"&lt;&gt;Lucas Luiz Romero")*(10/1083),0)))))),0)</f>
        <v/>
      </c>
      <c r="K3283" s="3">
        <f>I3283-J3283</f>
        <v/>
      </c>
      <c r="L3283" s="3">
        <f>IF(K3283&lt;-5,"CRÍTICO",IF(K3283&lt;0,"ATENÇÃO",IF(K3283&lt;=5,"OPORTUNO","MUITO BOM")))</f>
        <v/>
      </c>
      <c r="M3283" s="3" t="n">
        <v>25</v>
      </c>
      <c r="N3283" s="3" t="n">
        <v>97.3</v>
      </c>
      <c r="O3283" s="12" t="n">
        <v>23.84769539078156</v>
      </c>
    </row>
    <row r="3284">
      <c r="A3284" s="10" t="n">
        <v>46105</v>
      </c>
      <c r="B3284" t="inlineStr">
        <is>
          <t>Anna Luiza Rezende Tavares</t>
        </is>
      </c>
      <c r="C3284" s="1" t="inlineStr">
        <is>
          <t>Estágio</t>
        </is>
      </c>
      <c r="D3284" s="3" t="n">
        <v>10</v>
      </c>
      <c r="E3284" s="3" t="n">
        <v>9</v>
      </c>
      <c r="F3284" s="3" t="n">
        <v>19.06</v>
      </c>
      <c r="G3284" s="3" t="n">
        <v>0</v>
      </c>
      <c r="H3284" s="3" t="n">
        <v>0</v>
      </c>
      <c r="I3284" s="3">
        <f>E3284+G3284+H3284</f>
        <v/>
      </c>
      <c r="J3284" s="3">
        <f>ROUND(MIN(IF(C3284="Técnico III",35,IF(C3284="Técnico II",28,IF(C3284="Técnico I",23,IF(C3284="JR",20,IF(C3284="Estágio",10,0))))),IF(C3284="Técnico III",SUMIFS($D:$D,$A:$A,$A3284,$B:$B,"&lt;&gt;Patrícia Karla de Sousa Araújo",$B:$B,"&lt;&gt;Lorena Dias de Araujo",$B:$B,"&lt;&gt;Lucas Luiz Romero")*(35/1083),IF(C3284="Técnico II",SUMIFS($D:$D,$A:$A,$A3284,$B:$B,"&lt;&gt;Patrícia Karla de Sousa Araújo",$B:$B,"&lt;&gt;Lorena Dias de Araujo",$B:$B,"&lt;&gt;Lucas Luiz Romero")*(28/1083),IF(C3284="Técnico I",SUMIFS($D:$D,$A:$A,$A3284,$B:$B,"&lt;&gt;Patrícia Karla de Sousa Araújo",$B:$B,"&lt;&gt;Lorena Dias de Araujo",$B:$B,"&lt;&gt;Lucas Luiz Romero")*(23/1083),IF(C3284="JR",SUMIFS($D:$D,$A:$A,$A3284,$B:$B,"&lt;&gt;Patrícia Karla de Sousa Araújo",$B:$B,"&lt;&gt;Lorena Dias de Araujo",$B:$B,"&lt;&gt;Lucas Luiz Romero")*(20/1083),IF(C3284="Estágio",SUMIFS($D:$D,$A:$A,$A3284,$B:$B,"&lt;&gt;Patrícia Karla de Sousa Araújo",$B:$B,"&lt;&gt;Lorena Dias de Araujo",$B:$B,"&lt;&gt;Lucas Luiz Romero")*(10/1083),0)))))),0)</f>
        <v/>
      </c>
      <c r="K3284" s="3">
        <f>I3284-J3284</f>
        <v/>
      </c>
      <c r="L3284" s="3">
        <f>IF(K3284&lt;-5,"CRÍTICO",IF(K3284&lt;0,"ATENÇÃO",IF(K3284&lt;=5,"OPORTUNO","MUITO BOM")))</f>
        <v/>
      </c>
      <c r="M3284" s="3" t="n">
        <v>7</v>
      </c>
      <c r="N3284" s="3" t="n">
        <v>100</v>
      </c>
      <c r="O3284" s="12" t="n">
        <v>25.26881720430108</v>
      </c>
    </row>
    <row r="3285">
      <c r="A3285" s="10" t="n">
        <v>46105</v>
      </c>
      <c r="B3285" t="inlineStr">
        <is>
          <t>Brenda de Menezes Silva</t>
        </is>
      </c>
      <c r="C3285" s="1" t="inlineStr">
        <is>
          <t>Técnico II</t>
        </is>
      </c>
      <c r="D3285" s="3" t="n">
        <v>37</v>
      </c>
      <c r="E3285" s="3" t="n">
        <v>32</v>
      </c>
      <c r="F3285" s="3" t="n">
        <v>12.22</v>
      </c>
      <c r="G3285" s="3" t="n">
        <v>0</v>
      </c>
      <c r="H3285" s="3" t="n">
        <v>0</v>
      </c>
      <c r="I3285" s="3">
        <f>E3285+G3285+H3285</f>
        <v/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/>
      </c>
      <c r="K3285" s="3">
        <f>I3285-J3285</f>
        <v/>
      </c>
      <c r="L3285" s="3">
        <f>IF(K3285&lt;-5,"CRÍTICO",IF(K3285&lt;0,"ATENÇÃO",IF(K3285&lt;=5,"OPORTUNO","MUITO BOM")))</f>
        <v/>
      </c>
      <c r="M3285" s="3" t="n">
        <v>34</v>
      </c>
      <c r="N3285" s="3" t="n">
        <v>99.31999999999999</v>
      </c>
      <c r="O3285" s="12" t="n">
        <v>22.82282282282282</v>
      </c>
    </row>
    <row r="3286">
      <c r="A3286" s="10" t="n">
        <v>46105</v>
      </c>
      <c r="B3286" t="inlineStr">
        <is>
          <t>Carlos Mateus Cassimiro Nunes</t>
        </is>
      </c>
      <c r="C3286" s="1" t="inlineStr">
        <is>
          <t>Técnico II</t>
        </is>
      </c>
      <c r="D3286" s="3" t="n">
        <v>23</v>
      </c>
      <c r="E3286" s="3" t="n">
        <v>22</v>
      </c>
      <c r="F3286" s="3" t="n">
        <v>23.4</v>
      </c>
      <c r="G3286" s="3" t="n">
        <v>0</v>
      </c>
      <c r="H3286" s="3" t="n">
        <v>0</v>
      </c>
      <c r="I3286" s="3">
        <f>E3286+G3286+H3286</f>
        <v/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/>
      </c>
      <c r="K3286" s="3">
        <f>I3286-J3286</f>
        <v/>
      </c>
      <c r="L3286" s="3">
        <f>IF(K3286&lt;-5,"CRÍTICO",IF(K3286&lt;0,"ATENÇÃO",IF(K3286&lt;=5,"OPORTUNO","MUITO BOM")))</f>
        <v/>
      </c>
      <c r="M3286" s="3" t="n">
        <v>21</v>
      </c>
      <c r="N3286" s="3" t="n">
        <v>100</v>
      </c>
      <c r="O3286" s="12" t="n">
        <v>27.96610169491525</v>
      </c>
    </row>
    <row r="3287">
      <c r="A3287" s="10" t="n">
        <v>46105</v>
      </c>
      <c r="B3287" t="inlineStr">
        <is>
          <t>Claudio de Sousa Velasco Filho</t>
        </is>
      </c>
      <c r="C3287" s="1" t="inlineStr">
        <is>
          <t>Estágio</t>
        </is>
      </c>
      <c r="D3287" s="3" t="n">
        <v>4</v>
      </c>
      <c r="E3287" s="3" t="n">
        <v>4</v>
      </c>
      <c r="F3287" s="3" t="n">
        <v>16.42</v>
      </c>
      <c r="G3287" s="3" t="n">
        <v>0</v>
      </c>
      <c r="H3287" s="3" t="n">
        <v>0</v>
      </c>
      <c r="I3287" s="3">
        <f>E3287+G3287+H3287</f>
        <v/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/>
      </c>
      <c r="K3287" s="3">
        <f>I3287-J3287</f>
        <v/>
      </c>
      <c r="L3287" s="3">
        <f>IF(K3287&lt;-5,"CRÍTICO",IF(K3287&lt;0,"ATENÇÃO",IF(K3287&lt;=5,"OPORTUNO","MUITO BOM")))</f>
        <v/>
      </c>
      <c r="M3287" s="3" t="n">
        <v>3</v>
      </c>
      <c r="N3287" s="3" t="n">
        <v>100</v>
      </c>
      <c r="O3287" s="12" t="n">
        <v>30.43478260869566</v>
      </c>
    </row>
    <row r="3288">
      <c r="A3288" s="10" t="n">
        <v>46105</v>
      </c>
      <c r="B3288" t="inlineStr">
        <is>
          <t>Clessiane Pereira dos Santos</t>
        </is>
      </c>
      <c r="C3288" s="1" t="inlineStr">
        <is>
          <t>Técnico I</t>
        </is>
      </c>
      <c r="D3288" s="3" t="n">
        <v>29</v>
      </c>
      <c r="E3288" s="3" t="n">
        <v>28</v>
      </c>
      <c r="F3288" s="3" t="n">
        <v>18.55</v>
      </c>
      <c r="G3288" s="3" t="n">
        <v>0</v>
      </c>
      <c r="H3288" s="3" t="n">
        <v>0</v>
      </c>
      <c r="I3288" s="3">
        <f>E3288+G3288+H3288</f>
        <v/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/>
      </c>
      <c r="K3288" s="3">
        <f>I3288-J3288</f>
        <v/>
      </c>
      <c r="L3288" s="3">
        <f>IF(K3288&lt;-5,"CRÍTICO",IF(K3288&lt;0,"ATENÇÃO",IF(K3288&lt;=5,"OPORTUNO","MUITO BOM")))</f>
        <v/>
      </c>
      <c r="M3288" s="3" t="n">
        <v>24</v>
      </c>
      <c r="N3288" s="3" t="n">
        <v>96.51000000000001</v>
      </c>
      <c r="O3288" s="12" t="n">
        <v>22.80285035629454</v>
      </c>
    </row>
    <row r="3289">
      <c r="A3289" s="10" t="n">
        <v>46105</v>
      </c>
      <c r="B3289" t="inlineStr">
        <is>
          <t>Cristiane Ramos da Silva Rocha</t>
        </is>
      </c>
      <c r="C3289" s="1" t="inlineStr">
        <is>
          <t>Técnico III</t>
        </is>
      </c>
      <c r="D3289" s="3" t="n">
        <v>36</v>
      </c>
      <c r="E3289" s="3" t="n">
        <v>33</v>
      </c>
      <c r="F3289" s="3" t="n">
        <v>13.28</v>
      </c>
      <c r="G3289" s="3" t="n">
        <v>0</v>
      </c>
      <c r="H3289" s="3" t="n">
        <v>0</v>
      </c>
      <c r="I3289" s="3">
        <f>E3289+G3289+H3289</f>
        <v/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/>
      </c>
      <c r="K3289" s="3">
        <f>I3289-J3289</f>
        <v/>
      </c>
      <c r="L3289" s="3">
        <f>IF(K3289&lt;-5,"CRÍTICO",IF(K3289&lt;0,"ATENÇÃO",IF(K3289&lt;=5,"OPORTUNO","MUITO BOM")))</f>
        <v/>
      </c>
      <c r="M3289" s="3" t="n">
        <v>27</v>
      </c>
      <c r="N3289" s="3" t="n">
        <v>92.68000000000001</v>
      </c>
      <c r="O3289" s="12" t="n">
        <v>27.77777777777778</v>
      </c>
    </row>
    <row r="3290">
      <c r="A3290" s="10" t="n">
        <v>46105</v>
      </c>
      <c r="B3290" t="inlineStr">
        <is>
          <t>Damyllis Lorraine de Oliveira Gonçalves</t>
        </is>
      </c>
      <c r="C3290" s="1" t="inlineStr">
        <is>
          <t>Técnico II</t>
        </is>
      </c>
      <c r="D3290" s="3" t="n">
        <v>25</v>
      </c>
      <c r="E3290" s="3" t="n">
        <v>21</v>
      </c>
      <c r="F3290" s="3" t="n">
        <v>21.59</v>
      </c>
      <c r="G3290" s="3" t="n">
        <v>0</v>
      </c>
      <c r="H3290" s="3" t="n">
        <v>0</v>
      </c>
      <c r="I3290" s="3" t="n">
        <v>0</v>
      </c>
      <c r="J3290" s="3" t="n">
        <v>0</v>
      </c>
      <c r="K3290" s="3" t="n">
        <v>0</v>
      </c>
      <c r="L3290" s="3">
        <f>IF(K3290&lt;-5,"CRÍTICO",IF(K3290&lt;0,"ATENÇÃO",IF(K3290&lt;=5,"OPORTUNO","MUITO BOM")))</f>
        <v/>
      </c>
      <c r="M3290" s="3" t="n">
        <v>17</v>
      </c>
      <c r="N3290" s="3" t="n">
        <v>99.03</v>
      </c>
      <c r="O3290" s="12" t="n">
        <v>23.99150743099788</v>
      </c>
    </row>
    <row r="3291">
      <c r="A3291" s="10" t="n">
        <v>46105</v>
      </c>
      <c r="B3291" t="inlineStr">
        <is>
          <t>Daniel Gomes da Silva</t>
        </is>
      </c>
      <c r="C3291" s="1" t="inlineStr">
        <is>
          <t>Técnico I</t>
        </is>
      </c>
      <c r="D3291" s="3" t="n">
        <v>22</v>
      </c>
      <c r="E3291" s="3" t="n">
        <v>21</v>
      </c>
      <c r="F3291" s="3" t="n">
        <v>23.52</v>
      </c>
      <c r="G3291" s="3" t="n">
        <v>0</v>
      </c>
      <c r="H3291" s="3" t="n">
        <v>0</v>
      </c>
      <c r="I3291" s="3">
        <f>E3291+G3291+H3291</f>
        <v/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/>
      </c>
      <c r="K3291" s="3">
        <f>I3291-J3291</f>
        <v/>
      </c>
      <c r="L3291" s="3">
        <f>IF(K3291&lt;-5,"CRÍTICO",IF(K3291&lt;0,"ATENÇÃO",IF(K3291&lt;=5,"OPORTUNO","MUITO BOM")))</f>
        <v/>
      </c>
      <c r="M3291" s="3" t="n">
        <v>10</v>
      </c>
      <c r="N3291" s="3" t="n">
        <v>98.41</v>
      </c>
      <c r="O3291" s="12" t="n">
        <v>28.13852813852814</v>
      </c>
    </row>
    <row r="3292">
      <c r="A3292" s="10" t="n">
        <v>46105</v>
      </c>
      <c r="B3292" t="inlineStr">
        <is>
          <t>Davylla Rodrigues Freitas Silva</t>
        </is>
      </c>
      <c r="C3292" s="1" t="inlineStr">
        <is>
          <t>Técnico III</t>
        </is>
      </c>
      <c r="D3292" s="3" t="n">
        <v>12</v>
      </c>
      <c r="E3292" s="3" t="n">
        <v>12</v>
      </c>
      <c r="F3292" s="3" t="n">
        <v>37.38</v>
      </c>
      <c r="G3292" s="3" t="n">
        <v>0</v>
      </c>
      <c r="H3292" s="3" t="n">
        <v>0</v>
      </c>
      <c r="I3292" s="3" t="n">
        <v>0</v>
      </c>
      <c r="J3292" s="3" t="n">
        <v>0</v>
      </c>
      <c r="K3292" s="3" t="n">
        <v>0</v>
      </c>
      <c r="L3292" s="3">
        <f>IF(K3292&lt;-5,"CRÍTICO",IF(K3292&lt;0,"ATENÇÃO",IF(K3292&lt;=5,"OPORTUNO","MUITO BOM")))</f>
        <v/>
      </c>
      <c r="M3292" s="3" t="n">
        <v>10</v>
      </c>
      <c r="N3292" s="3" t="n">
        <v>98.73</v>
      </c>
      <c r="O3292" s="12" t="n">
        <v>29.14285714285714</v>
      </c>
    </row>
    <row r="3293">
      <c r="A3293" s="10" t="n">
        <v>46105</v>
      </c>
      <c r="B3293" t="inlineStr">
        <is>
          <t>Emilly Caylane Costa</t>
        </is>
      </c>
      <c r="C3293" s="1" t="inlineStr">
        <is>
          <t>Estágio</t>
        </is>
      </c>
      <c r="D3293" s="3" t="n">
        <v>4</v>
      </c>
      <c r="E3293" s="3" t="n">
        <v>4</v>
      </c>
      <c r="F3293" s="3" t="n">
        <v>82.38</v>
      </c>
      <c r="G3293" s="3" t="n">
        <v>0</v>
      </c>
      <c r="H3293" s="3" t="n">
        <v>0</v>
      </c>
      <c r="I3293" s="3">
        <f>E3293+G3293+H3293</f>
        <v/>
      </c>
      <c r="J3293" s="3">
        <f>ROUND(MIN(IF(C3293="Técnico III",35,IF(C3293="Técnico II",28,IF(C3293="Técnico I",23,IF(C3293="JR",20,IF(C3293="Estágio",10,0))))),IF(C3293="Técnico III",SUMIFS($D:$D,$A:$A,$A3293,$B:$B,"&lt;&gt;Patrícia Karla de Sousa Araújo",$B:$B,"&lt;&gt;Lorena Dias de Araujo",$B:$B,"&lt;&gt;Lucas Luiz Romero")*(35/1083),IF(C3293="Técnico II",SUMIFS($D:$D,$A:$A,$A3293,$B:$B,"&lt;&gt;Patrícia Karla de Sousa Araújo",$B:$B,"&lt;&gt;Lorena Dias de Araujo",$B:$B,"&lt;&gt;Lucas Luiz Romero")*(28/1083),IF(C3293="Técnico I",SUMIFS($D:$D,$A:$A,$A3293,$B:$B,"&lt;&gt;Patrícia Karla de Sousa Araújo",$B:$B,"&lt;&gt;Lorena Dias de Araujo",$B:$B,"&lt;&gt;Lucas Luiz Romero")*(23/1083),IF(C3293="JR",SUMIFS($D:$D,$A:$A,$A3293,$B:$B,"&lt;&gt;Patrícia Karla de Sousa Araújo",$B:$B,"&lt;&gt;Lorena Dias de Araujo",$B:$B,"&lt;&gt;Lucas Luiz Romero")*(20/1083),IF(C3293="Estágio",SUMIFS($D:$D,$A:$A,$A3293,$B:$B,"&lt;&gt;Patrícia Karla de Sousa Araújo",$B:$B,"&lt;&gt;Lorena Dias de Araujo",$B:$B,"&lt;&gt;Lucas Luiz Romero")*(10/1083),0)))))),0)</f>
        <v/>
      </c>
      <c r="K3293" s="3">
        <f>I3293-J3293</f>
        <v/>
      </c>
      <c r="L3293" s="3">
        <f>IF(K3293&lt;-5,"CRÍTICO",IF(K3293&lt;0,"ATENÇÃO",IF(K3293&lt;=5,"OPORTUNO","MUITO BOM")))</f>
        <v/>
      </c>
      <c r="M3293" s="3" t="n">
        <v>4</v>
      </c>
      <c r="N3293" s="3" t="n">
        <v>90.48</v>
      </c>
      <c r="O3293" s="12" t="n">
        <v>20.68965517241379</v>
      </c>
    </row>
    <row r="3294">
      <c r="A3294" s="10" t="n">
        <v>46105</v>
      </c>
      <c r="B3294" t="inlineStr">
        <is>
          <t>Emilly Kamilly Medeiros Miranda</t>
        </is>
      </c>
      <c r="C3294" s="1" t="inlineStr">
        <is>
          <t>Técnico II</t>
        </is>
      </c>
      <c r="D3294" s="3" t="n">
        <v>15</v>
      </c>
      <c r="E3294" s="3" t="n">
        <v>14</v>
      </c>
      <c r="F3294" s="3" t="n">
        <v>22.39</v>
      </c>
      <c r="G3294" s="3" t="n">
        <v>0</v>
      </c>
      <c r="H3294" s="3" t="n">
        <v>0</v>
      </c>
      <c r="I3294" s="3">
        <f>E3294+G3294+H3294</f>
        <v/>
      </c>
      <c r="J3294" s="3">
        <f>ROUND(MIN(IF(C3294="Técnico III",35,IF(C3294="Técnico II",28,IF(C3294="Técnico I",23,IF(C3294="JR",20,IF(C3294="Estágio",10,0))))),IF(C3294="Técnico III",SUMIFS($D:$D,$A:$A,$A3294,$B:$B,"&lt;&gt;Patrícia Karla de Sousa Araújo",$B:$B,"&lt;&gt;Lorena Dias de Araujo",$B:$B,"&lt;&gt;Lucas Luiz Romero")*(35/1083),IF(C3294="Técnico II",SUMIFS($D:$D,$A:$A,$A3294,$B:$B,"&lt;&gt;Patrícia Karla de Sousa Araújo",$B:$B,"&lt;&gt;Lorena Dias de Araujo",$B:$B,"&lt;&gt;Lucas Luiz Romero")*(28/1083),IF(C3294="Técnico I",SUMIFS($D:$D,$A:$A,$A3294,$B:$B,"&lt;&gt;Patrícia Karla de Sousa Araújo",$B:$B,"&lt;&gt;Lorena Dias de Araujo",$B:$B,"&lt;&gt;Lucas Luiz Romero")*(23/1083),IF(C3294="JR",SUMIFS($D:$D,$A:$A,$A3294,$B:$B,"&lt;&gt;Patrícia Karla de Sousa Araújo",$B:$B,"&lt;&gt;Lorena Dias de Araujo",$B:$B,"&lt;&gt;Lucas Luiz Romero")*(20/1083),IF(C3294="Estágio",SUMIFS($D:$D,$A:$A,$A3294,$B:$B,"&lt;&gt;Patrícia Karla de Sousa Araújo",$B:$B,"&lt;&gt;Lorena Dias de Araujo",$B:$B,"&lt;&gt;Lucas Luiz Romero")*(10/1083),0)))))),0)</f>
        <v/>
      </c>
      <c r="K3294" s="3">
        <f>I3294-J3294</f>
        <v/>
      </c>
      <c r="L3294" s="3">
        <f>IF(K3294&lt;-5,"CRÍTICO",IF(K3294&lt;0,"ATENÇÃO",IF(K3294&lt;=5,"OPORTUNO","MUITO BOM")))</f>
        <v/>
      </c>
      <c r="M3294" s="3" t="n">
        <v>15</v>
      </c>
      <c r="N3294" s="3" t="n">
        <v>98.06</v>
      </c>
      <c r="O3294" s="12" t="n">
        <v>24.78991596638656</v>
      </c>
    </row>
    <row r="3295">
      <c r="A3295" s="10" t="n">
        <v>46105</v>
      </c>
      <c r="B3295" t="inlineStr">
        <is>
          <t>Francielson de Oliveira</t>
        </is>
      </c>
      <c r="C3295" s="1" t="inlineStr">
        <is>
          <t>Técnico III</t>
        </is>
      </c>
      <c r="D3295" s="3" t="n">
        <v>25</v>
      </c>
      <c r="E3295" s="3" t="n">
        <v>24</v>
      </c>
      <c r="F3295" s="3" t="n">
        <v>20.51</v>
      </c>
      <c r="G3295" s="3" t="n">
        <v>0</v>
      </c>
      <c r="H3295" s="3" t="n">
        <v>0</v>
      </c>
      <c r="I3295" s="3">
        <f>E3295+G3295+H3295</f>
        <v/>
      </c>
      <c r="J3295" s="3">
        <f>ROUND(MIN(IF(C3295="Técnico III",35,IF(C3295="Técnico II",28,IF(C3295="Técnico I",23,IF(C3295="JR",20,IF(C3295="Estágio",10,0))))),IF(C3295="Técnico III",SUMIFS($D:$D,$A:$A,$A3295,$B:$B,"&lt;&gt;Patrícia Karla de Sousa Araújo",$B:$B,"&lt;&gt;Lorena Dias de Araujo",$B:$B,"&lt;&gt;Lucas Luiz Romero")*(35/1083),IF(C3295="Técnico II",SUMIFS($D:$D,$A:$A,$A3295,$B:$B,"&lt;&gt;Patrícia Karla de Sousa Araújo",$B:$B,"&lt;&gt;Lorena Dias de Araujo",$B:$B,"&lt;&gt;Lucas Luiz Romero")*(28/1083),IF(C3295="Técnico I",SUMIFS($D:$D,$A:$A,$A3295,$B:$B,"&lt;&gt;Patrícia Karla de Sousa Araújo",$B:$B,"&lt;&gt;Lorena Dias de Araujo",$B:$B,"&lt;&gt;Lucas Luiz Romero")*(23/1083),IF(C3295="JR",SUMIFS($D:$D,$A:$A,$A3295,$B:$B,"&lt;&gt;Patrícia Karla de Sousa Araújo",$B:$B,"&lt;&gt;Lorena Dias de Araujo",$B:$B,"&lt;&gt;Lucas Luiz Romero")*(20/1083),IF(C3295="Estágio",SUMIFS($D:$D,$A:$A,$A3295,$B:$B,"&lt;&gt;Patrícia Karla de Sousa Araújo",$B:$B,"&lt;&gt;Lorena Dias de Araujo",$B:$B,"&lt;&gt;Lucas Luiz Romero")*(10/1083),0)))))),0)</f>
        <v/>
      </c>
      <c r="K3295" s="3">
        <f>I3295-J3295</f>
        <v/>
      </c>
      <c r="L3295" s="3">
        <f>IF(K3295&lt;-5,"CRÍTICO",IF(K3295&lt;0,"ATENÇÃO",IF(K3295&lt;=5,"OPORTUNO","MUITO BOM")))</f>
        <v/>
      </c>
      <c r="M3295" s="3" t="n">
        <v>26</v>
      </c>
      <c r="N3295" s="3" t="n">
        <v>97.78</v>
      </c>
      <c r="O3295" s="12" t="n">
        <v>25.49407114624506</v>
      </c>
    </row>
    <row r="3296">
      <c r="A3296" s="10" t="n">
        <v>46105</v>
      </c>
      <c r="B3296" t="inlineStr">
        <is>
          <t>Francilene Ferreira de Jesus</t>
        </is>
      </c>
      <c r="C3296" s="1" t="inlineStr">
        <is>
          <t>Técnico II</t>
        </is>
      </c>
      <c r="D3296" s="3" t="n">
        <v>25</v>
      </c>
      <c r="E3296" s="3" t="n">
        <v>22</v>
      </c>
      <c r="F3296" s="3" t="n">
        <v>18.2</v>
      </c>
      <c r="G3296" s="3" t="n">
        <v>0</v>
      </c>
      <c r="H3296" s="3" t="n">
        <v>0</v>
      </c>
      <c r="I3296" s="3">
        <f>E3296+G3296+H3296</f>
        <v/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/>
      </c>
      <c r="K3296" s="3">
        <f>I3296-J3296</f>
        <v/>
      </c>
      <c r="L3296" s="3">
        <f>IF(K3296&lt;-5,"CRÍTICO",IF(K3296&lt;0,"ATENÇÃO",IF(K3296&lt;=5,"OPORTUNO","MUITO BOM")))</f>
        <v/>
      </c>
      <c r="M3296" s="3" t="n">
        <v>21</v>
      </c>
      <c r="N3296" s="3" t="n">
        <v>98.02</v>
      </c>
      <c r="O3296" s="12" t="n">
        <v>23.48484848484848</v>
      </c>
    </row>
    <row r="3297">
      <c r="A3297" s="7" t="n">
        <v>46161</v>
      </c>
      <c r="B3297" s="8" t="inlineStr">
        <is>
          <t>Cristiane Ramos da Silva Rocha</t>
        </is>
      </c>
      <c r="C3297" s="1" t="inlineStr">
        <is>
          <t>Técnico III</t>
        </is>
      </c>
      <c r="D3297" s="3" t="n">
        <v>33</v>
      </c>
      <c r="E3297" s="3" t="n">
        <v>30</v>
      </c>
      <c r="F3297" s="3" t="n">
        <v>11.55</v>
      </c>
      <c r="G3297" s="3" t="n">
        <v>0</v>
      </c>
      <c r="H3297" s="3" t="n">
        <v>0</v>
      </c>
      <c r="I3297" s="3" t="n">
        <v>30</v>
      </c>
      <c r="J3297" s="3" t="n">
        <v>29</v>
      </c>
      <c r="K3297" s="3" t="n">
        <v>1</v>
      </c>
      <c r="L3297" s="3" t="inlineStr">
        <is>
          <t>BOM</t>
        </is>
      </c>
      <c r="M3297" s="3" t="n">
        <v>30</v>
      </c>
      <c r="N3297" s="3" t="n">
        <v>92.81</v>
      </c>
      <c r="O3297" s="12" t="n">
        <v>25.47770700636943</v>
      </c>
    </row>
    <row r="3298">
      <c r="A3298" s="10" t="n">
        <v>46105</v>
      </c>
      <c r="B3298" t="inlineStr">
        <is>
          <t>Isabella Borges de Oliveira</t>
        </is>
      </c>
      <c r="C3298" s="1" t="inlineStr">
        <is>
          <t>Técnico II</t>
        </is>
      </c>
      <c r="D3298" s="3" t="n">
        <v>25</v>
      </c>
      <c r="E3298" s="3" t="n">
        <v>23</v>
      </c>
      <c r="F3298" s="3" t="n">
        <v>25.13</v>
      </c>
      <c r="G3298" s="3" t="n">
        <v>0</v>
      </c>
      <c r="H3298" s="3" t="n">
        <v>0</v>
      </c>
      <c r="I3298" s="3">
        <f>E3298+G3298+H3298</f>
        <v/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/>
      </c>
      <c r="K3298" s="3">
        <f>I3298-J3298</f>
        <v/>
      </c>
      <c r="L3298" s="3">
        <f>IF(K3298&lt;-5,"CRÍTICO",IF(K3298&lt;0,"ATENÇÃO",IF(K3298&lt;=5,"OPORTUNO","MUITO BOM")))</f>
        <v/>
      </c>
      <c r="M3298" s="3" t="n">
        <v>24</v>
      </c>
      <c r="N3298" s="3" t="n">
        <v>100</v>
      </c>
      <c r="O3298" s="12" t="n">
        <v>27.04918032786885</v>
      </c>
    </row>
    <row r="3299">
      <c r="A3299" s="10" t="n">
        <v>46105</v>
      </c>
      <c r="B3299" t="inlineStr">
        <is>
          <t>Janaina Lima dos Reis Urany</t>
        </is>
      </c>
      <c r="C3299" s="1" t="inlineStr">
        <is>
          <t>Técnico III</t>
        </is>
      </c>
      <c r="D3299" s="3" t="n">
        <v>36</v>
      </c>
      <c r="E3299" s="3" t="n">
        <v>32</v>
      </c>
      <c r="F3299" s="3" t="n">
        <v>12.15</v>
      </c>
      <c r="G3299" s="3" t="n">
        <v>0</v>
      </c>
      <c r="H3299" s="3" t="n">
        <v>0</v>
      </c>
      <c r="I3299" s="3">
        <f>E3299+G3299+H3299</f>
        <v/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/>
      </c>
      <c r="K3299" s="3">
        <f>I3299-J3299</f>
        <v/>
      </c>
      <c r="L3299" s="3">
        <f>IF(K3299&lt;-5,"CRÍTICO",IF(K3299&lt;0,"ATENÇÃO",IF(K3299&lt;=5,"OPORTUNO","MUITO BOM")))</f>
        <v/>
      </c>
      <c r="M3299" s="3" t="n">
        <v>31</v>
      </c>
      <c r="N3299" s="3" t="n">
        <v>97.83</v>
      </c>
      <c r="O3299" s="12" t="n">
        <v>26.31578947368421</v>
      </c>
    </row>
    <row r="3300">
      <c r="A3300" s="10" t="n">
        <v>46105</v>
      </c>
      <c r="B3300" t="inlineStr">
        <is>
          <t>Jaqueline Evangelista da Silva Martins</t>
        </is>
      </c>
      <c r="C3300" s="1" t="inlineStr">
        <is>
          <t>Técnico III</t>
        </is>
      </c>
      <c r="D3300" s="3" t="n">
        <v>25</v>
      </c>
      <c r="E3300" s="3" t="n">
        <v>24</v>
      </c>
      <c r="F3300" s="3" t="n">
        <v>14.07</v>
      </c>
      <c r="G3300" s="3" t="n">
        <v>0</v>
      </c>
      <c r="H3300" s="3" t="n">
        <v>0</v>
      </c>
      <c r="I3300" s="3">
        <f>E3300+G3300+H3300</f>
        <v/>
      </c>
      <c r="J3300" s="3">
        <f>ROUND(MIN(IF(C3300="Técnico III",35,IF(C3300="Técnico II",28,IF(C3300="Técnico I",23,IF(C3300="JR",20,IF(C3300="Estágio",10,0))))),IF(C3300="Técnico III",SUMIFS($D:$D,$A:$A,$A3300,$B:$B,"&lt;&gt;Patrícia Karla de Sousa Araújo",$B:$B,"&lt;&gt;Lorena Dias de Araujo",$B:$B,"&lt;&gt;Lucas Luiz Romero")*(35/1083),IF(C3300="Técnico II",SUMIFS($D:$D,$A:$A,$A3300,$B:$B,"&lt;&gt;Patrícia Karla de Sousa Araújo",$B:$B,"&lt;&gt;Lorena Dias de Araujo",$B:$B,"&lt;&gt;Lucas Luiz Romero")*(28/1083),IF(C3300="Técnico I",SUMIFS($D:$D,$A:$A,$A3300,$B:$B,"&lt;&gt;Patrícia Karla de Sousa Araújo",$B:$B,"&lt;&gt;Lorena Dias de Araujo",$B:$B,"&lt;&gt;Lucas Luiz Romero")*(23/1083),IF(C3300="JR",SUMIFS($D:$D,$A:$A,$A3300,$B:$B,"&lt;&gt;Patrícia Karla de Sousa Araújo",$B:$B,"&lt;&gt;Lorena Dias de Araujo",$B:$B,"&lt;&gt;Lucas Luiz Romero")*(20/1083),IF(C3300="Estágio",SUMIFS($D:$D,$A:$A,$A3300,$B:$B,"&lt;&gt;Patrícia Karla de Sousa Araújo",$B:$B,"&lt;&gt;Lorena Dias de Araujo",$B:$B,"&lt;&gt;Lucas Luiz Romero")*(10/1083),0)))))),0)</f>
        <v/>
      </c>
      <c r="K3300" s="3">
        <f>I3300-J3300</f>
        <v/>
      </c>
      <c r="L3300" s="3">
        <f>IF(K3300&lt;-5,"CRÍTICO",IF(K3300&lt;0,"ATENÇÃO",IF(K3300&lt;=5,"OPORTUNO","MUITO BOM")))</f>
        <v/>
      </c>
      <c r="M3300" s="3" t="n">
        <v>21</v>
      </c>
      <c r="N3300" s="3" t="n">
        <v>100</v>
      </c>
      <c r="O3300" s="12" t="n">
        <v>26.70157068062827</v>
      </c>
    </row>
    <row r="3301">
      <c r="A3301" s="10" t="n">
        <v>46105</v>
      </c>
      <c r="B3301" t="inlineStr">
        <is>
          <t>Jessica Faria da Silveira</t>
        </is>
      </c>
      <c r="C3301" s="1" t="inlineStr">
        <is>
          <t>Técnico II</t>
        </is>
      </c>
      <c r="D3301" s="3" t="n">
        <v>0</v>
      </c>
      <c r="E3301" s="3" t="n">
        <v>0</v>
      </c>
      <c r="F3301" s="3" t="n">
        <v>0</v>
      </c>
      <c r="G3301" s="3" t="n">
        <v>0</v>
      </c>
      <c r="H3301" s="3" t="n">
        <v>0</v>
      </c>
      <c r="I3301" s="3" t="n">
        <v>0</v>
      </c>
      <c r="J3301" s="3" t="n">
        <v>0</v>
      </c>
      <c r="K3301" s="3" t="n">
        <v>0</v>
      </c>
      <c r="L3301" s="3">
        <f>IF(K3301&lt;-5,"CRÍTICO",IF(K3301&lt;0,"ATENÇÃO",IF(K3301&lt;=5,"OPORTUNO","MUITO BOM")))</f>
        <v/>
      </c>
      <c r="M3301" s="3" t="n">
        <v>0</v>
      </c>
      <c r="N3301" s="3" t="n">
        <v>97.47</v>
      </c>
      <c r="O3301" s="12" t="n">
        <v>22.88732394366197</v>
      </c>
    </row>
    <row r="3302">
      <c r="A3302" s="10" t="n">
        <v>46105</v>
      </c>
      <c r="B3302" t="inlineStr">
        <is>
          <t>Jéssica Fé Moura</t>
        </is>
      </c>
      <c r="C3302" s="1" t="inlineStr">
        <is>
          <t>Técnico III</t>
        </is>
      </c>
      <c r="D3302" s="3" t="n">
        <v>0</v>
      </c>
      <c r="E3302" s="3" t="n">
        <v>0</v>
      </c>
      <c r="F3302" s="3" t="n">
        <v>0</v>
      </c>
      <c r="G3302" s="3" t="n">
        <v>0</v>
      </c>
      <c r="H3302" s="3" t="n">
        <v>0</v>
      </c>
      <c r="I3302" s="3" t="n">
        <v>0</v>
      </c>
      <c r="J3302" s="3" t="n">
        <v>0</v>
      </c>
      <c r="K3302" s="3" t="n">
        <v>0</v>
      </c>
      <c r="L3302" s="3">
        <f>IF(K3302&lt;-5,"CRÍTICO",IF(K3302&lt;0,"ATENÇÃO",IF(K3302&lt;=5,"OPORTUNO","MUITO BOM")))</f>
        <v/>
      </c>
      <c r="M3302" s="3" t="n">
        <v>0</v>
      </c>
      <c r="N3302" s="3" t="n">
        <v>0</v>
      </c>
      <c r="O3302" s="12" t="n">
        <v>0</v>
      </c>
    </row>
    <row r="3303">
      <c r="A3303" s="10" t="n">
        <v>46105</v>
      </c>
      <c r="B3303" t="inlineStr">
        <is>
          <t>Karina Gonçalves Martins</t>
        </is>
      </c>
      <c r="C3303" s="1" t="inlineStr">
        <is>
          <t>JR</t>
        </is>
      </c>
      <c r="D3303" s="3" t="n">
        <v>25</v>
      </c>
      <c r="E3303" s="3" t="n">
        <v>24</v>
      </c>
      <c r="F3303" s="3" t="n">
        <v>23.34</v>
      </c>
      <c r="G3303" s="3" t="n">
        <v>0</v>
      </c>
      <c r="H3303" s="3" t="n">
        <v>0</v>
      </c>
      <c r="I3303" s="3">
        <f>E3303+G3303+H3303</f>
        <v/>
      </c>
      <c r="J3303" s="3">
        <f>ROUND(MIN(IF(C3303="Técnico III",35,IF(C3303="Técnico II",28,IF(C3303="Técnico I",23,IF(C3303="JR",20,IF(C3303="Estágio",10,0))))),IF(C3303="Técnico III",SUMIFS($D:$D,$A:$A,$A3303,$B:$B,"&lt;&gt;Patrícia Karla de Sousa Araújo",$B:$B,"&lt;&gt;Lorena Dias de Araujo",$B:$B,"&lt;&gt;Lucas Luiz Romero")*(35/1083),IF(C3303="Técnico II",SUMIFS($D:$D,$A:$A,$A3303,$B:$B,"&lt;&gt;Patrícia Karla de Sousa Araújo",$B:$B,"&lt;&gt;Lorena Dias de Araujo",$B:$B,"&lt;&gt;Lucas Luiz Romero")*(28/1083),IF(C3303="Técnico I",SUMIFS($D:$D,$A:$A,$A3303,$B:$B,"&lt;&gt;Patrícia Karla de Sousa Araújo",$B:$B,"&lt;&gt;Lorena Dias de Araujo",$B:$B,"&lt;&gt;Lucas Luiz Romero")*(23/1083),IF(C3303="JR",SUMIFS($D:$D,$A:$A,$A3303,$B:$B,"&lt;&gt;Patrícia Karla de Sousa Araújo",$B:$B,"&lt;&gt;Lorena Dias de Araujo",$B:$B,"&lt;&gt;Lucas Luiz Romero")*(20/1083),IF(C3303="Estágio",SUMIFS($D:$D,$A:$A,$A3303,$B:$B,"&lt;&gt;Patrícia Karla de Sousa Araújo",$B:$B,"&lt;&gt;Lorena Dias de Araujo",$B:$B,"&lt;&gt;Lucas Luiz Romero")*(10/1083),0)))))),0)</f>
        <v/>
      </c>
      <c r="K3303" s="3">
        <f>I3303-J3303</f>
        <v/>
      </c>
      <c r="L3303" s="3">
        <f>IF(K3303&lt;-5,"CRÍTICO",IF(K3303&lt;0,"ATENÇÃO",IF(K3303&lt;=5,"OPORTUNO","MUITO BOM")))</f>
        <v/>
      </c>
      <c r="M3303" s="3" t="n">
        <v>22</v>
      </c>
      <c r="N3303" s="3" t="n">
        <v>98.31</v>
      </c>
      <c r="O3303" s="12" t="n">
        <v>24.92012779552715</v>
      </c>
    </row>
    <row r="3304">
      <c r="A3304" s="10" t="n">
        <v>46105</v>
      </c>
      <c r="B3304" t="inlineStr">
        <is>
          <t>Kerollen Cristielly de Jesus Siqueira</t>
        </is>
      </c>
      <c r="C3304" s="1" t="inlineStr">
        <is>
          <t>Técnico III</t>
        </is>
      </c>
      <c r="D3304" s="3" t="n">
        <v>21</v>
      </c>
      <c r="E3304" s="3" t="n">
        <v>20</v>
      </c>
      <c r="F3304" s="3" t="n">
        <v>23.31</v>
      </c>
      <c r="G3304" s="3" t="n">
        <v>0</v>
      </c>
      <c r="H3304" s="3" t="n">
        <v>0</v>
      </c>
      <c r="I3304" s="3">
        <f>E3304+G3304+H3304</f>
        <v/>
      </c>
      <c r="J3304" s="3">
        <f>ROUND(MIN(IF(C3304="Técnico III",35,IF(C3304="Técnico II",28,IF(C3304="Técnico I",23,IF(C3304="JR",20,IF(C3304="Estágio",10,0))))),IF(C3304="Técnico III",SUMIFS($D:$D,$A:$A,$A3304,$B:$B,"&lt;&gt;Patrícia Karla de Sousa Araújo",$B:$B,"&lt;&gt;Lorena Dias de Araujo",$B:$B,"&lt;&gt;Lucas Luiz Romero")*(35/1083),IF(C3304="Técnico II",SUMIFS($D:$D,$A:$A,$A3304,$B:$B,"&lt;&gt;Patrícia Karla de Sousa Araújo",$B:$B,"&lt;&gt;Lorena Dias de Araujo",$B:$B,"&lt;&gt;Lucas Luiz Romero")*(28/1083),IF(C3304="Técnico I",SUMIFS($D:$D,$A:$A,$A3304,$B:$B,"&lt;&gt;Patrícia Karla de Sousa Araújo",$B:$B,"&lt;&gt;Lorena Dias de Araujo",$B:$B,"&lt;&gt;Lucas Luiz Romero")*(23/1083),IF(C3304="JR",SUMIFS($D:$D,$A:$A,$A3304,$B:$B,"&lt;&gt;Patrícia Karla de Sousa Araújo",$B:$B,"&lt;&gt;Lorena Dias de Araujo",$B:$B,"&lt;&gt;Lucas Luiz Romero")*(20/1083),IF(C3304="Estágio",SUMIFS($D:$D,$A:$A,$A3304,$B:$B,"&lt;&gt;Patrícia Karla de Sousa Araújo",$B:$B,"&lt;&gt;Lorena Dias de Araujo",$B:$B,"&lt;&gt;Lucas Luiz Romero")*(10/1083),0)))))),0)</f>
        <v/>
      </c>
      <c r="K3304" s="3">
        <f>I3304-J3304</f>
        <v/>
      </c>
      <c r="L3304" s="3">
        <f>IF(K3304&lt;-5,"CRÍTICO",IF(K3304&lt;0,"ATENÇÃO",IF(K3304&lt;=5,"OPORTUNO","MUITO BOM")))</f>
        <v/>
      </c>
      <c r="M3304" s="3" t="n">
        <v>19</v>
      </c>
      <c r="N3304" s="3" t="n">
        <v>96.81</v>
      </c>
      <c r="O3304" s="12" t="n">
        <v>32.36514522821577</v>
      </c>
    </row>
    <row r="3305">
      <c r="A3305" s="10" t="n">
        <v>46105</v>
      </c>
      <c r="B3305" t="inlineStr">
        <is>
          <t>Leandro de Souza Silva</t>
        </is>
      </c>
      <c r="C3305" s="1" t="inlineStr">
        <is>
          <t>JR</t>
        </is>
      </c>
      <c r="D3305" s="3" t="n">
        <v>18</v>
      </c>
      <c r="E3305" s="3" t="n">
        <v>14</v>
      </c>
      <c r="F3305" s="3" t="n">
        <v>22.21</v>
      </c>
      <c r="G3305" s="3" t="n">
        <v>0</v>
      </c>
      <c r="H3305" s="3" t="n">
        <v>0</v>
      </c>
      <c r="I3305" s="3">
        <f>E3305+G3305+H3305</f>
        <v/>
      </c>
      <c r="J3305" s="3">
        <f>ROUND(MIN(IF(C3305="Técnico III",35,IF(C3305="Técnico II",28,IF(C3305="Técnico I",23,IF(C3305="JR",20,IF(C3305="Estágio",10,0))))),IF(C3305="Técnico III",SUMIFS($D:$D,$A:$A,$A3305,$B:$B,"&lt;&gt;Patrícia Karla de Sousa Araújo",$B:$B,"&lt;&gt;Lorena Dias de Araujo",$B:$B,"&lt;&gt;Lucas Luiz Romero")*(35/1083),IF(C3305="Técnico II",SUMIFS($D:$D,$A:$A,$A3305,$B:$B,"&lt;&gt;Patrícia Karla de Sousa Araújo",$B:$B,"&lt;&gt;Lorena Dias de Araujo",$B:$B,"&lt;&gt;Lucas Luiz Romero")*(28/1083),IF(C3305="Técnico I",SUMIFS($D:$D,$A:$A,$A3305,$B:$B,"&lt;&gt;Patrícia Karla de Sousa Araújo",$B:$B,"&lt;&gt;Lorena Dias de Araujo",$B:$B,"&lt;&gt;Lucas Luiz Romero")*(23/1083),IF(C3305="JR",SUMIFS($D:$D,$A:$A,$A3305,$B:$B,"&lt;&gt;Patrícia Karla de Sousa Araújo",$B:$B,"&lt;&gt;Lorena Dias de Araujo",$B:$B,"&lt;&gt;Lucas Luiz Romero")*(20/1083),IF(C3305="Estágio",SUMIFS($D:$D,$A:$A,$A3305,$B:$B,"&lt;&gt;Patrícia Karla de Sousa Araújo",$B:$B,"&lt;&gt;Lorena Dias de Araujo",$B:$B,"&lt;&gt;Lucas Luiz Romero")*(10/1083),0)))))),0)</f>
        <v/>
      </c>
      <c r="K3305" s="3">
        <f>I3305-J3305</f>
        <v/>
      </c>
      <c r="L3305" s="3">
        <f>IF(K3305&lt;-5,"CRÍTICO",IF(K3305&lt;0,"ATENÇÃO",IF(K3305&lt;=5,"OPORTUNO","MUITO BOM")))</f>
        <v/>
      </c>
      <c r="M3305" s="3" t="n">
        <v>10</v>
      </c>
      <c r="N3305" s="3" t="n">
        <v>100</v>
      </c>
      <c r="O3305" s="12" t="n">
        <v>26.47058823529412</v>
      </c>
    </row>
    <row r="3306">
      <c r="A3306" s="10" t="n">
        <v>46105</v>
      </c>
      <c r="B3306" t="inlineStr">
        <is>
          <t>Leandro Oliveira de Sousa</t>
        </is>
      </c>
      <c r="C3306" s="1" t="inlineStr">
        <is>
          <t>Técnico III</t>
        </is>
      </c>
      <c r="D3306" s="3" t="n">
        <v>30</v>
      </c>
      <c r="E3306" s="3" t="n">
        <v>25</v>
      </c>
      <c r="F3306" s="3" t="n">
        <v>15.51</v>
      </c>
      <c r="G3306" s="3" t="n">
        <v>0</v>
      </c>
      <c r="H3306" s="3" t="n">
        <v>0</v>
      </c>
      <c r="I3306" s="3">
        <f>E3306+G3306+H3306</f>
        <v/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/>
      </c>
      <c r="K3306" s="3">
        <f>I3306-J3306</f>
        <v/>
      </c>
      <c r="L3306" s="3">
        <f>IF(K3306&lt;-5,"CRÍTICO",IF(K3306&lt;0,"ATENÇÃO",IF(K3306&lt;=5,"OPORTUNO","MUITO BOM")))</f>
        <v/>
      </c>
      <c r="M3306" s="3" t="n">
        <v>28</v>
      </c>
      <c r="N3306" s="3" t="n">
        <v>100</v>
      </c>
      <c r="O3306" s="12" t="n">
        <v>28.49002849002849</v>
      </c>
    </row>
    <row r="3307">
      <c r="A3307" s="10" t="n">
        <v>46105</v>
      </c>
      <c r="B3307" t="inlineStr">
        <is>
          <t>Lizandra Gomes Duarte</t>
        </is>
      </c>
      <c r="C3307" s="1" t="inlineStr">
        <is>
          <t>Técnico II</t>
        </is>
      </c>
      <c r="D3307" s="3" t="n">
        <v>18</v>
      </c>
      <c r="E3307" s="3" t="n">
        <v>18</v>
      </c>
      <c r="F3307" s="3" t="n">
        <v>24.18</v>
      </c>
      <c r="G3307" s="3" t="n">
        <v>0</v>
      </c>
      <c r="H3307" s="3" t="n">
        <v>0</v>
      </c>
      <c r="I3307" s="3">
        <f>E3307+G3307+H3307</f>
        <v/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/>
      </c>
      <c r="K3307" s="3">
        <f>I3307-J3307</f>
        <v/>
      </c>
      <c r="L3307" s="3">
        <f>IF(K3307&lt;-5,"CRÍTICO",IF(K3307&lt;0,"ATENÇÃO",IF(K3307&lt;=5,"OPORTUNO","MUITO BOM")))</f>
        <v/>
      </c>
      <c r="M3307" s="3" t="n">
        <v>14</v>
      </c>
      <c r="N3307" s="3" t="n">
        <v>99.14</v>
      </c>
      <c r="O3307" s="12" t="n">
        <v>27.2289156626506</v>
      </c>
    </row>
    <row r="3308">
      <c r="A3308" s="10" t="n">
        <v>46105</v>
      </c>
      <c r="B3308" t="inlineStr">
        <is>
          <t>Lorena Dias de Araujo</t>
        </is>
      </c>
      <c r="C3308" s="1" t="inlineStr">
        <is>
          <t>Técnico II</t>
        </is>
      </c>
      <c r="D3308" s="3" t="n">
        <v>21</v>
      </c>
      <c r="E3308" s="3" t="n">
        <v>20</v>
      </c>
      <c r="F3308" s="3" t="n">
        <v>19.07</v>
      </c>
      <c r="G3308" s="3" t="n">
        <v>0</v>
      </c>
      <c r="H3308" s="3" t="n">
        <v>0</v>
      </c>
      <c r="I3308" s="3" t="n">
        <v>0</v>
      </c>
      <c r="J3308" s="3" t="n">
        <v>0</v>
      </c>
      <c r="K3308" s="3" t="n">
        <v>0</v>
      </c>
      <c r="L3308" s="3">
        <f>IF(K3308&lt;-5,"CRÍTICO",IF(K3308&lt;0,"ATENÇÃO",IF(K3308&lt;=5,"OPORTUNO","MUITO BOM")))</f>
        <v/>
      </c>
      <c r="M3308" s="3" t="n">
        <v>16</v>
      </c>
      <c r="N3308" s="3" t="n">
        <v>97.52</v>
      </c>
      <c r="O3308" s="12" t="n">
        <v>28.2051282051282</v>
      </c>
    </row>
    <row r="3309">
      <c r="A3309" s="10" t="n">
        <v>46105</v>
      </c>
      <c r="B3309" t="inlineStr">
        <is>
          <t>Lucas Luiz Romero</t>
        </is>
      </c>
      <c r="C3309" s="1" t="inlineStr">
        <is>
          <t>Técnico III</t>
        </is>
      </c>
      <c r="D3309" s="3" t="n">
        <v>0</v>
      </c>
      <c r="E3309" s="3" t="n">
        <v>0</v>
      </c>
      <c r="F3309" s="3" t="n">
        <v>0</v>
      </c>
      <c r="G3309" s="3" t="n">
        <v>0</v>
      </c>
      <c r="H3309" s="3" t="n">
        <v>0</v>
      </c>
      <c r="I3309" s="3" t="n">
        <v>0</v>
      </c>
      <c r="J3309" s="3" t="n">
        <v>0</v>
      </c>
      <c r="K3309" s="3" t="n">
        <v>0</v>
      </c>
      <c r="L3309" s="3">
        <f>IF(K3309&lt;-5,"CRÍTICO",IF(K3309&lt;0,"ATENÇÃO",IF(K3309&lt;=5,"OPORTUNO","MUITO BOM")))</f>
        <v/>
      </c>
      <c r="M3309" s="3" t="n">
        <v>0</v>
      </c>
      <c r="N3309" s="3" t="n">
        <v>90</v>
      </c>
      <c r="O3309" s="12" t="n">
        <v>24.18604651162791</v>
      </c>
    </row>
    <row r="3310">
      <c r="A3310" s="10" t="n">
        <v>46105</v>
      </c>
      <c r="B3310" t="inlineStr">
        <is>
          <t>Luiz Fernando de Carvalho Junior</t>
        </is>
      </c>
      <c r="C3310" s="1" t="inlineStr">
        <is>
          <t>Técnico I</t>
        </is>
      </c>
      <c r="D3310" s="3" t="n">
        <v>26</v>
      </c>
      <c r="E3310" s="3" t="n">
        <v>25</v>
      </c>
      <c r="F3310" s="3" t="n">
        <v>18.21</v>
      </c>
      <c r="G3310" s="3" t="n">
        <v>0</v>
      </c>
      <c r="H3310" s="3" t="n">
        <v>0</v>
      </c>
      <c r="I3310" s="3">
        <f>E3310+G3310+H3310</f>
        <v/>
      </c>
      <c r="J3310" s="3">
        <f>ROUND(MIN(IF(C3310="Técnico III",35,IF(C3310="Técnico II",28,IF(C3310="Técnico I",23,IF(C3310="JR",20,IF(C3310="Estágio",10,0))))),IF(C3310="Técnico III",SUMIFS($D:$D,$A:$A,$A3310,$B:$B,"&lt;&gt;Patrícia Karla de Sousa Araújo",$B:$B,"&lt;&gt;Lorena Dias de Araujo",$B:$B,"&lt;&gt;Lucas Luiz Romero")*(35/1083),IF(C3310="Técnico II",SUMIFS($D:$D,$A:$A,$A3310,$B:$B,"&lt;&gt;Patrícia Karla de Sousa Araújo",$B:$B,"&lt;&gt;Lorena Dias de Araujo",$B:$B,"&lt;&gt;Lucas Luiz Romero")*(28/1083),IF(C3310="Técnico I",SUMIFS($D:$D,$A:$A,$A3310,$B:$B,"&lt;&gt;Patrícia Karla de Sousa Araújo",$B:$B,"&lt;&gt;Lorena Dias de Araujo",$B:$B,"&lt;&gt;Lucas Luiz Romero")*(23/1083),IF(C3310="JR",SUMIFS($D:$D,$A:$A,$A3310,$B:$B,"&lt;&gt;Patrícia Karla de Sousa Araújo",$B:$B,"&lt;&gt;Lorena Dias de Araujo",$B:$B,"&lt;&gt;Lucas Luiz Romero")*(20/1083),IF(C3310="Estágio",SUMIFS($D:$D,$A:$A,$A3310,$B:$B,"&lt;&gt;Patrícia Karla de Sousa Araújo",$B:$B,"&lt;&gt;Lorena Dias de Araujo",$B:$B,"&lt;&gt;Lucas Luiz Romero")*(10/1083),0)))))),0)</f>
        <v/>
      </c>
      <c r="K3310" s="3">
        <f>I3310-J3310</f>
        <v/>
      </c>
      <c r="L3310" s="3">
        <f>IF(K3310&lt;-5,"CRÍTICO",IF(K3310&lt;0,"ATENÇÃO",IF(K3310&lt;=5,"OPORTUNO","MUITO BOM")))</f>
        <v/>
      </c>
      <c r="M3310" s="3" t="n">
        <v>23</v>
      </c>
      <c r="N3310" s="3" t="n">
        <v>98.90000000000001</v>
      </c>
      <c r="O3310" s="12" t="n">
        <v>26.7639902676399</v>
      </c>
    </row>
    <row r="3311">
      <c r="A3311" s="10" t="n">
        <v>46105</v>
      </c>
      <c r="B3311" t="inlineStr">
        <is>
          <t>Maria Eduarda Sousa Costa</t>
        </is>
      </c>
      <c r="C3311" s="1" t="inlineStr">
        <is>
          <t>Estágio</t>
        </is>
      </c>
      <c r="D3311" s="3" t="n">
        <v>6</v>
      </c>
      <c r="E3311" s="3" t="n">
        <v>6</v>
      </c>
      <c r="F3311" s="3" t="n">
        <v>50.07</v>
      </c>
      <c r="G3311" s="3" t="n">
        <v>0</v>
      </c>
      <c r="H3311" s="3" t="n">
        <v>0</v>
      </c>
      <c r="I3311" s="3">
        <f>E3311+G3311+H3311</f>
        <v/>
      </c>
      <c r="J3311" s="3">
        <f>ROUND(MIN(IF(C3311="Técnico III",35,IF(C3311="Técnico II",28,IF(C3311="Técnico I",23,IF(C3311="JR",20,IF(C3311="Estágio",10,0))))),IF(C3311="Técnico III",SUMIFS($D:$D,$A:$A,$A3311,$B:$B,"&lt;&gt;Patrícia Karla de Sousa Araújo",$B:$B,"&lt;&gt;Lorena Dias de Araujo",$B:$B,"&lt;&gt;Lucas Luiz Romero")*(35/1083),IF(C3311="Técnico II",SUMIFS($D:$D,$A:$A,$A3311,$B:$B,"&lt;&gt;Patrícia Karla de Sousa Araújo",$B:$B,"&lt;&gt;Lorena Dias de Araujo",$B:$B,"&lt;&gt;Lucas Luiz Romero")*(28/1083),IF(C3311="Técnico I",SUMIFS($D:$D,$A:$A,$A3311,$B:$B,"&lt;&gt;Patrícia Karla de Sousa Araújo",$B:$B,"&lt;&gt;Lorena Dias de Araujo",$B:$B,"&lt;&gt;Lucas Luiz Romero")*(23/1083),IF(C3311="JR",SUMIFS($D:$D,$A:$A,$A3311,$B:$B,"&lt;&gt;Patrícia Karla de Sousa Araújo",$B:$B,"&lt;&gt;Lorena Dias de Araujo",$B:$B,"&lt;&gt;Lucas Luiz Romero")*(20/1083),IF(C3311="Estágio",SUMIFS($D:$D,$A:$A,$A3311,$B:$B,"&lt;&gt;Patrícia Karla de Sousa Araújo",$B:$B,"&lt;&gt;Lorena Dias de Araujo",$B:$B,"&lt;&gt;Lucas Luiz Romero")*(10/1083),0)))))),0)</f>
        <v/>
      </c>
      <c r="K3311" s="3">
        <f>I3311-J3311</f>
        <v/>
      </c>
      <c r="L3311" s="3">
        <f>IF(K3311&lt;-5,"CRÍTICO",IF(K3311&lt;0,"ATENÇÃO",IF(K3311&lt;=5,"OPORTUNO","MUITO BOM")))</f>
        <v/>
      </c>
      <c r="M3311" s="3" t="n">
        <v>5</v>
      </c>
      <c r="N3311" s="3" t="n">
        <v>88.89</v>
      </c>
      <c r="O3311" s="12" t="n">
        <v>25.26315789473684</v>
      </c>
    </row>
    <row r="3312">
      <c r="A3312" s="10" t="n">
        <v>46125</v>
      </c>
      <c r="B3312" t="inlineStr">
        <is>
          <t>Matheus Farias De Souza</t>
        </is>
      </c>
      <c r="C3312" s="1" t="inlineStr">
        <is>
          <t>Técnico III</t>
        </is>
      </c>
      <c r="D3312" s="3" t="n">
        <v>23</v>
      </c>
      <c r="E3312" s="3" t="n">
        <v>21</v>
      </c>
      <c r="F3312" s="3" t="n">
        <v>18.44</v>
      </c>
      <c r="G3312" s="3" t="n">
        <v>0</v>
      </c>
      <c r="H3312" s="3" t="n">
        <v>0</v>
      </c>
      <c r="I3312" s="3">
        <f>E3312+G3312+H3312</f>
        <v/>
      </c>
      <c r="J3312" s="3">
        <f>ROUND(MIN(IF(C3312="Técnico III",35,IF(C3312="Técnico II",28,IF(C3312="Técnico I",23,IF(C3312="JR",20,IF(C3312="Estágio",10,0))))),IF(C3312="Técnico III",SUMIFS($D:$D,$A:$A,$A3312,$B:$B,"&lt;&gt;Patrícia Karla de Sousa Araújo",$B:$B,"&lt;&gt;Lorena Dias de Araujo",$B:$B,"&lt;&gt;Lucas Luiz Romero")*(35/1083),IF(C3312="Técnico II",SUMIFS($D:$D,$A:$A,$A3312,$B:$B,"&lt;&gt;Patrícia Karla de Sousa Araújo",$B:$B,"&lt;&gt;Lorena Dias de Araujo",$B:$B,"&lt;&gt;Lucas Luiz Romero")*(28/1083),IF(C3312="Técnico I",SUMIFS($D:$D,$A:$A,$A3312,$B:$B,"&lt;&gt;Patrícia Karla de Sousa Araújo",$B:$B,"&lt;&gt;Lorena Dias de Araujo",$B:$B,"&lt;&gt;Lucas Luiz Romero")*(23/1083),IF(C3312="JR",SUMIFS($D:$D,$A:$A,$A3312,$B:$B,"&lt;&gt;Patrícia Karla de Sousa Araújo",$B:$B,"&lt;&gt;Lorena Dias de Araujo",$B:$B,"&lt;&gt;Lucas Luiz Romero")*(20/1083),IF(C3312="Estágio",SUMIFS($D:$D,$A:$A,$A3312,$B:$B,"&lt;&gt;Patrícia Karla de Sousa Araújo",$B:$B,"&lt;&gt;Lorena Dias de Araujo",$B:$B,"&lt;&gt;Lucas Luiz Romero")*(10/1083),0)))))),0)</f>
        <v/>
      </c>
      <c r="K3312" s="3">
        <f>I3312-J3312</f>
        <v/>
      </c>
      <c r="L3312" s="3">
        <f>IF(K3312&lt;-5,"CRÍTICO",IF(K3312&lt;0,"ATENÇÃO",IF(K3312&lt;=5,"OPORTUNO","MUITO BOM")))</f>
        <v/>
      </c>
      <c r="M3312" s="3" t="n">
        <v>19</v>
      </c>
      <c r="N3312" s="3" t="n">
        <v>100</v>
      </c>
      <c r="O3312" s="12" t="n">
        <v>23.9870340356564</v>
      </c>
    </row>
    <row r="3313">
      <c r="A3313" s="10" t="n">
        <v>46105</v>
      </c>
      <c r="B3313" t="inlineStr">
        <is>
          <t>Maysa Victoria Dias Moura</t>
        </is>
      </c>
      <c r="C3313" s="1" t="inlineStr">
        <is>
          <t>Técnico III</t>
        </is>
      </c>
      <c r="D3313" s="3" t="n">
        <v>26</v>
      </c>
      <c r="E3313" s="3" t="n">
        <v>23</v>
      </c>
      <c r="F3313" s="3" t="n">
        <v>15.14</v>
      </c>
      <c r="G3313" s="3" t="n">
        <v>0</v>
      </c>
      <c r="H3313" s="3" t="n">
        <v>0</v>
      </c>
      <c r="I3313" s="3">
        <f>E3313+G3313+H3313</f>
        <v/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/>
      </c>
      <c r="K3313" s="3">
        <f>I3313-J3313</f>
        <v/>
      </c>
      <c r="L3313" s="3">
        <f>IF(K3313&lt;-5,"CRÍTICO",IF(K3313&lt;0,"ATENÇÃO",IF(K3313&lt;=5,"OPORTUNO","MUITO BOM")))</f>
        <v/>
      </c>
      <c r="M3313" s="3" t="n">
        <v>23</v>
      </c>
      <c r="N3313" s="3" t="n">
        <v>98.06</v>
      </c>
      <c r="O3313" s="12" t="n">
        <v>22.40566037735849</v>
      </c>
    </row>
    <row r="3314">
      <c r="A3314" s="10" t="n">
        <v>46133</v>
      </c>
      <c r="B3314" t="inlineStr">
        <is>
          <t>Michelle G Santos</t>
        </is>
      </c>
      <c r="C3314" s="1" t="inlineStr">
        <is>
          <t>Estágio</t>
        </is>
      </c>
      <c r="D3314" s="3" t="n">
        <v>0</v>
      </c>
      <c r="E3314" s="3" t="n">
        <v>0</v>
      </c>
      <c r="F3314" s="3" t="n">
        <v>0</v>
      </c>
      <c r="G3314" s="3" t="n">
        <v>0</v>
      </c>
      <c r="H3314" s="3" t="n">
        <v>0</v>
      </c>
      <c r="I3314" s="3" t="n">
        <v>0</v>
      </c>
      <c r="J3314" s="3" t="n">
        <v>0</v>
      </c>
      <c r="K3314" s="3" t="n">
        <v>0</v>
      </c>
      <c r="M3314" s="3" t="n">
        <v>0</v>
      </c>
      <c r="N3314" s="3" t="n">
        <v>100</v>
      </c>
      <c r="O3314" s="12" t="n">
        <v>23.77622377622378</v>
      </c>
    </row>
    <row r="3315">
      <c r="A3315" s="10" t="n">
        <v>46105</v>
      </c>
      <c r="B3315" t="inlineStr">
        <is>
          <t>Milena Sales</t>
        </is>
      </c>
      <c r="C3315" s="1" t="inlineStr">
        <is>
          <t>JR</t>
        </is>
      </c>
      <c r="D3315" s="3" t="n">
        <v>0</v>
      </c>
      <c r="E3315" s="3" t="n">
        <v>0</v>
      </c>
      <c r="F3315" s="3" t="n">
        <v>0</v>
      </c>
      <c r="G3315" s="3" t="n">
        <v>0</v>
      </c>
      <c r="H3315" s="3" t="n">
        <v>0</v>
      </c>
      <c r="I3315" s="3" t="n">
        <v>0</v>
      </c>
      <c r="J3315" s="3" t="n">
        <v>0</v>
      </c>
      <c r="K3315" s="3" t="n">
        <v>0</v>
      </c>
      <c r="L3315" s="3">
        <f>IF(K3315&lt;-5,"CRÍTICO",IF(K3315&lt;0,"ATENÇÃO",IF(K3315&lt;=5,"OPORTUNO","MUITO BOM")))</f>
        <v/>
      </c>
      <c r="M3315" s="3" t="n">
        <v>0</v>
      </c>
      <c r="N3315" s="3" t="n">
        <v>100</v>
      </c>
      <c r="O3315" s="12" t="n">
        <v>15.38461538461539</v>
      </c>
    </row>
    <row r="3316">
      <c r="A3316" s="10" t="n">
        <v>46105</v>
      </c>
      <c r="B3316" t="inlineStr">
        <is>
          <t>Patrícia Karla de Sousa Araújo</t>
        </is>
      </c>
      <c r="C3316" s="1" t="inlineStr">
        <is>
          <t>Técnico II</t>
        </is>
      </c>
      <c r="D3316" s="3" t="n">
        <v>25</v>
      </c>
      <c r="E3316" s="3" t="n">
        <v>21</v>
      </c>
      <c r="F3316" s="3" t="n">
        <v>15</v>
      </c>
      <c r="G3316" s="3" t="n">
        <v>0</v>
      </c>
      <c r="H3316" s="3" t="n">
        <v>0</v>
      </c>
      <c r="I3316" s="3">
        <f>E3316+G3316+H3316</f>
        <v/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/>
      </c>
      <c r="K3316" s="3">
        <f>I3316-J3316</f>
        <v/>
      </c>
      <c r="L3316" s="3">
        <f>IF(K3316&lt;-5,"CRÍTICO",IF(K3316&lt;0,"ATENÇÃO",IF(K3316&lt;=5,"OPORTUNO","MUITO BOM")))</f>
        <v/>
      </c>
      <c r="M3316" s="3" t="n">
        <v>20</v>
      </c>
      <c r="N3316" s="3" t="n">
        <v>100</v>
      </c>
      <c r="O3316" s="12" t="n">
        <v>27.51479289940828</v>
      </c>
    </row>
    <row r="3317">
      <c r="A3317" s="10" t="n">
        <v>46105</v>
      </c>
      <c r="B3317" t="inlineStr">
        <is>
          <t>Paulo Ricardo Santos</t>
        </is>
      </c>
      <c r="C3317" s="1" t="inlineStr">
        <is>
          <t>JR</t>
        </is>
      </c>
      <c r="D3317" s="3" t="n">
        <v>14</v>
      </c>
      <c r="E3317" s="3" t="n">
        <v>13</v>
      </c>
      <c r="F3317" s="3" t="n">
        <v>30.32</v>
      </c>
      <c r="G3317" s="3" t="n">
        <v>0</v>
      </c>
      <c r="H3317" s="3" t="n">
        <v>0</v>
      </c>
      <c r="I3317" s="3">
        <f>E3317+G3317+H3317</f>
        <v/>
      </c>
      <c r="J3317" s="3">
        <f>ROUND(MIN(IF(C3317="Técnico III",35,IF(C3317="Técnico II",28,IF(C3317="Técnico I",23,IF(C3317="JR",20,IF(C3317="Estágio",10,0))))),IF(C3317="Técnico III",SUMIFS($D:$D,$A:$A,$A3317,$B:$B,"&lt;&gt;Patrícia Karla de Sousa Araújo",$B:$B,"&lt;&gt;Lorena Dias de Araujo",$B:$B,"&lt;&gt;Lucas Luiz Romero")*(35/1083),IF(C3317="Técnico II",SUMIFS($D:$D,$A:$A,$A3317,$B:$B,"&lt;&gt;Patrícia Karla de Sousa Araújo",$B:$B,"&lt;&gt;Lorena Dias de Araujo",$B:$B,"&lt;&gt;Lucas Luiz Romero")*(28/1083),IF(C3317="Técnico I",SUMIFS($D:$D,$A:$A,$A3317,$B:$B,"&lt;&gt;Patrícia Karla de Sousa Araújo",$B:$B,"&lt;&gt;Lorena Dias de Araujo",$B:$B,"&lt;&gt;Lucas Luiz Romero")*(23/1083),IF(C3317="JR",SUMIFS($D:$D,$A:$A,$A3317,$B:$B,"&lt;&gt;Patrícia Karla de Sousa Araújo",$B:$B,"&lt;&gt;Lorena Dias de Araujo",$B:$B,"&lt;&gt;Lucas Luiz Romero")*(20/1083),IF(C3317="Estágio",SUMIFS($D:$D,$A:$A,$A3317,$B:$B,"&lt;&gt;Patrícia Karla de Sousa Araújo",$B:$B,"&lt;&gt;Lorena Dias de Araujo",$B:$B,"&lt;&gt;Lucas Luiz Romero")*(10/1083),0)))))),0)</f>
        <v/>
      </c>
      <c r="K3317" s="3">
        <f>I3317-J3317</f>
        <v/>
      </c>
      <c r="L3317" s="3">
        <f>IF(K3317&lt;-5,"CRÍTICO",IF(K3317&lt;0,"ATENÇÃO",IF(K3317&lt;=5,"OPORTUNO","MUITO BOM")))</f>
        <v/>
      </c>
      <c r="M3317" s="3" t="n">
        <v>12</v>
      </c>
      <c r="N3317" s="3" t="n">
        <v>100</v>
      </c>
      <c r="O3317" s="12" t="n">
        <v>24.87562189054727</v>
      </c>
    </row>
    <row r="3318">
      <c r="A3318" s="10" t="n">
        <v>46105</v>
      </c>
      <c r="B3318" t="inlineStr">
        <is>
          <t>Pedro Luiz Mota Sousa</t>
        </is>
      </c>
      <c r="C3318" s="1" t="inlineStr">
        <is>
          <t>JR</t>
        </is>
      </c>
      <c r="D3318" s="3" t="n">
        <v>13</v>
      </c>
      <c r="E3318" s="3" t="n">
        <v>12</v>
      </c>
      <c r="F3318" s="3" t="n">
        <v>36.52</v>
      </c>
      <c r="G3318" s="3" t="n">
        <v>0</v>
      </c>
      <c r="H3318" s="3" t="n">
        <v>0</v>
      </c>
      <c r="I3318" s="3">
        <f>E3318+G3318+H3318</f>
        <v/>
      </c>
      <c r="J3318" s="3">
        <f>ROUND(MIN(IF(C3318="Técnico III",35,IF(C3318="Técnico II",28,IF(C3318="Técnico I",23,IF(C3318="JR",20,IF(C3318="Estágio",10,0))))),IF(C3318="Técnico III",SUMIFS($D:$D,$A:$A,$A3318,$B:$B,"&lt;&gt;Patrícia Karla de Sousa Araújo",$B:$B,"&lt;&gt;Lorena Dias de Araujo",$B:$B,"&lt;&gt;Lucas Luiz Romero")*(35/1083),IF(C3318="Técnico II",SUMIFS($D:$D,$A:$A,$A3318,$B:$B,"&lt;&gt;Patrícia Karla de Sousa Araújo",$B:$B,"&lt;&gt;Lorena Dias de Araujo",$B:$B,"&lt;&gt;Lucas Luiz Romero")*(28/1083),IF(C3318="Técnico I",SUMIFS($D:$D,$A:$A,$A3318,$B:$B,"&lt;&gt;Patrícia Karla de Sousa Araújo",$B:$B,"&lt;&gt;Lorena Dias de Araujo",$B:$B,"&lt;&gt;Lucas Luiz Romero")*(23/1083),IF(C3318="JR",SUMIFS($D:$D,$A:$A,$A3318,$B:$B,"&lt;&gt;Patrícia Karla de Sousa Araújo",$B:$B,"&lt;&gt;Lorena Dias de Araujo",$B:$B,"&lt;&gt;Lucas Luiz Romero")*(20/1083),IF(C3318="Estágio",SUMIFS($D:$D,$A:$A,$A3318,$B:$B,"&lt;&gt;Patrícia Karla de Sousa Araújo",$B:$B,"&lt;&gt;Lorena Dias de Araujo",$B:$B,"&lt;&gt;Lucas Luiz Romero")*(10/1083),0)))))),0)</f>
        <v/>
      </c>
      <c r="K3318" s="3">
        <f>I3318-J3318</f>
        <v/>
      </c>
      <c r="L3318" s="3">
        <f>IF(K3318&lt;-5,"CRÍTICO",IF(K3318&lt;0,"ATENÇÃO",IF(K3318&lt;=5,"OPORTUNO","MUITO BOM")))</f>
        <v/>
      </c>
      <c r="M3318" s="3" t="n">
        <v>8</v>
      </c>
      <c r="N3318" s="3" t="n">
        <v>100</v>
      </c>
      <c r="O3318" s="12" t="n">
        <v>28.10810810810811</v>
      </c>
    </row>
    <row r="3319">
      <c r="A3319" s="10" t="n">
        <v>46133</v>
      </c>
      <c r="B3319" t="inlineStr">
        <is>
          <t>Quirino Diogo Leite Torres</t>
        </is>
      </c>
      <c r="C3319" s="1" t="inlineStr">
        <is>
          <t>Estágio</t>
        </is>
      </c>
      <c r="D3319" s="3" t="n">
        <v>0</v>
      </c>
      <c r="E3319" s="3" t="n">
        <v>0</v>
      </c>
      <c r="F3319" s="3" t="n">
        <v>0</v>
      </c>
      <c r="G3319" s="3" t="n">
        <v>0</v>
      </c>
      <c r="H3319" s="3" t="n">
        <v>0</v>
      </c>
      <c r="I3319" s="3" t="n">
        <v>0</v>
      </c>
      <c r="J3319" s="3" t="n">
        <v>0</v>
      </c>
      <c r="K3319" s="3" t="n">
        <v>0</v>
      </c>
      <c r="M3319" s="3" t="n">
        <v>0</v>
      </c>
      <c r="N3319" s="3" t="n">
        <v>94.12</v>
      </c>
      <c r="O3319" s="12" t="n">
        <v>32.8</v>
      </c>
    </row>
    <row r="3320">
      <c r="A3320" s="10" t="n">
        <v>46105</v>
      </c>
      <c r="B3320" t="inlineStr">
        <is>
          <t>Raane Batista Matos</t>
        </is>
      </c>
      <c r="C3320" s="1" t="inlineStr">
        <is>
          <t>Técnico I</t>
        </is>
      </c>
      <c r="D3320" s="3" t="n">
        <v>30</v>
      </c>
      <c r="E3320" s="3" t="n">
        <v>25</v>
      </c>
      <c r="F3320" s="3" t="n">
        <v>20.05</v>
      </c>
      <c r="G3320" s="3" t="n">
        <v>0</v>
      </c>
      <c r="H3320" s="3" t="n">
        <v>0</v>
      </c>
      <c r="I3320" s="3">
        <f>E3320+G3320+H3320</f>
        <v/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/>
      </c>
      <c r="K3320" s="3">
        <f>I3320-J3320</f>
        <v/>
      </c>
      <c r="L3320" s="3">
        <f>IF(K3320&lt;-5,"CRÍTICO",IF(K3320&lt;0,"ATENÇÃO",IF(K3320&lt;=5,"OPORTUNO","MUITO BOM")))</f>
        <v/>
      </c>
      <c r="M3320" s="3" t="n">
        <v>18</v>
      </c>
      <c r="N3320" s="3" t="n">
        <v>95.34999999999999</v>
      </c>
      <c r="O3320" s="12" t="n">
        <v>28.61538461538461</v>
      </c>
    </row>
    <row r="3321">
      <c r="A3321" s="10" t="n">
        <v>46105</v>
      </c>
      <c r="B3321" t="inlineStr">
        <is>
          <t>Rafael Gomes de Morais</t>
        </is>
      </c>
      <c r="C3321" s="1" t="inlineStr">
        <is>
          <t>Técnico III</t>
        </is>
      </c>
      <c r="D3321" s="3" t="n">
        <v>37</v>
      </c>
      <c r="E3321" s="3" t="n">
        <v>34</v>
      </c>
      <c r="F3321" s="3" t="n">
        <v>15.27</v>
      </c>
      <c r="G3321" s="3" t="n">
        <v>0</v>
      </c>
      <c r="H3321" s="3" t="n">
        <v>0</v>
      </c>
      <c r="I3321" s="3">
        <f>E3321+G3321+H3321</f>
        <v/>
      </c>
      <c r="J3321" s="3">
        <f>ROUND(MIN(IF(C3321="Técnico III",35,IF(C3321="Técnico II",28,IF(C3321="Técnico I",23,IF(C3321="JR",20,IF(C3321="Estágio",10,0))))),IF(C3321="Técnico III",SUMIFS($D:$D,$A:$A,$A3321,$B:$B,"&lt;&gt;Patrícia Karla de Sousa Araújo",$B:$B,"&lt;&gt;Lorena Dias de Araujo",$B:$B,"&lt;&gt;Lucas Luiz Romero")*(35/1083),IF(C3321="Técnico II",SUMIFS($D:$D,$A:$A,$A3321,$B:$B,"&lt;&gt;Patrícia Karla de Sousa Araújo",$B:$B,"&lt;&gt;Lorena Dias de Araujo",$B:$B,"&lt;&gt;Lucas Luiz Romero")*(28/1083),IF(C3321="Técnico I",SUMIFS($D:$D,$A:$A,$A3321,$B:$B,"&lt;&gt;Patrícia Karla de Sousa Araújo",$B:$B,"&lt;&gt;Lorena Dias de Araujo",$B:$B,"&lt;&gt;Lucas Luiz Romero")*(23/1083),IF(C3321="JR",SUMIFS($D:$D,$A:$A,$A3321,$B:$B,"&lt;&gt;Patrícia Karla de Sousa Araújo",$B:$B,"&lt;&gt;Lorena Dias de Araujo",$B:$B,"&lt;&gt;Lucas Luiz Romero")*(20/1083),IF(C3321="Estágio",SUMIFS($D:$D,$A:$A,$A3321,$B:$B,"&lt;&gt;Patrícia Karla de Sousa Araújo",$B:$B,"&lt;&gt;Lorena Dias de Araujo",$B:$B,"&lt;&gt;Lucas Luiz Romero")*(10/1083),0)))))),0)</f>
        <v/>
      </c>
      <c r="K3321" s="3">
        <f>I3321-J3321</f>
        <v/>
      </c>
      <c r="L3321" s="3">
        <f>IF(K3321&lt;-5,"CRÍTICO",IF(K3321&lt;0,"ATENÇÃO",IF(K3321&lt;=5,"OPORTUNO","MUITO BOM")))</f>
        <v/>
      </c>
      <c r="M3321" s="3" t="n">
        <v>25</v>
      </c>
      <c r="N3321" s="3" t="n">
        <v>98.26000000000001</v>
      </c>
      <c r="O3321" s="12" t="n">
        <v>27.54491017964072</v>
      </c>
    </row>
    <row r="3322">
      <c r="A3322" s="10" t="n">
        <v>46105</v>
      </c>
      <c r="B3322" t="inlineStr">
        <is>
          <t>Sara Maria Monteiro Lopes</t>
        </is>
      </c>
      <c r="C3322" s="1" t="inlineStr">
        <is>
          <t>Técnico I</t>
        </is>
      </c>
      <c r="D3322" s="3" t="n">
        <v>12</v>
      </c>
      <c r="E3322" s="3" t="n">
        <v>11</v>
      </c>
      <c r="F3322" s="3" t="n">
        <v>37.35</v>
      </c>
      <c r="G3322" s="3" t="n">
        <v>0</v>
      </c>
      <c r="H3322" s="3" t="n">
        <v>0</v>
      </c>
      <c r="I3322" s="3">
        <f>E3322+G3322+H3322</f>
        <v/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/>
      </c>
      <c r="K3322" s="3">
        <f>I3322-J3322</f>
        <v/>
      </c>
      <c r="L3322" s="3">
        <f>IF(K3322&lt;-5,"CRÍTICO",IF(K3322&lt;0,"ATENÇÃO",IF(K3322&lt;=5,"OPORTUNO","MUITO BOM")))</f>
        <v/>
      </c>
      <c r="M3322" s="3" t="n">
        <v>12</v>
      </c>
      <c r="N3322" s="3" t="n">
        <v>98.55</v>
      </c>
      <c r="O3322" s="12" t="n">
        <v>25.33783783783784</v>
      </c>
    </row>
    <row r="3323">
      <c r="A3323" s="10" t="n">
        <v>46105</v>
      </c>
      <c r="B3323" t="inlineStr">
        <is>
          <t>Sarah Steffanie de Lima Borges</t>
        </is>
      </c>
      <c r="C3323" s="1" t="inlineStr">
        <is>
          <t>Técnico III</t>
        </is>
      </c>
      <c r="D3323" s="3" t="n">
        <v>28</v>
      </c>
      <c r="E3323" s="3" t="n">
        <v>27</v>
      </c>
      <c r="F3323" s="3" t="n">
        <v>15.34</v>
      </c>
      <c r="G3323" s="3" t="n">
        <v>0</v>
      </c>
      <c r="H3323" s="3" t="n">
        <v>0</v>
      </c>
      <c r="I3323" s="3">
        <f>E3323+G3323+H3323</f>
        <v/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/>
      </c>
      <c r="K3323" s="3">
        <f>I3323-J3323</f>
        <v/>
      </c>
      <c r="L3323" s="3">
        <f>IF(K3323&lt;-5,"CRÍTICO",IF(K3323&lt;0,"ATENÇÃO",IF(K3323&lt;=5,"OPORTUNO","MUITO BOM")))</f>
        <v/>
      </c>
      <c r="M3323" s="3" t="n">
        <v>26</v>
      </c>
      <c r="N3323" s="3" t="n">
        <v>98.39</v>
      </c>
      <c r="O3323" s="12" t="n">
        <v>25.56390977443609</v>
      </c>
    </row>
    <row r="3324">
      <c r="A3324" s="10" t="n">
        <v>46106</v>
      </c>
      <c r="B3324" t="inlineStr">
        <is>
          <t>Alisson de Freitas Silva</t>
        </is>
      </c>
      <c r="C3324" s="1" t="inlineStr">
        <is>
          <t>Técnico II</t>
        </is>
      </c>
      <c r="D3324" s="3" t="n">
        <v>26</v>
      </c>
      <c r="E3324" s="3" t="n">
        <v>18</v>
      </c>
      <c r="F3324" s="3" t="n">
        <v>10.2</v>
      </c>
      <c r="G3324" s="3" t="n">
        <v>0</v>
      </c>
      <c r="H3324" s="3" t="n">
        <v>0</v>
      </c>
      <c r="I3324" s="3">
        <f>E3324+G3324+H3324</f>
        <v/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/>
      </c>
      <c r="K3324" s="3">
        <f>I3324-J3324</f>
        <v/>
      </c>
      <c r="L3324" s="3">
        <f>IF(K3324&lt;-5,"CRÍTICO",IF(K3324&lt;0,"ATENÇÃO",IF(K3324&lt;=5,"OPORTUNO","MUITO BOM")))</f>
        <v/>
      </c>
      <c r="M3324" s="3" t="n">
        <v>13</v>
      </c>
      <c r="N3324" s="3" t="n">
        <v>94.29000000000001</v>
      </c>
      <c r="O3324" s="12" t="n">
        <v>25.64766839378239</v>
      </c>
    </row>
    <row r="3325">
      <c r="A3325" s="10" t="n">
        <v>46106</v>
      </c>
      <c r="B3325" t="inlineStr">
        <is>
          <t>Amanda Moura Ferreira</t>
        </is>
      </c>
      <c r="C3325" s="1" t="inlineStr">
        <is>
          <t>Técnico III</t>
        </is>
      </c>
      <c r="D3325" s="3" t="n">
        <v>0</v>
      </c>
      <c r="E3325" s="3" t="n">
        <v>0</v>
      </c>
      <c r="F3325" s="3" t="n">
        <v>0</v>
      </c>
      <c r="G3325" s="3" t="n">
        <v>0</v>
      </c>
      <c r="H3325" s="3" t="n">
        <v>0</v>
      </c>
      <c r="I3325" s="3" t="n">
        <v>0</v>
      </c>
      <c r="J3325" s="3" t="n">
        <v>0</v>
      </c>
      <c r="K3325" s="3" t="n">
        <v>0</v>
      </c>
      <c r="L3325" s="3">
        <f>IF(K3325&lt;-5,"CRÍTICO",IF(K3325&lt;0,"ATENÇÃO",IF(K3325&lt;=5,"OPORTUNO","MUITO BOM")))</f>
        <v/>
      </c>
      <c r="M3325" s="3" t="n">
        <v>18</v>
      </c>
      <c r="N3325" s="3" t="n">
        <v>98.26000000000001</v>
      </c>
      <c r="O3325" s="12" t="n">
        <v>26.66666666666667</v>
      </c>
    </row>
    <row r="3326">
      <c r="A3326" s="10" t="n">
        <v>46106</v>
      </c>
      <c r="B3326" t="inlineStr">
        <is>
          <t>Ana Karollyne Souza Faria</t>
        </is>
      </c>
      <c r="C3326" s="1" t="inlineStr">
        <is>
          <t>Técnico I</t>
        </is>
      </c>
      <c r="D3326" s="3" t="n">
        <v>18</v>
      </c>
      <c r="E3326" s="3" t="n">
        <v>18</v>
      </c>
      <c r="F3326" s="3" t="n">
        <v>25.31</v>
      </c>
      <c r="G3326" s="3" t="n">
        <v>0</v>
      </c>
      <c r="H3326" s="3" t="n">
        <v>0</v>
      </c>
      <c r="I3326" s="3">
        <f>E3326+G3326+H3326</f>
        <v/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/>
      </c>
      <c r="K3326" s="3">
        <f>I3326-J3326</f>
        <v/>
      </c>
      <c r="L3326" s="3">
        <f>IF(K3326&lt;-5,"CRÍTICO",IF(K3326&lt;0,"ATENÇÃO",IF(K3326&lt;=5,"OPORTUNO","MUITO BOM")))</f>
        <v/>
      </c>
      <c r="M3326" s="3" t="n">
        <v>16</v>
      </c>
      <c r="N3326" s="3" t="n">
        <v>98.2</v>
      </c>
      <c r="O3326" s="12" t="n">
        <v>23.37962962962963</v>
      </c>
    </row>
    <row r="3327">
      <c r="A3327" s="10" t="n">
        <v>46106</v>
      </c>
      <c r="B3327" t="inlineStr">
        <is>
          <t>Ana Paula Da Luz Silva Aleixo</t>
        </is>
      </c>
      <c r="C3327" s="1" t="inlineStr">
        <is>
          <t>Técnico III</t>
        </is>
      </c>
      <c r="D3327" s="3" t="n">
        <v>23</v>
      </c>
      <c r="E3327" s="3" t="n">
        <v>22</v>
      </c>
      <c r="F3327" s="3" t="n">
        <v>22.37</v>
      </c>
      <c r="G3327" s="3" t="n">
        <v>0</v>
      </c>
      <c r="H3327" s="3" t="n">
        <v>0</v>
      </c>
      <c r="I3327" s="3">
        <f>E3327+G3327+H3327</f>
        <v/>
      </c>
      <c r="J3327" s="3">
        <f>ROUND(MIN(IF(C3327="Técnico III",35,IF(C3327="Técnico II",28,IF(C3327="Técnico I",23,IF(C3327="JR",20,IF(C3327="Estágio",10,0))))),IF(C3327="Técnico III",SUMIFS($D:$D,$A:$A,$A3327,$B:$B,"&lt;&gt;Patrícia Karla de Sousa Araújo",$B:$B,"&lt;&gt;Lorena Dias de Araujo",$B:$B,"&lt;&gt;Lucas Luiz Romero")*(35/1083),IF(C3327="Técnico II",SUMIFS($D:$D,$A:$A,$A3327,$B:$B,"&lt;&gt;Patrícia Karla de Sousa Araújo",$B:$B,"&lt;&gt;Lorena Dias de Araujo",$B:$B,"&lt;&gt;Lucas Luiz Romero")*(28/1083),IF(C3327="Técnico I",SUMIFS($D:$D,$A:$A,$A3327,$B:$B,"&lt;&gt;Patrícia Karla de Sousa Araújo",$B:$B,"&lt;&gt;Lorena Dias de Araujo",$B:$B,"&lt;&gt;Lucas Luiz Romero")*(23/1083),IF(C3327="JR",SUMIFS($D:$D,$A:$A,$A3327,$B:$B,"&lt;&gt;Patrícia Karla de Sousa Araújo",$B:$B,"&lt;&gt;Lorena Dias de Araujo",$B:$B,"&lt;&gt;Lucas Luiz Romero")*(20/1083),IF(C3327="Estágio",SUMIFS($D:$D,$A:$A,$A3327,$B:$B,"&lt;&gt;Patrícia Karla de Sousa Araújo",$B:$B,"&lt;&gt;Lorena Dias de Araujo",$B:$B,"&lt;&gt;Lucas Luiz Romero")*(10/1083),0)))))),0)</f>
        <v/>
      </c>
      <c r="K3327" s="3">
        <f>I3327-J3327</f>
        <v/>
      </c>
      <c r="L3327" s="3">
        <f>IF(K3327&lt;-5,"CRÍTICO",IF(K3327&lt;0,"ATENÇÃO",IF(K3327&lt;=5,"OPORTUNO","MUITO BOM")))</f>
        <v/>
      </c>
      <c r="M3327" s="3" t="n">
        <v>23</v>
      </c>
      <c r="N3327" s="3" t="n">
        <v>97.3</v>
      </c>
      <c r="O3327" s="12" t="n">
        <v>23.84769539078156</v>
      </c>
    </row>
    <row r="3328">
      <c r="A3328" s="10" t="n">
        <v>46106</v>
      </c>
      <c r="B3328" t="inlineStr">
        <is>
          <t>Anna Luiza Rezende Tavares</t>
        </is>
      </c>
      <c r="C3328" s="1" t="inlineStr">
        <is>
          <t>Estágio</t>
        </is>
      </c>
      <c r="D3328" s="3" t="n">
        <v>10</v>
      </c>
      <c r="E3328" s="3" t="n">
        <v>9</v>
      </c>
      <c r="F3328" s="3" t="n">
        <v>33.36</v>
      </c>
      <c r="G3328" s="3" t="n">
        <v>0</v>
      </c>
      <c r="H3328" s="3" t="n">
        <v>0</v>
      </c>
      <c r="I3328" s="3">
        <f>E3328+G3328+H3328</f>
        <v/>
      </c>
      <c r="J3328" s="3">
        <f>ROUND(MIN(IF(C3328="Técnico III",35,IF(C3328="Técnico II",28,IF(C3328="Técnico I",23,IF(C3328="JR",20,IF(C3328="Estágio",10,0))))),IF(C3328="Técnico III",SUMIFS($D:$D,$A:$A,$A3328,$B:$B,"&lt;&gt;Patrícia Karla de Sousa Araújo",$B:$B,"&lt;&gt;Lorena Dias de Araujo",$B:$B,"&lt;&gt;Lucas Luiz Romero")*(35/1083),IF(C3328="Técnico II",SUMIFS($D:$D,$A:$A,$A3328,$B:$B,"&lt;&gt;Patrícia Karla de Sousa Araújo",$B:$B,"&lt;&gt;Lorena Dias de Araujo",$B:$B,"&lt;&gt;Lucas Luiz Romero")*(28/1083),IF(C3328="Técnico I",SUMIFS($D:$D,$A:$A,$A3328,$B:$B,"&lt;&gt;Patrícia Karla de Sousa Araújo",$B:$B,"&lt;&gt;Lorena Dias de Araujo",$B:$B,"&lt;&gt;Lucas Luiz Romero")*(23/1083),IF(C3328="JR",SUMIFS($D:$D,$A:$A,$A3328,$B:$B,"&lt;&gt;Patrícia Karla de Sousa Araújo",$B:$B,"&lt;&gt;Lorena Dias de Araujo",$B:$B,"&lt;&gt;Lucas Luiz Romero")*(20/1083),IF(C3328="Estágio",SUMIFS($D:$D,$A:$A,$A3328,$B:$B,"&lt;&gt;Patrícia Karla de Sousa Araújo",$B:$B,"&lt;&gt;Lorena Dias de Araujo",$B:$B,"&lt;&gt;Lucas Luiz Romero")*(10/1083),0)))))),0)</f>
        <v/>
      </c>
      <c r="K3328" s="3">
        <f>I3328-J3328</f>
        <v/>
      </c>
      <c r="L3328" s="3">
        <f>IF(K3328&lt;-5,"CRÍTICO",IF(K3328&lt;0,"ATENÇÃO",IF(K3328&lt;=5,"OPORTUNO","MUITO BOM")))</f>
        <v/>
      </c>
      <c r="M3328" s="3" t="n">
        <v>8</v>
      </c>
      <c r="N3328" s="3" t="n">
        <v>100</v>
      </c>
      <c r="O3328" s="12" t="n">
        <v>25.26881720430108</v>
      </c>
    </row>
    <row r="3329">
      <c r="A3329" s="10" t="n">
        <v>46106</v>
      </c>
      <c r="B3329" t="inlineStr">
        <is>
          <t>Brenda de Menezes Silva</t>
        </is>
      </c>
      <c r="C3329" s="1" t="inlineStr">
        <is>
          <t>Técnico II</t>
        </is>
      </c>
      <c r="D3329" s="3" t="n">
        <v>32</v>
      </c>
      <c r="E3329" s="3" t="n">
        <v>29</v>
      </c>
      <c r="F3329" s="3" t="n">
        <v>10.56</v>
      </c>
      <c r="G3329" s="3" t="n">
        <v>0</v>
      </c>
      <c r="H3329" s="3" t="n">
        <v>0</v>
      </c>
      <c r="I3329" s="3">
        <f>E3329+G3329+H3329</f>
        <v/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/>
      </c>
      <c r="K3329" s="3">
        <f>I3329-J3329</f>
        <v/>
      </c>
      <c r="L3329" s="3">
        <f>IF(K3329&lt;-5,"CRÍTICO",IF(K3329&lt;0,"ATENÇÃO",IF(K3329&lt;=5,"OPORTUNO","MUITO BOM")))</f>
        <v/>
      </c>
      <c r="M3329" s="3" t="n">
        <v>32</v>
      </c>
      <c r="N3329" s="3" t="n">
        <v>99.31999999999999</v>
      </c>
      <c r="O3329" s="12" t="n">
        <v>22.82282282282282</v>
      </c>
    </row>
    <row r="3330">
      <c r="A3330" s="10" t="n">
        <v>46106</v>
      </c>
      <c r="B3330" t="inlineStr">
        <is>
          <t>Carlos Mateus Cassimiro Nunes</t>
        </is>
      </c>
      <c r="C3330" s="1" t="inlineStr">
        <is>
          <t>Técnico II</t>
        </is>
      </c>
      <c r="D3330" s="3" t="n">
        <v>18</v>
      </c>
      <c r="E3330" s="3" t="n">
        <v>18</v>
      </c>
      <c r="F3330" s="3" t="n">
        <v>27.36</v>
      </c>
      <c r="G3330" s="3" t="n">
        <v>0</v>
      </c>
      <c r="H3330" s="3" t="n">
        <v>0</v>
      </c>
      <c r="I3330" s="3">
        <f>E3330+G3330+H3330</f>
        <v/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/>
      </c>
      <c r="K3330" s="3">
        <f>I3330-J3330</f>
        <v/>
      </c>
      <c r="L3330" s="3">
        <f>IF(K3330&lt;-5,"CRÍTICO",IF(K3330&lt;0,"ATENÇÃO",IF(K3330&lt;=5,"OPORTUNO","MUITO BOM")))</f>
        <v/>
      </c>
      <c r="M3330" s="3" t="n">
        <v>20</v>
      </c>
      <c r="N3330" s="3" t="n">
        <v>100</v>
      </c>
      <c r="O3330" s="12" t="n">
        <v>27.96610169491525</v>
      </c>
    </row>
    <row r="3331">
      <c r="A3331" s="10" t="n">
        <v>46106</v>
      </c>
      <c r="B3331" t="inlineStr">
        <is>
          <t>Claudio de Sousa Velasco Filho</t>
        </is>
      </c>
      <c r="C3331" s="1" t="inlineStr">
        <is>
          <t>Estágio</t>
        </is>
      </c>
      <c r="D3331" s="3" t="n">
        <v>4</v>
      </c>
      <c r="E3331" s="3" t="n">
        <v>4</v>
      </c>
      <c r="F3331" s="3" t="n">
        <v>24.17</v>
      </c>
      <c r="G3331" s="3" t="n">
        <v>0</v>
      </c>
      <c r="H3331" s="3" t="n">
        <v>0</v>
      </c>
      <c r="I3331" s="3">
        <f>E3331+G3331+H3331</f>
        <v/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/>
      </c>
      <c r="K3331" s="3">
        <f>I3331-J3331</f>
        <v/>
      </c>
      <c r="L3331" s="3">
        <f>IF(K3331&lt;-5,"CRÍTICO",IF(K3331&lt;0,"ATENÇÃO",IF(K3331&lt;=5,"OPORTUNO","MUITO BOM")))</f>
        <v/>
      </c>
      <c r="M3331" s="3" t="n">
        <v>2</v>
      </c>
      <c r="N3331" s="3" t="n">
        <v>100</v>
      </c>
      <c r="O3331" s="12" t="n">
        <v>30.43478260869566</v>
      </c>
    </row>
    <row r="3332">
      <c r="A3332" s="10" t="n">
        <v>46106</v>
      </c>
      <c r="B3332" t="inlineStr">
        <is>
          <t>Clessiane Pereira dos Santos</t>
        </is>
      </c>
      <c r="C3332" s="1" t="inlineStr">
        <is>
          <t>Técnico I</t>
        </is>
      </c>
      <c r="D3332" s="3" t="n">
        <v>20</v>
      </c>
      <c r="E3332" s="3" t="n">
        <v>20</v>
      </c>
      <c r="F3332" s="3" t="n">
        <v>21.42</v>
      </c>
      <c r="G3332" s="3" t="n">
        <v>0</v>
      </c>
      <c r="H3332" s="3" t="n">
        <v>0</v>
      </c>
      <c r="I3332" s="3">
        <f>E3332+G3332+H3332</f>
        <v/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/>
      </c>
      <c r="K3332" s="3">
        <f>I3332-J3332</f>
        <v/>
      </c>
      <c r="L3332" s="3">
        <f>IF(K3332&lt;-5,"CRÍTICO",IF(K3332&lt;0,"ATENÇÃO",IF(K3332&lt;=5,"OPORTUNO","MUITO BOM")))</f>
        <v/>
      </c>
      <c r="M3332" s="3" t="n">
        <v>15</v>
      </c>
      <c r="N3332" s="3" t="n">
        <v>96.51000000000001</v>
      </c>
      <c r="O3332" s="12" t="n">
        <v>22.80285035629454</v>
      </c>
    </row>
    <row r="3333">
      <c r="A3333" s="10" t="n">
        <v>46106</v>
      </c>
      <c r="B3333" t="inlineStr">
        <is>
          <t>Cristiane Ramos da Silva Rocha</t>
        </is>
      </c>
      <c r="C3333" s="1" t="inlineStr">
        <is>
          <t>Técnico III</t>
        </is>
      </c>
      <c r="D3333" s="3" t="n">
        <v>30</v>
      </c>
      <c r="E3333" s="3" t="n">
        <v>27</v>
      </c>
      <c r="F3333" s="3" t="n">
        <v>12.2</v>
      </c>
      <c r="G3333" s="3" t="n">
        <v>0</v>
      </c>
      <c r="H3333" s="3" t="n">
        <v>0</v>
      </c>
      <c r="I3333" s="3">
        <f>E3333+G3333+H3333</f>
        <v/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/>
      </c>
      <c r="K3333" s="3">
        <f>I3333-J3333</f>
        <v/>
      </c>
      <c r="L3333" s="3">
        <f>IF(K3333&lt;-5,"CRÍTICO",IF(K3333&lt;0,"ATENÇÃO",IF(K3333&lt;=5,"OPORTUNO","MUITO BOM")))</f>
        <v/>
      </c>
      <c r="M3333" s="3" t="n">
        <v>24</v>
      </c>
      <c r="N3333" s="3" t="n">
        <v>92.68000000000001</v>
      </c>
      <c r="O3333" s="12" t="n">
        <v>27.77777777777778</v>
      </c>
    </row>
    <row r="3334">
      <c r="A3334" s="10" t="n">
        <v>46106</v>
      </c>
      <c r="B3334" t="inlineStr">
        <is>
          <t>Damyllis Lorraine de Oliveira Gonçalves</t>
        </is>
      </c>
      <c r="C3334" s="1" t="inlineStr">
        <is>
          <t>Técnico II</t>
        </is>
      </c>
      <c r="D3334" s="3" t="n">
        <v>31</v>
      </c>
      <c r="E3334" s="3" t="n">
        <v>26</v>
      </c>
      <c r="F3334" s="3" t="n">
        <v>15.43</v>
      </c>
      <c r="G3334" s="3" t="n">
        <v>0</v>
      </c>
      <c r="H3334" s="3" t="n">
        <v>0</v>
      </c>
      <c r="I3334" s="3" t="n">
        <v>0</v>
      </c>
      <c r="J3334" s="3" t="n">
        <v>0</v>
      </c>
      <c r="K3334" s="3" t="n">
        <v>0</v>
      </c>
      <c r="L3334" s="3">
        <f>IF(K3334&lt;-5,"CRÍTICO",IF(K3334&lt;0,"ATENÇÃO",IF(K3334&lt;=5,"OPORTUNO","MUITO BOM")))</f>
        <v/>
      </c>
      <c r="M3334" s="3" t="n">
        <v>23</v>
      </c>
      <c r="N3334" s="3" t="n">
        <v>99.03</v>
      </c>
      <c r="O3334" s="12" t="n">
        <v>23.99150743099788</v>
      </c>
    </row>
    <row r="3335">
      <c r="A3335" s="10" t="n">
        <v>46106</v>
      </c>
      <c r="B3335" t="inlineStr">
        <is>
          <t>Daniel Gomes da Silva</t>
        </is>
      </c>
      <c r="C3335" s="1" t="inlineStr">
        <is>
          <t>Técnico I</t>
        </is>
      </c>
      <c r="D3335" s="3" t="n">
        <v>20</v>
      </c>
      <c r="E3335" s="3" t="n">
        <v>20</v>
      </c>
      <c r="F3335" s="3" t="n">
        <v>23.46</v>
      </c>
      <c r="G3335" s="3" t="n">
        <v>0</v>
      </c>
      <c r="H3335" s="3" t="n">
        <v>0</v>
      </c>
      <c r="I3335" s="3">
        <f>E3335+G3335+H3335</f>
        <v/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/>
      </c>
      <c r="K3335" s="3">
        <f>I3335-J3335</f>
        <v/>
      </c>
      <c r="L3335" s="3">
        <f>IF(K3335&lt;-5,"CRÍTICO",IF(K3335&lt;0,"ATENÇÃO",IF(K3335&lt;=5,"OPORTUNO","MUITO BOM")))</f>
        <v/>
      </c>
      <c r="M3335" s="3" t="n">
        <v>7</v>
      </c>
      <c r="N3335" s="3" t="n">
        <v>98.41</v>
      </c>
      <c r="O3335" s="12" t="n">
        <v>28.13852813852814</v>
      </c>
    </row>
    <row r="3336">
      <c r="A3336" s="10" t="n">
        <v>46106</v>
      </c>
      <c r="B3336" t="inlineStr">
        <is>
          <t>Davylla Rodrigues Freitas Silva</t>
        </is>
      </c>
      <c r="C3336" s="1" t="inlineStr">
        <is>
          <t>Técnico III</t>
        </is>
      </c>
      <c r="D3336" s="3" t="n">
        <v>15</v>
      </c>
      <c r="E3336" s="3" t="n">
        <v>14</v>
      </c>
      <c r="F3336" s="3" t="n">
        <v>33.35</v>
      </c>
      <c r="G3336" s="3" t="n">
        <v>0</v>
      </c>
      <c r="H3336" s="3" t="n">
        <v>0</v>
      </c>
      <c r="I3336" s="3" t="n">
        <v>0</v>
      </c>
      <c r="J3336" s="3" t="n">
        <v>0</v>
      </c>
      <c r="K3336" s="3" t="n">
        <v>0</v>
      </c>
      <c r="L3336" s="3">
        <f>IF(K3336&lt;-5,"CRÍTICO",IF(K3336&lt;0,"ATENÇÃO",IF(K3336&lt;=5,"OPORTUNO","MUITO BOM")))</f>
        <v/>
      </c>
      <c r="M3336" s="3" t="n">
        <v>14</v>
      </c>
      <c r="N3336" s="3" t="n">
        <v>98.73</v>
      </c>
      <c r="O3336" s="12" t="n">
        <v>29.14285714285714</v>
      </c>
    </row>
    <row r="3337">
      <c r="A3337" s="10" t="n">
        <v>46106</v>
      </c>
      <c r="B3337" t="inlineStr">
        <is>
          <t>Emilly Caylane Costa</t>
        </is>
      </c>
      <c r="C3337" s="1" t="inlineStr">
        <is>
          <t>Estágio</t>
        </is>
      </c>
      <c r="D3337" s="3" t="n">
        <v>7</v>
      </c>
      <c r="E3337" s="3" t="n">
        <v>7</v>
      </c>
      <c r="F3337" s="3" t="n">
        <v>43.54</v>
      </c>
      <c r="G3337" s="3" t="n">
        <v>0</v>
      </c>
      <c r="H3337" s="3" t="n">
        <v>0</v>
      </c>
      <c r="I3337" s="3">
        <f>E3337+G3337+H3337</f>
        <v/>
      </c>
      <c r="J3337" s="3">
        <f>ROUND(MIN(IF(C3337="Técnico III",35,IF(C3337="Técnico II",28,IF(C3337="Técnico I",23,IF(C3337="JR",20,IF(C3337="Estágio",10,0))))),IF(C3337="Técnico III",SUMIFS($D:$D,$A:$A,$A3337,$B:$B,"&lt;&gt;Patrícia Karla de Sousa Araújo",$B:$B,"&lt;&gt;Lorena Dias de Araujo",$B:$B,"&lt;&gt;Lucas Luiz Romero")*(35/1083),IF(C3337="Técnico II",SUMIFS($D:$D,$A:$A,$A3337,$B:$B,"&lt;&gt;Patrícia Karla de Sousa Araújo",$B:$B,"&lt;&gt;Lorena Dias de Araujo",$B:$B,"&lt;&gt;Lucas Luiz Romero")*(28/1083),IF(C3337="Técnico I",SUMIFS($D:$D,$A:$A,$A3337,$B:$B,"&lt;&gt;Patrícia Karla de Sousa Araújo",$B:$B,"&lt;&gt;Lorena Dias de Araujo",$B:$B,"&lt;&gt;Lucas Luiz Romero")*(23/1083),IF(C3337="JR",SUMIFS($D:$D,$A:$A,$A3337,$B:$B,"&lt;&gt;Patrícia Karla de Sousa Araújo",$B:$B,"&lt;&gt;Lorena Dias de Araujo",$B:$B,"&lt;&gt;Lucas Luiz Romero")*(20/1083),IF(C3337="Estágio",SUMIFS($D:$D,$A:$A,$A3337,$B:$B,"&lt;&gt;Patrícia Karla de Sousa Araújo",$B:$B,"&lt;&gt;Lorena Dias de Araujo",$B:$B,"&lt;&gt;Lucas Luiz Romero")*(10/1083),0)))))),0)</f>
        <v/>
      </c>
      <c r="K3337" s="3">
        <f>I3337-J3337</f>
        <v/>
      </c>
      <c r="L3337" s="3">
        <f>IF(K3337&lt;-5,"CRÍTICO",IF(K3337&lt;0,"ATENÇÃO",IF(K3337&lt;=5,"OPORTUNO","MUITO BOM")))</f>
        <v/>
      </c>
      <c r="M3337" s="3" t="n">
        <v>7</v>
      </c>
      <c r="N3337" s="3" t="n">
        <v>90.48</v>
      </c>
      <c r="O3337" s="12" t="n">
        <v>20.68965517241379</v>
      </c>
    </row>
    <row r="3338">
      <c r="A3338" s="10" t="n">
        <v>46106</v>
      </c>
      <c r="B3338" t="inlineStr">
        <is>
          <t>Emilly Kamilly Medeiros Miranda</t>
        </is>
      </c>
      <c r="C3338" s="1" t="inlineStr">
        <is>
          <t>Técnico II</t>
        </is>
      </c>
      <c r="D3338" s="3" t="n">
        <v>23</v>
      </c>
      <c r="E3338" s="3" t="n">
        <v>23</v>
      </c>
      <c r="F3338" s="3" t="n">
        <v>20.33</v>
      </c>
      <c r="G3338" s="3" t="n">
        <v>0</v>
      </c>
      <c r="H3338" s="3" t="n">
        <v>0</v>
      </c>
      <c r="I3338" s="3">
        <f>E3338+G3338+H3338</f>
        <v/>
      </c>
      <c r="J3338" s="3">
        <f>ROUND(MIN(IF(C3338="Técnico III",35,IF(C3338="Técnico II",28,IF(C3338="Técnico I",23,IF(C3338="JR",20,IF(C3338="Estágio",10,0))))),IF(C3338="Técnico III",SUMIFS($D:$D,$A:$A,$A3338,$B:$B,"&lt;&gt;Patrícia Karla de Sousa Araújo",$B:$B,"&lt;&gt;Lorena Dias de Araujo",$B:$B,"&lt;&gt;Lucas Luiz Romero")*(35/1083),IF(C3338="Técnico II",SUMIFS($D:$D,$A:$A,$A3338,$B:$B,"&lt;&gt;Patrícia Karla de Sousa Araújo",$B:$B,"&lt;&gt;Lorena Dias de Araujo",$B:$B,"&lt;&gt;Lucas Luiz Romero")*(28/1083),IF(C3338="Técnico I",SUMIFS($D:$D,$A:$A,$A3338,$B:$B,"&lt;&gt;Patrícia Karla de Sousa Araújo",$B:$B,"&lt;&gt;Lorena Dias de Araujo",$B:$B,"&lt;&gt;Lucas Luiz Romero")*(23/1083),IF(C3338="JR",SUMIFS($D:$D,$A:$A,$A3338,$B:$B,"&lt;&gt;Patrícia Karla de Sousa Araújo",$B:$B,"&lt;&gt;Lorena Dias de Araujo",$B:$B,"&lt;&gt;Lucas Luiz Romero")*(20/1083),IF(C3338="Estágio",SUMIFS($D:$D,$A:$A,$A3338,$B:$B,"&lt;&gt;Patrícia Karla de Sousa Araújo",$B:$B,"&lt;&gt;Lorena Dias de Araujo",$B:$B,"&lt;&gt;Lucas Luiz Romero")*(10/1083),0)))))),0)</f>
        <v/>
      </c>
      <c r="K3338" s="3">
        <f>I3338-J3338</f>
        <v/>
      </c>
      <c r="L3338" s="3">
        <f>IF(K3338&lt;-5,"CRÍTICO",IF(K3338&lt;0,"ATENÇÃO",IF(K3338&lt;=5,"OPORTUNO","MUITO BOM")))</f>
        <v/>
      </c>
      <c r="M3338" s="3" t="n">
        <v>23</v>
      </c>
      <c r="N3338" s="3" t="n">
        <v>98.06</v>
      </c>
      <c r="O3338" s="12" t="n">
        <v>24.78991596638656</v>
      </c>
    </row>
    <row r="3339">
      <c r="A3339" s="10" t="n">
        <v>46106</v>
      </c>
      <c r="B3339" t="inlineStr">
        <is>
          <t>Francielson de Oliveira</t>
        </is>
      </c>
      <c r="C3339" s="1" t="inlineStr">
        <is>
          <t>Técnico III</t>
        </is>
      </c>
      <c r="D3339" s="3" t="n">
        <v>20</v>
      </c>
      <c r="E3339" s="3" t="n">
        <v>19</v>
      </c>
      <c r="F3339" s="3" t="n">
        <v>18.57</v>
      </c>
      <c r="G3339" s="3" t="n">
        <v>0</v>
      </c>
      <c r="H3339" s="3" t="n">
        <v>0</v>
      </c>
      <c r="I3339" s="3">
        <f>E3339+G3339+H3339</f>
        <v/>
      </c>
      <c r="J3339" s="3">
        <f>ROUND(MIN(IF(C3339="Técnico III",35,IF(C3339="Técnico II",28,IF(C3339="Técnico I",23,IF(C3339="JR",20,IF(C3339="Estágio",10,0))))),IF(C3339="Técnico III",SUMIFS($D:$D,$A:$A,$A3339,$B:$B,"&lt;&gt;Patrícia Karla de Sousa Araújo",$B:$B,"&lt;&gt;Lorena Dias de Araujo",$B:$B,"&lt;&gt;Lucas Luiz Romero")*(35/1083),IF(C3339="Técnico II",SUMIFS($D:$D,$A:$A,$A3339,$B:$B,"&lt;&gt;Patrícia Karla de Sousa Araújo",$B:$B,"&lt;&gt;Lorena Dias de Araujo",$B:$B,"&lt;&gt;Lucas Luiz Romero")*(28/1083),IF(C3339="Técnico I",SUMIFS($D:$D,$A:$A,$A3339,$B:$B,"&lt;&gt;Patrícia Karla de Sousa Araújo",$B:$B,"&lt;&gt;Lorena Dias de Araujo",$B:$B,"&lt;&gt;Lucas Luiz Romero")*(23/1083),IF(C3339="JR",SUMIFS($D:$D,$A:$A,$A3339,$B:$B,"&lt;&gt;Patrícia Karla de Sousa Araújo",$B:$B,"&lt;&gt;Lorena Dias de Araujo",$B:$B,"&lt;&gt;Lucas Luiz Romero")*(20/1083),IF(C3339="Estágio",SUMIFS($D:$D,$A:$A,$A3339,$B:$B,"&lt;&gt;Patrícia Karla de Sousa Araújo",$B:$B,"&lt;&gt;Lorena Dias de Araujo",$B:$B,"&lt;&gt;Lucas Luiz Romero")*(10/1083),0)))))),0)</f>
        <v/>
      </c>
      <c r="K3339" s="3">
        <f>I3339-J3339</f>
        <v/>
      </c>
      <c r="L3339" s="3">
        <f>IF(K3339&lt;-5,"CRÍTICO",IF(K3339&lt;0,"ATENÇÃO",IF(K3339&lt;=5,"OPORTUNO","MUITO BOM")))</f>
        <v/>
      </c>
      <c r="M3339" s="3" t="n">
        <v>16</v>
      </c>
      <c r="N3339" s="3" t="n">
        <v>97.78</v>
      </c>
      <c r="O3339" s="12" t="n">
        <v>25.49407114624506</v>
      </c>
    </row>
    <row r="3340">
      <c r="A3340" s="10" t="n">
        <v>46106</v>
      </c>
      <c r="B3340" t="inlineStr">
        <is>
          <t>Francilene Ferreira de Jesus</t>
        </is>
      </c>
      <c r="C3340" s="1" t="inlineStr">
        <is>
          <t>Técnico II</t>
        </is>
      </c>
      <c r="D3340" s="3" t="n">
        <v>19</v>
      </c>
      <c r="E3340" s="3" t="n">
        <v>17</v>
      </c>
      <c r="F3340" s="3" t="n">
        <v>23.57</v>
      </c>
      <c r="G3340" s="3" t="n">
        <v>0</v>
      </c>
      <c r="H3340" s="3" t="n">
        <v>0</v>
      </c>
      <c r="I3340" s="3">
        <f>E3340+G3340+H3340</f>
        <v/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/>
      </c>
      <c r="K3340" s="3">
        <f>I3340-J3340</f>
        <v/>
      </c>
      <c r="L3340" s="3">
        <f>IF(K3340&lt;-5,"CRÍTICO",IF(K3340&lt;0,"ATENÇÃO",IF(K3340&lt;=5,"OPORTUNO","MUITO BOM")))</f>
        <v/>
      </c>
      <c r="M3340" s="3" t="n">
        <v>19</v>
      </c>
      <c r="N3340" s="3" t="n">
        <v>98.02</v>
      </c>
      <c r="O3340" s="12" t="n">
        <v>23.48484848484848</v>
      </c>
    </row>
    <row r="3341">
      <c r="A3341" s="7" t="n">
        <v>46161</v>
      </c>
      <c r="B3341" s="8" t="inlineStr">
        <is>
          <t>Davylla Rodrigues Freitas Silva</t>
        </is>
      </c>
      <c r="C3341" s="1" t="inlineStr">
        <is>
          <t>Técnico III</t>
        </is>
      </c>
      <c r="D3341" s="3" t="n">
        <v>0</v>
      </c>
      <c r="E3341" s="3" t="n">
        <v>0</v>
      </c>
      <c r="F3341" s="3" t="n">
        <v>0</v>
      </c>
      <c r="G3341" s="3" t="n">
        <v>0</v>
      </c>
      <c r="H3341" s="3" t="n">
        <v>0</v>
      </c>
      <c r="I3341" s="3" t="n">
        <v>0</v>
      </c>
      <c r="J3341" s="3" t="n">
        <v>0</v>
      </c>
      <c r="K3341" s="3" t="n">
        <v>0</v>
      </c>
      <c r="L3341" s="3" t="inlineStr">
        <is>
          <t>BOM</t>
        </is>
      </c>
      <c r="M3341" s="3" t="n">
        <v>0</v>
      </c>
      <c r="N3341" s="3" t="n">
        <v>99.19</v>
      </c>
      <c r="O3341" s="12" t="n">
        <v>28.40466926070039</v>
      </c>
    </row>
    <row r="3342">
      <c r="A3342" s="10" t="n">
        <v>46106</v>
      </c>
      <c r="B3342" t="inlineStr">
        <is>
          <t>Isabella Borges de Oliveira</t>
        </is>
      </c>
      <c r="C3342" s="1" t="inlineStr">
        <is>
          <t>Técnico II</t>
        </is>
      </c>
      <c r="D3342" s="3" t="n">
        <v>23</v>
      </c>
      <c r="E3342" s="3" t="n">
        <v>20</v>
      </c>
      <c r="F3342" s="3" t="n">
        <v>23.53</v>
      </c>
      <c r="G3342" s="3" t="n">
        <v>0</v>
      </c>
      <c r="H3342" s="3" t="n">
        <v>0</v>
      </c>
      <c r="I3342" s="3">
        <f>E3342+G3342+H3342</f>
        <v/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/>
      </c>
      <c r="K3342" s="3">
        <f>I3342-J3342</f>
        <v/>
      </c>
      <c r="L3342" s="3">
        <f>IF(K3342&lt;-5,"CRÍTICO",IF(K3342&lt;0,"ATENÇÃO",IF(K3342&lt;=5,"OPORTUNO","MUITO BOM")))</f>
        <v/>
      </c>
      <c r="M3342" s="3" t="n">
        <v>17</v>
      </c>
      <c r="N3342" s="3" t="n">
        <v>100</v>
      </c>
      <c r="O3342" s="12" t="n">
        <v>27.04918032786885</v>
      </c>
    </row>
    <row r="3343">
      <c r="A3343" s="10" t="n">
        <v>46106</v>
      </c>
      <c r="B3343" t="inlineStr">
        <is>
          <t>Janaina Lima dos Reis Urany</t>
        </is>
      </c>
      <c r="C3343" s="1" t="inlineStr">
        <is>
          <t>Técnico III</t>
        </is>
      </c>
      <c r="D3343" s="3" t="n">
        <v>34</v>
      </c>
      <c r="E3343" s="3" t="n">
        <v>29</v>
      </c>
      <c r="F3343" s="3" t="n">
        <v>13.28</v>
      </c>
      <c r="G3343" s="3" t="n">
        <v>0</v>
      </c>
      <c r="H3343" s="3" t="n">
        <v>0</v>
      </c>
      <c r="I3343" s="3">
        <f>E3343+G3343+H3343</f>
        <v/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/>
      </c>
      <c r="K3343" s="3">
        <f>I3343-J3343</f>
        <v/>
      </c>
      <c r="L3343" s="3">
        <f>IF(K3343&lt;-5,"CRÍTICO",IF(K3343&lt;0,"ATENÇÃO",IF(K3343&lt;=5,"OPORTUNO","MUITO BOM")))</f>
        <v/>
      </c>
      <c r="M3343" s="3" t="n">
        <v>28</v>
      </c>
      <c r="N3343" s="3" t="n">
        <v>97.83</v>
      </c>
      <c r="O3343" s="12" t="n">
        <v>26.31578947368421</v>
      </c>
    </row>
    <row r="3344">
      <c r="A3344" s="10" t="n">
        <v>46106</v>
      </c>
      <c r="B3344" t="inlineStr">
        <is>
          <t>Jaqueline Evangelista da Silva Martins</t>
        </is>
      </c>
      <c r="C3344" s="1" t="inlineStr">
        <is>
          <t>Técnico III</t>
        </is>
      </c>
      <c r="D3344" s="3" t="n">
        <v>16</v>
      </c>
      <c r="E3344" s="3" t="n">
        <v>15</v>
      </c>
      <c r="F3344" s="3" t="n">
        <v>18.52</v>
      </c>
      <c r="G3344" s="3" t="n">
        <v>0</v>
      </c>
      <c r="H3344" s="3" t="n">
        <v>0</v>
      </c>
      <c r="I3344" s="3">
        <f>E3344+G3344+H3344</f>
        <v/>
      </c>
      <c r="J3344" s="3">
        <f>ROUND(MIN(IF(C3344="Técnico III",35,IF(C3344="Técnico II",28,IF(C3344="Técnico I",23,IF(C3344="JR",20,IF(C3344="Estágio",10,0))))),IF(C3344="Técnico III",SUMIFS($D:$D,$A:$A,$A3344,$B:$B,"&lt;&gt;Patrícia Karla de Sousa Araújo",$B:$B,"&lt;&gt;Lorena Dias de Araujo",$B:$B,"&lt;&gt;Lucas Luiz Romero")*(35/1083),IF(C3344="Técnico II",SUMIFS($D:$D,$A:$A,$A3344,$B:$B,"&lt;&gt;Patrícia Karla de Sousa Araújo",$B:$B,"&lt;&gt;Lorena Dias de Araujo",$B:$B,"&lt;&gt;Lucas Luiz Romero")*(28/1083),IF(C3344="Técnico I",SUMIFS($D:$D,$A:$A,$A3344,$B:$B,"&lt;&gt;Patrícia Karla de Sousa Araújo",$B:$B,"&lt;&gt;Lorena Dias de Araujo",$B:$B,"&lt;&gt;Lucas Luiz Romero")*(23/1083),IF(C3344="JR",SUMIFS($D:$D,$A:$A,$A3344,$B:$B,"&lt;&gt;Patrícia Karla de Sousa Araújo",$B:$B,"&lt;&gt;Lorena Dias de Araujo",$B:$B,"&lt;&gt;Lucas Luiz Romero")*(20/1083),IF(C3344="Estágio",SUMIFS($D:$D,$A:$A,$A3344,$B:$B,"&lt;&gt;Patrícia Karla de Sousa Araújo",$B:$B,"&lt;&gt;Lorena Dias de Araujo",$B:$B,"&lt;&gt;Lucas Luiz Romero")*(10/1083),0)))))),0)</f>
        <v/>
      </c>
      <c r="K3344" s="3">
        <f>I3344-J3344</f>
        <v/>
      </c>
      <c r="L3344" s="3">
        <f>IF(K3344&lt;-5,"CRÍTICO",IF(K3344&lt;0,"ATENÇÃO",IF(K3344&lt;=5,"OPORTUNO","MUITO BOM")))</f>
        <v/>
      </c>
      <c r="M3344" s="3" t="n">
        <v>14</v>
      </c>
      <c r="N3344" s="3" t="n">
        <v>100</v>
      </c>
      <c r="O3344" s="12" t="n">
        <v>26.70157068062827</v>
      </c>
    </row>
    <row r="3345">
      <c r="A3345" s="10" t="n">
        <v>46106</v>
      </c>
      <c r="B3345" t="inlineStr">
        <is>
          <t>Jessica Faria da Silveira</t>
        </is>
      </c>
      <c r="C3345" s="1" t="inlineStr">
        <is>
          <t>Técnico II</t>
        </is>
      </c>
      <c r="D3345" s="3" t="n">
        <v>0</v>
      </c>
      <c r="E3345" s="3" t="n">
        <v>0</v>
      </c>
      <c r="F3345" s="3" t="n">
        <v>0</v>
      </c>
      <c r="G3345" s="3" t="n">
        <v>0</v>
      </c>
      <c r="H3345" s="3" t="n">
        <v>0</v>
      </c>
      <c r="I3345" s="3" t="n">
        <v>0</v>
      </c>
      <c r="J3345" s="3" t="n">
        <v>0</v>
      </c>
      <c r="K3345" s="3" t="n">
        <v>0</v>
      </c>
      <c r="L3345" s="3">
        <f>IF(K3345&lt;-5,"CRÍTICO",IF(K3345&lt;0,"ATENÇÃO",IF(K3345&lt;=5,"OPORTUNO","MUITO BOM")))</f>
        <v/>
      </c>
      <c r="M3345" s="3" t="n">
        <v>0</v>
      </c>
      <c r="N3345" s="3" t="n">
        <v>97.47</v>
      </c>
      <c r="O3345" s="12" t="n">
        <v>22.88732394366197</v>
      </c>
    </row>
    <row r="3346">
      <c r="A3346" s="10" t="n">
        <v>46106</v>
      </c>
      <c r="B3346" t="inlineStr">
        <is>
          <t>Jéssica Fé Moura</t>
        </is>
      </c>
      <c r="C3346" s="1" t="inlineStr">
        <is>
          <t>Técnico III</t>
        </is>
      </c>
      <c r="D3346" s="3" t="n">
        <v>0</v>
      </c>
      <c r="E3346" s="3" t="n">
        <v>0</v>
      </c>
      <c r="F3346" s="3" t="n">
        <v>0</v>
      </c>
      <c r="G3346" s="3" t="n">
        <v>0</v>
      </c>
      <c r="H3346" s="3" t="n">
        <v>0</v>
      </c>
      <c r="I3346" s="3" t="n">
        <v>0</v>
      </c>
      <c r="J3346" s="3" t="n">
        <v>0</v>
      </c>
      <c r="K3346" s="3" t="n">
        <v>0</v>
      </c>
      <c r="L3346" s="3">
        <f>IF(K3346&lt;-5,"CRÍTICO",IF(K3346&lt;0,"ATENÇÃO",IF(K3346&lt;=5,"OPORTUNO","MUITO BOM")))</f>
        <v/>
      </c>
      <c r="M3346" s="3" t="n">
        <v>0</v>
      </c>
      <c r="N3346" s="3" t="n">
        <v>0</v>
      </c>
      <c r="O3346" s="12" t="n">
        <v>0</v>
      </c>
    </row>
    <row r="3347">
      <c r="A3347" s="10" t="n">
        <v>46106</v>
      </c>
      <c r="B3347" t="inlineStr">
        <is>
          <t>Karina Gonçalves Martins</t>
        </is>
      </c>
      <c r="C3347" s="1" t="inlineStr">
        <is>
          <t>JR</t>
        </is>
      </c>
      <c r="D3347" s="3" t="n">
        <v>15</v>
      </c>
      <c r="E3347" s="3" t="n">
        <v>14</v>
      </c>
      <c r="F3347" s="3" t="n">
        <v>21.47</v>
      </c>
      <c r="G3347" s="3" t="n">
        <v>0</v>
      </c>
      <c r="H3347" s="3" t="n">
        <v>0</v>
      </c>
      <c r="I3347" s="3">
        <f>E3347+G3347+H3347</f>
        <v/>
      </c>
      <c r="J3347" s="3">
        <f>ROUND(MIN(IF(C3347="Técnico III",35,IF(C3347="Técnico II",28,IF(C3347="Técnico I",23,IF(C3347="JR",20,IF(C3347="Estágio",10,0))))),IF(C3347="Técnico III",SUMIFS($D:$D,$A:$A,$A3347,$B:$B,"&lt;&gt;Patrícia Karla de Sousa Araújo",$B:$B,"&lt;&gt;Lorena Dias de Araujo",$B:$B,"&lt;&gt;Lucas Luiz Romero")*(35/1083),IF(C3347="Técnico II",SUMIFS($D:$D,$A:$A,$A3347,$B:$B,"&lt;&gt;Patrícia Karla de Sousa Araújo",$B:$B,"&lt;&gt;Lorena Dias de Araujo",$B:$B,"&lt;&gt;Lucas Luiz Romero")*(28/1083),IF(C3347="Técnico I",SUMIFS($D:$D,$A:$A,$A3347,$B:$B,"&lt;&gt;Patrícia Karla de Sousa Araújo",$B:$B,"&lt;&gt;Lorena Dias de Araujo",$B:$B,"&lt;&gt;Lucas Luiz Romero")*(23/1083),IF(C3347="JR",SUMIFS($D:$D,$A:$A,$A3347,$B:$B,"&lt;&gt;Patrícia Karla de Sousa Araújo",$B:$B,"&lt;&gt;Lorena Dias de Araujo",$B:$B,"&lt;&gt;Lucas Luiz Romero")*(20/1083),IF(C3347="Estágio",SUMIFS($D:$D,$A:$A,$A3347,$B:$B,"&lt;&gt;Patrícia Karla de Sousa Araújo",$B:$B,"&lt;&gt;Lorena Dias de Araujo",$B:$B,"&lt;&gt;Lucas Luiz Romero")*(10/1083),0)))))),0)</f>
        <v/>
      </c>
      <c r="K3347" s="3">
        <f>I3347-J3347</f>
        <v/>
      </c>
      <c r="L3347" s="3">
        <f>IF(K3347&lt;-5,"CRÍTICO",IF(K3347&lt;0,"ATENÇÃO",IF(K3347&lt;=5,"OPORTUNO","MUITO BOM")))</f>
        <v/>
      </c>
      <c r="M3347" s="3" t="n">
        <v>14</v>
      </c>
      <c r="N3347" s="3" t="n">
        <v>98.31</v>
      </c>
      <c r="O3347" s="12" t="n">
        <v>24.92012779552715</v>
      </c>
    </row>
    <row r="3348">
      <c r="A3348" s="10" t="n">
        <v>46106</v>
      </c>
      <c r="B3348" t="inlineStr">
        <is>
          <t>Kerollen Cristielly de Jesus Siqueira</t>
        </is>
      </c>
      <c r="C3348" s="1" t="inlineStr">
        <is>
          <t>Técnico III</t>
        </is>
      </c>
      <c r="D3348" s="3" t="n">
        <v>19</v>
      </c>
      <c r="E3348" s="3" t="n">
        <v>18</v>
      </c>
      <c r="F3348" s="3" t="n">
        <v>20.45</v>
      </c>
      <c r="G3348" s="3" t="n">
        <v>0</v>
      </c>
      <c r="H3348" s="3" t="n">
        <v>0</v>
      </c>
      <c r="I3348" s="3">
        <f>E3348+G3348+H3348</f>
        <v/>
      </c>
      <c r="J3348" s="3">
        <f>ROUND(MIN(IF(C3348="Técnico III",35,IF(C3348="Técnico II",28,IF(C3348="Técnico I",23,IF(C3348="JR",20,IF(C3348="Estágio",10,0))))),IF(C3348="Técnico III",SUMIFS($D:$D,$A:$A,$A3348,$B:$B,"&lt;&gt;Patrícia Karla de Sousa Araújo",$B:$B,"&lt;&gt;Lorena Dias de Araujo",$B:$B,"&lt;&gt;Lucas Luiz Romero")*(35/1083),IF(C3348="Técnico II",SUMIFS($D:$D,$A:$A,$A3348,$B:$B,"&lt;&gt;Patrícia Karla de Sousa Araújo",$B:$B,"&lt;&gt;Lorena Dias de Araujo",$B:$B,"&lt;&gt;Lucas Luiz Romero")*(28/1083),IF(C3348="Técnico I",SUMIFS($D:$D,$A:$A,$A3348,$B:$B,"&lt;&gt;Patrícia Karla de Sousa Araújo",$B:$B,"&lt;&gt;Lorena Dias de Araujo",$B:$B,"&lt;&gt;Lucas Luiz Romero")*(23/1083),IF(C3348="JR",SUMIFS($D:$D,$A:$A,$A3348,$B:$B,"&lt;&gt;Patrícia Karla de Sousa Araújo",$B:$B,"&lt;&gt;Lorena Dias de Araujo",$B:$B,"&lt;&gt;Lucas Luiz Romero")*(20/1083),IF(C3348="Estágio",SUMIFS($D:$D,$A:$A,$A3348,$B:$B,"&lt;&gt;Patrícia Karla de Sousa Araújo",$B:$B,"&lt;&gt;Lorena Dias de Araujo",$B:$B,"&lt;&gt;Lucas Luiz Romero")*(10/1083),0)))))),0)</f>
        <v/>
      </c>
      <c r="K3348" s="3">
        <f>I3348-J3348</f>
        <v/>
      </c>
      <c r="L3348" s="3">
        <f>IF(K3348&lt;-5,"CRÍTICO",IF(K3348&lt;0,"ATENÇÃO",IF(K3348&lt;=5,"OPORTUNO","MUITO BOM")))</f>
        <v/>
      </c>
      <c r="M3348" s="3" t="n">
        <v>19</v>
      </c>
      <c r="N3348" s="3" t="n">
        <v>96.81</v>
      </c>
      <c r="O3348" s="12" t="n">
        <v>32.36514522821577</v>
      </c>
    </row>
    <row r="3349">
      <c r="A3349" s="10" t="n">
        <v>46106</v>
      </c>
      <c r="B3349" t="inlineStr">
        <is>
          <t>Leandro de Souza Silva</t>
        </is>
      </c>
      <c r="C3349" s="1" t="inlineStr">
        <is>
          <t>JR</t>
        </is>
      </c>
      <c r="D3349" s="3" t="n">
        <v>15</v>
      </c>
      <c r="E3349" s="3" t="n">
        <v>15</v>
      </c>
      <c r="F3349" s="3" t="n">
        <v>21.58</v>
      </c>
      <c r="G3349" s="3" t="n">
        <v>0</v>
      </c>
      <c r="H3349" s="3" t="n">
        <v>0</v>
      </c>
      <c r="I3349" s="3">
        <f>E3349+G3349+H3349</f>
        <v/>
      </c>
      <c r="J3349" s="3">
        <f>ROUND(MIN(IF(C3349="Técnico III",35,IF(C3349="Técnico II",28,IF(C3349="Técnico I",23,IF(C3349="JR",20,IF(C3349="Estágio",10,0))))),IF(C3349="Técnico III",SUMIFS($D:$D,$A:$A,$A3349,$B:$B,"&lt;&gt;Patrícia Karla de Sousa Araújo",$B:$B,"&lt;&gt;Lorena Dias de Araujo",$B:$B,"&lt;&gt;Lucas Luiz Romero")*(35/1083),IF(C3349="Técnico II",SUMIFS($D:$D,$A:$A,$A3349,$B:$B,"&lt;&gt;Patrícia Karla de Sousa Araújo",$B:$B,"&lt;&gt;Lorena Dias de Araujo",$B:$B,"&lt;&gt;Lucas Luiz Romero")*(28/1083),IF(C3349="Técnico I",SUMIFS($D:$D,$A:$A,$A3349,$B:$B,"&lt;&gt;Patrícia Karla de Sousa Araújo",$B:$B,"&lt;&gt;Lorena Dias de Araujo",$B:$B,"&lt;&gt;Lucas Luiz Romero")*(23/1083),IF(C3349="JR",SUMIFS($D:$D,$A:$A,$A3349,$B:$B,"&lt;&gt;Patrícia Karla de Sousa Araújo",$B:$B,"&lt;&gt;Lorena Dias de Araujo",$B:$B,"&lt;&gt;Lucas Luiz Romero")*(20/1083),IF(C3349="Estágio",SUMIFS($D:$D,$A:$A,$A3349,$B:$B,"&lt;&gt;Patrícia Karla de Sousa Araújo",$B:$B,"&lt;&gt;Lorena Dias de Araujo",$B:$B,"&lt;&gt;Lucas Luiz Romero")*(10/1083),0)))))),0)</f>
        <v/>
      </c>
      <c r="K3349" s="3">
        <f>I3349-J3349</f>
        <v/>
      </c>
      <c r="L3349" s="3">
        <f>IF(K3349&lt;-5,"CRÍTICO",IF(K3349&lt;0,"ATENÇÃO",IF(K3349&lt;=5,"OPORTUNO","MUITO BOM")))</f>
        <v/>
      </c>
      <c r="M3349" s="3" t="n">
        <v>8</v>
      </c>
      <c r="N3349" s="3" t="n">
        <v>100</v>
      </c>
      <c r="O3349" s="12" t="n">
        <v>26.47058823529412</v>
      </c>
    </row>
    <row r="3350">
      <c r="A3350" s="10" t="n">
        <v>46106</v>
      </c>
      <c r="B3350" t="inlineStr">
        <is>
          <t>Leandro Oliveira de Sousa</t>
        </is>
      </c>
      <c r="C3350" s="1" t="inlineStr">
        <is>
          <t>Técnico III</t>
        </is>
      </c>
      <c r="D3350" s="3" t="n">
        <v>28</v>
      </c>
      <c r="E3350" s="3" t="n">
        <v>24</v>
      </c>
      <c r="F3350" s="3" t="n">
        <v>15.3</v>
      </c>
      <c r="G3350" s="3" t="n">
        <v>0</v>
      </c>
      <c r="H3350" s="3" t="n">
        <v>0</v>
      </c>
      <c r="I3350" s="3">
        <f>E3350+G3350+H3350</f>
        <v/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/>
      </c>
      <c r="K3350" s="3">
        <f>I3350-J3350</f>
        <v/>
      </c>
      <c r="L3350" s="3">
        <f>IF(K3350&lt;-5,"CRÍTICO",IF(K3350&lt;0,"ATENÇÃO",IF(K3350&lt;=5,"OPORTUNO","MUITO BOM")))</f>
        <v/>
      </c>
      <c r="M3350" s="3" t="n">
        <v>22</v>
      </c>
      <c r="N3350" s="3" t="n">
        <v>100</v>
      </c>
      <c r="O3350" s="12" t="n">
        <v>28.49002849002849</v>
      </c>
    </row>
    <row r="3351">
      <c r="A3351" s="10" t="n">
        <v>46106</v>
      </c>
      <c r="B3351" t="inlineStr">
        <is>
          <t>Lizandra Gomes Duarte</t>
        </is>
      </c>
      <c r="C3351" s="1" t="inlineStr">
        <is>
          <t>Técnico II</t>
        </is>
      </c>
      <c r="D3351" s="3" t="n">
        <v>24</v>
      </c>
      <c r="E3351" s="3" t="n">
        <v>23</v>
      </c>
      <c r="F3351" s="3" t="n">
        <v>21.48</v>
      </c>
      <c r="G3351" s="3" t="n">
        <v>0</v>
      </c>
      <c r="H3351" s="3" t="n">
        <v>0</v>
      </c>
      <c r="I3351" s="3">
        <f>E3351+G3351+H3351</f>
        <v/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/>
      </c>
      <c r="K3351" s="3">
        <f>I3351-J3351</f>
        <v/>
      </c>
      <c r="L3351" s="3">
        <f>IF(K3351&lt;-5,"CRÍTICO",IF(K3351&lt;0,"ATENÇÃO",IF(K3351&lt;=5,"OPORTUNO","MUITO BOM")))</f>
        <v/>
      </c>
      <c r="M3351" s="3" t="n">
        <v>18</v>
      </c>
      <c r="N3351" s="3" t="n">
        <v>99.14</v>
      </c>
      <c r="O3351" s="12" t="n">
        <v>27.2289156626506</v>
      </c>
    </row>
    <row r="3352">
      <c r="A3352" s="10" t="n">
        <v>46106</v>
      </c>
      <c r="B3352" t="inlineStr">
        <is>
          <t>Lorena Dias de Araujo</t>
        </is>
      </c>
      <c r="C3352" s="1" t="inlineStr">
        <is>
          <t>Técnico II</t>
        </is>
      </c>
      <c r="D3352" s="3" t="n">
        <v>12</v>
      </c>
      <c r="E3352" s="3" t="n">
        <v>12</v>
      </c>
      <c r="F3352" s="3" t="n">
        <v>27.1</v>
      </c>
      <c r="G3352" s="3" t="n">
        <v>0</v>
      </c>
      <c r="H3352" s="3" t="n">
        <v>0</v>
      </c>
      <c r="I3352" s="3" t="n">
        <v>0</v>
      </c>
      <c r="J3352" s="3" t="n">
        <v>0</v>
      </c>
      <c r="K3352" s="3" t="n">
        <v>0</v>
      </c>
      <c r="L3352" s="3">
        <f>IF(K3352&lt;-5,"CRÍTICO",IF(K3352&lt;0,"ATENÇÃO",IF(K3352&lt;=5,"OPORTUNO","MUITO BOM")))</f>
        <v/>
      </c>
      <c r="M3352" s="3" t="n">
        <v>9</v>
      </c>
      <c r="N3352" s="3" t="n">
        <v>97.52</v>
      </c>
      <c r="O3352" s="12" t="n">
        <v>28.2051282051282</v>
      </c>
    </row>
    <row r="3353">
      <c r="A3353" s="10" t="n">
        <v>46106</v>
      </c>
      <c r="B3353" t="inlineStr">
        <is>
          <t>Lucas Luiz Romero</t>
        </is>
      </c>
      <c r="C3353" s="1" t="inlineStr">
        <is>
          <t>Técnico III</t>
        </is>
      </c>
      <c r="D3353" s="3" t="n">
        <v>0</v>
      </c>
      <c r="E3353" s="3" t="n">
        <v>0</v>
      </c>
      <c r="F3353" s="3" t="n">
        <v>0</v>
      </c>
      <c r="G3353" s="3" t="n">
        <v>0</v>
      </c>
      <c r="H3353" s="3" t="n">
        <v>0</v>
      </c>
      <c r="I3353" s="3" t="n">
        <v>0</v>
      </c>
      <c r="J3353" s="3" t="n">
        <v>0</v>
      </c>
      <c r="K3353" s="3" t="n">
        <v>0</v>
      </c>
      <c r="L3353" s="3">
        <f>IF(K3353&lt;-5,"CRÍTICO",IF(K3353&lt;0,"ATENÇÃO",IF(K3353&lt;=5,"OPORTUNO","MUITO BOM")))</f>
        <v/>
      </c>
      <c r="M3353" s="3" t="n">
        <v>0</v>
      </c>
      <c r="N3353" s="3" t="n">
        <v>90</v>
      </c>
      <c r="O3353" s="12" t="n">
        <v>24.18604651162791</v>
      </c>
    </row>
    <row r="3354">
      <c r="A3354" s="10" t="n">
        <v>46106</v>
      </c>
      <c r="B3354" t="inlineStr">
        <is>
          <t>Luiz Fernando de Carvalho Junior</t>
        </is>
      </c>
      <c r="C3354" s="1" t="inlineStr">
        <is>
          <t>Técnico I</t>
        </is>
      </c>
      <c r="D3354" s="3" t="n">
        <v>19</v>
      </c>
      <c r="E3354" s="3" t="n">
        <v>17</v>
      </c>
      <c r="F3354" s="3" t="n">
        <v>27.37</v>
      </c>
      <c r="G3354" s="3" t="n">
        <v>0</v>
      </c>
      <c r="H3354" s="3" t="n">
        <v>0</v>
      </c>
      <c r="I3354" s="3">
        <f>E3354+G3354+H3354</f>
        <v/>
      </c>
      <c r="J3354" s="3">
        <f>ROUND(MIN(IF(C3354="Técnico III",35,IF(C3354="Técnico II",28,IF(C3354="Técnico I",23,IF(C3354="JR",20,IF(C3354="Estágio",10,0))))),IF(C3354="Técnico III",SUMIFS($D:$D,$A:$A,$A3354,$B:$B,"&lt;&gt;Patrícia Karla de Sousa Araújo",$B:$B,"&lt;&gt;Lorena Dias de Araujo",$B:$B,"&lt;&gt;Lucas Luiz Romero")*(35/1083),IF(C3354="Técnico II",SUMIFS($D:$D,$A:$A,$A3354,$B:$B,"&lt;&gt;Patrícia Karla de Sousa Araújo",$B:$B,"&lt;&gt;Lorena Dias de Araujo",$B:$B,"&lt;&gt;Lucas Luiz Romero")*(28/1083),IF(C3354="Técnico I",SUMIFS($D:$D,$A:$A,$A3354,$B:$B,"&lt;&gt;Patrícia Karla de Sousa Araújo",$B:$B,"&lt;&gt;Lorena Dias de Araujo",$B:$B,"&lt;&gt;Lucas Luiz Romero")*(23/1083),IF(C3354="JR",SUMIFS($D:$D,$A:$A,$A3354,$B:$B,"&lt;&gt;Patrícia Karla de Sousa Araújo",$B:$B,"&lt;&gt;Lorena Dias de Araujo",$B:$B,"&lt;&gt;Lucas Luiz Romero")*(20/1083),IF(C3354="Estágio",SUMIFS($D:$D,$A:$A,$A3354,$B:$B,"&lt;&gt;Patrícia Karla de Sousa Araújo",$B:$B,"&lt;&gt;Lorena Dias de Araujo",$B:$B,"&lt;&gt;Lucas Luiz Romero")*(10/1083),0)))))),0)</f>
        <v/>
      </c>
      <c r="K3354" s="3">
        <f>I3354-J3354</f>
        <v/>
      </c>
      <c r="L3354" s="3">
        <f>IF(K3354&lt;-5,"CRÍTICO",IF(K3354&lt;0,"ATENÇÃO",IF(K3354&lt;=5,"OPORTUNO","MUITO BOM")))</f>
        <v/>
      </c>
      <c r="M3354" s="3" t="n">
        <v>14</v>
      </c>
      <c r="N3354" s="3" t="n">
        <v>98.90000000000001</v>
      </c>
      <c r="O3354" s="12" t="n">
        <v>26.7639902676399</v>
      </c>
    </row>
    <row r="3355">
      <c r="A3355" s="10" t="n">
        <v>46106</v>
      </c>
      <c r="B3355" t="inlineStr">
        <is>
          <t>Maria Eduarda Sousa Costa</t>
        </is>
      </c>
      <c r="C3355" s="1" t="inlineStr">
        <is>
          <t>Estágio</t>
        </is>
      </c>
      <c r="D3355" s="3" t="n">
        <v>8</v>
      </c>
      <c r="E3355" s="3" t="n">
        <v>7</v>
      </c>
      <c r="F3355" s="3" t="n">
        <v>40.06</v>
      </c>
      <c r="G3355" s="3" t="n">
        <v>0</v>
      </c>
      <c r="H3355" s="3" t="n">
        <v>0</v>
      </c>
      <c r="I3355" s="3">
        <f>E3355+G3355+H3355</f>
        <v/>
      </c>
      <c r="J3355" s="3">
        <f>ROUND(MIN(IF(C3355="Técnico III",35,IF(C3355="Técnico II",28,IF(C3355="Técnico I",23,IF(C3355="JR",20,IF(C3355="Estágio",10,0))))),IF(C3355="Técnico III",SUMIFS($D:$D,$A:$A,$A3355,$B:$B,"&lt;&gt;Patrícia Karla de Sousa Araújo",$B:$B,"&lt;&gt;Lorena Dias de Araujo",$B:$B,"&lt;&gt;Lucas Luiz Romero")*(35/1083),IF(C3355="Técnico II",SUMIFS($D:$D,$A:$A,$A3355,$B:$B,"&lt;&gt;Patrícia Karla de Sousa Araújo",$B:$B,"&lt;&gt;Lorena Dias de Araujo",$B:$B,"&lt;&gt;Lucas Luiz Romero")*(28/1083),IF(C3355="Técnico I",SUMIFS($D:$D,$A:$A,$A3355,$B:$B,"&lt;&gt;Patrícia Karla de Sousa Araújo",$B:$B,"&lt;&gt;Lorena Dias de Araujo",$B:$B,"&lt;&gt;Lucas Luiz Romero")*(23/1083),IF(C3355="JR",SUMIFS($D:$D,$A:$A,$A3355,$B:$B,"&lt;&gt;Patrícia Karla de Sousa Araújo",$B:$B,"&lt;&gt;Lorena Dias de Araujo",$B:$B,"&lt;&gt;Lucas Luiz Romero")*(20/1083),IF(C3355="Estágio",SUMIFS($D:$D,$A:$A,$A3355,$B:$B,"&lt;&gt;Patrícia Karla de Sousa Araújo",$B:$B,"&lt;&gt;Lorena Dias de Araujo",$B:$B,"&lt;&gt;Lucas Luiz Romero")*(10/1083),0)))))),0)</f>
        <v/>
      </c>
      <c r="K3355" s="3">
        <f>I3355-J3355</f>
        <v/>
      </c>
      <c r="L3355" s="3">
        <f>IF(K3355&lt;-5,"CRÍTICO",IF(K3355&lt;0,"ATENÇÃO",IF(K3355&lt;=5,"OPORTUNO","MUITO BOM")))</f>
        <v/>
      </c>
      <c r="M3355" s="3" t="n">
        <v>6</v>
      </c>
      <c r="N3355" s="3" t="n">
        <v>88.89</v>
      </c>
      <c r="O3355" s="12" t="n">
        <v>25.26315789473684</v>
      </c>
    </row>
    <row r="3356">
      <c r="A3356" s="10" t="n">
        <v>46126</v>
      </c>
      <c r="B3356" t="inlineStr">
        <is>
          <t>Matheus Farias De Souza</t>
        </is>
      </c>
      <c r="C3356" s="1" t="inlineStr">
        <is>
          <t>Técnico III</t>
        </is>
      </c>
      <c r="D3356" s="3" t="n">
        <v>31</v>
      </c>
      <c r="E3356" s="3" t="n">
        <v>25</v>
      </c>
      <c r="F3356" s="3" t="n">
        <v>13.21</v>
      </c>
      <c r="G3356" s="3" t="n">
        <v>0</v>
      </c>
      <c r="H3356" s="3" t="n">
        <v>0</v>
      </c>
      <c r="I3356" s="3">
        <f>E3356+G3356+H3356</f>
        <v/>
      </c>
      <c r="J3356" s="3">
        <f>ROUND(MIN(IF(C3356="Técnico III",35,IF(C3356="Técnico II",28,IF(C3356="Técnico I",23,IF(C3356="JR",20,IF(C3356="Estágio",10,0))))),IF(C3356="Técnico III",SUMIFS($D:$D,$A:$A,$A3356,$B:$B,"&lt;&gt;Patrícia Karla de Sousa Araújo",$B:$B,"&lt;&gt;Lorena Dias de Araujo",$B:$B,"&lt;&gt;Lucas Luiz Romero")*(35/1083),IF(C3356="Técnico II",SUMIFS($D:$D,$A:$A,$A3356,$B:$B,"&lt;&gt;Patrícia Karla de Sousa Araújo",$B:$B,"&lt;&gt;Lorena Dias de Araujo",$B:$B,"&lt;&gt;Lucas Luiz Romero")*(28/1083),IF(C3356="Técnico I",SUMIFS($D:$D,$A:$A,$A3356,$B:$B,"&lt;&gt;Patrícia Karla de Sousa Araújo",$B:$B,"&lt;&gt;Lorena Dias de Araujo",$B:$B,"&lt;&gt;Lucas Luiz Romero")*(23/1083),IF(C3356="JR",SUMIFS($D:$D,$A:$A,$A3356,$B:$B,"&lt;&gt;Patrícia Karla de Sousa Araújo",$B:$B,"&lt;&gt;Lorena Dias de Araujo",$B:$B,"&lt;&gt;Lucas Luiz Romero")*(20/1083),IF(C3356="Estágio",SUMIFS($D:$D,$A:$A,$A3356,$B:$B,"&lt;&gt;Patrícia Karla de Sousa Araújo",$B:$B,"&lt;&gt;Lorena Dias de Araujo",$B:$B,"&lt;&gt;Lucas Luiz Romero")*(10/1083),0)))))),0)</f>
        <v/>
      </c>
      <c r="K3356" s="3">
        <f>I3356-J3356</f>
        <v/>
      </c>
      <c r="L3356" s="3">
        <f>IF(K3356&lt;-5,"CRÍTICO",IF(K3356&lt;0,"ATENÇÃO",IF(K3356&lt;=5,"OPORTUNO","MUITO BOM")))</f>
        <v/>
      </c>
      <c r="M3356" s="3" t="n">
        <v>31</v>
      </c>
      <c r="N3356" s="3" t="n">
        <v>100</v>
      </c>
      <c r="O3356" s="12" t="n">
        <v>23.9870340356564</v>
      </c>
    </row>
    <row r="3357">
      <c r="A3357" s="10" t="n">
        <v>46106</v>
      </c>
      <c r="B3357" t="inlineStr">
        <is>
          <t>Maysa Victoria Dias Moura</t>
        </is>
      </c>
      <c r="C3357" s="1" t="inlineStr">
        <is>
          <t>Técnico III</t>
        </is>
      </c>
      <c r="D3357" s="3" t="n">
        <v>26</v>
      </c>
      <c r="E3357" s="3" t="n">
        <v>24</v>
      </c>
      <c r="F3357" s="3" t="n">
        <v>13.36</v>
      </c>
      <c r="G3357" s="3" t="n">
        <v>0</v>
      </c>
      <c r="H3357" s="3" t="n">
        <v>0</v>
      </c>
      <c r="I3357" s="3">
        <f>E3357+G3357+H3357</f>
        <v/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/>
      </c>
      <c r="K3357" s="3">
        <f>I3357-J3357</f>
        <v/>
      </c>
      <c r="L3357" s="3">
        <f>IF(K3357&lt;-5,"CRÍTICO",IF(K3357&lt;0,"ATENÇÃO",IF(K3357&lt;=5,"OPORTUNO","MUITO BOM")))</f>
        <v/>
      </c>
      <c r="M3357" s="3" t="n">
        <v>19</v>
      </c>
      <c r="N3357" s="3" t="n">
        <v>98.06</v>
      </c>
      <c r="O3357" s="12" t="n">
        <v>22.40566037735849</v>
      </c>
    </row>
    <row r="3358">
      <c r="A3358" s="10" t="n">
        <v>46134</v>
      </c>
      <c r="B3358" t="inlineStr">
        <is>
          <t>Michelle G Santos</t>
        </is>
      </c>
      <c r="C3358" s="1" t="inlineStr">
        <is>
          <t>Estágio</t>
        </is>
      </c>
      <c r="D3358" s="3" t="n">
        <v>21</v>
      </c>
      <c r="E3358" s="3" t="n">
        <v>18</v>
      </c>
      <c r="F3358" s="3" t="n">
        <v>16.5</v>
      </c>
      <c r="G3358" s="3" t="n">
        <v>0</v>
      </c>
      <c r="H3358" s="3" t="n">
        <v>0</v>
      </c>
      <c r="I3358" s="3">
        <f>E3358+G3358+H3358</f>
        <v/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/>
      </c>
      <c r="K3358" s="3">
        <f>I3358-J3358</f>
        <v/>
      </c>
      <c r="L3358" s="3">
        <f>IF(K3358&lt;-5,"CRÍTICO",IF(K3358&lt;0,"ATENÇÃO",IF(K3358&lt;=5,"OPORTUNO","MUITO BOM")))</f>
        <v/>
      </c>
      <c r="M3358" s="3" t="n">
        <v>9</v>
      </c>
      <c r="N3358" s="3" t="n">
        <v>100</v>
      </c>
      <c r="O3358" s="12" t="n">
        <v>23.77622377622378</v>
      </c>
    </row>
    <row r="3359">
      <c r="A3359" s="10" t="n">
        <v>46106</v>
      </c>
      <c r="B3359" t="inlineStr">
        <is>
          <t>Milena Sales</t>
        </is>
      </c>
      <c r="C3359" s="1" t="inlineStr">
        <is>
          <t>JR</t>
        </is>
      </c>
      <c r="D3359" s="3" t="n">
        <v>0</v>
      </c>
      <c r="E3359" s="3" t="n">
        <v>0</v>
      </c>
      <c r="F3359" s="3" t="n">
        <v>0</v>
      </c>
      <c r="G3359" s="3" t="n">
        <v>0</v>
      </c>
      <c r="H3359" s="3" t="n">
        <v>0</v>
      </c>
      <c r="I3359" s="3" t="n">
        <v>0</v>
      </c>
      <c r="J3359" s="3" t="n">
        <v>0</v>
      </c>
      <c r="K3359" s="3" t="n">
        <v>0</v>
      </c>
      <c r="L3359" s="3">
        <f>IF(K3359&lt;-5,"CRÍTICO",IF(K3359&lt;0,"ATENÇÃO",IF(K3359&lt;=5,"OPORTUNO","MUITO BOM")))</f>
        <v/>
      </c>
      <c r="M3359" s="3" t="n">
        <v>0</v>
      </c>
      <c r="N3359" s="3" t="n">
        <v>100</v>
      </c>
      <c r="O3359" s="12" t="n">
        <v>15.38461538461539</v>
      </c>
    </row>
    <row r="3360">
      <c r="A3360" s="10" t="n">
        <v>46106</v>
      </c>
      <c r="B3360" t="inlineStr">
        <is>
          <t>Patrícia Karla de Sousa Araújo</t>
        </is>
      </c>
      <c r="C3360" s="1" t="inlineStr">
        <is>
          <t>Técnico II</t>
        </is>
      </c>
      <c r="D3360" s="3" t="n">
        <v>6</v>
      </c>
      <c r="E3360" s="3" t="n">
        <v>5</v>
      </c>
      <c r="F3360" s="3" t="n">
        <v>27.19</v>
      </c>
      <c r="G3360" s="3" t="n">
        <v>0</v>
      </c>
      <c r="H3360" s="3" t="n">
        <v>0</v>
      </c>
      <c r="I3360" s="3">
        <f>E3360+G3360+H3360</f>
        <v/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/>
      </c>
      <c r="K3360" s="3">
        <f>I3360-J3360</f>
        <v/>
      </c>
      <c r="L3360" s="3">
        <f>IF(K3360&lt;-5,"CRÍTICO",IF(K3360&lt;0,"ATENÇÃO",IF(K3360&lt;=5,"OPORTUNO","MUITO BOM")))</f>
        <v/>
      </c>
      <c r="M3360" s="3" t="n">
        <v>4</v>
      </c>
      <c r="N3360" s="3" t="n">
        <v>100</v>
      </c>
      <c r="O3360" s="12" t="n">
        <v>27.51479289940828</v>
      </c>
    </row>
    <row r="3361">
      <c r="A3361" s="10" t="n">
        <v>46106</v>
      </c>
      <c r="B3361" t="inlineStr">
        <is>
          <t>Paulo Ricardo Santos</t>
        </is>
      </c>
      <c r="C3361" s="1" t="inlineStr">
        <is>
          <t>JR</t>
        </is>
      </c>
      <c r="D3361" s="3" t="n">
        <v>17</v>
      </c>
      <c r="E3361" s="3" t="n">
        <v>16</v>
      </c>
      <c r="F3361" s="3" t="n">
        <v>23.21</v>
      </c>
      <c r="G3361" s="3" t="n">
        <v>0</v>
      </c>
      <c r="H3361" s="3" t="n">
        <v>0</v>
      </c>
      <c r="I3361" s="3">
        <f>E3361+G3361+H3361</f>
        <v/>
      </c>
      <c r="J3361" s="3">
        <f>ROUND(MIN(IF(C3361="Técnico III",35,IF(C3361="Técnico II",28,IF(C3361="Técnico I",23,IF(C3361="JR",20,IF(C3361="Estágio",10,0))))),IF(C3361="Técnico III",SUMIFS($D:$D,$A:$A,$A3361,$B:$B,"&lt;&gt;Patrícia Karla de Sousa Araújo",$B:$B,"&lt;&gt;Lorena Dias de Araujo",$B:$B,"&lt;&gt;Lucas Luiz Romero")*(35/1083),IF(C3361="Técnico II",SUMIFS($D:$D,$A:$A,$A3361,$B:$B,"&lt;&gt;Patrícia Karla de Sousa Araújo",$B:$B,"&lt;&gt;Lorena Dias de Araujo",$B:$B,"&lt;&gt;Lucas Luiz Romero")*(28/1083),IF(C3361="Técnico I",SUMIFS($D:$D,$A:$A,$A3361,$B:$B,"&lt;&gt;Patrícia Karla de Sousa Araújo",$B:$B,"&lt;&gt;Lorena Dias de Araujo",$B:$B,"&lt;&gt;Lucas Luiz Romero")*(23/1083),IF(C3361="JR",SUMIFS($D:$D,$A:$A,$A3361,$B:$B,"&lt;&gt;Patrícia Karla de Sousa Araújo",$B:$B,"&lt;&gt;Lorena Dias de Araujo",$B:$B,"&lt;&gt;Lucas Luiz Romero")*(20/1083),IF(C3361="Estágio",SUMIFS($D:$D,$A:$A,$A3361,$B:$B,"&lt;&gt;Patrícia Karla de Sousa Araújo",$B:$B,"&lt;&gt;Lorena Dias de Araujo",$B:$B,"&lt;&gt;Lucas Luiz Romero")*(10/1083),0)))))),0)</f>
        <v/>
      </c>
      <c r="K3361" s="3">
        <f>I3361-J3361</f>
        <v/>
      </c>
      <c r="L3361" s="3">
        <f>IF(K3361&lt;-5,"CRÍTICO",IF(K3361&lt;0,"ATENÇÃO",IF(K3361&lt;=5,"OPORTUNO","MUITO BOM")))</f>
        <v/>
      </c>
      <c r="M3361" s="3" t="n">
        <v>15</v>
      </c>
      <c r="N3361" s="3" t="n">
        <v>100</v>
      </c>
      <c r="O3361" s="12" t="n">
        <v>24.87562189054727</v>
      </c>
    </row>
    <row r="3362">
      <c r="A3362" s="10" t="n">
        <v>46106</v>
      </c>
      <c r="B3362" t="inlineStr">
        <is>
          <t>Pedro Luiz Mota Sousa</t>
        </is>
      </c>
      <c r="C3362" s="1" t="inlineStr">
        <is>
          <t>JR</t>
        </is>
      </c>
      <c r="D3362" s="3" t="n">
        <v>16</v>
      </c>
      <c r="E3362" s="3" t="n">
        <v>16</v>
      </c>
      <c r="F3362" s="3" t="n">
        <v>32.09</v>
      </c>
      <c r="G3362" s="3" t="n">
        <v>0</v>
      </c>
      <c r="H3362" s="3" t="n">
        <v>0</v>
      </c>
      <c r="I3362" s="3">
        <f>E3362+G3362+H3362</f>
        <v/>
      </c>
      <c r="J3362" s="3">
        <f>ROUND(MIN(IF(C3362="Técnico III",35,IF(C3362="Técnico II",28,IF(C3362="Técnico I",23,IF(C3362="JR",20,IF(C3362="Estágio",10,0))))),IF(C3362="Técnico III",SUMIFS($D:$D,$A:$A,$A3362,$B:$B,"&lt;&gt;Patrícia Karla de Sousa Araújo",$B:$B,"&lt;&gt;Lorena Dias de Araujo",$B:$B,"&lt;&gt;Lucas Luiz Romero")*(35/1083),IF(C3362="Técnico II",SUMIFS($D:$D,$A:$A,$A3362,$B:$B,"&lt;&gt;Patrícia Karla de Sousa Araújo",$B:$B,"&lt;&gt;Lorena Dias de Araujo",$B:$B,"&lt;&gt;Lucas Luiz Romero")*(28/1083),IF(C3362="Técnico I",SUMIFS($D:$D,$A:$A,$A3362,$B:$B,"&lt;&gt;Patrícia Karla de Sousa Araújo",$B:$B,"&lt;&gt;Lorena Dias de Araujo",$B:$B,"&lt;&gt;Lucas Luiz Romero")*(23/1083),IF(C3362="JR",SUMIFS($D:$D,$A:$A,$A3362,$B:$B,"&lt;&gt;Patrícia Karla de Sousa Araújo",$B:$B,"&lt;&gt;Lorena Dias de Araujo",$B:$B,"&lt;&gt;Lucas Luiz Romero")*(20/1083),IF(C3362="Estágio",SUMIFS($D:$D,$A:$A,$A3362,$B:$B,"&lt;&gt;Patrícia Karla de Sousa Araújo",$B:$B,"&lt;&gt;Lorena Dias de Araujo",$B:$B,"&lt;&gt;Lucas Luiz Romero")*(10/1083),0)))))),0)</f>
        <v/>
      </c>
      <c r="K3362" s="3">
        <f>I3362-J3362</f>
        <v/>
      </c>
      <c r="L3362" s="3">
        <f>IF(K3362&lt;-5,"CRÍTICO",IF(K3362&lt;0,"ATENÇÃO",IF(K3362&lt;=5,"OPORTUNO","MUITO BOM")))</f>
        <v/>
      </c>
      <c r="M3362" s="3" t="n">
        <v>12</v>
      </c>
      <c r="N3362" s="3" t="n">
        <v>100</v>
      </c>
      <c r="O3362" s="12" t="n">
        <v>28.10810810810811</v>
      </c>
    </row>
    <row r="3363">
      <c r="A3363" s="10" t="n">
        <v>46134</v>
      </c>
      <c r="B3363" t="inlineStr">
        <is>
          <t>Quirino Diogo Leite Torres</t>
        </is>
      </c>
      <c r="C3363" s="1" t="inlineStr">
        <is>
          <t>Estágio</t>
        </is>
      </c>
      <c r="D3363" s="3" t="n">
        <v>7</v>
      </c>
      <c r="E3363" s="3" t="n">
        <v>7</v>
      </c>
      <c r="F3363" s="3" t="n">
        <v>30.53</v>
      </c>
      <c r="G3363" s="3" t="n">
        <v>0</v>
      </c>
      <c r="H3363" s="3" t="n">
        <v>0</v>
      </c>
      <c r="I3363" s="3">
        <f>E3363+G3363+H3363</f>
        <v/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/>
      </c>
      <c r="K3363" s="3">
        <f>I3363-J3363</f>
        <v/>
      </c>
      <c r="L3363" s="3">
        <f>IF(K3363&lt;-5,"CRÍTICO",IF(K3363&lt;0,"ATENÇÃO",IF(K3363&lt;=5,"OPORTUNO","MUITO BOM")))</f>
        <v/>
      </c>
      <c r="M3363" s="3" t="n">
        <v>5</v>
      </c>
      <c r="N3363" s="3" t="n">
        <v>94.12</v>
      </c>
      <c r="O3363" s="12" t="n">
        <v>32.8</v>
      </c>
    </row>
    <row r="3364">
      <c r="A3364" s="10" t="n">
        <v>46106</v>
      </c>
      <c r="B3364" t="inlineStr">
        <is>
          <t>Raane Batista Matos</t>
        </is>
      </c>
      <c r="C3364" s="1" t="inlineStr">
        <is>
          <t>Técnico I</t>
        </is>
      </c>
      <c r="D3364" s="3" t="n">
        <v>20</v>
      </c>
      <c r="E3364" s="3" t="n">
        <v>17</v>
      </c>
      <c r="F3364" s="3" t="n">
        <v>22.17</v>
      </c>
      <c r="G3364" s="3" t="n">
        <v>0</v>
      </c>
      <c r="H3364" s="3" t="n">
        <v>0</v>
      </c>
      <c r="I3364" s="3">
        <f>E3364+G3364+H3364</f>
        <v/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/>
      </c>
      <c r="K3364" s="3">
        <f>I3364-J3364</f>
        <v/>
      </c>
      <c r="L3364" s="3">
        <f>IF(K3364&lt;-5,"CRÍTICO",IF(K3364&lt;0,"ATENÇÃO",IF(K3364&lt;=5,"OPORTUNO","MUITO BOM")))</f>
        <v/>
      </c>
      <c r="M3364" s="3" t="n">
        <v>10</v>
      </c>
      <c r="N3364" s="3" t="n">
        <v>95.34999999999999</v>
      </c>
      <c r="O3364" s="12" t="n">
        <v>28.61538461538461</v>
      </c>
    </row>
    <row r="3365">
      <c r="A3365" s="10" t="n">
        <v>46106</v>
      </c>
      <c r="B3365" t="inlineStr">
        <is>
          <t>Rafael Gomes de Morais</t>
        </is>
      </c>
      <c r="C3365" s="1" t="inlineStr">
        <is>
          <t>Técnico III</t>
        </is>
      </c>
      <c r="D3365" s="3" t="n">
        <v>33</v>
      </c>
      <c r="E3365" s="3" t="n">
        <v>31</v>
      </c>
      <c r="F3365" s="3" t="n">
        <v>10.58</v>
      </c>
      <c r="G3365" s="3" t="n">
        <v>0</v>
      </c>
      <c r="H3365" s="3" t="n">
        <v>0</v>
      </c>
      <c r="I3365" s="3">
        <f>E3365+G3365+H3365</f>
        <v/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/>
      </c>
      <c r="K3365" s="3">
        <f>I3365-J3365</f>
        <v/>
      </c>
      <c r="L3365" s="3">
        <f>IF(K3365&lt;-5,"CRÍTICO",IF(K3365&lt;0,"ATENÇÃO",IF(K3365&lt;=5,"OPORTUNO","MUITO BOM")))</f>
        <v/>
      </c>
      <c r="M3365" s="3" t="n">
        <v>20</v>
      </c>
      <c r="N3365" s="3" t="n">
        <v>98.26000000000001</v>
      </c>
      <c r="O3365" s="12" t="n">
        <v>27.54491017964072</v>
      </c>
    </row>
    <row r="3366">
      <c r="A3366" s="10" t="n">
        <v>46106</v>
      </c>
      <c r="B3366" t="inlineStr">
        <is>
          <t>Sara Maria Monteiro Lopes</t>
        </is>
      </c>
      <c r="C3366" s="1" t="inlineStr">
        <is>
          <t>Técnico I</t>
        </is>
      </c>
      <c r="D3366" s="3" t="n">
        <v>12</v>
      </c>
      <c r="E3366" s="3" t="n">
        <v>12</v>
      </c>
      <c r="F3366" s="3" t="n">
        <v>46.5</v>
      </c>
      <c r="G3366" s="3" t="n">
        <v>0</v>
      </c>
      <c r="H3366" s="3" t="n">
        <v>0</v>
      </c>
      <c r="I3366" s="3">
        <f>E3366+G3366+H3366</f>
        <v/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/>
      </c>
      <c r="K3366" s="3">
        <f>I3366-J3366</f>
        <v/>
      </c>
      <c r="L3366" s="3">
        <f>IF(K3366&lt;-5,"CRÍTICO",IF(K3366&lt;0,"ATENÇÃO",IF(K3366&lt;=5,"OPORTUNO","MUITO BOM")))</f>
        <v/>
      </c>
      <c r="M3366" s="3" t="n">
        <v>9</v>
      </c>
      <c r="N3366" s="3" t="n">
        <v>98.55</v>
      </c>
      <c r="O3366" s="12" t="n">
        <v>25.33783783783784</v>
      </c>
    </row>
    <row r="3367">
      <c r="A3367" s="10" t="n">
        <v>46106</v>
      </c>
      <c r="B3367" t="inlineStr">
        <is>
          <t>Sarah Steffanie de Lima Borges</t>
        </is>
      </c>
      <c r="C3367" s="1" t="inlineStr">
        <is>
          <t>Técnico III</t>
        </is>
      </c>
      <c r="D3367" s="3" t="n">
        <v>25</v>
      </c>
      <c r="E3367" s="3" t="n">
        <v>21</v>
      </c>
      <c r="F3367" s="3" t="n">
        <v>13.43</v>
      </c>
      <c r="G3367" s="3" t="n">
        <v>0</v>
      </c>
      <c r="H3367" s="3" t="n">
        <v>0</v>
      </c>
      <c r="I3367" s="3">
        <f>E3367+G3367+H3367</f>
        <v/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/>
      </c>
      <c r="K3367" s="3">
        <f>I3367-J3367</f>
        <v/>
      </c>
      <c r="L3367" s="3">
        <f>IF(K3367&lt;-5,"CRÍTICO",IF(K3367&lt;0,"ATENÇÃO",IF(K3367&lt;=5,"OPORTUNO","MUITO BOM")))</f>
        <v/>
      </c>
      <c r="M3367" s="3" t="n">
        <v>17</v>
      </c>
      <c r="N3367" s="3" t="n">
        <v>98.39</v>
      </c>
      <c r="O3367" s="12" t="n">
        <v>25.56390977443609</v>
      </c>
    </row>
    <row r="3368">
      <c r="A3368" s="10" t="n">
        <v>46107</v>
      </c>
      <c r="B3368" t="inlineStr">
        <is>
          <t>Alisson de Freitas Silva</t>
        </is>
      </c>
      <c r="C3368" s="1" t="inlineStr">
        <is>
          <t>Técnico II</t>
        </is>
      </c>
      <c r="D3368" s="3" t="n">
        <v>33</v>
      </c>
      <c r="E3368" s="3" t="n">
        <v>28</v>
      </c>
      <c r="F3368" s="3" t="n">
        <v>14.09</v>
      </c>
      <c r="G3368" s="3" t="n">
        <v>0</v>
      </c>
      <c r="H3368" s="3" t="n">
        <v>0</v>
      </c>
      <c r="I3368" s="3">
        <f>E3368+G3368+H3368</f>
        <v/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/>
      </c>
      <c r="K3368" s="3">
        <f>I3368-J3368</f>
        <v/>
      </c>
      <c r="L3368" s="3">
        <f>IF(K3368&lt;-5,"CRÍTICO",IF(K3368&lt;0,"ATENÇÃO",IF(K3368&lt;=5,"OPORTUNO","MUITO BOM")))</f>
        <v/>
      </c>
      <c r="M3368" s="3" t="n">
        <v>23</v>
      </c>
      <c r="N3368" s="3" t="n">
        <v>94.29000000000001</v>
      </c>
      <c r="O3368" s="12" t="n">
        <v>25.64766839378239</v>
      </c>
    </row>
    <row r="3369">
      <c r="A3369" s="10" t="n">
        <v>46107</v>
      </c>
      <c r="B3369" t="inlineStr">
        <is>
          <t>Amanda Moura Ferreira</t>
        </is>
      </c>
      <c r="C3369" s="1" t="inlineStr">
        <is>
          <t>Técnico III</t>
        </is>
      </c>
      <c r="D3369" s="3" t="n">
        <v>0</v>
      </c>
      <c r="E3369" s="3" t="n">
        <v>0</v>
      </c>
      <c r="F3369" s="3" t="n">
        <v>0</v>
      </c>
      <c r="G3369" s="3" t="n">
        <v>0</v>
      </c>
      <c r="H3369" s="3" t="n">
        <v>0</v>
      </c>
      <c r="I3369" s="3" t="n">
        <v>0</v>
      </c>
      <c r="J3369" s="3" t="n">
        <v>0</v>
      </c>
      <c r="K3369" s="3" t="n">
        <v>0</v>
      </c>
      <c r="L3369" s="3">
        <f>IF(K3369&lt;-5,"CRÍTICO",IF(K3369&lt;0,"ATENÇÃO",IF(K3369&lt;=5,"OPORTUNO","MUITO BOM")))</f>
        <v/>
      </c>
      <c r="M3369" s="3" t="n">
        <v>30</v>
      </c>
      <c r="N3369" s="3" t="n">
        <v>98.26000000000001</v>
      </c>
      <c r="O3369" s="12" t="n">
        <v>26.66666666666667</v>
      </c>
    </row>
    <row r="3370">
      <c r="A3370" s="10" t="n">
        <v>46107</v>
      </c>
      <c r="B3370" t="inlineStr">
        <is>
          <t>Ana Karollyne Souza Faria</t>
        </is>
      </c>
      <c r="C3370" s="1" t="inlineStr">
        <is>
          <t>Técnico I</t>
        </is>
      </c>
      <c r="D3370" s="3" t="n">
        <v>21</v>
      </c>
      <c r="E3370" s="3" t="n">
        <v>21</v>
      </c>
      <c r="F3370" s="3" t="n">
        <v>23.32</v>
      </c>
      <c r="G3370" s="3" t="n">
        <v>0</v>
      </c>
      <c r="H3370" s="3" t="n">
        <v>0</v>
      </c>
      <c r="I3370" s="3">
        <f>E3370+G3370+H3370</f>
        <v/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/>
      </c>
      <c r="K3370" s="3">
        <f>I3370-J3370</f>
        <v/>
      </c>
      <c r="L3370" s="3">
        <f>IF(K3370&lt;-5,"CRÍTICO",IF(K3370&lt;0,"ATENÇÃO",IF(K3370&lt;=5,"OPORTUNO","MUITO BOM")))</f>
        <v/>
      </c>
      <c r="M3370" s="3" t="n">
        <v>16</v>
      </c>
      <c r="N3370" s="3" t="n">
        <v>98.2</v>
      </c>
      <c r="O3370" s="12" t="n">
        <v>23.37962962962963</v>
      </c>
    </row>
    <row r="3371">
      <c r="A3371" s="10" t="n">
        <v>46107</v>
      </c>
      <c r="B3371" t="inlineStr">
        <is>
          <t>Ana Paula Da Luz Silva Aleixo</t>
        </is>
      </c>
      <c r="C3371" s="1" t="inlineStr">
        <is>
          <t>Técnico III</t>
        </is>
      </c>
      <c r="D3371" s="3" t="n">
        <v>35</v>
      </c>
      <c r="E3371" s="3" t="n">
        <v>32</v>
      </c>
      <c r="F3371" s="3" t="n">
        <v>15.52</v>
      </c>
      <c r="G3371" s="3" t="n">
        <v>0</v>
      </c>
      <c r="H3371" s="3" t="n">
        <v>0</v>
      </c>
      <c r="I3371" s="3">
        <f>E3371+G3371+H3371</f>
        <v/>
      </c>
      <c r="J3371" s="3">
        <f>ROUND(MIN(IF(C3371="Técnico III",35,IF(C3371="Técnico II",28,IF(C3371="Técnico I",23,IF(C3371="JR",20,IF(C3371="Estágio",10,0))))),IF(C3371="Técnico III",SUMIFS($D:$D,$A:$A,$A3371,$B:$B,"&lt;&gt;Patrícia Karla de Sousa Araújo",$B:$B,"&lt;&gt;Lorena Dias de Araujo",$B:$B,"&lt;&gt;Lucas Luiz Romero")*(35/1083),IF(C3371="Técnico II",SUMIFS($D:$D,$A:$A,$A3371,$B:$B,"&lt;&gt;Patrícia Karla de Sousa Araújo",$B:$B,"&lt;&gt;Lorena Dias de Araujo",$B:$B,"&lt;&gt;Lucas Luiz Romero")*(28/1083),IF(C3371="Técnico I",SUMIFS($D:$D,$A:$A,$A3371,$B:$B,"&lt;&gt;Patrícia Karla de Sousa Araújo",$B:$B,"&lt;&gt;Lorena Dias de Araujo",$B:$B,"&lt;&gt;Lucas Luiz Romero")*(23/1083),IF(C3371="JR",SUMIFS($D:$D,$A:$A,$A3371,$B:$B,"&lt;&gt;Patrícia Karla de Sousa Araújo",$B:$B,"&lt;&gt;Lorena Dias de Araujo",$B:$B,"&lt;&gt;Lucas Luiz Romero")*(20/1083),IF(C3371="Estágio",SUMIFS($D:$D,$A:$A,$A3371,$B:$B,"&lt;&gt;Patrícia Karla de Sousa Araújo",$B:$B,"&lt;&gt;Lorena Dias de Araujo",$B:$B,"&lt;&gt;Lucas Luiz Romero")*(10/1083),0)))))),0)</f>
        <v/>
      </c>
      <c r="K3371" s="3">
        <f>I3371-J3371</f>
        <v/>
      </c>
      <c r="L3371" s="3">
        <f>IF(K3371&lt;-5,"CRÍTICO",IF(K3371&lt;0,"ATENÇÃO",IF(K3371&lt;=5,"OPORTUNO","MUITO BOM")))</f>
        <v/>
      </c>
      <c r="M3371" s="3" t="n">
        <v>29</v>
      </c>
      <c r="N3371" s="3" t="n">
        <v>97.3</v>
      </c>
      <c r="O3371" s="12" t="n">
        <v>23.84769539078156</v>
      </c>
    </row>
    <row r="3372">
      <c r="A3372" s="10" t="n">
        <v>46107</v>
      </c>
      <c r="B3372" t="inlineStr">
        <is>
          <t>Anna Luiza Rezende Tavares</t>
        </is>
      </c>
      <c r="C3372" s="1" t="inlineStr">
        <is>
          <t>Estágio</t>
        </is>
      </c>
      <c r="D3372" s="3" t="n">
        <v>21</v>
      </c>
      <c r="E3372" s="3" t="n">
        <v>20</v>
      </c>
      <c r="F3372" s="3" t="n">
        <v>15.55</v>
      </c>
      <c r="G3372" s="3" t="n">
        <v>0</v>
      </c>
      <c r="H3372" s="3" t="n">
        <v>0</v>
      </c>
      <c r="I3372" s="3">
        <f>E3372+G3372+H3372</f>
        <v/>
      </c>
      <c r="J3372" s="3">
        <f>ROUND(MIN(IF(C3372="Técnico III",35,IF(C3372="Técnico II",28,IF(C3372="Técnico I",23,IF(C3372="JR",20,IF(C3372="Estágio",10,0))))),IF(C3372="Técnico III",SUMIFS($D:$D,$A:$A,$A3372,$B:$B,"&lt;&gt;Patrícia Karla de Sousa Araújo",$B:$B,"&lt;&gt;Lorena Dias de Araujo",$B:$B,"&lt;&gt;Lucas Luiz Romero")*(35/1083),IF(C3372="Técnico II",SUMIFS($D:$D,$A:$A,$A3372,$B:$B,"&lt;&gt;Patrícia Karla de Sousa Araújo",$B:$B,"&lt;&gt;Lorena Dias de Araujo",$B:$B,"&lt;&gt;Lucas Luiz Romero")*(28/1083),IF(C3372="Técnico I",SUMIFS($D:$D,$A:$A,$A3372,$B:$B,"&lt;&gt;Patrícia Karla de Sousa Araújo",$B:$B,"&lt;&gt;Lorena Dias de Araujo",$B:$B,"&lt;&gt;Lucas Luiz Romero")*(23/1083),IF(C3372="JR",SUMIFS($D:$D,$A:$A,$A3372,$B:$B,"&lt;&gt;Patrícia Karla de Sousa Araújo",$B:$B,"&lt;&gt;Lorena Dias de Araujo",$B:$B,"&lt;&gt;Lucas Luiz Romero")*(20/1083),IF(C3372="Estágio",SUMIFS($D:$D,$A:$A,$A3372,$B:$B,"&lt;&gt;Patrícia Karla de Sousa Araújo",$B:$B,"&lt;&gt;Lorena Dias de Araujo",$B:$B,"&lt;&gt;Lucas Luiz Romero")*(10/1083),0)))))),0)</f>
        <v/>
      </c>
      <c r="K3372" s="3">
        <f>I3372-J3372</f>
        <v/>
      </c>
      <c r="L3372" s="3">
        <f>IF(K3372&lt;-5,"CRÍTICO",IF(K3372&lt;0,"ATENÇÃO",IF(K3372&lt;=5,"OPORTUNO","MUITO BOM")))</f>
        <v/>
      </c>
      <c r="M3372" s="3" t="n">
        <v>16</v>
      </c>
      <c r="N3372" s="3" t="n">
        <v>100</v>
      </c>
      <c r="O3372" s="12" t="n">
        <v>25.26881720430108</v>
      </c>
    </row>
    <row r="3373">
      <c r="A3373" s="10" t="n">
        <v>46107</v>
      </c>
      <c r="B3373" t="inlineStr">
        <is>
          <t>Brenda de Menezes Silva</t>
        </is>
      </c>
      <c r="C3373" s="1" t="inlineStr">
        <is>
          <t>Técnico II</t>
        </is>
      </c>
      <c r="D3373" s="3" t="n">
        <v>35</v>
      </c>
      <c r="E3373" s="3" t="n">
        <v>31</v>
      </c>
      <c r="F3373" s="3" t="n">
        <v>15.38</v>
      </c>
      <c r="G3373" s="3" t="n">
        <v>0</v>
      </c>
      <c r="H3373" s="3" t="n">
        <v>0</v>
      </c>
      <c r="I3373" s="3">
        <f>E3373+G3373+H3373</f>
        <v/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/>
      </c>
      <c r="K3373" s="3">
        <f>I3373-J3373</f>
        <v/>
      </c>
      <c r="L3373" s="3">
        <f>IF(K3373&lt;-5,"CRÍTICO",IF(K3373&lt;0,"ATENÇÃO",IF(K3373&lt;=5,"OPORTUNO","MUITO BOM")))</f>
        <v/>
      </c>
      <c r="M3373" s="3" t="n">
        <v>33</v>
      </c>
      <c r="N3373" s="3" t="n">
        <v>99.31999999999999</v>
      </c>
      <c r="O3373" s="12" t="n">
        <v>22.82282282282282</v>
      </c>
    </row>
    <row r="3374">
      <c r="A3374" s="10" t="n">
        <v>46107</v>
      </c>
      <c r="B3374" t="inlineStr">
        <is>
          <t>Carlos Mateus Cassimiro Nunes</t>
        </is>
      </c>
      <c r="C3374" s="1" t="inlineStr">
        <is>
          <t>Técnico II</t>
        </is>
      </c>
      <c r="D3374" s="3" t="n">
        <v>18</v>
      </c>
      <c r="E3374" s="3" t="n">
        <v>18</v>
      </c>
      <c r="F3374" s="3" t="n">
        <v>27</v>
      </c>
      <c r="G3374" s="3" t="n">
        <v>0</v>
      </c>
      <c r="H3374" s="3" t="n">
        <v>0</v>
      </c>
      <c r="I3374" s="3">
        <f>E3374+G3374+H3374</f>
        <v/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/>
      </c>
      <c r="K3374" s="3">
        <f>I3374-J3374</f>
        <v/>
      </c>
      <c r="L3374" s="3">
        <f>IF(K3374&lt;-5,"CRÍTICO",IF(K3374&lt;0,"ATENÇÃO",IF(K3374&lt;=5,"OPORTUNO","MUITO BOM")))</f>
        <v/>
      </c>
      <c r="M3374" s="3" t="n">
        <v>18</v>
      </c>
      <c r="N3374" s="3" t="n">
        <v>100</v>
      </c>
      <c r="O3374" s="12" t="n">
        <v>27.96610169491525</v>
      </c>
    </row>
    <row r="3375">
      <c r="A3375" s="10" t="n">
        <v>46107</v>
      </c>
      <c r="B3375" t="inlineStr">
        <is>
          <t>Claudio de Sousa Velasco Filho</t>
        </is>
      </c>
      <c r="C3375" s="1" t="inlineStr">
        <is>
          <t>Estágio</t>
        </is>
      </c>
      <c r="D3375" s="3" t="n">
        <v>8</v>
      </c>
      <c r="E3375" s="3" t="n">
        <v>7</v>
      </c>
      <c r="F3375" s="3" t="n">
        <v>25.28</v>
      </c>
      <c r="G3375" s="3" t="n">
        <v>0</v>
      </c>
      <c r="H3375" s="3" t="n">
        <v>0</v>
      </c>
      <c r="I3375" s="3">
        <f>E3375+G3375+H3375</f>
        <v/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/>
      </c>
      <c r="K3375" s="3">
        <f>I3375-J3375</f>
        <v/>
      </c>
      <c r="L3375" s="3">
        <f>IF(K3375&lt;-5,"CRÍTICO",IF(K3375&lt;0,"ATENÇÃO",IF(K3375&lt;=5,"OPORTUNO","MUITO BOM")))</f>
        <v/>
      </c>
      <c r="M3375" s="3" t="n">
        <v>4</v>
      </c>
      <c r="N3375" s="3" t="n">
        <v>100</v>
      </c>
      <c r="O3375" s="12" t="n">
        <v>30.43478260869566</v>
      </c>
    </row>
    <row r="3376">
      <c r="A3376" s="10" t="n">
        <v>46107</v>
      </c>
      <c r="B3376" t="inlineStr">
        <is>
          <t>Clessiane Pereira dos Santos</t>
        </is>
      </c>
      <c r="C3376" s="1" t="inlineStr">
        <is>
          <t>Técnico I</t>
        </is>
      </c>
      <c r="D3376" s="3" t="n">
        <v>22</v>
      </c>
      <c r="E3376" s="3" t="n">
        <v>22</v>
      </c>
      <c r="F3376" s="3" t="n">
        <v>21.58</v>
      </c>
      <c r="G3376" s="3" t="n">
        <v>0</v>
      </c>
      <c r="H3376" s="3" t="n">
        <v>0</v>
      </c>
      <c r="I3376" s="3">
        <f>E3376+G3376+H3376</f>
        <v/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/>
      </c>
      <c r="K3376" s="3">
        <f>I3376-J3376</f>
        <v/>
      </c>
      <c r="L3376" s="3">
        <f>IF(K3376&lt;-5,"CRÍTICO",IF(K3376&lt;0,"ATENÇÃO",IF(K3376&lt;=5,"OPORTUNO","MUITO BOM")))</f>
        <v/>
      </c>
      <c r="M3376" s="3" t="n">
        <v>17</v>
      </c>
      <c r="N3376" s="3" t="n">
        <v>96.51000000000001</v>
      </c>
      <c r="O3376" s="12" t="n">
        <v>22.80285035629454</v>
      </c>
    </row>
    <row r="3377">
      <c r="A3377" s="10" t="n">
        <v>46107</v>
      </c>
      <c r="B3377" t="inlineStr">
        <is>
          <t>Cristiane Ramos da Silva Rocha</t>
        </is>
      </c>
      <c r="C3377" s="1" t="inlineStr">
        <is>
          <t>Técnico III</t>
        </is>
      </c>
      <c r="D3377" s="3" t="n">
        <v>36</v>
      </c>
      <c r="E3377" s="3" t="n">
        <v>33</v>
      </c>
      <c r="F3377" s="3" t="n">
        <v>13.27</v>
      </c>
      <c r="G3377" s="3" t="n">
        <v>0</v>
      </c>
      <c r="H3377" s="3" t="n">
        <v>0</v>
      </c>
      <c r="I3377" s="3">
        <f>E3377+G3377+H3377</f>
        <v/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/>
      </c>
      <c r="K3377" s="3">
        <f>I3377-J3377</f>
        <v/>
      </c>
      <c r="L3377" s="3">
        <f>IF(K3377&lt;-5,"CRÍTICO",IF(K3377&lt;0,"ATENÇÃO",IF(K3377&lt;=5,"OPORTUNO","MUITO BOM")))</f>
        <v/>
      </c>
      <c r="M3377" s="3" t="n">
        <v>28</v>
      </c>
      <c r="N3377" s="3" t="n">
        <v>92.68000000000001</v>
      </c>
      <c r="O3377" s="12" t="n">
        <v>27.77777777777778</v>
      </c>
    </row>
    <row r="3378">
      <c r="A3378" s="10" t="n">
        <v>46107</v>
      </c>
      <c r="B3378" t="inlineStr">
        <is>
          <t>Damyllis Lorraine de Oliveira Gonçalves</t>
        </is>
      </c>
      <c r="C3378" s="1" t="inlineStr">
        <is>
          <t>Técnico II</t>
        </is>
      </c>
      <c r="D3378" s="3" t="n">
        <v>40</v>
      </c>
      <c r="E3378" s="3" t="n">
        <v>35</v>
      </c>
      <c r="F3378" s="3" t="n">
        <v>14.12</v>
      </c>
      <c r="G3378" s="3" t="n">
        <v>0</v>
      </c>
      <c r="H3378" s="3" t="n">
        <v>0</v>
      </c>
      <c r="I3378" s="3" t="n">
        <v>0</v>
      </c>
      <c r="J3378" s="3" t="n">
        <v>0</v>
      </c>
      <c r="K3378" s="3" t="n">
        <v>0</v>
      </c>
      <c r="L3378" s="3">
        <f>IF(K3378&lt;-5,"CRÍTICO",IF(K3378&lt;0,"ATENÇÃO",IF(K3378&lt;=5,"OPORTUNO","MUITO BOM")))</f>
        <v/>
      </c>
      <c r="M3378" s="3" t="n">
        <v>32</v>
      </c>
      <c r="N3378" s="3" t="n">
        <v>99.03</v>
      </c>
      <c r="O3378" s="12" t="n">
        <v>23.99150743099788</v>
      </c>
    </row>
    <row r="3379">
      <c r="A3379" s="10" t="n">
        <v>46107</v>
      </c>
      <c r="B3379" t="inlineStr">
        <is>
          <t>Daniel Gomes da Silva</t>
        </is>
      </c>
      <c r="C3379" s="1" t="inlineStr">
        <is>
          <t>Técnico I</t>
        </is>
      </c>
      <c r="D3379" s="3" t="n">
        <v>17</v>
      </c>
      <c r="E3379" s="3" t="n">
        <v>17</v>
      </c>
      <c r="F3379" s="3" t="n">
        <v>25.03</v>
      </c>
      <c r="G3379" s="3" t="n">
        <v>0</v>
      </c>
      <c r="H3379" s="3" t="n">
        <v>0</v>
      </c>
      <c r="I3379" s="3">
        <f>E3379+G3379+H3379</f>
        <v/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/>
      </c>
      <c r="K3379" s="3">
        <f>I3379-J3379</f>
        <v/>
      </c>
      <c r="L3379" s="3">
        <f>IF(K3379&lt;-5,"CRÍTICO",IF(K3379&lt;0,"ATENÇÃO",IF(K3379&lt;=5,"OPORTUNO","MUITO BOM")))</f>
        <v/>
      </c>
      <c r="M3379" s="3" t="n">
        <v>8</v>
      </c>
      <c r="N3379" s="3" t="n">
        <v>98.41</v>
      </c>
      <c r="O3379" s="12" t="n">
        <v>28.13852813852814</v>
      </c>
    </row>
    <row r="3380">
      <c r="A3380" s="10" t="n">
        <v>46107</v>
      </c>
      <c r="B3380" t="inlineStr">
        <is>
          <t>Davylla Rodrigues Freitas Silva</t>
        </is>
      </c>
      <c r="C3380" s="1" t="inlineStr">
        <is>
          <t>Técnico III</t>
        </is>
      </c>
      <c r="D3380" s="3" t="n">
        <v>21</v>
      </c>
      <c r="E3380" s="3" t="n">
        <v>21</v>
      </c>
      <c r="F3380" s="3" t="n">
        <v>26.42</v>
      </c>
      <c r="G3380" s="3" t="n">
        <v>0</v>
      </c>
      <c r="H3380" s="3" t="n">
        <v>0</v>
      </c>
      <c r="I3380" s="3" t="n">
        <v>0</v>
      </c>
      <c r="J3380" s="3" t="n">
        <v>0</v>
      </c>
      <c r="K3380" s="3" t="n">
        <v>0</v>
      </c>
      <c r="L3380" s="3">
        <f>IF(K3380&lt;-5,"CRÍTICO",IF(K3380&lt;0,"ATENÇÃO",IF(K3380&lt;=5,"OPORTUNO","MUITO BOM")))</f>
        <v/>
      </c>
      <c r="M3380" s="3" t="n">
        <v>22</v>
      </c>
      <c r="N3380" s="3" t="n">
        <v>98.73</v>
      </c>
      <c r="O3380" s="12" t="n">
        <v>29.14285714285714</v>
      </c>
    </row>
    <row r="3381">
      <c r="A3381" s="10" t="n">
        <v>46107</v>
      </c>
      <c r="B3381" t="inlineStr">
        <is>
          <t>Emilly Caylane Costa</t>
        </is>
      </c>
      <c r="C3381" s="1" t="inlineStr">
        <is>
          <t>Estágio</t>
        </is>
      </c>
      <c r="D3381" s="3" t="n">
        <v>15</v>
      </c>
      <c r="E3381" s="3" t="n">
        <v>13</v>
      </c>
      <c r="F3381" s="3" t="n">
        <v>20.47</v>
      </c>
      <c r="G3381" s="3" t="n">
        <v>0</v>
      </c>
      <c r="H3381" s="3" t="n">
        <v>0</v>
      </c>
      <c r="I3381" s="3">
        <f>E3381+G3381+H3381</f>
        <v/>
      </c>
      <c r="J3381" s="3">
        <f>ROUND(MIN(IF(C3381="Técnico III",35,IF(C3381="Técnico II",28,IF(C3381="Técnico I",23,IF(C3381="JR",20,IF(C3381="Estágio",10,0))))),IF(C3381="Técnico III",SUMIFS($D:$D,$A:$A,$A3381,$B:$B,"&lt;&gt;Patrícia Karla de Sousa Araújo",$B:$B,"&lt;&gt;Lorena Dias de Araujo",$B:$B,"&lt;&gt;Lucas Luiz Romero")*(35/1083),IF(C3381="Técnico II",SUMIFS($D:$D,$A:$A,$A3381,$B:$B,"&lt;&gt;Patrícia Karla de Sousa Araújo",$B:$B,"&lt;&gt;Lorena Dias de Araujo",$B:$B,"&lt;&gt;Lucas Luiz Romero")*(28/1083),IF(C3381="Técnico I",SUMIFS($D:$D,$A:$A,$A3381,$B:$B,"&lt;&gt;Patrícia Karla de Sousa Araújo",$B:$B,"&lt;&gt;Lorena Dias de Araujo",$B:$B,"&lt;&gt;Lucas Luiz Romero")*(23/1083),IF(C3381="JR",SUMIFS($D:$D,$A:$A,$A3381,$B:$B,"&lt;&gt;Patrícia Karla de Sousa Araújo",$B:$B,"&lt;&gt;Lorena Dias de Araujo",$B:$B,"&lt;&gt;Lucas Luiz Romero")*(20/1083),IF(C3381="Estágio",SUMIFS($D:$D,$A:$A,$A3381,$B:$B,"&lt;&gt;Patrícia Karla de Sousa Araújo",$B:$B,"&lt;&gt;Lorena Dias de Araujo",$B:$B,"&lt;&gt;Lucas Luiz Romero")*(10/1083),0)))))),0)</f>
        <v/>
      </c>
      <c r="K3381" s="3">
        <f>I3381-J3381</f>
        <v/>
      </c>
      <c r="L3381" s="3">
        <f>IF(K3381&lt;-5,"CRÍTICO",IF(K3381&lt;0,"ATENÇÃO",IF(K3381&lt;=5,"OPORTUNO","MUITO BOM")))</f>
        <v/>
      </c>
      <c r="M3381" s="3" t="n">
        <v>9</v>
      </c>
      <c r="N3381" s="3" t="n">
        <v>90.48</v>
      </c>
      <c r="O3381" s="12" t="n">
        <v>20.68965517241379</v>
      </c>
    </row>
    <row r="3382">
      <c r="A3382" s="10" t="n">
        <v>46107</v>
      </c>
      <c r="B3382" t="inlineStr">
        <is>
          <t>Emilly Kamilly Medeiros Miranda</t>
        </is>
      </c>
      <c r="C3382" s="1" t="inlineStr">
        <is>
          <t>Técnico II</t>
        </is>
      </c>
      <c r="D3382" s="3" t="n">
        <v>29</v>
      </c>
      <c r="E3382" s="3" t="n">
        <v>26</v>
      </c>
      <c r="F3382" s="3" t="n">
        <v>16.44</v>
      </c>
      <c r="G3382" s="3" t="n">
        <v>0</v>
      </c>
      <c r="H3382" s="3" t="n">
        <v>0</v>
      </c>
      <c r="I3382" s="3">
        <f>E3382+G3382+H3382</f>
        <v/>
      </c>
      <c r="J3382" s="3">
        <f>ROUND(MIN(IF(C3382="Técnico III",35,IF(C3382="Técnico II",28,IF(C3382="Técnico I",23,IF(C3382="JR",20,IF(C3382="Estágio",10,0))))),IF(C3382="Técnico III",SUMIFS($D:$D,$A:$A,$A3382,$B:$B,"&lt;&gt;Patrícia Karla de Sousa Araújo",$B:$B,"&lt;&gt;Lorena Dias de Araujo",$B:$B,"&lt;&gt;Lucas Luiz Romero")*(35/1083),IF(C3382="Técnico II",SUMIFS($D:$D,$A:$A,$A3382,$B:$B,"&lt;&gt;Patrícia Karla de Sousa Araújo",$B:$B,"&lt;&gt;Lorena Dias de Araujo",$B:$B,"&lt;&gt;Lucas Luiz Romero")*(28/1083),IF(C3382="Técnico I",SUMIFS($D:$D,$A:$A,$A3382,$B:$B,"&lt;&gt;Patrícia Karla de Sousa Araújo",$B:$B,"&lt;&gt;Lorena Dias de Araujo",$B:$B,"&lt;&gt;Lucas Luiz Romero")*(23/1083),IF(C3382="JR",SUMIFS($D:$D,$A:$A,$A3382,$B:$B,"&lt;&gt;Patrícia Karla de Sousa Araújo",$B:$B,"&lt;&gt;Lorena Dias de Araujo",$B:$B,"&lt;&gt;Lucas Luiz Romero")*(20/1083),IF(C3382="Estágio",SUMIFS($D:$D,$A:$A,$A3382,$B:$B,"&lt;&gt;Patrícia Karla de Sousa Araújo",$B:$B,"&lt;&gt;Lorena Dias de Araujo",$B:$B,"&lt;&gt;Lucas Luiz Romero")*(10/1083),0)))))),0)</f>
        <v/>
      </c>
      <c r="K3382" s="3">
        <f>I3382-J3382</f>
        <v/>
      </c>
      <c r="L3382" s="3">
        <f>IF(K3382&lt;-5,"CRÍTICO",IF(K3382&lt;0,"ATENÇÃO",IF(K3382&lt;=5,"OPORTUNO","MUITO BOM")))</f>
        <v/>
      </c>
      <c r="M3382" s="3" t="n">
        <v>23</v>
      </c>
      <c r="N3382" s="3" t="n">
        <v>98.06</v>
      </c>
      <c r="O3382" s="12" t="n">
        <v>24.78991596638656</v>
      </c>
    </row>
    <row r="3383">
      <c r="A3383" s="10" t="n">
        <v>46107</v>
      </c>
      <c r="B3383" t="inlineStr">
        <is>
          <t>Francielson de Oliveira</t>
        </is>
      </c>
      <c r="C3383" s="1" t="inlineStr">
        <is>
          <t>Técnico III</t>
        </is>
      </c>
      <c r="D3383" s="3" t="n">
        <v>31</v>
      </c>
      <c r="E3383" s="3" t="n">
        <v>30</v>
      </c>
      <c r="F3383" s="3" t="n">
        <v>18.32</v>
      </c>
      <c r="G3383" s="3" t="n">
        <v>0</v>
      </c>
      <c r="H3383" s="3" t="n">
        <v>0</v>
      </c>
      <c r="I3383" s="3">
        <f>E3383+G3383+H3383</f>
        <v/>
      </c>
      <c r="J3383" s="3">
        <f>ROUND(MIN(IF(C3383="Técnico III",35,IF(C3383="Técnico II",28,IF(C3383="Técnico I",23,IF(C3383="JR",20,IF(C3383="Estágio",10,0))))),IF(C3383="Técnico III",SUMIFS($D:$D,$A:$A,$A3383,$B:$B,"&lt;&gt;Patrícia Karla de Sousa Araújo",$B:$B,"&lt;&gt;Lorena Dias de Araujo",$B:$B,"&lt;&gt;Lucas Luiz Romero")*(35/1083),IF(C3383="Técnico II",SUMIFS($D:$D,$A:$A,$A3383,$B:$B,"&lt;&gt;Patrícia Karla de Sousa Araújo",$B:$B,"&lt;&gt;Lorena Dias de Araujo",$B:$B,"&lt;&gt;Lucas Luiz Romero")*(28/1083),IF(C3383="Técnico I",SUMIFS($D:$D,$A:$A,$A3383,$B:$B,"&lt;&gt;Patrícia Karla de Sousa Araújo",$B:$B,"&lt;&gt;Lorena Dias de Araujo",$B:$B,"&lt;&gt;Lucas Luiz Romero")*(23/1083),IF(C3383="JR",SUMIFS($D:$D,$A:$A,$A3383,$B:$B,"&lt;&gt;Patrícia Karla de Sousa Araújo",$B:$B,"&lt;&gt;Lorena Dias de Araujo",$B:$B,"&lt;&gt;Lucas Luiz Romero")*(20/1083),IF(C3383="Estágio",SUMIFS($D:$D,$A:$A,$A3383,$B:$B,"&lt;&gt;Patrícia Karla de Sousa Araújo",$B:$B,"&lt;&gt;Lorena Dias de Araujo",$B:$B,"&lt;&gt;Lucas Luiz Romero")*(10/1083),0)))))),0)</f>
        <v/>
      </c>
      <c r="K3383" s="3">
        <f>I3383-J3383</f>
        <v/>
      </c>
      <c r="L3383" s="3">
        <f>IF(K3383&lt;-5,"CRÍTICO",IF(K3383&lt;0,"ATENÇÃO",IF(K3383&lt;=5,"OPORTUNO","MUITO BOM")))</f>
        <v/>
      </c>
      <c r="M3383" s="3" t="n">
        <v>30</v>
      </c>
      <c r="N3383" s="3" t="n">
        <v>97.78</v>
      </c>
      <c r="O3383" s="12" t="n">
        <v>25.49407114624506</v>
      </c>
    </row>
    <row r="3384">
      <c r="A3384" s="10" t="n">
        <v>46107</v>
      </c>
      <c r="B3384" t="inlineStr">
        <is>
          <t>Francilene Ferreira de Jesus</t>
        </is>
      </c>
      <c r="C3384" s="1" t="inlineStr">
        <is>
          <t>Técnico II</t>
        </is>
      </c>
      <c r="D3384" s="3" t="n">
        <v>23</v>
      </c>
      <c r="E3384" s="3" t="n">
        <v>23</v>
      </c>
      <c r="F3384" s="3" t="n">
        <v>24.1</v>
      </c>
      <c r="G3384" s="3" t="n">
        <v>0</v>
      </c>
      <c r="H3384" s="3" t="n">
        <v>0</v>
      </c>
      <c r="I3384" s="3">
        <f>E3384+G3384+H3384</f>
        <v/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/>
      </c>
      <c r="K3384" s="3">
        <f>I3384-J3384</f>
        <v/>
      </c>
      <c r="L3384" s="3">
        <f>IF(K3384&lt;-5,"CRÍTICO",IF(K3384&lt;0,"ATENÇÃO",IF(K3384&lt;=5,"OPORTUNO","MUITO BOM")))</f>
        <v/>
      </c>
      <c r="M3384" s="3" t="n">
        <v>22</v>
      </c>
      <c r="N3384" s="3" t="n">
        <v>98.02</v>
      </c>
      <c r="O3384" s="12" t="n">
        <v>23.48484848484848</v>
      </c>
    </row>
    <row r="3385">
      <c r="A3385" s="7" t="n">
        <v>46161</v>
      </c>
      <c r="B3385" s="8" t="inlineStr">
        <is>
          <t>Francielson de Oliveira</t>
        </is>
      </c>
      <c r="C3385" s="1" t="inlineStr">
        <is>
          <t>Técnico III</t>
        </is>
      </c>
      <c r="D3385" s="3" t="n">
        <v>12</v>
      </c>
      <c r="E3385" s="3" t="n">
        <v>12</v>
      </c>
      <c r="F3385" s="3" t="n">
        <v>18.2</v>
      </c>
      <c r="G3385" s="3" t="n">
        <v>0</v>
      </c>
      <c r="H3385" s="3" t="n">
        <v>0</v>
      </c>
      <c r="I3385" s="3" t="n">
        <v>12</v>
      </c>
      <c r="J3385" s="3" t="n">
        <v>29</v>
      </c>
      <c r="K3385" s="3" t="n">
        <v>-17</v>
      </c>
      <c r="L3385" s="3" t="inlineStr">
        <is>
          <t>CRÍTICO</t>
        </is>
      </c>
      <c r="M3385" s="3" t="n">
        <v>11</v>
      </c>
      <c r="N3385" s="3" t="n">
        <v>100</v>
      </c>
      <c r="O3385" s="12" t="n">
        <v>13.51351351351351</v>
      </c>
    </row>
    <row r="3386">
      <c r="A3386" s="10" t="n">
        <v>46107</v>
      </c>
      <c r="B3386" t="inlineStr">
        <is>
          <t>Isabella Borges de Oliveira</t>
        </is>
      </c>
      <c r="C3386" s="1" t="inlineStr">
        <is>
          <t>Técnico II</t>
        </is>
      </c>
      <c r="D3386" s="3" t="n">
        <v>25</v>
      </c>
      <c r="E3386" s="3" t="n">
        <v>23</v>
      </c>
      <c r="F3386" s="3" t="n">
        <v>20.4</v>
      </c>
      <c r="G3386" s="3" t="n">
        <v>0</v>
      </c>
      <c r="H3386" s="3" t="n">
        <v>0</v>
      </c>
      <c r="I3386" s="3">
        <f>E3386+G3386+H3386</f>
        <v/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/>
      </c>
      <c r="K3386" s="3">
        <f>I3386-J3386</f>
        <v/>
      </c>
      <c r="L3386" s="3">
        <f>IF(K3386&lt;-5,"CRÍTICO",IF(K3386&lt;0,"ATENÇÃO",IF(K3386&lt;=5,"OPORTUNO","MUITO BOM")))</f>
        <v/>
      </c>
      <c r="M3386" s="3" t="n">
        <v>21</v>
      </c>
      <c r="N3386" s="3" t="n">
        <v>100</v>
      </c>
      <c r="O3386" s="12" t="n">
        <v>27.04918032786885</v>
      </c>
    </row>
    <row r="3387">
      <c r="A3387" s="10" t="n">
        <v>46107</v>
      </c>
      <c r="B3387" t="inlineStr">
        <is>
          <t>Janaina Lima dos Reis Urany</t>
        </is>
      </c>
      <c r="C3387" s="1" t="inlineStr">
        <is>
          <t>Técnico III</t>
        </is>
      </c>
      <c r="D3387" s="3" t="n">
        <v>40</v>
      </c>
      <c r="E3387" s="3" t="n">
        <v>38</v>
      </c>
      <c r="F3387" s="3" t="n">
        <v>14.19</v>
      </c>
      <c r="G3387" s="3" t="n">
        <v>0</v>
      </c>
      <c r="H3387" s="3" t="n">
        <v>0</v>
      </c>
      <c r="I3387" s="3">
        <f>E3387+G3387+H3387</f>
        <v/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/>
      </c>
      <c r="K3387" s="3">
        <f>I3387-J3387</f>
        <v/>
      </c>
      <c r="L3387" s="3">
        <f>IF(K3387&lt;-5,"CRÍTICO",IF(K3387&lt;0,"ATENÇÃO",IF(K3387&lt;=5,"OPORTUNO","MUITO BOM")))</f>
        <v/>
      </c>
      <c r="M3387" s="3" t="n">
        <v>34</v>
      </c>
      <c r="N3387" s="3" t="n">
        <v>97.83</v>
      </c>
      <c r="O3387" s="12" t="n">
        <v>26.31578947368421</v>
      </c>
    </row>
    <row r="3388">
      <c r="A3388" s="10" t="n">
        <v>46107</v>
      </c>
      <c r="B3388" t="inlineStr">
        <is>
          <t>Jaqueline Evangelista da Silva Martins</t>
        </is>
      </c>
      <c r="C3388" s="1" t="inlineStr">
        <is>
          <t>Técnico III</t>
        </is>
      </c>
      <c r="D3388" s="3" t="n">
        <v>24</v>
      </c>
      <c r="E3388" s="3" t="n">
        <v>21</v>
      </c>
      <c r="F3388" s="3" t="n">
        <v>13.26</v>
      </c>
      <c r="G3388" s="3" t="n">
        <v>0</v>
      </c>
      <c r="H3388" s="3" t="n">
        <v>0</v>
      </c>
      <c r="I3388" s="3">
        <f>E3388+G3388+H3388</f>
        <v/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/>
      </c>
      <c r="K3388" s="3">
        <f>I3388-J3388</f>
        <v/>
      </c>
      <c r="L3388" s="3">
        <f>IF(K3388&lt;-5,"CRÍTICO",IF(K3388&lt;0,"ATENÇÃO",IF(K3388&lt;=5,"OPORTUNO","MUITO BOM")))</f>
        <v/>
      </c>
      <c r="M3388" s="3" t="n">
        <v>18</v>
      </c>
      <c r="N3388" s="3" t="n">
        <v>100</v>
      </c>
      <c r="O3388" s="12" t="n">
        <v>26.70157068062827</v>
      </c>
    </row>
    <row r="3389">
      <c r="A3389" s="10" t="n">
        <v>46107</v>
      </c>
      <c r="B3389" t="inlineStr">
        <is>
          <t>Jessica Faria da Silveira</t>
        </is>
      </c>
      <c r="C3389" s="1" t="inlineStr">
        <is>
          <t>Técnico II</t>
        </is>
      </c>
      <c r="D3389" s="3" t="n">
        <v>0</v>
      </c>
      <c r="E3389" s="3" t="n">
        <v>0</v>
      </c>
      <c r="F3389" s="3" t="n">
        <v>0</v>
      </c>
      <c r="G3389" s="3" t="n">
        <v>0</v>
      </c>
      <c r="H3389" s="3" t="n">
        <v>0</v>
      </c>
      <c r="I3389" s="3" t="n">
        <v>0</v>
      </c>
      <c r="J3389" s="3" t="n">
        <v>0</v>
      </c>
      <c r="K3389" s="3" t="n">
        <v>0</v>
      </c>
      <c r="L3389" s="3">
        <f>IF(K3389&lt;-5,"CRÍTICO",IF(K3389&lt;0,"ATENÇÃO",IF(K3389&lt;=5,"OPORTUNO","MUITO BOM")))</f>
        <v/>
      </c>
      <c r="M3389" s="3" t="n">
        <v>0</v>
      </c>
      <c r="N3389" s="3" t="n">
        <v>97.47</v>
      </c>
      <c r="O3389" s="12" t="n">
        <v>22.88732394366197</v>
      </c>
    </row>
    <row r="3390">
      <c r="A3390" s="10" t="n">
        <v>46107</v>
      </c>
      <c r="B3390" t="inlineStr">
        <is>
          <t>Jéssica Fé Moura</t>
        </is>
      </c>
      <c r="C3390" s="1" t="inlineStr">
        <is>
          <t>Técnico III</t>
        </is>
      </c>
      <c r="D3390" s="3" t="n">
        <v>0</v>
      </c>
      <c r="E3390" s="3" t="n">
        <v>0</v>
      </c>
      <c r="F3390" s="3" t="n">
        <v>0</v>
      </c>
      <c r="G3390" s="3" t="n">
        <v>0</v>
      </c>
      <c r="H3390" s="3" t="n">
        <v>0</v>
      </c>
      <c r="I3390" s="3" t="n">
        <v>0</v>
      </c>
      <c r="J3390" s="3" t="n">
        <v>0</v>
      </c>
      <c r="K3390" s="3" t="n">
        <v>0</v>
      </c>
      <c r="L3390" s="3">
        <f>IF(K3390&lt;-5,"CRÍTICO",IF(K3390&lt;0,"ATENÇÃO",IF(K3390&lt;=5,"OPORTUNO","MUITO BOM")))</f>
        <v/>
      </c>
      <c r="M3390" s="3" t="n">
        <v>0</v>
      </c>
      <c r="N3390" s="3" t="n">
        <v>0</v>
      </c>
      <c r="O3390" s="12" t="n">
        <v>0</v>
      </c>
    </row>
    <row r="3391">
      <c r="A3391" s="10" t="n">
        <v>46107</v>
      </c>
      <c r="B3391" t="inlineStr">
        <is>
          <t>Karina Gonçalves Martins</t>
        </is>
      </c>
      <c r="C3391" s="1" t="inlineStr">
        <is>
          <t>JR</t>
        </is>
      </c>
      <c r="D3391" s="3" t="n">
        <v>23</v>
      </c>
      <c r="E3391" s="3" t="n">
        <v>22</v>
      </c>
      <c r="F3391" s="3" t="n">
        <v>24.15</v>
      </c>
      <c r="G3391" s="3" t="n">
        <v>0</v>
      </c>
      <c r="H3391" s="3" t="n">
        <v>0</v>
      </c>
      <c r="I3391" s="3">
        <f>E3391+G3391+H3391</f>
        <v/>
      </c>
      <c r="J3391" s="3">
        <f>ROUND(MIN(IF(C3391="Técnico III",35,IF(C3391="Técnico II",28,IF(C3391="Técnico I",23,IF(C3391="JR",20,IF(C3391="Estágio",10,0))))),IF(C3391="Técnico III",SUMIFS($D:$D,$A:$A,$A3391,$B:$B,"&lt;&gt;Patrícia Karla de Sousa Araújo",$B:$B,"&lt;&gt;Lorena Dias de Araujo",$B:$B,"&lt;&gt;Lucas Luiz Romero")*(35/1083),IF(C3391="Técnico II",SUMIFS($D:$D,$A:$A,$A3391,$B:$B,"&lt;&gt;Patrícia Karla de Sousa Araújo",$B:$B,"&lt;&gt;Lorena Dias de Araujo",$B:$B,"&lt;&gt;Lucas Luiz Romero")*(28/1083),IF(C3391="Técnico I",SUMIFS($D:$D,$A:$A,$A3391,$B:$B,"&lt;&gt;Patrícia Karla de Sousa Araújo",$B:$B,"&lt;&gt;Lorena Dias de Araujo",$B:$B,"&lt;&gt;Lucas Luiz Romero")*(23/1083),IF(C3391="JR",SUMIFS($D:$D,$A:$A,$A3391,$B:$B,"&lt;&gt;Patrícia Karla de Sousa Araújo",$B:$B,"&lt;&gt;Lorena Dias de Araujo",$B:$B,"&lt;&gt;Lucas Luiz Romero")*(20/1083),IF(C3391="Estágio",SUMIFS($D:$D,$A:$A,$A3391,$B:$B,"&lt;&gt;Patrícia Karla de Sousa Araújo",$B:$B,"&lt;&gt;Lorena Dias de Araujo",$B:$B,"&lt;&gt;Lucas Luiz Romero")*(10/1083),0)))))),0)</f>
        <v/>
      </c>
      <c r="K3391" s="3">
        <f>I3391-J3391</f>
        <v/>
      </c>
      <c r="L3391" s="3">
        <f>IF(K3391&lt;-5,"CRÍTICO",IF(K3391&lt;0,"ATENÇÃO",IF(K3391&lt;=5,"OPORTUNO","MUITO BOM")))</f>
        <v/>
      </c>
      <c r="M3391" s="3" t="n">
        <v>20</v>
      </c>
      <c r="N3391" s="3" t="n">
        <v>98.31</v>
      </c>
      <c r="O3391" s="12" t="n">
        <v>24.92012779552715</v>
      </c>
    </row>
    <row r="3392">
      <c r="A3392" s="10" t="n">
        <v>46107</v>
      </c>
      <c r="B3392" t="inlineStr">
        <is>
          <t>Kerollen Cristielly de Jesus Siqueira</t>
        </is>
      </c>
      <c r="C3392" s="1" t="inlineStr">
        <is>
          <t>Técnico III</t>
        </is>
      </c>
      <c r="D3392" s="3" t="n">
        <v>18</v>
      </c>
      <c r="E3392" s="3" t="n">
        <v>18</v>
      </c>
      <c r="F3392" s="3" t="n">
        <v>27.37</v>
      </c>
      <c r="G3392" s="3" t="n">
        <v>0</v>
      </c>
      <c r="H3392" s="3" t="n">
        <v>0</v>
      </c>
      <c r="I3392" s="3">
        <f>E3392+G3392+H3392</f>
        <v/>
      </c>
      <c r="J3392" s="3">
        <f>ROUND(MIN(IF(C3392="Técnico III",35,IF(C3392="Técnico II",28,IF(C3392="Técnico I",23,IF(C3392="JR",20,IF(C3392="Estágio",10,0))))),IF(C3392="Técnico III",SUMIFS($D:$D,$A:$A,$A3392,$B:$B,"&lt;&gt;Patrícia Karla de Sousa Araújo",$B:$B,"&lt;&gt;Lorena Dias de Araujo",$B:$B,"&lt;&gt;Lucas Luiz Romero")*(35/1083),IF(C3392="Técnico II",SUMIFS($D:$D,$A:$A,$A3392,$B:$B,"&lt;&gt;Patrícia Karla de Sousa Araújo",$B:$B,"&lt;&gt;Lorena Dias de Araujo",$B:$B,"&lt;&gt;Lucas Luiz Romero")*(28/1083),IF(C3392="Técnico I",SUMIFS($D:$D,$A:$A,$A3392,$B:$B,"&lt;&gt;Patrícia Karla de Sousa Araújo",$B:$B,"&lt;&gt;Lorena Dias de Araujo",$B:$B,"&lt;&gt;Lucas Luiz Romero")*(23/1083),IF(C3392="JR",SUMIFS($D:$D,$A:$A,$A3392,$B:$B,"&lt;&gt;Patrícia Karla de Sousa Araújo",$B:$B,"&lt;&gt;Lorena Dias de Araujo",$B:$B,"&lt;&gt;Lucas Luiz Romero")*(20/1083),IF(C3392="Estágio",SUMIFS($D:$D,$A:$A,$A3392,$B:$B,"&lt;&gt;Patrícia Karla de Sousa Araújo",$B:$B,"&lt;&gt;Lorena Dias de Araujo",$B:$B,"&lt;&gt;Lucas Luiz Romero")*(10/1083),0)))))),0)</f>
        <v/>
      </c>
      <c r="K3392" s="3">
        <f>I3392-J3392</f>
        <v/>
      </c>
      <c r="L3392" s="3">
        <f>IF(K3392&lt;-5,"CRÍTICO",IF(K3392&lt;0,"ATENÇÃO",IF(K3392&lt;=5,"OPORTUNO","MUITO BOM")))</f>
        <v/>
      </c>
      <c r="M3392" s="3" t="n">
        <v>19</v>
      </c>
      <c r="N3392" s="3" t="n">
        <v>96.81</v>
      </c>
      <c r="O3392" s="12" t="n">
        <v>32.36514522821577</v>
      </c>
    </row>
    <row r="3393">
      <c r="A3393" s="10" t="n">
        <v>46107</v>
      </c>
      <c r="B3393" t="inlineStr">
        <is>
          <t>Leandro de Souza Silva</t>
        </is>
      </c>
      <c r="C3393" s="1" t="inlineStr">
        <is>
          <t>JR</t>
        </is>
      </c>
      <c r="D3393" s="3" t="n">
        <v>23</v>
      </c>
      <c r="E3393" s="3" t="n">
        <v>16</v>
      </c>
      <c r="F3393" s="3" t="n">
        <v>20.43</v>
      </c>
      <c r="G3393" s="3" t="n">
        <v>0</v>
      </c>
      <c r="H3393" s="3" t="n">
        <v>0</v>
      </c>
      <c r="I3393" s="3">
        <f>E3393+G3393+H3393</f>
        <v/>
      </c>
      <c r="J3393" s="3">
        <f>ROUND(MIN(IF(C3393="Técnico III",35,IF(C3393="Técnico II",28,IF(C3393="Técnico I",23,IF(C3393="JR",20,IF(C3393="Estágio",10,0))))),IF(C3393="Técnico III",SUMIFS($D:$D,$A:$A,$A3393,$B:$B,"&lt;&gt;Patrícia Karla de Sousa Araújo",$B:$B,"&lt;&gt;Lorena Dias de Araujo",$B:$B,"&lt;&gt;Lucas Luiz Romero")*(35/1083),IF(C3393="Técnico II",SUMIFS($D:$D,$A:$A,$A3393,$B:$B,"&lt;&gt;Patrícia Karla de Sousa Araújo",$B:$B,"&lt;&gt;Lorena Dias de Araujo",$B:$B,"&lt;&gt;Lucas Luiz Romero")*(28/1083),IF(C3393="Técnico I",SUMIFS($D:$D,$A:$A,$A3393,$B:$B,"&lt;&gt;Patrícia Karla de Sousa Araújo",$B:$B,"&lt;&gt;Lorena Dias de Araujo",$B:$B,"&lt;&gt;Lucas Luiz Romero")*(23/1083),IF(C3393="JR",SUMIFS($D:$D,$A:$A,$A3393,$B:$B,"&lt;&gt;Patrícia Karla de Sousa Araújo",$B:$B,"&lt;&gt;Lorena Dias de Araujo",$B:$B,"&lt;&gt;Lucas Luiz Romero")*(20/1083),IF(C3393="Estágio",SUMIFS($D:$D,$A:$A,$A3393,$B:$B,"&lt;&gt;Patrícia Karla de Sousa Araújo",$B:$B,"&lt;&gt;Lorena Dias de Araujo",$B:$B,"&lt;&gt;Lucas Luiz Romero")*(10/1083),0)))))),0)</f>
        <v/>
      </c>
      <c r="K3393" s="3">
        <f>I3393-J3393</f>
        <v/>
      </c>
      <c r="L3393" s="3">
        <f>IF(K3393&lt;-5,"CRÍTICO",IF(K3393&lt;0,"ATENÇÃO",IF(K3393&lt;=5,"OPORTUNO","MUITO BOM")))</f>
        <v/>
      </c>
      <c r="M3393" s="3" t="n">
        <v>12</v>
      </c>
      <c r="N3393" s="3" t="n">
        <v>100</v>
      </c>
      <c r="O3393" s="12" t="n">
        <v>26.47058823529412</v>
      </c>
    </row>
    <row r="3394">
      <c r="A3394" s="10" t="n">
        <v>46107</v>
      </c>
      <c r="B3394" t="inlineStr">
        <is>
          <t>Leandro Oliveira de Sousa</t>
        </is>
      </c>
      <c r="C3394" s="1" t="inlineStr">
        <is>
          <t>Técnico III</t>
        </is>
      </c>
      <c r="D3394" s="3" t="n">
        <v>27</v>
      </c>
      <c r="E3394" s="3" t="n">
        <v>24</v>
      </c>
      <c r="F3394" s="3" t="n">
        <v>18.47</v>
      </c>
      <c r="G3394" s="3" t="n">
        <v>0</v>
      </c>
      <c r="H3394" s="3" t="n">
        <v>0</v>
      </c>
      <c r="I3394" s="3">
        <f>E3394+G3394+H3394</f>
        <v/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/>
      </c>
      <c r="K3394" s="3">
        <f>I3394-J3394</f>
        <v/>
      </c>
      <c r="L3394" s="3">
        <f>IF(K3394&lt;-5,"CRÍTICO",IF(K3394&lt;0,"ATENÇÃO",IF(K3394&lt;=5,"OPORTUNO","MUITO BOM")))</f>
        <v/>
      </c>
      <c r="M3394" s="3" t="n">
        <v>23</v>
      </c>
      <c r="N3394" s="3" t="n">
        <v>100</v>
      </c>
      <c r="O3394" s="12" t="n">
        <v>28.49002849002849</v>
      </c>
    </row>
    <row r="3395">
      <c r="A3395" s="10" t="n">
        <v>46107</v>
      </c>
      <c r="B3395" t="inlineStr">
        <is>
          <t>Lizandra Gomes Duarte</t>
        </is>
      </c>
      <c r="C3395" s="1" t="inlineStr">
        <is>
          <t>Técnico II</t>
        </is>
      </c>
      <c r="D3395" s="3" t="n">
        <v>30</v>
      </c>
      <c r="E3395" s="3" t="n">
        <v>29</v>
      </c>
      <c r="F3395" s="3" t="n">
        <v>25.31</v>
      </c>
      <c r="G3395" s="3" t="n">
        <v>0</v>
      </c>
      <c r="H3395" s="3" t="n">
        <v>0</v>
      </c>
      <c r="I3395" s="3">
        <f>E3395+G3395+H3395</f>
        <v/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/>
      </c>
      <c r="K3395" s="3">
        <f>I3395-J3395</f>
        <v/>
      </c>
      <c r="L3395" s="3">
        <f>IF(K3395&lt;-5,"CRÍTICO",IF(K3395&lt;0,"ATENÇÃO",IF(K3395&lt;=5,"OPORTUNO","MUITO BOM")))</f>
        <v/>
      </c>
      <c r="M3395" s="3" t="n">
        <v>11</v>
      </c>
      <c r="N3395" s="3" t="n">
        <v>99.14</v>
      </c>
      <c r="O3395" s="12" t="n">
        <v>27.2289156626506</v>
      </c>
    </row>
    <row r="3396">
      <c r="A3396" s="10" t="n">
        <v>46107</v>
      </c>
      <c r="B3396" t="inlineStr">
        <is>
          <t>Lorena Dias de Araujo</t>
        </is>
      </c>
      <c r="C3396" s="1" t="inlineStr">
        <is>
          <t>Técnico II</t>
        </is>
      </c>
      <c r="D3396" s="3" t="n">
        <v>30</v>
      </c>
      <c r="E3396" s="3" t="n">
        <v>28</v>
      </c>
      <c r="F3396" s="3" t="n">
        <v>15.35</v>
      </c>
      <c r="G3396" s="3" t="n">
        <v>0</v>
      </c>
      <c r="H3396" s="3" t="n">
        <v>0</v>
      </c>
      <c r="I3396" s="3" t="n">
        <v>0</v>
      </c>
      <c r="J3396" s="3" t="n">
        <v>0</v>
      </c>
      <c r="K3396" s="3" t="n">
        <v>0</v>
      </c>
      <c r="L3396" s="3">
        <f>IF(K3396&lt;-5,"CRÍTICO",IF(K3396&lt;0,"ATENÇÃO",IF(K3396&lt;=5,"OPORTUNO","MUITO BOM")))</f>
        <v/>
      </c>
      <c r="M3396" s="3" t="n">
        <v>25</v>
      </c>
      <c r="N3396" s="3" t="n">
        <v>97.52</v>
      </c>
      <c r="O3396" s="12" t="n">
        <v>28.2051282051282</v>
      </c>
    </row>
    <row r="3397">
      <c r="A3397" s="10" t="n">
        <v>46107</v>
      </c>
      <c r="B3397" t="inlineStr">
        <is>
          <t>Lucas Luiz Romero</t>
        </is>
      </c>
      <c r="C3397" s="1" t="inlineStr">
        <is>
          <t>Técnico III</t>
        </is>
      </c>
      <c r="D3397" s="3" t="n">
        <v>0</v>
      </c>
      <c r="E3397" s="3" t="n">
        <v>0</v>
      </c>
      <c r="F3397" s="3" t="n">
        <v>0</v>
      </c>
      <c r="G3397" s="3" t="n">
        <v>0</v>
      </c>
      <c r="H3397" s="3" t="n">
        <v>0</v>
      </c>
      <c r="I3397" s="3" t="n">
        <v>0</v>
      </c>
      <c r="J3397" s="3" t="n">
        <v>0</v>
      </c>
      <c r="K3397" s="3" t="n">
        <v>0</v>
      </c>
      <c r="L3397" s="3">
        <f>IF(K3397&lt;-5,"CRÍTICO",IF(K3397&lt;0,"ATENÇÃO",IF(K3397&lt;=5,"OPORTUNO","MUITO BOM")))</f>
        <v/>
      </c>
      <c r="M3397" s="3" t="n">
        <v>0</v>
      </c>
      <c r="N3397" s="3" t="n">
        <v>90</v>
      </c>
      <c r="O3397" s="12" t="n">
        <v>24.18604651162791</v>
      </c>
    </row>
    <row r="3398">
      <c r="A3398" s="10" t="n">
        <v>46107</v>
      </c>
      <c r="B3398" t="inlineStr">
        <is>
          <t>Luiz Fernando de Carvalho Junior</t>
        </is>
      </c>
      <c r="C3398" s="1" t="inlineStr">
        <is>
          <t>Técnico I</t>
        </is>
      </c>
      <c r="D3398" s="3" t="n">
        <v>32</v>
      </c>
      <c r="E3398" s="3" t="n">
        <v>31</v>
      </c>
      <c r="F3398" s="3" t="n">
        <v>18.53</v>
      </c>
      <c r="G3398" s="3" t="n">
        <v>0</v>
      </c>
      <c r="H3398" s="3" t="n">
        <v>0</v>
      </c>
      <c r="I3398" s="3">
        <f>E3398+G3398+H3398</f>
        <v/>
      </c>
      <c r="J3398" s="3">
        <f>ROUND(MIN(IF(C3398="Técnico III",35,IF(C3398="Técnico II",28,IF(C3398="Técnico I",23,IF(C3398="JR",20,IF(C3398="Estágio",10,0))))),IF(C3398="Técnico III",SUMIFS($D:$D,$A:$A,$A3398,$B:$B,"&lt;&gt;Patrícia Karla de Sousa Araújo",$B:$B,"&lt;&gt;Lorena Dias de Araujo",$B:$B,"&lt;&gt;Lucas Luiz Romero")*(35/1083),IF(C3398="Técnico II",SUMIFS($D:$D,$A:$A,$A3398,$B:$B,"&lt;&gt;Patrícia Karla de Sousa Araújo",$B:$B,"&lt;&gt;Lorena Dias de Araujo",$B:$B,"&lt;&gt;Lucas Luiz Romero")*(28/1083),IF(C3398="Técnico I",SUMIFS($D:$D,$A:$A,$A3398,$B:$B,"&lt;&gt;Patrícia Karla de Sousa Araújo",$B:$B,"&lt;&gt;Lorena Dias de Araujo",$B:$B,"&lt;&gt;Lucas Luiz Romero")*(23/1083),IF(C3398="JR",SUMIFS($D:$D,$A:$A,$A3398,$B:$B,"&lt;&gt;Patrícia Karla de Sousa Araújo",$B:$B,"&lt;&gt;Lorena Dias de Araujo",$B:$B,"&lt;&gt;Lucas Luiz Romero")*(20/1083),IF(C3398="Estágio",SUMIFS($D:$D,$A:$A,$A3398,$B:$B,"&lt;&gt;Patrícia Karla de Sousa Araújo",$B:$B,"&lt;&gt;Lorena Dias de Araujo",$B:$B,"&lt;&gt;Lucas Luiz Romero")*(10/1083),0)))))),0)</f>
        <v/>
      </c>
      <c r="K3398" s="3">
        <f>I3398-J3398</f>
        <v/>
      </c>
      <c r="L3398" s="3">
        <f>IF(K3398&lt;-5,"CRÍTICO",IF(K3398&lt;0,"ATENÇÃO",IF(K3398&lt;=5,"OPORTUNO","MUITO BOM")))</f>
        <v/>
      </c>
      <c r="M3398" s="3" t="n">
        <v>24</v>
      </c>
      <c r="N3398" s="3" t="n">
        <v>98.90000000000001</v>
      </c>
      <c r="O3398" s="12" t="n">
        <v>26.7639902676399</v>
      </c>
    </row>
    <row r="3399">
      <c r="A3399" s="10" t="n">
        <v>46107</v>
      </c>
      <c r="B3399" t="inlineStr">
        <is>
          <t>Maria Eduarda Sousa Costa</t>
        </is>
      </c>
      <c r="C3399" s="1" t="inlineStr">
        <is>
          <t>Estágio</t>
        </is>
      </c>
      <c r="D3399" s="3" t="n">
        <v>8</v>
      </c>
      <c r="E3399" s="3" t="n">
        <v>7</v>
      </c>
      <c r="F3399" s="3" t="n">
        <v>42.36</v>
      </c>
      <c r="G3399" s="3" t="n">
        <v>0</v>
      </c>
      <c r="H3399" s="3" t="n">
        <v>0</v>
      </c>
      <c r="I3399" s="3">
        <f>E3399+G3399+H3399</f>
        <v/>
      </c>
      <c r="J3399" s="3">
        <f>ROUND(MIN(IF(C3399="Técnico III",35,IF(C3399="Técnico II",28,IF(C3399="Técnico I",23,IF(C3399="JR",20,IF(C3399="Estágio",10,0))))),IF(C3399="Técnico III",SUMIFS($D:$D,$A:$A,$A3399,$B:$B,"&lt;&gt;Patrícia Karla de Sousa Araújo",$B:$B,"&lt;&gt;Lorena Dias de Araujo",$B:$B,"&lt;&gt;Lucas Luiz Romero")*(35/1083),IF(C3399="Técnico II",SUMIFS($D:$D,$A:$A,$A3399,$B:$B,"&lt;&gt;Patrícia Karla de Sousa Araújo",$B:$B,"&lt;&gt;Lorena Dias de Araujo",$B:$B,"&lt;&gt;Lucas Luiz Romero")*(28/1083),IF(C3399="Técnico I",SUMIFS($D:$D,$A:$A,$A3399,$B:$B,"&lt;&gt;Patrícia Karla de Sousa Araújo",$B:$B,"&lt;&gt;Lorena Dias de Araujo",$B:$B,"&lt;&gt;Lucas Luiz Romero")*(23/1083),IF(C3399="JR",SUMIFS($D:$D,$A:$A,$A3399,$B:$B,"&lt;&gt;Patrícia Karla de Sousa Araújo",$B:$B,"&lt;&gt;Lorena Dias de Araujo",$B:$B,"&lt;&gt;Lucas Luiz Romero")*(20/1083),IF(C3399="Estágio",SUMIFS($D:$D,$A:$A,$A3399,$B:$B,"&lt;&gt;Patrícia Karla de Sousa Araújo",$B:$B,"&lt;&gt;Lorena Dias de Araujo",$B:$B,"&lt;&gt;Lucas Luiz Romero")*(10/1083),0)))))),0)</f>
        <v/>
      </c>
      <c r="K3399" s="3">
        <f>I3399-J3399</f>
        <v/>
      </c>
      <c r="L3399" s="3">
        <f>IF(K3399&lt;-5,"CRÍTICO",IF(K3399&lt;0,"ATENÇÃO",IF(K3399&lt;=5,"OPORTUNO","MUITO BOM")))</f>
        <v/>
      </c>
      <c r="M3399" s="3" t="n">
        <v>6</v>
      </c>
      <c r="N3399" s="3" t="n">
        <v>88.89</v>
      </c>
      <c r="O3399" s="12" t="n">
        <v>25.26315789473684</v>
      </c>
    </row>
    <row r="3400">
      <c r="A3400" s="10" t="n">
        <v>46127</v>
      </c>
      <c r="B3400" t="inlineStr">
        <is>
          <t>Matheus Farias De Souza</t>
        </is>
      </c>
      <c r="C3400" s="1" t="inlineStr">
        <is>
          <t>Técnico III</t>
        </is>
      </c>
      <c r="D3400" s="3" t="n">
        <v>30</v>
      </c>
      <c r="E3400" s="3" t="n">
        <v>28</v>
      </c>
      <c r="F3400" s="3" t="n">
        <v>13.55</v>
      </c>
      <c r="G3400" s="3" t="n">
        <v>0</v>
      </c>
      <c r="H3400" s="3" t="n">
        <v>0</v>
      </c>
      <c r="I3400" s="3">
        <f>E3400+G3400+H3400</f>
        <v/>
      </c>
      <c r="J3400" s="3">
        <f>ROUND(MIN(IF(C3400="Técnico III",35,IF(C3400="Técnico II",28,IF(C3400="Técnico I",23,IF(C3400="JR",20,IF(C3400="Estágio",10,0))))),IF(C3400="Técnico III",SUMIFS($D:$D,$A:$A,$A3400,$B:$B,"&lt;&gt;Patrícia Karla de Sousa Araújo",$B:$B,"&lt;&gt;Lorena Dias de Araujo",$B:$B,"&lt;&gt;Lucas Luiz Romero")*(35/1083),IF(C3400="Técnico II",SUMIFS($D:$D,$A:$A,$A3400,$B:$B,"&lt;&gt;Patrícia Karla de Sousa Araújo",$B:$B,"&lt;&gt;Lorena Dias de Araujo",$B:$B,"&lt;&gt;Lucas Luiz Romero")*(28/1083),IF(C3400="Técnico I",SUMIFS($D:$D,$A:$A,$A3400,$B:$B,"&lt;&gt;Patrícia Karla de Sousa Araújo",$B:$B,"&lt;&gt;Lorena Dias de Araujo",$B:$B,"&lt;&gt;Lucas Luiz Romero")*(23/1083),IF(C3400="JR",SUMIFS($D:$D,$A:$A,$A3400,$B:$B,"&lt;&gt;Patrícia Karla de Sousa Araújo",$B:$B,"&lt;&gt;Lorena Dias de Araujo",$B:$B,"&lt;&gt;Lucas Luiz Romero")*(20/1083),IF(C3400="Estágio",SUMIFS($D:$D,$A:$A,$A3400,$B:$B,"&lt;&gt;Patrícia Karla de Sousa Araújo",$B:$B,"&lt;&gt;Lorena Dias de Araujo",$B:$B,"&lt;&gt;Lucas Luiz Romero")*(10/1083),0)))))),0)</f>
        <v/>
      </c>
      <c r="K3400" s="3">
        <f>I3400-J3400</f>
        <v/>
      </c>
      <c r="L3400" s="3">
        <f>IF(K3400&lt;-5,"CRÍTICO",IF(K3400&lt;0,"ATENÇÃO",IF(K3400&lt;=5,"OPORTUNO","MUITO BOM")))</f>
        <v/>
      </c>
      <c r="M3400" s="3" t="n">
        <v>39</v>
      </c>
      <c r="N3400" s="3" t="n">
        <v>100</v>
      </c>
      <c r="O3400" s="12" t="n">
        <v>23.9870340356564</v>
      </c>
    </row>
    <row r="3401">
      <c r="A3401" s="10" t="n">
        <v>46107</v>
      </c>
      <c r="B3401" t="inlineStr">
        <is>
          <t>Maysa Victoria Dias Moura</t>
        </is>
      </c>
      <c r="C3401" s="1" t="inlineStr">
        <is>
          <t>Técnico III</t>
        </is>
      </c>
      <c r="D3401" s="3" t="n">
        <v>15</v>
      </c>
      <c r="E3401" s="3" t="n">
        <v>13</v>
      </c>
      <c r="F3401" s="3" t="n">
        <v>16.53</v>
      </c>
      <c r="G3401" s="3" t="n">
        <v>0</v>
      </c>
      <c r="H3401" s="3" t="n">
        <v>0</v>
      </c>
      <c r="I3401" s="3">
        <f>E3401+G3401+H3401</f>
        <v/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/>
      </c>
      <c r="K3401" s="3">
        <f>I3401-J3401</f>
        <v/>
      </c>
      <c r="L3401" s="3">
        <f>IF(K3401&lt;-5,"CRÍTICO",IF(K3401&lt;0,"ATENÇÃO",IF(K3401&lt;=5,"OPORTUNO","MUITO BOM")))</f>
        <v/>
      </c>
      <c r="M3401" s="3" t="n">
        <v>12</v>
      </c>
      <c r="N3401" s="3" t="n">
        <v>98.06</v>
      </c>
      <c r="O3401" s="12" t="n">
        <v>22.40566037735849</v>
      </c>
    </row>
    <row r="3402">
      <c r="A3402" s="10" t="n">
        <v>46135</v>
      </c>
      <c r="B3402" t="inlineStr">
        <is>
          <t>Michelle G Santos</t>
        </is>
      </c>
      <c r="C3402" s="1" t="inlineStr">
        <is>
          <t>Estágio</t>
        </is>
      </c>
      <c r="D3402" s="3" t="n">
        <v>12</v>
      </c>
      <c r="E3402" s="3" t="n">
        <v>12</v>
      </c>
      <c r="F3402" s="3" t="n">
        <v>23.38</v>
      </c>
      <c r="G3402" s="3" t="n">
        <v>0</v>
      </c>
      <c r="H3402" s="3" t="n">
        <v>0</v>
      </c>
      <c r="I3402" s="3">
        <f>E3402+G3402+H3402</f>
        <v/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/>
      </c>
      <c r="K3402" s="3">
        <f>I3402-J3402</f>
        <v/>
      </c>
      <c r="L3402" s="3">
        <f>IF(K3402&lt;-5,"CRÍTICO",IF(K3402&lt;0,"ATENÇÃO",IF(K3402&lt;=5,"OPORTUNO","MUITO BOM")))</f>
        <v/>
      </c>
      <c r="M3402" s="3" t="n">
        <v>7</v>
      </c>
      <c r="N3402" s="3" t="n">
        <v>100</v>
      </c>
      <c r="O3402" s="12" t="n">
        <v>23.77622377622378</v>
      </c>
    </row>
    <row r="3403">
      <c r="A3403" s="10" t="n">
        <v>46107</v>
      </c>
      <c r="B3403" t="inlineStr">
        <is>
          <t>Milena Sales</t>
        </is>
      </c>
      <c r="C3403" s="1" t="inlineStr">
        <is>
          <t>JR</t>
        </is>
      </c>
      <c r="D3403" s="3" t="n">
        <v>0</v>
      </c>
      <c r="E3403" s="3" t="n">
        <v>0</v>
      </c>
      <c r="F3403" s="3" t="n">
        <v>0</v>
      </c>
      <c r="G3403" s="3" t="n">
        <v>0</v>
      </c>
      <c r="H3403" s="3" t="n">
        <v>0</v>
      </c>
      <c r="I3403" s="3" t="n">
        <v>0</v>
      </c>
      <c r="J3403" s="3" t="n">
        <v>0</v>
      </c>
      <c r="K3403" s="3" t="n">
        <v>0</v>
      </c>
      <c r="L3403" s="3">
        <f>IF(K3403&lt;-5,"CRÍTICO",IF(K3403&lt;0,"ATENÇÃO",IF(K3403&lt;=5,"OPORTUNO","MUITO BOM")))</f>
        <v/>
      </c>
      <c r="M3403" s="3" t="n">
        <v>0</v>
      </c>
      <c r="N3403" s="3" t="n">
        <v>100</v>
      </c>
      <c r="O3403" s="12" t="n">
        <v>15.38461538461539</v>
      </c>
    </row>
    <row r="3404">
      <c r="A3404" s="10" t="n">
        <v>46107</v>
      </c>
      <c r="B3404" t="inlineStr">
        <is>
          <t>Patrícia Karla de Sousa Araújo</t>
        </is>
      </c>
      <c r="C3404" s="1" t="inlineStr">
        <is>
          <t>Técnico II</t>
        </is>
      </c>
      <c r="D3404" s="3" t="n">
        <v>7</v>
      </c>
      <c r="E3404" s="3" t="n">
        <v>6</v>
      </c>
      <c r="F3404" s="3" t="n">
        <v>8.5</v>
      </c>
      <c r="G3404" s="3" t="n">
        <v>0</v>
      </c>
      <c r="H3404" s="3" t="n">
        <v>0</v>
      </c>
      <c r="I3404" s="3">
        <f>E3404+G3404+H3404</f>
        <v/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/>
      </c>
      <c r="K3404" s="3">
        <f>I3404-J3404</f>
        <v/>
      </c>
      <c r="L3404" s="3">
        <f>IF(K3404&lt;-5,"CRÍTICO",IF(K3404&lt;0,"ATENÇÃO",IF(K3404&lt;=5,"OPORTUNO","MUITO BOM")))</f>
        <v/>
      </c>
      <c r="M3404" s="3" t="n">
        <v>5</v>
      </c>
      <c r="N3404" s="3" t="n">
        <v>100</v>
      </c>
      <c r="O3404" s="12" t="n">
        <v>27.51479289940828</v>
      </c>
    </row>
    <row r="3405">
      <c r="A3405" s="10" t="n">
        <v>46107</v>
      </c>
      <c r="B3405" t="inlineStr">
        <is>
          <t>Paulo Ricardo Santos</t>
        </is>
      </c>
      <c r="C3405" s="1" t="inlineStr">
        <is>
          <t>JR</t>
        </is>
      </c>
      <c r="D3405" s="3" t="n">
        <v>20</v>
      </c>
      <c r="E3405" s="3" t="n">
        <v>20</v>
      </c>
      <c r="F3405" s="3" t="n">
        <v>18.29</v>
      </c>
      <c r="G3405" s="3" t="n">
        <v>0</v>
      </c>
      <c r="H3405" s="3" t="n">
        <v>0</v>
      </c>
      <c r="I3405" s="3">
        <f>E3405+G3405+H3405</f>
        <v/>
      </c>
      <c r="J3405" s="3">
        <f>ROUND(MIN(IF(C3405="Técnico III",35,IF(C3405="Técnico II",28,IF(C3405="Técnico I",23,IF(C3405="JR",20,IF(C3405="Estágio",10,0))))),IF(C3405="Técnico III",SUMIFS($D:$D,$A:$A,$A3405,$B:$B,"&lt;&gt;Patrícia Karla de Sousa Araújo",$B:$B,"&lt;&gt;Lorena Dias de Araujo",$B:$B,"&lt;&gt;Lucas Luiz Romero")*(35/1083),IF(C3405="Técnico II",SUMIFS($D:$D,$A:$A,$A3405,$B:$B,"&lt;&gt;Patrícia Karla de Sousa Araújo",$B:$B,"&lt;&gt;Lorena Dias de Araujo",$B:$B,"&lt;&gt;Lucas Luiz Romero")*(28/1083),IF(C3405="Técnico I",SUMIFS($D:$D,$A:$A,$A3405,$B:$B,"&lt;&gt;Patrícia Karla de Sousa Araújo",$B:$B,"&lt;&gt;Lorena Dias de Araujo",$B:$B,"&lt;&gt;Lucas Luiz Romero")*(23/1083),IF(C3405="JR",SUMIFS($D:$D,$A:$A,$A3405,$B:$B,"&lt;&gt;Patrícia Karla de Sousa Araújo",$B:$B,"&lt;&gt;Lorena Dias de Araujo",$B:$B,"&lt;&gt;Lucas Luiz Romero")*(20/1083),IF(C3405="Estágio",SUMIFS($D:$D,$A:$A,$A3405,$B:$B,"&lt;&gt;Patrícia Karla de Sousa Araújo",$B:$B,"&lt;&gt;Lorena Dias de Araujo",$B:$B,"&lt;&gt;Lucas Luiz Romero")*(10/1083),0)))))),0)</f>
        <v/>
      </c>
      <c r="K3405" s="3">
        <f>I3405-J3405</f>
        <v/>
      </c>
      <c r="L3405" s="3">
        <f>IF(K3405&lt;-5,"CRÍTICO",IF(K3405&lt;0,"ATENÇÃO",IF(K3405&lt;=5,"OPORTUNO","MUITO BOM")))</f>
        <v/>
      </c>
      <c r="M3405" s="3" t="n">
        <v>14</v>
      </c>
      <c r="N3405" s="3" t="n">
        <v>100</v>
      </c>
      <c r="O3405" s="12" t="n">
        <v>24.87562189054727</v>
      </c>
    </row>
    <row r="3406">
      <c r="A3406" s="10" t="n">
        <v>46107</v>
      </c>
      <c r="B3406" t="inlineStr">
        <is>
          <t>Pedro Luiz Mota Sousa</t>
        </is>
      </c>
      <c r="C3406" s="1" t="inlineStr">
        <is>
          <t>JR</t>
        </is>
      </c>
      <c r="D3406" s="3" t="n">
        <v>11</v>
      </c>
      <c r="E3406" s="3" t="n">
        <v>11</v>
      </c>
      <c r="F3406" s="3" t="n">
        <v>42.36</v>
      </c>
      <c r="G3406" s="3" t="n">
        <v>0</v>
      </c>
      <c r="H3406" s="3" t="n">
        <v>0</v>
      </c>
      <c r="I3406" s="3">
        <f>E3406+G3406+H3406</f>
        <v/>
      </c>
      <c r="J3406" s="3">
        <f>ROUND(MIN(IF(C3406="Técnico III",35,IF(C3406="Técnico II",28,IF(C3406="Técnico I",23,IF(C3406="JR",20,IF(C3406="Estágio",10,0))))),IF(C3406="Técnico III",SUMIFS($D:$D,$A:$A,$A3406,$B:$B,"&lt;&gt;Patrícia Karla de Sousa Araújo",$B:$B,"&lt;&gt;Lorena Dias de Araujo",$B:$B,"&lt;&gt;Lucas Luiz Romero")*(35/1083),IF(C3406="Técnico II",SUMIFS($D:$D,$A:$A,$A3406,$B:$B,"&lt;&gt;Patrícia Karla de Sousa Araújo",$B:$B,"&lt;&gt;Lorena Dias de Araujo",$B:$B,"&lt;&gt;Lucas Luiz Romero")*(28/1083),IF(C3406="Técnico I",SUMIFS($D:$D,$A:$A,$A3406,$B:$B,"&lt;&gt;Patrícia Karla de Sousa Araújo",$B:$B,"&lt;&gt;Lorena Dias de Araujo",$B:$B,"&lt;&gt;Lucas Luiz Romero")*(23/1083),IF(C3406="JR",SUMIFS($D:$D,$A:$A,$A3406,$B:$B,"&lt;&gt;Patrícia Karla de Sousa Araújo",$B:$B,"&lt;&gt;Lorena Dias de Araujo",$B:$B,"&lt;&gt;Lucas Luiz Romero")*(20/1083),IF(C3406="Estágio",SUMIFS($D:$D,$A:$A,$A3406,$B:$B,"&lt;&gt;Patrícia Karla de Sousa Araújo",$B:$B,"&lt;&gt;Lorena Dias de Araujo",$B:$B,"&lt;&gt;Lucas Luiz Romero")*(10/1083),0)))))),0)</f>
        <v/>
      </c>
      <c r="K3406" s="3">
        <f>I3406-J3406</f>
        <v/>
      </c>
      <c r="L3406" s="3">
        <f>IF(K3406&lt;-5,"CRÍTICO",IF(K3406&lt;0,"ATENÇÃO",IF(K3406&lt;=5,"OPORTUNO","MUITO BOM")))</f>
        <v/>
      </c>
      <c r="M3406" s="3" t="n">
        <v>9</v>
      </c>
      <c r="N3406" s="3" t="n">
        <v>100</v>
      </c>
      <c r="O3406" s="12" t="n">
        <v>28.10810810810811</v>
      </c>
    </row>
    <row r="3407">
      <c r="A3407" s="10" t="n">
        <v>46135</v>
      </c>
      <c r="B3407" t="inlineStr">
        <is>
          <t>Quirino Diogo Leite Torres</t>
        </is>
      </c>
      <c r="C3407" s="1" t="inlineStr">
        <is>
          <t>Estágio</t>
        </is>
      </c>
      <c r="D3407" s="3" t="n">
        <v>5</v>
      </c>
      <c r="E3407" s="3" t="n">
        <v>5</v>
      </c>
      <c r="F3407" s="3" t="n">
        <v>23.21</v>
      </c>
      <c r="G3407" s="3" t="n">
        <v>0</v>
      </c>
      <c r="H3407" s="3" t="n">
        <v>0</v>
      </c>
      <c r="I3407" s="3">
        <f>E3407+G3407+H3407</f>
        <v/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/>
      </c>
      <c r="K3407" s="3">
        <f>I3407-J3407</f>
        <v/>
      </c>
      <c r="L3407" s="3">
        <f>IF(K3407&lt;-5,"CRÍTICO",IF(K3407&lt;0,"ATENÇÃO",IF(K3407&lt;=5,"OPORTUNO","MUITO BOM")))</f>
        <v/>
      </c>
      <c r="M3407" s="3" t="n">
        <v>4</v>
      </c>
      <c r="N3407" s="3" t="n">
        <v>94.12</v>
      </c>
      <c r="O3407" s="12" t="n">
        <v>32.8</v>
      </c>
    </row>
    <row r="3408">
      <c r="A3408" s="10" t="n">
        <v>46107</v>
      </c>
      <c r="B3408" t="inlineStr">
        <is>
          <t>Raane Batista Matos</t>
        </is>
      </c>
      <c r="C3408" s="1" t="inlineStr">
        <is>
          <t>Técnico I</t>
        </is>
      </c>
      <c r="D3408" s="3" t="n">
        <v>24</v>
      </c>
      <c r="E3408" s="3" t="n">
        <v>20</v>
      </c>
      <c r="F3408" s="3" t="n">
        <v>20.4</v>
      </c>
      <c r="G3408" s="3" t="n">
        <v>0</v>
      </c>
      <c r="H3408" s="3" t="n">
        <v>0</v>
      </c>
      <c r="I3408" s="3">
        <f>E3408+G3408+H3408</f>
        <v/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/>
      </c>
      <c r="K3408" s="3">
        <f>I3408-J3408</f>
        <v/>
      </c>
      <c r="L3408" s="3">
        <f>IF(K3408&lt;-5,"CRÍTICO",IF(K3408&lt;0,"ATENÇÃO",IF(K3408&lt;=5,"OPORTUNO","MUITO BOM")))</f>
        <v/>
      </c>
      <c r="M3408" s="3" t="n">
        <v>15</v>
      </c>
      <c r="N3408" s="3" t="n">
        <v>95.34999999999999</v>
      </c>
      <c r="O3408" s="12" t="n">
        <v>28.61538461538461</v>
      </c>
    </row>
    <row r="3409">
      <c r="A3409" s="10" t="n">
        <v>46107</v>
      </c>
      <c r="B3409" t="inlineStr">
        <is>
          <t>Rafael Gomes de Morais</t>
        </is>
      </c>
      <c r="C3409" s="1" t="inlineStr">
        <is>
          <t>Técnico III</t>
        </is>
      </c>
      <c r="D3409" s="3" t="n">
        <v>27</v>
      </c>
      <c r="E3409" s="3" t="n">
        <v>25</v>
      </c>
      <c r="F3409" s="3" t="n">
        <v>18.27</v>
      </c>
      <c r="G3409" s="3" t="n">
        <v>0</v>
      </c>
      <c r="H3409" s="3" t="n">
        <v>0</v>
      </c>
      <c r="I3409" s="3">
        <f>E3409+G3409+H3409</f>
        <v/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/>
      </c>
      <c r="K3409" s="3">
        <f>I3409-J3409</f>
        <v/>
      </c>
      <c r="L3409" s="3">
        <f>IF(K3409&lt;-5,"CRÍTICO",IF(K3409&lt;0,"ATENÇÃO",IF(K3409&lt;=5,"OPORTUNO","MUITO BOM")))</f>
        <v/>
      </c>
      <c r="M3409" s="3" t="n">
        <v>25</v>
      </c>
      <c r="N3409" s="3" t="n">
        <v>98.26000000000001</v>
      </c>
      <c r="O3409" s="12" t="n">
        <v>27.54491017964072</v>
      </c>
    </row>
    <row r="3410">
      <c r="A3410" s="10" t="n">
        <v>46107</v>
      </c>
      <c r="B3410" t="inlineStr">
        <is>
          <t>Sara Maria Monteiro Lopes</t>
        </is>
      </c>
      <c r="C3410" s="1" t="inlineStr">
        <is>
          <t>Técnico I</t>
        </is>
      </c>
      <c r="D3410" s="3" t="n">
        <v>11</v>
      </c>
      <c r="E3410" s="3" t="n">
        <v>11</v>
      </c>
      <c r="F3410" s="3" t="n">
        <v>35.36</v>
      </c>
      <c r="G3410" s="3" t="n">
        <v>0</v>
      </c>
      <c r="H3410" s="3" t="n">
        <v>0</v>
      </c>
      <c r="I3410" s="3">
        <f>E3410+G3410+H3410</f>
        <v/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/>
      </c>
      <c r="K3410" s="3">
        <f>I3410-J3410</f>
        <v/>
      </c>
      <c r="L3410" s="3">
        <f>IF(K3410&lt;-5,"CRÍTICO",IF(K3410&lt;0,"ATENÇÃO",IF(K3410&lt;=5,"OPORTUNO","MUITO BOM")))</f>
        <v/>
      </c>
      <c r="M3410" s="3" t="n">
        <v>9</v>
      </c>
      <c r="N3410" s="3" t="n">
        <v>98.55</v>
      </c>
      <c r="O3410" s="12" t="n">
        <v>25.33783783783784</v>
      </c>
    </row>
    <row r="3411">
      <c r="A3411" s="10" t="n">
        <v>46107</v>
      </c>
      <c r="B3411" t="inlineStr">
        <is>
          <t>Sarah Steffanie de Lima Borges</t>
        </is>
      </c>
      <c r="C3411" s="1" t="inlineStr">
        <is>
          <t>Técnico III</t>
        </is>
      </c>
      <c r="D3411" s="3" t="n">
        <v>28</v>
      </c>
      <c r="E3411" s="3" t="n">
        <v>27</v>
      </c>
      <c r="F3411" s="3" t="n">
        <v>17.03</v>
      </c>
      <c r="G3411" s="3" t="n">
        <v>0</v>
      </c>
      <c r="H3411" s="3" t="n">
        <v>0</v>
      </c>
      <c r="I3411" s="3">
        <f>E3411+G3411+H3411</f>
        <v/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/>
      </c>
      <c r="K3411" s="3">
        <f>I3411-J3411</f>
        <v/>
      </c>
      <c r="L3411" s="3">
        <f>IF(K3411&lt;-5,"CRÍTICO",IF(K3411&lt;0,"ATENÇÃO",IF(K3411&lt;=5,"OPORTUNO","MUITO BOM")))</f>
        <v/>
      </c>
      <c r="M3411" s="3" t="n">
        <v>26</v>
      </c>
      <c r="N3411" s="3" t="n">
        <v>98.39</v>
      </c>
      <c r="O3411" s="12" t="n">
        <v>25.56390977443609</v>
      </c>
    </row>
    <row r="3412">
      <c r="A3412" s="10" t="n">
        <v>46108</v>
      </c>
      <c r="B3412" t="inlineStr">
        <is>
          <t>Alisson de Freitas Silva</t>
        </is>
      </c>
      <c r="C3412" s="1" t="inlineStr">
        <is>
          <t>Técnico II</t>
        </is>
      </c>
      <c r="D3412" s="3" t="n">
        <v>25</v>
      </c>
      <c r="E3412" s="3" t="n">
        <v>22</v>
      </c>
      <c r="F3412" s="3" t="n">
        <v>13.53</v>
      </c>
      <c r="G3412" s="3" t="n">
        <v>0</v>
      </c>
      <c r="H3412" s="3" t="n">
        <v>0</v>
      </c>
      <c r="I3412" s="3">
        <f>E3412+G3412+H3412</f>
        <v/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/>
      </c>
      <c r="K3412" s="3">
        <f>I3412-J3412</f>
        <v/>
      </c>
      <c r="L3412" s="3">
        <f>IF(K3412&lt;-5,"CRÍTICO",IF(K3412&lt;0,"ATENÇÃO",IF(K3412&lt;=5,"OPORTUNO","MUITO BOM")))</f>
        <v/>
      </c>
      <c r="M3412" s="3" t="n">
        <v>19</v>
      </c>
      <c r="N3412" s="3" t="n">
        <v>94.29000000000001</v>
      </c>
      <c r="O3412" s="12" t="n">
        <v>25.64766839378239</v>
      </c>
    </row>
    <row r="3413">
      <c r="A3413" s="10" t="n">
        <v>46108</v>
      </c>
      <c r="B3413" t="inlineStr">
        <is>
          <t>Amanda Moura Ferreira</t>
        </is>
      </c>
      <c r="C3413" s="1" t="inlineStr">
        <is>
          <t>Técnico III</t>
        </is>
      </c>
      <c r="D3413" s="3" t="n">
        <v>0</v>
      </c>
      <c r="E3413" s="3" t="n">
        <v>0</v>
      </c>
      <c r="F3413" s="3" t="n">
        <v>0</v>
      </c>
      <c r="G3413" s="3" t="n">
        <v>0</v>
      </c>
      <c r="H3413" s="3" t="n">
        <v>0</v>
      </c>
      <c r="I3413" s="3" t="n">
        <v>0</v>
      </c>
      <c r="J3413" s="3" t="n">
        <v>0</v>
      </c>
      <c r="K3413" s="3" t="n">
        <v>0</v>
      </c>
      <c r="L3413" s="3">
        <f>IF(K3413&lt;-5,"CRÍTICO",IF(K3413&lt;0,"ATENÇÃO",IF(K3413&lt;=5,"OPORTUNO","MUITO BOM")))</f>
        <v/>
      </c>
      <c r="M3413" s="3" t="n">
        <v>24</v>
      </c>
      <c r="N3413" s="3" t="n">
        <v>98.26000000000001</v>
      </c>
      <c r="O3413" s="12" t="n">
        <v>26.66666666666667</v>
      </c>
    </row>
    <row r="3414">
      <c r="A3414" s="10" t="n">
        <v>46108</v>
      </c>
      <c r="B3414" t="inlineStr">
        <is>
          <t>Ana Karollyne Souza Faria</t>
        </is>
      </c>
      <c r="C3414" s="1" t="inlineStr">
        <is>
          <t>Técnico I</t>
        </is>
      </c>
      <c r="D3414" s="3" t="n">
        <v>30</v>
      </c>
      <c r="E3414" s="3" t="n">
        <v>29</v>
      </c>
      <c r="F3414" s="3" t="n">
        <v>15.25</v>
      </c>
      <c r="G3414" s="3" t="n">
        <v>0</v>
      </c>
      <c r="H3414" s="3" t="n">
        <v>0</v>
      </c>
      <c r="I3414" s="3">
        <f>E3414+G3414+H3414</f>
        <v/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/>
      </c>
      <c r="K3414" s="3">
        <f>I3414-J3414</f>
        <v/>
      </c>
      <c r="L3414" s="3">
        <f>IF(K3414&lt;-5,"CRÍTICO",IF(K3414&lt;0,"ATENÇÃO",IF(K3414&lt;=5,"OPORTUNO","MUITO BOM")))</f>
        <v/>
      </c>
      <c r="M3414" s="3" t="n">
        <v>26</v>
      </c>
      <c r="N3414" s="3" t="n">
        <v>98.2</v>
      </c>
      <c r="O3414" s="12" t="n">
        <v>23.37962962962963</v>
      </c>
    </row>
    <row r="3415">
      <c r="A3415" s="10" t="n">
        <v>46108</v>
      </c>
      <c r="B3415" t="inlineStr">
        <is>
          <t>Ana Paula Da Luz Silva Aleixo</t>
        </is>
      </c>
      <c r="C3415" s="1" t="inlineStr">
        <is>
          <t>Técnico III</t>
        </is>
      </c>
      <c r="D3415" s="3" t="n">
        <v>26</v>
      </c>
      <c r="E3415" s="3" t="n">
        <v>22</v>
      </c>
      <c r="F3415" s="3" t="n">
        <v>16.58</v>
      </c>
      <c r="G3415" s="3" t="n">
        <v>0</v>
      </c>
      <c r="H3415" s="3" t="n">
        <v>0</v>
      </c>
      <c r="I3415" s="3">
        <f>E3415+G3415+H3415</f>
        <v/>
      </c>
      <c r="J3415" s="3">
        <f>ROUND(MIN(IF(C3415="Técnico III",35,IF(C3415="Técnico II",28,IF(C3415="Técnico I",23,IF(C3415="JR",20,IF(C3415="Estágio",10,0))))),IF(C3415="Técnico III",SUMIFS($D:$D,$A:$A,$A3415,$B:$B,"&lt;&gt;Patrícia Karla de Sousa Araújo",$B:$B,"&lt;&gt;Lorena Dias de Araujo",$B:$B,"&lt;&gt;Lucas Luiz Romero")*(35/1083),IF(C3415="Técnico II",SUMIFS($D:$D,$A:$A,$A3415,$B:$B,"&lt;&gt;Patrícia Karla de Sousa Araújo",$B:$B,"&lt;&gt;Lorena Dias de Araujo",$B:$B,"&lt;&gt;Lucas Luiz Romero")*(28/1083),IF(C3415="Técnico I",SUMIFS($D:$D,$A:$A,$A3415,$B:$B,"&lt;&gt;Patrícia Karla de Sousa Araújo",$B:$B,"&lt;&gt;Lorena Dias de Araujo",$B:$B,"&lt;&gt;Lucas Luiz Romero")*(23/1083),IF(C3415="JR",SUMIFS($D:$D,$A:$A,$A3415,$B:$B,"&lt;&gt;Patrícia Karla de Sousa Araújo",$B:$B,"&lt;&gt;Lorena Dias de Araujo",$B:$B,"&lt;&gt;Lucas Luiz Romero")*(20/1083),IF(C3415="Estágio",SUMIFS($D:$D,$A:$A,$A3415,$B:$B,"&lt;&gt;Patrícia Karla de Sousa Araújo",$B:$B,"&lt;&gt;Lorena Dias de Araujo",$B:$B,"&lt;&gt;Lucas Luiz Romero")*(10/1083),0)))))),0)</f>
        <v/>
      </c>
      <c r="K3415" s="3">
        <f>I3415-J3415</f>
        <v/>
      </c>
      <c r="L3415" s="3">
        <f>IF(K3415&lt;-5,"CRÍTICO",IF(K3415&lt;0,"ATENÇÃO",IF(K3415&lt;=5,"OPORTUNO","MUITO BOM")))</f>
        <v/>
      </c>
      <c r="M3415" s="3" t="n">
        <v>19</v>
      </c>
      <c r="N3415" s="3" t="n">
        <v>97.3</v>
      </c>
      <c r="O3415" s="12" t="n">
        <v>23.84769539078156</v>
      </c>
    </row>
    <row r="3416">
      <c r="A3416" s="10" t="n">
        <v>46108</v>
      </c>
      <c r="B3416" t="inlineStr">
        <is>
          <t>Anna Luiza Rezende Tavares</t>
        </is>
      </c>
      <c r="C3416" s="1" t="inlineStr">
        <is>
          <t>Estágio</t>
        </is>
      </c>
      <c r="D3416" s="3" t="n">
        <v>16</v>
      </c>
      <c r="E3416" s="3" t="n">
        <v>16</v>
      </c>
      <c r="F3416" s="3" t="n">
        <v>20.28</v>
      </c>
      <c r="G3416" s="3" t="n">
        <v>0</v>
      </c>
      <c r="H3416" s="3" t="n">
        <v>0</v>
      </c>
      <c r="I3416" s="3">
        <f>E3416+G3416+H3416</f>
        <v/>
      </c>
      <c r="J3416" s="3">
        <f>ROUND(MIN(IF(C3416="Técnico III",35,IF(C3416="Técnico II",28,IF(C3416="Técnico I",23,IF(C3416="JR",20,IF(C3416="Estágio",10,0))))),IF(C3416="Técnico III",SUMIFS($D:$D,$A:$A,$A3416,$B:$B,"&lt;&gt;Patrícia Karla de Sousa Araújo",$B:$B,"&lt;&gt;Lorena Dias de Araujo",$B:$B,"&lt;&gt;Lucas Luiz Romero")*(35/1083),IF(C3416="Técnico II",SUMIFS($D:$D,$A:$A,$A3416,$B:$B,"&lt;&gt;Patrícia Karla de Sousa Araújo",$B:$B,"&lt;&gt;Lorena Dias de Araujo",$B:$B,"&lt;&gt;Lucas Luiz Romero")*(28/1083),IF(C3416="Técnico I",SUMIFS($D:$D,$A:$A,$A3416,$B:$B,"&lt;&gt;Patrícia Karla de Sousa Araújo",$B:$B,"&lt;&gt;Lorena Dias de Araujo",$B:$B,"&lt;&gt;Lucas Luiz Romero")*(23/1083),IF(C3416="JR",SUMIFS($D:$D,$A:$A,$A3416,$B:$B,"&lt;&gt;Patrícia Karla de Sousa Araújo",$B:$B,"&lt;&gt;Lorena Dias de Araujo",$B:$B,"&lt;&gt;Lucas Luiz Romero")*(20/1083),IF(C3416="Estágio",SUMIFS($D:$D,$A:$A,$A3416,$B:$B,"&lt;&gt;Patrícia Karla de Sousa Araújo",$B:$B,"&lt;&gt;Lorena Dias de Araujo",$B:$B,"&lt;&gt;Lucas Luiz Romero")*(10/1083),0)))))),0)</f>
        <v/>
      </c>
      <c r="K3416" s="3">
        <f>I3416-J3416</f>
        <v/>
      </c>
      <c r="L3416" s="3">
        <f>IF(K3416&lt;-5,"CRÍTICO",IF(K3416&lt;0,"ATENÇÃO",IF(K3416&lt;=5,"OPORTUNO","MUITO BOM")))</f>
        <v/>
      </c>
      <c r="M3416" s="3" t="n">
        <v>15</v>
      </c>
      <c r="N3416" s="3" t="n">
        <v>100</v>
      </c>
      <c r="O3416" s="12" t="n">
        <v>25.26881720430108</v>
      </c>
    </row>
    <row r="3417">
      <c r="A3417" s="10" t="n">
        <v>46108</v>
      </c>
      <c r="B3417" t="inlineStr">
        <is>
          <t>Brenda de Menezes Silva</t>
        </is>
      </c>
      <c r="C3417" s="1" t="inlineStr">
        <is>
          <t>Técnico II</t>
        </is>
      </c>
      <c r="D3417" s="3" t="n">
        <v>32</v>
      </c>
      <c r="E3417" s="3" t="n">
        <v>29</v>
      </c>
      <c r="F3417" s="3" t="n">
        <v>17.32</v>
      </c>
      <c r="G3417" s="3" t="n">
        <v>0</v>
      </c>
      <c r="H3417" s="3" t="n">
        <v>0</v>
      </c>
      <c r="I3417" s="3">
        <f>E3417+G3417+H3417</f>
        <v/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/>
      </c>
      <c r="K3417" s="3">
        <f>I3417-J3417</f>
        <v/>
      </c>
      <c r="L3417" s="3">
        <f>IF(K3417&lt;-5,"CRÍTICO",IF(K3417&lt;0,"ATENÇÃO",IF(K3417&lt;=5,"OPORTUNO","MUITO BOM")))</f>
        <v/>
      </c>
      <c r="M3417" s="3" t="n">
        <v>28</v>
      </c>
      <c r="N3417" s="3" t="n">
        <v>99.31999999999999</v>
      </c>
      <c r="O3417" s="12" t="n">
        <v>22.82282282282282</v>
      </c>
    </row>
    <row r="3418">
      <c r="A3418" s="10" t="n">
        <v>46108</v>
      </c>
      <c r="B3418" t="inlineStr">
        <is>
          <t>Carlos Mateus Cassimiro Nunes</t>
        </is>
      </c>
      <c r="C3418" s="1" t="inlineStr">
        <is>
          <t>Técnico II</t>
        </is>
      </c>
      <c r="D3418" s="3" t="n">
        <v>19</v>
      </c>
      <c r="E3418" s="3" t="n">
        <v>17</v>
      </c>
      <c r="F3418" s="3" t="n">
        <v>23.48</v>
      </c>
      <c r="G3418" s="3" t="n">
        <v>0</v>
      </c>
      <c r="H3418" s="3" t="n">
        <v>0</v>
      </c>
      <c r="I3418" s="3">
        <f>E3418+G3418+H3418</f>
        <v/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/>
      </c>
      <c r="K3418" s="3">
        <f>I3418-J3418</f>
        <v/>
      </c>
      <c r="L3418" s="3">
        <f>IF(K3418&lt;-5,"CRÍTICO",IF(K3418&lt;0,"ATENÇÃO",IF(K3418&lt;=5,"OPORTUNO","MUITO BOM")))</f>
        <v/>
      </c>
      <c r="M3418" s="3" t="n">
        <v>18</v>
      </c>
      <c r="N3418" s="3" t="n">
        <v>100</v>
      </c>
      <c r="O3418" s="12" t="n">
        <v>27.96610169491525</v>
      </c>
    </row>
    <row r="3419">
      <c r="A3419" s="10" t="n">
        <v>46108</v>
      </c>
      <c r="B3419" t="inlineStr">
        <is>
          <t>Claudio de Sousa Velasco Filho</t>
        </is>
      </c>
      <c r="C3419" s="1" t="inlineStr">
        <is>
          <t>Estágio</t>
        </is>
      </c>
      <c r="D3419" s="3" t="n">
        <v>10</v>
      </c>
      <c r="E3419" s="3" t="n">
        <v>10</v>
      </c>
      <c r="F3419" s="3" t="n">
        <v>15.45</v>
      </c>
      <c r="G3419" s="3" t="n">
        <v>0</v>
      </c>
      <c r="H3419" s="3" t="n">
        <v>0</v>
      </c>
      <c r="I3419" s="3">
        <f>E3419+G3419+H3419</f>
        <v/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/>
      </c>
      <c r="K3419" s="3">
        <f>I3419-J3419</f>
        <v/>
      </c>
      <c r="L3419" s="3">
        <f>IF(K3419&lt;-5,"CRÍTICO",IF(K3419&lt;0,"ATENÇÃO",IF(K3419&lt;=5,"OPORTUNO","MUITO BOM")))</f>
        <v/>
      </c>
      <c r="M3419" s="3" t="n">
        <v>6</v>
      </c>
      <c r="N3419" s="3" t="n">
        <v>100</v>
      </c>
      <c r="O3419" s="12" t="n">
        <v>30.43478260869566</v>
      </c>
    </row>
    <row r="3420">
      <c r="A3420" s="10" t="n">
        <v>46108</v>
      </c>
      <c r="B3420" t="inlineStr">
        <is>
          <t>Clessiane Pereira dos Santos</t>
        </is>
      </c>
      <c r="C3420" s="1" t="inlineStr">
        <is>
          <t>Técnico I</t>
        </is>
      </c>
      <c r="D3420" s="3" t="n">
        <v>31</v>
      </c>
      <c r="E3420" s="3" t="n">
        <v>30</v>
      </c>
      <c r="F3420" s="3" t="n">
        <v>21.45</v>
      </c>
      <c r="G3420" s="3" t="n">
        <v>0</v>
      </c>
      <c r="H3420" s="3" t="n">
        <v>0</v>
      </c>
      <c r="I3420" s="3">
        <f>E3420+G3420+H3420</f>
        <v/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/>
      </c>
      <c r="K3420" s="3">
        <f>I3420-J3420</f>
        <v/>
      </c>
      <c r="L3420" s="3">
        <f>IF(K3420&lt;-5,"CRÍTICO",IF(K3420&lt;0,"ATENÇÃO",IF(K3420&lt;=5,"OPORTUNO","MUITO BOM")))</f>
        <v/>
      </c>
      <c r="M3420" s="3" t="n">
        <v>31</v>
      </c>
      <c r="N3420" s="3" t="n">
        <v>96.51000000000001</v>
      </c>
      <c r="O3420" s="12" t="n">
        <v>22.80285035629454</v>
      </c>
    </row>
    <row r="3421">
      <c r="A3421" s="10" t="n">
        <v>46108</v>
      </c>
      <c r="B3421" t="inlineStr">
        <is>
          <t>Cristiane Ramos da Silva Rocha</t>
        </is>
      </c>
      <c r="C3421" s="1" t="inlineStr">
        <is>
          <t>Técnico III</t>
        </is>
      </c>
      <c r="D3421" s="3" t="n">
        <v>29</v>
      </c>
      <c r="E3421" s="3" t="n">
        <v>25</v>
      </c>
      <c r="F3421" s="3" t="n">
        <v>10.48</v>
      </c>
      <c r="G3421" s="3" t="n">
        <v>0</v>
      </c>
      <c r="H3421" s="3" t="n">
        <v>0</v>
      </c>
      <c r="I3421" s="3">
        <f>E3421+G3421+H3421</f>
        <v/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/>
      </c>
      <c r="K3421" s="3">
        <f>I3421-J3421</f>
        <v/>
      </c>
      <c r="L3421" s="3">
        <f>IF(K3421&lt;-5,"CRÍTICO",IF(K3421&lt;0,"ATENÇÃO",IF(K3421&lt;=5,"OPORTUNO","MUITO BOM")))</f>
        <v/>
      </c>
      <c r="M3421" s="3" t="n">
        <v>22</v>
      </c>
      <c r="N3421" s="3" t="n">
        <v>92.68000000000001</v>
      </c>
      <c r="O3421" s="12" t="n">
        <v>27.77777777777778</v>
      </c>
    </row>
    <row r="3422">
      <c r="A3422" s="10" t="n">
        <v>46108</v>
      </c>
      <c r="B3422" t="inlineStr">
        <is>
          <t>Damyllis Lorraine de Oliveira Gonçalves</t>
        </is>
      </c>
      <c r="C3422" s="1" t="inlineStr">
        <is>
          <t>Técnico II</t>
        </is>
      </c>
      <c r="D3422" s="3" t="n">
        <v>16</v>
      </c>
      <c r="E3422" s="3" t="n">
        <v>13</v>
      </c>
      <c r="F3422" s="3" t="n">
        <v>10.34</v>
      </c>
      <c r="G3422" s="3" t="n">
        <v>0</v>
      </c>
      <c r="H3422" s="3" t="n">
        <v>0</v>
      </c>
      <c r="I3422" s="3" t="n">
        <v>0</v>
      </c>
      <c r="J3422" s="3" t="n">
        <v>0</v>
      </c>
      <c r="K3422" s="3" t="n">
        <v>0</v>
      </c>
      <c r="L3422" s="3">
        <f>IF(K3422&lt;-5,"CRÍTICO",IF(K3422&lt;0,"ATENÇÃO",IF(K3422&lt;=5,"OPORTUNO","MUITO BOM")))</f>
        <v/>
      </c>
      <c r="M3422" s="3" t="n">
        <v>12</v>
      </c>
      <c r="N3422" s="3" t="n">
        <v>99.03</v>
      </c>
      <c r="O3422" s="12" t="n">
        <v>23.99150743099788</v>
      </c>
    </row>
    <row r="3423">
      <c r="A3423" s="10" t="n">
        <v>46108</v>
      </c>
      <c r="B3423" t="inlineStr">
        <is>
          <t>Daniel Gomes da Silva</t>
        </is>
      </c>
      <c r="C3423" s="1" t="inlineStr">
        <is>
          <t>Técnico I</t>
        </is>
      </c>
      <c r="D3423" s="3" t="n">
        <v>19</v>
      </c>
      <c r="E3423" s="3" t="n">
        <v>17</v>
      </c>
      <c r="F3423" s="3" t="n">
        <v>20.48</v>
      </c>
      <c r="G3423" s="3" t="n">
        <v>0</v>
      </c>
      <c r="H3423" s="3" t="n">
        <v>0</v>
      </c>
      <c r="I3423" s="3">
        <f>E3423+G3423+H3423</f>
        <v/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/>
      </c>
      <c r="K3423" s="3">
        <f>I3423-J3423</f>
        <v/>
      </c>
      <c r="L3423" s="3">
        <f>IF(K3423&lt;-5,"CRÍTICO",IF(K3423&lt;0,"ATENÇÃO",IF(K3423&lt;=5,"OPORTUNO","MUITO BOM")))</f>
        <v/>
      </c>
      <c r="M3423" s="3" t="n">
        <v>6</v>
      </c>
      <c r="N3423" s="3" t="n">
        <v>98.41</v>
      </c>
      <c r="O3423" s="12" t="n">
        <v>28.13852813852814</v>
      </c>
    </row>
    <row r="3424">
      <c r="A3424" s="10" t="n">
        <v>46108</v>
      </c>
      <c r="B3424" t="inlineStr">
        <is>
          <t>Davylla Rodrigues Freitas Silva</t>
        </is>
      </c>
      <c r="C3424" s="1" t="inlineStr">
        <is>
          <t>Técnico III</t>
        </is>
      </c>
      <c r="D3424" s="3" t="n">
        <v>17</v>
      </c>
      <c r="E3424" s="3" t="n">
        <v>17</v>
      </c>
      <c r="F3424" s="3" t="n">
        <v>33.45</v>
      </c>
      <c r="G3424" s="3" t="n">
        <v>0</v>
      </c>
      <c r="H3424" s="3" t="n">
        <v>0</v>
      </c>
      <c r="I3424" s="3" t="n">
        <v>0</v>
      </c>
      <c r="J3424" s="3" t="n">
        <v>0</v>
      </c>
      <c r="K3424" s="3" t="n">
        <v>0</v>
      </c>
      <c r="L3424" s="3">
        <f>IF(K3424&lt;-5,"CRÍTICO",IF(K3424&lt;0,"ATENÇÃO",IF(K3424&lt;=5,"OPORTUNO","MUITO BOM")))</f>
        <v/>
      </c>
      <c r="M3424" s="3" t="n">
        <v>18</v>
      </c>
      <c r="N3424" s="3" t="n">
        <v>98.73</v>
      </c>
      <c r="O3424" s="12" t="n">
        <v>29.14285714285714</v>
      </c>
    </row>
    <row r="3425">
      <c r="A3425" s="10" t="n">
        <v>46108</v>
      </c>
      <c r="B3425" t="inlineStr">
        <is>
          <t>Emilly Caylane Costa</t>
        </is>
      </c>
      <c r="C3425" s="1" t="inlineStr">
        <is>
          <t>Estágio</t>
        </is>
      </c>
      <c r="D3425" s="3" t="n">
        <v>10</v>
      </c>
      <c r="E3425" s="3" t="n">
        <v>8</v>
      </c>
      <c r="F3425" s="3" t="n">
        <v>27.39</v>
      </c>
      <c r="G3425" s="3" t="n">
        <v>0</v>
      </c>
      <c r="H3425" s="3" t="n">
        <v>0</v>
      </c>
      <c r="I3425" s="3">
        <f>E3425+G3425+H3425</f>
        <v/>
      </c>
      <c r="J3425" s="3">
        <f>ROUND(MIN(IF(C3425="Técnico III",35,IF(C3425="Técnico II",28,IF(C3425="Técnico I",23,IF(C3425="JR",20,IF(C3425="Estágio",10,0))))),IF(C3425="Técnico III",SUMIFS($D:$D,$A:$A,$A3425,$B:$B,"&lt;&gt;Patrícia Karla de Sousa Araújo",$B:$B,"&lt;&gt;Lorena Dias de Araujo",$B:$B,"&lt;&gt;Lucas Luiz Romero")*(35/1083),IF(C3425="Técnico II",SUMIFS($D:$D,$A:$A,$A3425,$B:$B,"&lt;&gt;Patrícia Karla de Sousa Araújo",$B:$B,"&lt;&gt;Lorena Dias de Araujo",$B:$B,"&lt;&gt;Lucas Luiz Romero")*(28/1083),IF(C3425="Técnico I",SUMIFS($D:$D,$A:$A,$A3425,$B:$B,"&lt;&gt;Patrícia Karla de Sousa Araújo",$B:$B,"&lt;&gt;Lorena Dias de Araujo",$B:$B,"&lt;&gt;Lucas Luiz Romero")*(23/1083),IF(C3425="JR",SUMIFS($D:$D,$A:$A,$A3425,$B:$B,"&lt;&gt;Patrícia Karla de Sousa Araújo",$B:$B,"&lt;&gt;Lorena Dias de Araujo",$B:$B,"&lt;&gt;Lucas Luiz Romero")*(20/1083),IF(C3425="Estágio",SUMIFS($D:$D,$A:$A,$A3425,$B:$B,"&lt;&gt;Patrícia Karla de Sousa Araújo",$B:$B,"&lt;&gt;Lorena Dias de Araujo",$B:$B,"&lt;&gt;Lucas Luiz Romero")*(10/1083),0)))))),0)</f>
        <v/>
      </c>
      <c r="K3425" s="3">
        <f>I3425-J3425</f>
        <v/>
      </c>
      <c r="L3425" s="3">
        <f>IF(K3425&lt;-5,"CRÍTICO",IF(K3425&lt;0,"ATENÇÃO",IF(K3425&lt;=5,"OPORTUNO","MUITO BOM")))</f>
        <v/>
      </c>
      <c r="M3425" s="3" t="n">
        <v>8</v>
      </c>
      <c r="N3425" s="3" t="n">
        <v>90.48</v>
      </c>
      <c r="O3425" s="12" t="n">
        <v>20.68965517241379</v>
      </c>
    </row>
    <row r="3426">
      <c r="A3426" s="10" t="n">
        <v>46108</v>
      </c>
      <c r="B3426" t="inlineStr">
        <is>
          <t>Emilly Kamilly Medeiros Miranda</t>
        </is>
      </c>
      <c r="C3426" s="1" t="inlineStr">
        <is>
          <t>Técnico II</t>
        </is>
      </c>
      <c r="D3426" s="3" t="n">
        <v>23</v>
      </c>
      <c r="E3426" s="3" t="n">
        <v>23</v>
      </c>
      <c r="F3426" s="3" t="n">
        <v>16.47</v>
      </c>
      <c r="G3426" s="3" t="n">
        <v>0</v>
      </c>
      <c r="H3426" s="3" t="n">
        <v>0</v>
      </c>
      <c r="I3426" s="3">
        <f>E3426+G3426+H3426</f>
        <v/>
      </c>
      <c r="J3426" s="3">
        <f>ROUND(MIN(IF(C3426="Técnico III",35,IF(C3426="Técnico II",28,IF(C3426="Técnico I",23,IF(C3426="JR",20,IF(C3426="Estágio",10,0))))),IF(C3426="Técnico III",SUMIFS($D:$D,$A:$A,$A3426,$B:$B,"&lt;&gt;Patrícia Karla de Sousa Araújo",$B:$B,"&lt;&gt;Lorena Dias de Araujo",$B:$B,"&lt;&gt;Lucas Luiz Romero")*(35/1083),IF(C3426="Técnico II",SUMIFS($D:$D,$A:$A,$A3426,$B:$B,"&lt;&gt;Patrícia Karla de Sousa Araújo",$B:$B,"&lt;&gt;Lorena Dias de Araujo",$B:$B,"&lt;&gt;Lucas Luiz Romero")*(28/1083),IF(C3426="Técnico I",SUMIFS($D:$D,$A:$A,$A3426,$B:$B,"&lt;&gt;Patrícia Karla de Sousa Araújo",$B:$B,"&lt;&gt;Lorena Dias de Araujo",$B:$B,"&lt;&gt;Lucas Luiz Romero")*(23/1083),IF(C3426="JR",SUMIFS($D:$D,$A:$A,$A3426,$B:$B,"&lt;&gt;Patrícia Karla de Sousa Araújo",$B:$B,"&lt;&gt;Lorena Dias de Araujo",$B:$B,"&lt;&gt;Lucas Luiz Romero")*(20/1083),IF(C3426="Estágio",SUMIFS($D:$D,$A:$A,$A3426,$B:$B,"&lt;&gt;Patrícia Karla de Sousa Araújo",$B:$B,"&lt;&gt;Lorena Dias de Araujo",$B:$B,"&lt;&gt;Lucas Luiz Romero")*(10/1083),0)))))),0)</f>
        <v/>
      </c>
      <c r="K3426" s="3">
        <f>I3426-J3426</f>
        <v/>
      </c>
      <c r="L3426" s="3">
        <f>IF(K3426&lt;-5,"CRÍTICO",IF(K3426&lt;0,"ATENÇÃO",IF(K3426&lt;=5,"OPORTUNO","MUITO BOM")))</f>
        <v/>
      </c>
      <c r="M3426" s="3" t="n">
        <v>21</v>
      </c>
      <c r="N3426" s="3" t="n">
        <v>98.06</v>
      </c>
      <c r="O3426" s="12" t="n">
        <v>24.78991596638656</v>
      </c>
    </row>
    <row r="3427">
      <c r="A3427" s="10" t="n">
        <v>46108</v>
      </c>
      <c r="B3427" t="inlineStr">
        <is>
          <t>Francielson de Oliveira</t>
        </is>
      </c>
      <c r="C3427" s="1" t="inlineStr">
        <is>
          <t>Técnico III</t>
        </is>
      </c>
      <c r="D3427" s="3" t="n">
        <v>20</v>
      </c>
      <c r="E3427" s="3" t="n">
        <v>19</v>
      </c>
      <c r="F3427" s="3" t="n">
        <v>16.4</v>
      </c>
      <c r="G3427" s="3" t="n">
        <v>0</v>
      </c>
      <c r="H3427" s="3" t="n">
        <v>0</v>
      </c>
      <c r="I3427" s="3">
        <f>E3427+G3427+H3427</f>
        <v/>
      </c>
      <c r="J3427" s="3">
        <f>ROUND(MIN(IF(C3427="Técnico III",35,IF(C3427="Técnico II",28,IF(C3427="Técnico I",23,IF(C3427="JR",20,IF(C3427="Estágio",10,0))))),IF(C3427="Técnico III",SUMIFS($D:$D,$A:$A,$A3427,$B:$B,"&lt;&gt;Patrícia Karla de Sousa Araújo",$B:$B,"&lt;&gt;Lorena Dias de Araujo",$B:$B,"&lt;&gt;Lucas Luiz Romero")*(35/1083),IF(C3427="Técnico II",SUMIFS($D:$D,$A:$A,$A3427,$B:$B,"&lt;&gt;Patrícia Karla de Sousa Araújo",$B:$B,"&lt;&gt;Lorena Dias de Araujo",$B:$B,"&lt;&gt;Lucas Luiz Romero")*(28/1083),IF(C3427="Técnico I",SUMIFS($D:$D,$A:$A,$A3427,$B:$B,"&lt;&gt;Patrícia Karla de Sousa Araújo",$B:$B,"&lt;&gt;Lorena Dias de Araujo",$B:$B,"&lt;&gt;Lucas Luiz Romero")*(23/1083),IF(C3427="JR",SUMIFS($D:$D,$A:$A,$A3427,$B:$B,"&lt;&gt;Patrícia Karla de Sousa Araújo",$B:$B,"&lt;&gt;Lorena Dias de Araujo",$B:$B,"&lt;&gt;Lucas Luiz Romero")*(20/1083),IF(C3427="Estágio",SUMIFS($D:$D,$A:$A,$A3427,$B:$B,"&lt;&gt;Patrícia Karla de Sousa Araújo",$B:$B,"&lt;&gt;Lorena Dias de Araujo",$B:$B,"&lt;&gt;Lucas Luiz Romero")*(10/1083),0)))))),0)</f>
        <v/>
      </c>
      <c r="K3427" s="3">
        <f>I3427-J3427</f>
        <v/>
      </c>
      <c r="L3427" s="3">
        <f>IF(K3427&lt;-5,"CRÍTICO",IF(K3427&lt;0,"ATENÇÃO",IF(K3427&lt;=5,"OPORTUNO","MUITO BOM")))</f>
        <v/>
      </c>
      <c r="M3427" s="3" t="n">
        <v>20</v>
      </c>
      <c r="N3427" s="3" t="n">
        <v>97.78</v>
      </c>
      <c r="O3427" s="12" t="n">
        <v>25.49407114624506</v>
      </c>
    </row>
    <row r="3428">
      <c r="A3428" s="10" t="n">
        <v>46108</v>
      </c>
      <c r="B3428" t="inlineStr">
        <is>
          <t>Francilene Ferreira de Jesus</t>
        </is>
      </c>
      <c r="C3428" s="1" t="inlineStr">
        <is>
          <t>Técnico II</t>
        </is>
      </c>
      <c r="D3428" s="3" t="n">
        <v>25</v>
      </c>
      <c r="E3428" s="3" t="n">
        <v>20</v>
      </c>
      <c r="F3428" s="3" t="n">
        <v>23.59</v>
      </c>
      <c r="G3428" s="3" t="n">
        <v>0</v>
      </c>
      <c r="H3428" s="3" t="n">
        <v>0</v>
      </c>
      <c r="I3428" s="3">
        <f>E3428+G3428+H3428</f>
        <v/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/>
      </c>
      <c r="K3428" s="3">
        <f>I3428-J3428</f>
        <v/>
      </c>
      <c r="L3428" s="3">
        <f>IF(K3428&lt;-5,"CRÍTICO",IF(K3428&lt;0,"ATENÇÃO",IF(K3428&lt;=5,"OPORTUNO","MUITO BOM")))</f>
        <v/>
      </c>
      <c r="M3428" s="3" t="n">
        <v>18</v>
      </c>
      <c r="N3428" s="3" t="n">
        <v>98.02</v>
      </c>
      <c r="O3428" s="12" t="n">
        <v>23.48484848484848</v>
      </c>
    </row>
    <row r="3429">
      <c r="A3429" s="7" t="n">
        <v>46161</v>
      </c>
      <c r="B3429" s="8" t="inlineStr">
        <is>
          <t>Janaina Lima dos Reis Urany</t>
        </is>
      </c>
      <c r="C3429" s="1" t="inlineStr">
        <is>
          <t>Técnico III</t>
        </is>
      </c>
      <c r="D3429" s="3" t="n">
        <v>43</v>
      </c>
      <c r="E3429" s="3" t="n">
        <v>39</v>
      </c>
      <c r="F3429" s="3" t="n">
        <v>13.55</v>
      </c>
      <c r="G3429" s="3" t="n">
        <v>3</v>
      </c>
      <c r="H3429" s="3" t="n">
        <v>0</v>
      </c>
      <c r="I3429" s="3" t="n">
        <v>42</v>
      </c>
      <c r="J3429" s="3" t="n">
        <v>29</v>
      </c>
      <c r="K3429" s="3" t="n">
        <v>13</v>
      </c>
      <c r="L3429" s="3" t="inlineStr">
        <is>
          <t>EXCELENTE</t>
        </is>
      </c>
      <c r="M3429" s="3" t="n">
        <v>40</v>
      </c>
      <c r="N3429" s="3" t="n">
        <v>99</v>
      </c>
      <c r="O3429" s="12" t="n">
        <v>22.27414330218069</v>
      </c>
    </row>
    <row r="3430">
      <c r="A3430" s="10" t="n">
        <v>46108</v>
      </c>
      <c r="B3430" t="inlineStr">
        <is>
          <t>Isabella Borges de Oliveira</t>
        </is>
      </c>
      <c r="C3430" s="1" t="inlineStr">
        <is>
          <t>Técnico II</t>
        </is>
      </c>
      <c r="D3430" s="3" t="n">
        <v>22</v>
      </c>
      <c r="E3430" s="3" t="n">
        <v>22</v>
      </c>
      <c r="F3430" s="3" t="n">
        <v>20.03</v>
      </c>
      <c r="G3430" s="3" t="n">
        <v>0</v>
      </c>
      <c r="H3430" s="3" t="n">
        <v>0</v>
      </c>
      <c r="I3430" s="3">
        <f>E3430+G3430+H3430</f>
        <v/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/>
      </c>
      <c r="K3430" s="3">
        <f>I3430-J3430</f>
        <v/>
      </c>
      <c r="L3430" s="3">
        <f>IF(K3430&lt;-5,"CRÍTICO",IF(K3430&lt;0,"ATENÇÃO",IF(K3430&lt;=5,"OPORTUNO","MUITO BOM")))</f>
        <v/>
      </c>
      <c r="M3430" s="3" t="n">
        <v>14</v>
      </c>
      <c r="N3430" s="3" t="n">
        <v>100</v>
      </c>
      <c r="O3430" s="12" t="n">
        <v>27.04918032786885</v>
      </c>
    </row>
    <row r="3431">
      <c r="A3431" s="10" t="n">
        <v>46108</v>
      </c>
      <c r="B3431" t="inlineStr">
        <is>
          <t>Janaina Lima dos Reis Urany</t>
        </is>
      </c>
      <c r="C3431" s="1" t="inlineStr">
        <is>
          <t>Técnico III</t>
        </is>
      </c>
      <c r="D3431" s="3" t="n">
        <v>42</v>
      </c>
      <c r="E3431" s="3" t="n">
        <v>39</v>
      </c>
      <c r="F3431" s="3" t="n">
        <v>14.16</v>
      </c>
      <c r="G3431" s="3" t="n">
        <v>0</v>
      </c>
      <c r="H3431" s="3" t="n">
        <v>0</v>
      </c>
      <c r="I3431" s="3">
        <f>E3431+G3431+H3431</f>
        <v/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/>
      </c>
      <c r="K3431" s="3">
        <f>I3431-J3431</f>
        <v/>
      </c>
      <c r="L3431" s="3">
        <f>IF(K3431&lt;-5,"CRÍTICO",IF(K3431&lt;0,"ATENÇÃO",IF(K3431&lt;=5,"OPORTUNO","MUITO BOM")))</f>
        <v/>
      </c>
      <c r="M3431" s="3" t="n">
        <v>38</v>
      </c>
      <c r="N3431" s="3" t="n">
        <v>97.83</v>
      </c>
      <c r="O3431" s="12" t="n">
        <v>26.31578947368421</v>
      </c>
    </row>
    <row r="3432">
      <c r="A3432" s="10" t="n">
        <v>46108</v>
      </c>
      <c r="B3432" t="inlineStr">
        <is>
          <t>Jaqueline Evangelista da Silva Martins</t>
        </is>
      </c>
      <c r="C3432" s="1" t="inlineStr">
        <is>
          <t>Técnico III</t>
        </is>
      </c>
      <c r="D3432" s="3" t="n">
        <v>6</v>
      </c>
      <c r="E3432" s="3" t="n">
        <v>6</v>
      </c>
      <c r="F3432" s="3" t="n">
        <v>13.41</v>
      </c>
      <c r="G3432" s="3" t="n">
        <v>0</v>
      </c>
      <c r="H3432" s="3" t="n">
        <v>0</v>
      </c>
      <c r="I3432" s="3">
        <f>E3432+G3432+H3432</f>
        <v/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/>
      </c>
      <c r="K3432" s="3">
        <f>I3432-J3432</f>
        <v/>
      </c>
      <c r="L3432" s="3">
        <f>IF(K3432&lt;-5,"CRÍTICO",IF(K3432&lt;0,"ATENÇÃO",IF(K3432&lt;=5,"OPORTUNO","MUITO BOM")))</f>
        <v/>
      </c>
      <c r="M3432" s="3" t="n">
        <v>5</v>
      </c>
      <c r="N3432" s="3" t="n">
        <v>100</v>
      </c>
      <c r="O3432" s="12" t="n">
        <v>26.70157068062827</v>
      </c>
    </row>
    <row r="3433">
      <c r="A3433" s="10" t="n">
        <v>46108</v>
      </c>
      <c r="B3433" t="inlineStr">
        <is>
          <t>Jessica Faria da Silveira</t>
        </is>
      </c>
      <c r="C3433" s="1" t="inlineStr">
        <is>
          <t>Técnico II</t>
        </is>
      </c>
      <c r="D3433" s="3" t="n">
        <v>0</v>
      </c>
      <c r="E3433" s="3" t="n">
        <v>0</v>
      </c>
      <c r="F3433" s="3" t="n">
        <v>0</v>
      </c>
      <c r="G3433" s="3" t="n">
        <v>0</v>
      </c>
      <c r="H3433" s="3" t="n">
        <v>0</v>
      </c>
      <c r="I3433" s="3" t="n">
        <v>0</v>
      </c>
      <c r="J3433" s="3" t="n">
        <v>0</v>
      </c>
      <c r="K3433" s="3" t="n">
        <v>0</v>
      </c>
      <c r="L3433" s="3">
        <f>IF(K3433&lt;-5,"CRÍTICO",IF(K3433&lt;0,"ATENÇÃO",IF(K3433&lt;=5,"OPORTUNO","MUITO BOM")))</f>
        <v/>
      </c>
      <c r="M3433" s="3" t="n">
        <v>0</v>
      </c>
      <c r="N3433" s="3" t="n">
        <v>97.47</v>
      </c>
      <c r="O3433" s="12" t="n">
        <v>22.88732394366197</v>
      </c>
    </row>
    <row r="3434">
      <c r="A3434" s="10" t="n">
        <v>46108</v>
      </c>
      <c r="B3434" t="inlineStr">
        <is>
          <t>Jéssica Fé Moura</t>
        </is>
      </c>
      <c r="C3434" s="1" t="inlineStr">
        <is>
          <t>Técnico III</t>
        </is>
      </c>
      <c r="D3434" s="3" t="n">
        <v>0</v>
      </c>
      <c r="E3434" s="3" t="n">
        <v>0</v>
      </c>
      <c r="F3434" s="3" t="n">
        <v>0</v>
      </c>
      <c r="G3434" s="3" t="n">
        <v>0</v>
      </c>
      <c r="H3434" s="3" t="n">
        <v>0</v>
      </c>
      <c r="I3434" s="3" t="n">
        <v>0</v>
      </c>
      <c r="J3434" s="3" t="n">
        <v>0</v>
      </c>
      <c r="K3434" s="3" t="n">
        <v>0</v>
      </c>
      <c r="L3434" s="3">
        <f>IF(K3434&lt;-5,"CRÍTICO",IF(K3434&lt;0,"ATENÇÃO",IF(K3434&lt;=5,"OPORTUNO","MUITO BOM")))</f>
        <v/>
      </c>
      <c r="M3434" s="3" t="n">
        <v>0</v>
      </c>
      <c r="N3434" s="3" t="n">
        <v>0</v>
      </c>
      <c r="O3434" s="12" t="n">
        <v>0</v>
      </c>
    </row>
    <row r="3435">
      <c r="A3435" s="10" t="n">
        <v>46108</v>
      </c>
      <c r="B3435" t="inlineStr">
        <is>
          <t>Karina Gonçalves Martins</t>
        </is>
      </c>
      <c r="C3435" s="1" t="inlineStr">
        <is>
          <t>JR</t>
        </is>
      </c>
      <c r="D3435" s="3" t="n">
        <v>24</v>
      </c>
      <c r="E3435" s="3" t="n">
        <v>24</v>
      </c>
      <c r="F3435" s="3" t="n">
        <v>24.03</v>
      </c>
      <c r="G3435" s="3" t="n">
        <v>0</v>
      </c>
      <c r="H3435" s="3" t="n">
        <v>0</v>
      </c>
      <c r="I3435" s="3">
        <f>E3435+G3435+H3435</f>
        <v/>
      </c>
      <c r="J3435" s="3">
        <f>ROUND(MIN(IF(C3435="Técnico III",35,IF(C3435="Técnico II",28,IF(C3435="Técnico I",23,IF(C3435="JR",20,IF(C3435="Estágio",10,0))))),IF(C3435="Técnico III",SUMIFS($D:$D,$A:$A,$A3435,$B:$B,"&lt;&gt;Patrícia Karla de Sousa Araújo",$B:$B,"&lt;&gt;Lorena Dias de Araujo",$B:$B,"&lt;&gt;Lucas Luiz Romero")*(35/1083),IF(C3435="Técnico II",SUMIFS($D:$D,$A:$A,$A3435,$B:$B,"&lt;&gt;Patrícia Karla de Sousa Araújo",$B:$B,"&lt;&gt;Lorena Dias de Araujo",$B:$B,"&lt;&gt;Lucas Luiz Romero")*(28/1083),IF(C3435="Técnico I",SUMIFS($D:$D,$A:$A,$A3435,$B:$B,"&lt;&gt;Patrícia Karla de Sousa Araújo",$B:$B,"&lt;&gt;Lorena Dias de Araujo",$B:$B,"&lt;&gt;Lucas Luiz Romero")*(23/1083),IF(C3435="JR",SUMIFS($D:$D,$A:$A,$A3435,$B:$B,"&lt;&gt;Patrícia Karla de Sousa Araújo",$B:$B,"&lt;&gt;Lorena Dias de Araujo",$B:$B,"&lt;&gt;Lucas Luiz Romero")*(20/1083),IF(C3435="Estágio",SUMIFS($D:$D,$A:$A,$A3435,$B:$B,"&lt;&gt;Patrícia Karla de Sousa Araújo",$B:$B,"&lt;&gt;Lorena Dias de Araujo",$B:$B,"&lt;&gt;Lucas Luiz Romero")*(10/1083),0)))))),0)</f>
        <v/>
      </c>
      <c r="K3435" s="3">
        <f>I3435-J3435</f>
        <v/>
      </c>
      <c r="L3435" s="3">
        <f>IF(K3435&lt;-5,"CRÍTICO",IF(K3435&lt;0,"ATENÇÃO",IF(K3435&lt;=5,"OPORTUNO","MUITO BOM")))</f>
        <v/>
      </c>
      <c r="M3435" s="3" t="n">
        <v>23</v>
      </c>
      <c r="N3435" s="3" t="n">
        <v>98.31</v>
      </c>
      <c r="O3435" s="12" t="n">
        <v>24.92012779552715</v>
      </c>
    </row>
    <row r="3436">
      <c r="A3436" s="10" t="n">
        <v>46108</v>
      </c>
      <c r="B3436" t="inlineStr">
        <is>
          <t>Kerollen Cristielly de Jesus Siqueira</t>
        </is>
      </c>
      <c r="C3436" s="1" t="inlineStr">
        <is>
          <t>Técnico III</t>
        </is>
      </c>
      <c r="D3436" s="3" t="n">
        <v>27</v>
      </c>
      <c r="E3436" s="3" t="n">
        <v>25</v>
      </c>
      <c r="F3436" s="3" t="n">
        <v>16.43</v>
      </c>
      <c r="G3436" s="3" t="n">
        <v>0</v>
      </c>
      <c r="H3436" s="3" t="n">
        <v>0</v>
      </c>
      <c r="I3436" s="3">
        <f>E3436+G3436+H3436</f>
        <v/>
      </c>
      <c r="J3436" s="3">
        <f>ROUND(MIN(IF(C3436="Técnico III",35,IF(C3436="Técnico II",28,IF(C3436="Técnico I",23,IF(C3436="JR",20,IF(C3436="Estágio",10,0))))),IF(C3436="Técnico III",SUMIFS($D:$D,$A:$A,$A3436,$B:$B,"&lt;&gt;Patrícia Karla de Sousa Araújo",$B:$B,"&lt;&gt;Lorena Dias de Araujo",$B:$B,"&lt;&gt;Lucas Luiz Romero")*(35/1083),IF(C3436="Técnico II",SUMIFS($D:$D,$A:$A,$A3436,$B:$B,"&lt;&gt;Patrícia Karla de Sousa Araújo",$B:$B,"&lt;&gt;Lorena Dias de Araujo",$B:$B,"&lt;&gt;Lucas Luiz Romero")*(28/1083),IF(C3436="Técnico I",SUMIFS($D:$D,$A:$A,$A3436,$B:$B,"&lt;&gt;Patrícia Karla de Sousa Araújo",$B:$B,"&lt;&gt;Lorena Dias de Araujo",$B:$B,"&lt;&gt;Lucas Luiz Romero")*(23/1083),IF(C3436="JR",SUMIFS($D:$D,$A:$A,$A3436,$B:$B,"&lt;&gt;Patrícia Karla de Sousa Araújo",$B:$B,"&lt;&gt;Lorena Dias de Araujo",$B:$B,"&lt;&gt;Lucas Luiz Romero")*(20/1083),IF(C3436="Estágio",SUMIFS($D:$D,$A:$A,$A3436,$B:$B,"&lt;&gt;Patrícia Karla de Sousa Araújo",$B:$B,"&lt;&gt;Lorena Dias de Araujo",$B:$B,"&lt;&gt;Lucas Luiz Romero")*(10/1083),0)))))),0)</f>
        <v/>
      </c>
      <c r="K3436" s="3">
        <f>I3436-J3436</f>
        <v/>
      </c>
      <c r="L3436" s="3">
        <f>IF(K3436&lt;-5,"CRÍTICO",IF(K3436&lt;0,"ATENÇÃO",IF(K3436&lt;=5,"OPORTUNO","MUITO BOM")))</f>
        <v/>
      </c>
      <c r="M3436" s="3" t="n">
        <v>25</v>
      </c>
      <c r="N3436" s="3" t="n">
        <v>96.81</v>
      </c>
      <c r="O3436" s="12" t="n">
        <v>32.36514522821577</v>
      </c>
    </row>
    <row r="3437">
      <c r="A3437" s="10" t="n">
        <v>46108</v>
      </c>
      <c r="B3437" t="inlineStr">
        <is>
          <t>Leandro de Souza Silva</t>
        </is>
      </c>
      <c r="C3437" s="1" t="inlineStr">
        <is>
          <t>JR</t>
        </is>
      </c>
      <c r="D3437" s="3" t="n">
        <v>14</v>
      </c>
      <c r="E3437" s="3" t="n">
        <v>11</v>
      </c>
      <c r="F3437" s="3" t="n">
        <v>34.02</v>
      </c>
      <c r="G3437" s="3" t="n">
        <v>0</v>
      </c>
      <c r="H3437" s="3" t="n">
        <v>0</v>
      </c>
      <c r="I3437" s="3">
        <f>E3437+G3437+H3437</f>
        <v/>
      </c>
      <c r="J3437" s="3">
        <f>ROUND(MIN(IF(C3437="Técnico III",35,IF(C3437="Técnico II",28,IF(C3437="Técnico I",23,IF(C3437="JR",20,IF(C3437="Estágio",10,0))))),IF(C3437="Técnico III",SUMIFS($D:$D,$A:$A,$A3437,$B:$B,"&lt;&gt;Patrícia Karla de Sousa Araújo",$B:$B,"&lt;&gt;Lorena Dias de Araujo",$B:$B,"&lt;&gt;Lucas Luiz Romero")*(35/1083),IF(C3437="Técnico II",SUMIFS($D:$D,$A:$A,$A3437,$B:$B,"&lt;&gt;Patrícia Karla de Sousa Araújo",$B:$B,"&lt;&gt;Lorena Dias de Araujo",$B:$B,"&lt;&gt;Lucas Luiz Romero")*(28/1083),IF(C3437="Técnico I",SUMIFS($D:$D,$A:$A,$A3437,$B:$B,"&lt;&gt;Patrícia Karla de Sousa Araújo",$B:$B,"&lt;&gt;Lorena Dias de Araujo",$B:$B,"&lt;&gt;Lucas Luiz Romero")*(23/1083),IF(C3437="JR",SUMIFS($D:$D,$A:$A,$A3437,$B:$B,"&lt;&gt;Patrícia Karla de Sousa Araújo",$B:$B,"&lt;&gt;Lorena Dias de Araujo",$B:$B,"&lt;&gt;Lucas Luiz Romero")*(20/1083),IF(C3437="Estágio",SUMIFS($D:$D,$A:$A,$A3437,$B:$B,"&lt;&gt;Patrícia Karla de Sousa Araújo",$B:$B,"&lt;&gt;Lorena Dias de Araujo",$B:$B,"&lt;&gt;Lucas Luiz Romero")*(10/1083),0)))))),0)</f>
        <v/>
      </c>
      <c r="K3437" s="3">
        <f>I3437-J3437</f>
        <v/>
      </c>
      <c r="L3437" s="3">
        <f>IF(K3437&lt;-5,"CRÍTICO",IF(K3437&lt;0,"ATENÇÃO",IF(K3437&lt;=5,"OPORTUNO","MUITO BOM")))</f>
        <v/>
      </c>
      <c r="M3437" s="3" t="n">
        <v>9</v>
      </c>
      <c r="N3437" s="3" t="n">
        <v>100</v>
      </c>
      <c r="O3437" s="12" t="n">
        <v>26.47058823529412</v>
      </c>
    </row>
    <row r="3438">
      <c r="A3438" s="10" t="n">
        <v>46108</v>
      </c>
      <c r="B3438" t="inlineStr">
        <is>
          <t>Leandro Oliveira de Sousa</t>
        </is>
      </c>
      <c r="C3438" s="1" t="inlineStr">
        <is>
          <t>Técnico III</t>
        </is>
      </c>
      <c r="D3438" s="3" t="n">
        <v>30</v>
      </c>
      <c r="E3438" s="3" t="n">
        <v>28</v>
      </c>
      <c r="F3438" s="3" t="n">
        <v>20.5</v>
      </c>
      <c r="G3438" s="3" t="n">
        <v>0</v>
      </c>
      <c r="H3438" s="3" t="n">
        <v>0</v>
      </c>
      <c r="I3438" s="3">
        <f>E3438+G3438+H3438</f>
        <v/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/>
      </c>
      <c r="K3438" s="3">
        <f>I3438-J3438</f>
        <v/>
      </c>
      <c r="L3438" s="3">
        <f>IF(K3438&lt;-5,"CRÍTICO",IF(K3438&lt;0,"ATENÇÃO",IF(K3438&lt;=5,"OPORTUNO","MUITO BOM")))</f>
        <v/>
      </c>
      <c r="M3438" s="3" t="n">
        <v>26</v>
      </c>
      <c r="N3438" s="3" t="n">
        <v>100</v>
      </c>
      <c r="O3438" s="12" t="n">
        <v>28.49002849002849</v>
      </c>
    </row>
    <row r="3439">
      <c r="A3439" s="10" t="n">
        <v>46108</v>
      </c>
      <c r="B3439" t="inlineStr">
        <is>
          <t>Lizandra Gomes Duarte</t>
        </is>
      </c>
      <c r="C3439" s="1" t="inlineStr">
        <is>
          <t>Técnico II</t>
        </is>
      </c>
      <c r="D3439" s="3" t="n">
        <v>34</v>
      </c>
      <c r="E3439" s="3" t="n">
        <v>30</v>
      </c>
      <c r="F3439" s="3" t="n">
        <v>20.05</v>
      </c>
      <c r="G3439" s="3" t="n">
        <v>0</v>
      </c>
      <c r="H3439" s="3" t="n">
        <v>0</v>
      </c>
      <c r="I3439" s="3">
        <f>E3439+G3439+H3439</f>
        <v/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/>
      </c>
      <c r="K3439" s="3">
        <f>I3439-J3439</f>
        <v/>
      </c>
      <c r="L3439" s="3">
        <f>IF(K3439&lt;-5,"CRÍTICO",IF(K3439&lt;0,"ATENÇÃO",IF(K3439&lt;=5,"OPORTUNO","MUITO BOM")))</f>
        <v/>
      </c>
      <c r="M3439" s="3" t="n">
        <v>15</v>
      </c>
      <c r="N3439" s="3" t="n">
        <v>99.14</v>
      </c>
      <c r="O3439" s="12" t="n">
        <v>27.2289156626506</v>
      </c>
    </row>
    <row r="3440">
      <c r="A3440" s="10" t="n">
        <v>46108</v>
      </c>
      <c r="B3440" t="inlineStr">
        <is>
          <t>Lorena Dias de Araujo</t>
        </is>
      </c>
      <c r="C3440" s="1" t="inlineStr">
        <is>
          <t>Técnico II</t>
        </is>
      </c>
      <c r="D3440" s="3" t="n">
        <v>21</v>
      </c>
      <c r="E3440" s="3" t="n">
        <v>19</v>
      </c>
      <c r="F3440" s="3" t="n">
        <v>21.46</v>
      </c>
      <c r="G3440" s="3" t="n">
        <v>0</v>
      </c>
      <c r="H3440" s="3" t="n">
        <v>0</v>
      </c>
      <c r="I3440" s="3" t="n">
        <v>0</v>
      </c>
      <c r="J3440" s="3" t="n">
        <v>0</v>
      </c>
      <c r="K3440" s="3" t="n">
        <v>0</v>
      </c>
      <c r="L3440" s="3">
        <f>IF(K3440&lt;-5,"CRÍTICO",IF(K3440&lt;0,"ATENÇÃO",IF(K3440&lt;=5,"OPORTUNO","MUITO BOM")))</f>
        <v/>
      </c>
      <c r="M3440" s="3" t="n">
        <v>18</v>
      </c>
      <c r="N3440" s="3" t="n">
        <v>97.52</v>
      </c>
      <c r="O3440" s="12" t="n">
        <v>28.2051282051282</v>
      </c>
    </row>
    <row r="3441">
      <c r="A3441" s="10" t="n">
        <v>46108</v>
      </c>
      <c r="B3441" t="inlineStr">
        <is>
          <t>Lucas Luiz Romero</t>
        </is>
      </c>
      <c r="C3441" s="1" t="inlineStr">
        <is>
          <t>Técnico III</t>
        </is>
      </c>
      <c r="D3441" s="3" t="n">
        <v>0</v>
      </c>
      <c r="E3441" s="3" t="n">
        <v>0</v>
      </c>
      <c r="F3441" s="3" t="n">
        <v>0</v>
      </c>
      <c r="G3441" s="3" t="n">
        <v>0</v>
      </c>
      <c r="H3441" s="3" t="n">
        <v>0</v>
      </c>
      <c r="I3441" s="3" t="n">
        <v>0</v>
      </c>
      <c r="J3441" s="3" t="n">
        <v>0</v>
      </c>
      <c r="K3441" s="3" t="n">
        <v>0</v>
      </c>
      <c r="L3441" s="3">
        <f>IF(K3441&lt;-5,"CRÍTICO",IF(K3441&lt;0,"ATENÇÃO",IF(K3441&lt;=5,"OPORTUNO","MUITO BOM")))</f>
        <v/>
      </c>
      <c r="M3441" s="3" t="n">
        <v>0</v>
      </c>
      <c r="N3441" s="3" t="n">
        <v>90</v>
      </c>
      <c r="O3441" s="12" t="n">
        <v>24.18604651162791</v>
      </c>
    </row>
    <row r="3442">
      <c r="A3442" s="10" t="n">
        <v>46108</v>
      </c>
      <c r="B3442" t="inlineStr">
        <is>
          <t>Luiz Fernando de Carvalho Junior</t>
        </is>
      </c>
      <c r="C3442" s="1" t="inlineStr">
        <is>
          <t>Técnico I</t>
        </is>
      </c>
      <c r="D3442" s="3" t="n">
        <v>25</v>
      </c>
      <c r="E3442" s="3" t="n">
        <v>23</v>
      </c>
      <c r="F3442" s="3" t="n">
        <v>20.17</v>
      </c>
      <c r="G3442" s="3" t="n">
        <v>0</v>
      </c>
      <c r="H3442" s="3" t="n">
        <v>0</v>
      </c>
      <c r="I3442" s="3">
        <f>E3442+G3442+H3442</f>
        <v/>
      </c>
      <c r="J3442" s="3">
        <f>ROUND(MIN(IF(C3442="Técnico III",35,IF(C3442="Técnico II",28,IF(C3442="Técnico I",23,IF(C3442="JR",20,IF(C3442="Estágio",10,0))))),IF(C3442="Técnico III",SUMIFS($D:$D,$A:$A,$A3442,$B:$B,"&lt;&gt;Patrícia Karla de Sousa Araújo",$B:$B,"&lt;&gt;Lorena Dias de Araujo",$B:$B,"&lt;&gt;Lucas Luiz Romero")*(35/1083),IF(C3442="Técnico II",SUMIFS($D:$D,$A:$A,$A3442,$B:$B,"&lt;&gt;Patrícia Karla de Sousa Araújo",$B:$B,"&lt;&gt;Lorena Dias de Araujo",$B:$B,"&lt;&gt;Lucas Luiz Romero")*(28/1083),IF(C3442="Técnico I",SUMIFS($D:$D,$A:$A,$A3442,$B:$B,"&lt;&gt;Patrícia Karla de Sousa Araújo",$B:$B,"&lt;&gt;Lorena Dias de Araujo",$B:$B,"&lt;&gt;Lucas Luiz Romero")*(23/1083),IF(C3442="JR",SUMIFS($D:$D,$A:$A,$A3442,$B:$B,"&lt;&gt;Patrícia Karla de Sousa Araújo",$B:$B,"&lt;&gt;Lorena Dias de Araujo",$B:$B,"&lt;&gt;Lucas Luiz Romero")*(20/1083),IF(C3442="Estágio",SUMIFS($D:$D,$A:$A,$A3442,$B:$B,"&lt;&gt;Patrícia Karla de Sousa Araújo",$B:$B,"&lt;&gt;Lorena Dias de Araujo",$B:$B,"&lt;&gt;Lucas Luiz Romero")*(10/1083),0)))))),0)</f>
        <v/>
      </c>
      <c r="K3442" s="3">
        <f>I3442-J3442</f>
        <v/>
      </c>
      <c r="L3442" s="3">
        <f>IF(K3442&lt;-5,"CRÍTICO",IF(K3442&lt;0,"ATENÇÃO",IF(K3442&lt;=5,"OPORTUNO","MUITO BOM")))</f>
        <v/>
      </c>
      <c r="M3442" s="3" t="n">
        <v>20</v>
      </c>
      <c r="N3442" s="3" t="n">
        <v>98.90000000000001</v>
      </c>
      <c r="O3442" s="12" t="n">
        <v>26.7639902676399</v>
      </c>
    </row>
    <row r="3443">
      <c r="A3443" s="10" t="n">
        <v>46108</v>
      </c>
      <c r="B3443" t="inlineStr">
        <is>
          <t>Maria Eduarda Sousa Costa</t>
        </is>
      </c>
      <c r="C3443" s="1" t="inlineStr">
        <is>
          <t>Estágio</t>
        </is>
      </c>
      <c r="D3443" s="3" t="n">
        <v>8</v>
      </c>
      <c r="E3443" s="3" t="n">
        <v>7</v>
      </c>
      <c r="F3443" s="3" t="n">
        <v>33.32</v>
      </c>
      <c r="G3443" s="3" t="n">
        <v>0</v>
      </c>
      <c r="H3443" s="3" t="n">
        <v>0</v>
      </c>
      <c r="I3443" s="3">
        <f>E3443+G3443+H3443</f>
        <v/>
      </c>
      <c r="J3443" s="3">
        <f>ROUND(MIN(IF(C3443="Técnico III",35,IF(C3443="Técnico II",28,IF(C3443="Técnico I",23,IF(C3443="JR",20,IF(C3443="Estágio",10,0))))),IF(C3443="Técnico III",SUMIFS($D:$D,$A:$A,$A3443,$B:$B,"&lt;&gt;Patrícia Karla de Sousa Araújo",$B:$B,"&lt;&gt;Lorena Dias de Araujo",$B:$B,"&lt;&gt;Lucas Luiz Romero")*(35/1083),IF(C3443="Técnico II",SUMIFS($D:$D,$A:$A,$A3443,$B:$B,"&lt;&gt;Patrícia Karla de Sousa Araújo",$B:$B,"&lt;&gt;Lorena Dias de Araujo",$B:$B,"&lt;&gt;Lucas Luiz Romero")*(28/1083),IF(C3443="Técnico I",SUMIFS($D:$D,$A:$A,$A3443,$B:$B,"&lt;&gt;Patrícia Karla de Sousa Araújo",$B:$B,"&lt;&gt;Lorena Dias de Araujo",$B:$B,"&lt;&gt;Lucas Luiz Romero")*(23/1083),IF(C3443="JR",SUMIFS($D:$D,$A:$A,$A3443,$B:$B,"&lt;&gt;Patrícia Karla de Sousa Araújo",$B:$B,"&lt;&gt;Lorena Dias de Araujo",$B:$B,"&lt;&gt;Lucas Luiz Romero")*(20/1083),IF(C3443="Estágio",SUMIFS($D:$D,$A:$A,$A3443,$B:$B,"&lt;&gt;Patrícia Karla de Sousa Araújo",$B:$B,"&lt;&gt;Lorena Dias de Araujo",$B:$B,"&lt;&gt;Lucas Luiz Romero")*(10/1083),0)))))),0)</f>
        <v/>
      </c>
      <c r="K3443" s="3">
        <f>I3443-J3443</f>
        <v/>
      </c>
      <c r="L3443" s="3">
        <f>IF(K3443&lt;-5,"CRÍTICO",IF(K3443&lt;0,"ATENÇÃO",IF(K3443&lt;=5,"OPORTUNO","MUITO BOM")))</f>
        <v/>
      </c>
      <c r="M3443" s="3" t="n">
        <v>5</v>
      </c>
      <c r="N3443" s="3" t="n">
        <v>88.89</v>
      </c>
      <c r="O3443" s="12" t="n">
        <v>25.26315789473684</v>
      </c>
    </row>
    <row r="3444">
      <c r="A3444" s="10" t="n">
        <v>46128</v>
      </c>
      <c r="B3444" t="inlineStr">
        <is>
          <t>Matheus Farias De Souza</t>
        </is>
      </c>
      <c r="C3444" s="1" t="inlineStr">
        <is>
          <t>Técnico III</t>
        </is>
      </c>
      <c r="D3444" s="3" t="n">
        <v>27</v>
      </c>
      <c r="E3444" s="3" t="n">
        <v>24</v>
      </c>
      <c r="F3444" s="3" t="n">
        <v>17.28</v>
      </c>
      <c r="G3444" s="3" t="n">
        <v>0</v>
      </c>
      <c r="H3444" s="3" t="n">
        <v>0</v>
      </c>
      <c r="I3444" s="3">
        <f>E3444+G3444+H3444</f>
        <v/>
      </c>
      <c r="J3444" s="3">
        <f>ROUND(MIN(IF(C3444="Técnico III",35,IF(C3444="Técnico II",28,IF(C3444="Técnico I",23,IF(C3444="JR",20,IF(C3444="Estágio",10,0))))),IF(C3444="Técnico III",SUMIFS($D:$D,$A:$A,$A3444,$B:$B,"&lt;&gt;Patrícia Karla de Sousa Araújo",$B:$B,"&lt;&gt;Lorena Dias de Araujo",$B:$B,"&lt;&gt;Lucas Luiz Romero")*(35/1083),IF(C3444="Técnico II",SUMIFS($D:$D,$A:$A,$A3444,$B:$B,"&lt;&gt;Patrícia Karla de Sousa Araújo",$B:$B,"&lt;&gt;Lorena Dias de Araujo",$B:$B,"&lt;&gt;Lucas Luiz Romero")*(28/1083),IF(C3444="Técnico I",SUMIFS($D:$D,$A:$A,$A3444,$B:$B,"&lt;&gt;Patrícia Karla de Sousa Araújo",$B:$B,"&lt;&gt;Lorena Dias de Araujo",$B:$B,"&lt;&gt;Lucas Luiz Romero")*(23/1083),IF(C3444="JR",SUMIFS($D:$D,$A:$A,$A3444,$B:$B,"&lt;&gt;Patrícia Karla de Sousa Araújo",$B:$B,"&lt;&gt;Lorena Dias de Araujo",$B:$B,"&lt;&gt;Lucas Luiz Romero")*(20/1083),IF(C3444="Estágio",SUMIFS($D:$D,$A:$A,$A3444,$B:$B,"&lt;&gt;Patrícia Karla de Sousa Araújo",$B:$B,"&lt;&gt;Lorena Dias de Araujo",$B:$B,"&lt;&gt;Lucas Luiz Romero")*(10/1083),0)))))),0)</f>
        <v/>
      </c>
      <c r="K3444" s="3">
        <f>I3444-J3444</f>
        <v/>
      </c>
      <c r="L3444" s="3">
        <f>IF(K3444&lt;-5,"CRÍTICO",IF(K3444&lt;0,"ATENÇÃO",IF(K3444&lt;=5,"OPORTUNO","MUITO BOM")))</f>
        <v/>
      </c>
      <c r="M3444" s="3" t="n">
        <v>29</v>
      </c>
      <c r="N3444" s="3" t="n">
        <v>100</v>
      </c>
      <c r="O3444" s="12" t="n">
        <v>23.9870340356564</v>
      </c>
    </row>
    <row r="3445">
      <c r="A3445" s="10" t="n">
        <v>46108</v>
      </c>
      <c r="B3445" t="inlineStr">
        <is>
          <t>Maysa Victoria Dias Moura</t>
        </is>
      </c>
      <c r="C3445" s="1" t="inlineStr">
        <is>
          <t>Técnico III</t>
        </is>
      </c>
      <c r="D3445" s="3" t="n">
        <v>0</v>
      </c>
      <c r="E3445" s="3" t="n">
        <v>0</v>
      </c>
      <c r="F3445" s="3" t="n">
        <v>0</v>
      </c>
      <c r="G3445" s="3" t="n">
        <v>0</v>
      </c>
      <c r="H3445" s="3" t="n">
        <v>0</v>
      </c>
      <c r="I3445" s="3" t="n">
        <v>0</v>
      </c>
      <c r="J3445" s="3" t="n">
        <v>0</v>
      </c>
      <c r="K3445" s="3" t="n">
        <v>0</v>
      </c>
      <c r="L3445" s="3">
        <f>IF(K3445&lt;-5,"CRÍTICO",IF(K3445&lt;0,"ATENÇÃO",IF(K3445&lt;=5,"OPORTUNO","MUITO BOM")))</f>
        <v/>
      </c>
      <c r="M3445" s="3" t="n">
        <v>0</v>
      </c>
      <c r="N3445" s="3" t="n">
        <v>98.06</v>
      </c>
      <c r="O3445" s="12" t="n">
        <v>22.40566037735849</v>
      </c>
    </row>
    <row r="3446">
      <c r="A3446" s="10" t="n">
        <v>46136</v>
      </c>
      <c r="B3446" t="inlineStr">
        <is>
          <t>Michelle G Santos</t>
        </is>
      </c>
      <c r="C3446" s="1" t="inlineStr">
        <is>
          <t>Estágio</t>
        </is>
      </c>
      <c r="D3446" s="3" t="n">
        <v>3</v>
      </c>
      <c r="E3446" s="3" t="n">
        <v>3</v>
      </c>
      <c r="F3446" s="3" t="n">
        <v>30.4</v>
      </c>
      <c r="G3446" s="3" t="n">
        <v>0</v>
      </c>
      <c r="H3446" s="3" t="n">
        <v>0</v>
      </c>
      <c r="I3446" s="3">
        <f>E3446+G3446+H3446</f>
        <v/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/>
      </c>
      <c r="K3446" s="3">
        <f>I3446-J3446</f>
        <v/>
      </c>
      <c r="L3446" s="3">
        <f>IF(K3446&lt;-5,"CRÍTICO",IF(K3446&lt;0,"ATENÇÃO",IF(K3446&lt;=5,"OPORTUNO","MUITO BOM")))</f>
        <v/>
      </c>
      <c r="M3446" s="3" t="n">
        <v>3</v>
      </c>
      <c r="N3446" s="3" t="n">
        <v>100</v>
      </c>
      <c r="O3446" s="12" t="n">
        <v>23.77622377622378</v>
      </c>
    </row>
    <row r="3447">
      <c r="A3447" s="10" t="n">
        <v>46108</v>
      </c>
      <c r="B3447" t="inlineStr">
        <is>
          <t>Milena Sales</t>
        </is>
      </c>
      <c r="C3447" s="1" t="inlineStr">
        <is>
          <t>JR</t>
        </is>
      </c>
      <c r="D3447" s="3" t="n">
        <v>0</v>
      </c>
      <c r="E3447" s="3" t="n">
        <v>0</v>
      </c>
      <c r="F3447" s="3" t="n">
        <v>0</v>
      </c>
      <c r="G3447" s="3" t="n">
        <v>0</v>
      </c>
      <c r="H3447" s="3" t="n">
        <v>0</v>
      </c>
      <c r="I3447" s="3" t="n">
        <v>0</v>
      </c>
      <c r="J3447" s="3" t="n">
        <v>0</v>
      </c>
      <c r="K3447" s="3" t="n">
        <v>0</v>
      </c>
      <c r="L3447" s="3">
        <f>IF(K3447&lt;-5,"CRÍTICO",IF(K3447&lt;0,"ATENÇÃO",IF(K3447&lt;=5,"OPORTUNO","MUITO BOM")))</f>
        <v/>
      </c>
      <c r="M3447" s="3" t="n">
        <v>1</v>
      </c>
      <c r="N3447" s="3" t="n">
        <v>100</v>
      </c>
      <c r="O3447" s="12" t="n">
        <v>15.38461538461539</v>
      </c>
    </row>
    <row r="3448">
      <c r="A3448" s="10" t="n">
        <v>46108</v>
      </c>
      <c r="B3448" t="inlineStr">
        <is>
          <t>Patrícia Karla de Sousa Araújo</t>
        </is>
      </c>
      <c r="C3448" s="1" t="inlineStr">
        <is>
          <t>Técnico II</t>
        </is>
      </c>
      <c r="D3448" s="3" t="n">
        <v>0</v>
      </c>
      <c r="E3448" s="3" t="n">
        <v>0</v>
      </c>
      <c r="F3448" s="3" t="n">
        <v>0</v>
      </c>
      <c r="G3448" s="3" t="n">
        <v>0</v>
      </c>
      <c r="H3448" s="3" t="n">
        <v>0</v>
      </c>
      <c r="I3448" s="3" t="n">
        <v>0</v>
      </c>
      <c r="J3448" s="3" t="n">
        <v>0</v>
      </c>
      <c r="K3448" s="3" t="n">
        <v>0</v>
      </c>
      <c r="L3448" s="3">
        <f>IF(K3448&lt;-5,"CRÍTICO",IF(K3448&lt;0,"ATENÇÃO",IF(K3448&lt;=5,"OPORTUNO","MUITO BOM")))</f>
        <v/>
      </c>
      <c r="M3448" s="3" t="n">
        <v>0</v>
      </c>
      <c r="N3448" s="3" t="n">
        <v>100</v>
      </c>
      <c r="O3448" s="12" t="n">
        <v>27.51479289940828</v>
      </c>
    </row>
    <row r="3449">
      <c r="A3449" s="10" t="n">
        <v>46108</v>
      </c>
      <c r="B3449" t="inlineStr">
        <is>
          <t>Paulo Ricardo Santos</t>
        </is>
      </c>
      <c r="C3449" s="1" t="inlineStr">
        <is>
          <t>JR</t>
        </is>
      </c>
      <c r="D3449" s="3" t="n">
        <v>16</v>
      </c>
      <c r="E3449" s="3" t="n">
        <v>15</v>
      </c>
      <c r="F3449" s="3" t="n">
        <v>22.04</v>
      </c>
      <c r="G3449" s="3" t="n">
        <v>0</v>
      </c>
      <c r="H3449" s="3" t="n">
        <v>0</v>
      </c>
      <c r="I3449" s="3">
        <f>E3449+G3449+H3449</f>
        <v/>
      </c>
      <c r="J3449" s="3">
        <f>ROUND(MIN(IF(C3449="Técnico III",35,IF(C3449="Técnico II",28,IF(C3449="Técnico I",23,IF(C3449="JR",20,IF(C3449="Estágio",10,0))))),IF(C3449="Técnico III",SUMIFS($D:$D,$A:$A,$A3449,$B:$B,"&lt;&gt;Patrícia Karla de Sousa Araújo",$B:$B,"&lt;&gt;Lorena Dias de Araujo",$B:$B,"&lt;&gt;Lucas Luiz Romero")*(35/1083),IF(C3449="Técnico II",SUMIFS($D:$D,$A:$A,$A3449,$B:$B,"&lt;&gt;Patrícia Karla de Sousa Araújo",$B:$B,"&lt;&gt;Lorena Dias de Araujo",$B:$B,"&lt;&gt;Lucas Luiz Romero")*(28/1083),IF(C3449="Técnico I",SUMIFS($D:$D,$A:$A,$A3449,$B:$B,"&lt;&gt;Patrícia Karla de Sousa Araújo",$B:$B,"&lt;&gt;Lorena Dias de Araujo",$B:$B,"&lt;&gt;Lucas Luiz Romero")*(23/1083),IF(C3449="JR",SUMIFS($D:$D,$A:$A,$A3449,$B:$B,"&lt;&gt;Patrícia Karla de Sousa Araújo",$B:$B,"&lt;&gt;Lorena Dias de Araujo",$B:$B,"&lt;&gt;Lucas Luiz Romero")*(20/1083),IF(C3449="Estágio",SUMIFS($D:$D,$A:$A,$A3449,$B:$B,"&lt;&gt;Patrícia Karla de Sousa Araújo",$B:$B,"&lt;&gt;Lorena Dias de Araujo",$B:$B,"&lt;&gt;Lucas Luiz Romero")*(10/1083),0)))))),0)</f>
        <v/>
      </c>
      <c r="K3449" s="3">
        <f>I3449-J3449</f>
        <v/>
      </c>
      <c r="L3449" s="3">
        <f>IF(K3449&lt;-5,"CRÍTICO",IF(K3449&lt;0,"ATENÇÃO",IF(K3449&lt;=5,"OPORTUNO","MUITO BOM")))</f>
        <v/>
      </c>
      <c r="M3449" s="3" t="n">
        <v>12</v>
      </c>
      <c r="N3449" s="3" t="n">
        <v>100</v>
      </c>
      <c r="O3449" s="12" t="n">
        <v>24.87562189054727</v>
      </c>
    </row>
    <row r="3450">
      <c r="A3450" s="10" t="n">
        <v>46108</v>
      </c>
      <c r="B3450" t="inlineStr">
        <is>
          <t>Pedro Luiz Mota Sousa</t>
        </is>
      </c>
      <c r="C3450" s="1" t="inlineStr">
        <is>
          <t>JR</t>
        </is>
      </c>
      <c r="D3450" s="3" t="n">
        <v>21</v>
      </c>
      <c r="E3450" s="3" t="n">
        <v>21</v>
      </c>
      <c r="F3450" s="3" t="n">
        <v>27.23</v>
      </c>
      <c r="G3450" s="3" t="n">
        <v>0</v>
      </c>
      <c r="H3450" s="3" t="n">
        <v>0</v>
      </c>
      <c r="I3450" s="3">
        <f>E3450+G3450+H3450</f>
        <v/>
      </c>
      <c r="J3450" s="3">
        <f>ROUND(MIN(IF(C3450="Técnico III",35,IF(C3450="Técnico II",28,IF(C3450="Técnico I",23,IF(C3450="JR",20,IF(C3450="Estágio",10,0))))),IF(C3450="Técnico III",SUMIFS($D:$D,$A:$A,$A3450,$B:$B,"&lt;&gt;Patrícia Karla de Sousa Araújo",$B:$B,"&lt;&gt;Lorena Dias de Araujo",$B:$B,"&lt;&gt;Lucas Luiz Romero")*(35/1083),IF(C3450="Técnico II",SUMIFS($D:$D,$A:$A,$A3450,$B:$B,"&lt;&gt;Patrícia Karla de Sousa Araújo",$B:$B,"&lt;&gt;Lorena Dias de Araujo",$B:$B,"&lt;&gt;Lucas Luiz Romero")*(28/1083),IF(C3450="Técnico I",SUMIFS($D:$D,$A:$A,$A3450,$B:$B,"&lt;&gt;Patrícia Karla de Sousa Araújo",$B:$B,"&lt;&gt;Lorena Dias de Araujo",$B:$B,"&lt;&gt;Lucas Luiz Romero")*(23/1083),IF(C3450="JR",SUMIFS($D:$D,$A:$A,$A3450,$B:$B,"&lt;&gt;Patrícia Karla de Sousa Araújo",$B:$B,"&lt;&gt;Lorena Dias de Araujo",$B:$B,"&lt;&gt;Lucas Luiz Romero")*(20/1083),IF(C3450="Estágio",SUMIFS($D:$D,$A:$A,$A3450,$B:$B,"&lt;&gt;Patrícia Karla de Sousa Araújo",$B:$B,"&lt;&gt;Lorena Dias de Araujo",$B:$B,"&lt;&gt;Lucas Luiz Romero")*(10/1083),0)))))),0)</f>
        <v/>
      </c>
      <c r="K3450" s="3">
        <f>I3450-J3450</f>
        <v/>
      </c>
      <c r="L3450" s="3">
        <f>IF(K3450&lt;-5,"CRÍTICO",IF(K3450&lt;0,"ATENÇÃO",IF(K3450&lt;=5,"OPORTUNO","MUITO BOM")))</f>
        <v/>
      </c>
      <c r="M3450" s="3" t="n">
        <v>18</v>
      </c>
      <c r="N3450" s="3" t="n">
        <v>100</v>
      </c>
      <c r="O3450" s="12" t="n">
        <v>28.10810810810811</v>
      </c>
    </row>
    <row r="3451">
      <c r="A3451" s="10" t="n">
        <v>46136</v>
      </c>
      <c r="B3451" t="inlineStr">
        <is>
          <t>Quirino Diogo Leite Torres</t>
        </is>
      </c>
      <c r="C3451" s="1" t="inlineStr">
        <is>
          <t>Estágio</t>
        </is>
      </c>
      <c r="D3451" s="3" t="n">
        <v>9</v>
      </c>
      <c r="E3451" s="3" t="n">
        <v>9</v>
      </c>
      <c r="F3451" s="3" t="n">
        <v>20.05</v>
      </c>
      <c r="G3451" s="3" t="n">
        <v>0</v>
      </c>
      <c r="H3451" s="3" t="n">
        <v>0</v>
      </c>
      <c r="I3451" s="3">
        <f>E3451+G3451+H3451</f>
        <v/>
      </c>
      <c r="J3451" s="3">
        <f>ROUND(MIN(IF(C3451="Técnico III",35,IF(C3451="Técnico II",28,IF(C3451="Técnico I",23,IF(C3451="JR",20,IF(C3451="Estágio",10,0))))),IF(C3451="Técnico III",SUMIFS($D:$D,$A:$A,$A3451,$B:$B,"&lt;&gt;Patrícia Karla de Sousa Araújo",$B:$B,"&lt;&gt;Lorena Dias de Araujo",$B:$B,"&lt;&gt;Lucas Luiz Romero")*(35/1083),IF(C3451="Técnico II",SUMIFS($D:$D,$A:$A,$A3451,$B:$B,"&lt;&gt;Patrícia Karla de Sousa Araújo",$B:$B,"&lt;&gt;Lorena Dias de Araujo",$B:$B,"&lt;&gt;Lucas Luiz Romero")*(28/1083),IF(C3451="Técnico I",SUMIFS($D:$D,$A:$A,$A3451,$B:$B,"&lt;&gt;Patrícia Karla de Sousa Araújo",$B:$B,"&lt;&gt;Lorena Dias de Araujo",$B:$B,"&lt;&gt;Lucas Luiz Romero")*(23/1083),IF(C3451="JR",SUMIFS($D:$D,$A:$A,$A3451,$B:$B,"&lt;&gt;Patrícia Karla de Sousa Araújo",$B:$B,"&lt;&gt;Lorena Dias de Araujo",$B:$B,"&lt;&gt;Lucas Luiz Romero")*(20/1083),IF(C3451="Estágio",SUMIFS($D:$D,$A:$A,$A3451,$B:$B,"&lt;&gt;Patrícia Karla de Sousa Araújo",$B:$B,"&lt;&gt;Lorena Dias de Araujo",$B:$B,"&lt;&gt;Lucas Luiz Romero")*(10/1083),0)))))),0)</f>
        <v/>
      </c>
      <c r="K3451" s="3">
        <f>I3451-J3451</f>
        <v/>
      </c>
      <c r="L3451" s="3">
        <f>IF(K3451&lt;-5,"CRÍTICO",IF(K3451&lt;0,"ATENÇÃO",IF(K3451&lt;=5,"OPORTUNO","MUITO BOM")))</f>
        <v/>
      </c>
      <c r="M3451" s="3" t="n">
        <v>4</v>
      </c>
      <c r="N3451" s="3" t="n">
        <v>94.12</v>
      </c>
      <c r="O3451" s="12" t="n">
        <v>32.8</v>
      </c>
    </row>
    <row r="3452">
      <c r="A3452" s="10" t="n">
        <v>46108</v>
      </c>
      <c r="B3452" t="inlineStr">
        <is>
          <t>Raane Batista Matos</t>
        </is>
      </c>
      <c r="C3452" s="1" t="inlineStr">
        <is>
          <t>Técnico I</t>
        </is>
      </c>
      <c r="D3452" s="3" t="n">
        <v>22</v>
      </c>
      <c r="E3452" s="3" t="n">
        <v>21</v>
      </c>
      <c r="F3452" s="3" t="n">
        <v>18.28</v>
      </c>
      <c r="G3452" s="3" t="n">
        <v>0</v>
      </c>
      <c r="H3452" s="3" t="n">
        <v>0</v>
      </c>
      <c r="I3452" s="3">
        <f>E3452+G3452+H3452</f>
        <v/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/>
      </c>
      <c r="K3452" s="3">
        <f>I3452-J3452</f>
        <v/>
      </c>
      <c r="L3452" s="3">
        <f>IF(K3452&lt;-5,"CRÍTICO",IF(K3452&lt;0,"ATENÇÃO",IF(K3452&lt;=5,"OPORTUNO","MUITO BOM")))</f>
        <v/>
      </c>
      <c r="M3452" s="3" t="n">
        <v>18</v>
      </c>
      <c r="N3452" s="3" t="n">
        <v>95.34999999999999</v>
      </c>
      <c r="O3452" s="12" t="n">
        <v>28.61538461538461</v>
      </c>
    </row>
    <row r="3453">
      <c r="A3453" s="10" t="n">
        <v>46108</v>
      </c>
      <c r="B3453" t="inlineStr">
        <is>
          <t>Rafael Gomes de Morais</t>
        </is>
      </c>
      <c r="C3453" s="1" t="inlineStr">
        <is>
          <t>Técnico III</t>
        </is>
      </c>
      <c r="D3453" s="3" t="n">
        <v>31</v>
      </c>
      <c r="E3453" s="3" t="n">
        <v>31</v>
      </c>
      <c r="F3453" s="3" t="n">
        <v>17.07</v>
      </c>
      <c r="G3453" s="3" t="n">
        <v>0</v>
      </c>
      <c r="H3453" s="3" t="n">
        <v>0</v>
      </c>
      <c r="I3453" s="3">
        <f>E3453+G3453+H3453</f>
        <v/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/>
      </c>
      <c r="K3453" s="3">
        <f>I3453-J3453</f>
        <v/>
      </c>
      <c r="L3453" s="3">
        <f>IF(K3453&lt;-5,"CRÍTICO",IF(K3453&lt;0,"ATENÇÃO",IF(K3453&lt;=5,"OPORTUNO","MUITO BOM")))</f>
        <v/>
      </c>
      <c r="M3453" s="3" t="n">
        <v>30</v>
      </c>
      <c r="N3453" s="3" t="n">
        <v>98.26000000000001</v>
      </c>
      <c r="O3453" s="12" t="n">
        <v>27.54491017964072</v>
      </c>
    </row>
    <row r="3454">
      <c r="A3454" s="10" t="n">
        <v>46108</v>
      </c>
      <c r="B3454" t="inlineStr">
        <is>
          <t>Sara Maria Monteiro Lopes</t>
        </is>
      </c>
      <c r="C3454" s="1" t="inlineStr">
        <is>
          <t>Técnico I</t>
        </is>
      </c>
      <c r="D3454" s="3" t="n">
        <v>18</v>
      </c>
      <c r="E3454" s="3" t="n">
        <v>17</v>
      </c>
      <c r="F3454" s="3" t="n">
        <v>29</v>
      </c>
      <c r="G3454" s="3" t="n">
        <v>0</v>
      </c>
      <c r="H3454" s="3" t="n">
        <v>0</v>
      </c>
      <c r="I3454" s="3">
        <f>E3454+G3454+H3454</f>
        <v/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/>
      </c>
      <c r="K3454" s="3">
        <f>I3454-J3454</f>
        <v/>
      </c>
      <c r="L3454" s="3">
        <f>IF(K3454&lt;-5,"CRÍTICO",IF(K3454&lt;0,"ATENÇÃO",IF(K3454&lt;=5,"OPORTUNO","MUITO BOM")))</f>
        <v/>
      </c>
      <c r="M3454" s="3" t="n">
        <v>14</v>
      </c>
      <c r="N3454" s="3" t="n">
        <v>98.55</v>
      </c>
      <c r="O3454" s="12" t="n">
        <v>25.33783783783784</v>
      </c>
    </row>
    <row r="3455">
      <c r="A3455" s="10" t="n">
        <v>46108</v>
      </c>
      <c r="B3455" t="inlineStr">
        <is>
          <t>Sarah Steffanie de Lima Borges</t>
        </is>
      </c>
      <c r="C3455" s="1" t="inlineStr">
        <is>
          <t>Técnico III</t>
        </is>
      </c>
      <c r="D3455" s="3" t="n">
        <v>31</v>
      </c>
      <c r="E3455" s="3" t="n">
        <v>30</v>
      </c>
      <c r="F3455" s="3" t="n">
        <v>17.09</v>
      </c>
      <c r="G3455" s="3" t="n">
        <v>0</v>
      </c>
      <c r="H3455" s="3" t="n">
        <v>0</v>
      </c>
      <c r="I3455" s="3">
        <f>E3455+G3455+H3455</f>
        <v/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/>
      </c>
      <c r="K3455" s="3">
        <f>I3455-J3455</f>
        <v/>
      </c>
      <c r="L3455" s="3">
        <f>IF(K3455&lt;-5,"CRÍTICO",IF(K3455&lt;0,"ATENÇÃO",IF(K3455&lt;=5,"OPORTUNO","MUITO BOM")))</f>
        <v/>
      </c>
      <c r="M3455" s="3" t="n">
        <v>22</v>
      </c>
      <c r="N3455" s="3" t="n">
        <v>98.39</v>
      </c>
      <c r="O3455" s="12" t="n">
        <v>25.56390977443609</v>
      </c>
    </row>
    <row r="3456">
      <c r="A3456" s="10" t="n">
        <v>46111</v>
      </c>
      <c r="B3456" t="inlineStr">
        <is>
          <t>Alisson de Freitas Silva</t>
        </is>
      </c>
      <c r="C3456" s="1" t="inlineStr">
        <is>
          <t>Técnico II</t>
        </is>
      </c>
      <c r="D3456" s="3" t="n">
        <v>31</v>
      </c>
      <c r="E3456" s="3" t="n">
        <v>25</v>
      </c>
      <c r="F3456" s="3" t="n">
        <v>10.42</v>
      </c>
      <c r="G3456" s="3" t="n">
        <v>0</v>
      </c>
      <c r="H3456" s="3" t="n">
        <v>0</v>
      </c>
      <c r="I3456" s="3">
        <f>E3456+G3456+H3456</f>
        <v/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/>
      </c>
      <c r="K3456" s="3">
        <f>I3456-J3456</f>
        <v/>
      </c>
      <c r="L3456" s="3">
        <f>IF(K3456&lt;-5,"CRÍTICO",IF(K3456&lt;0,"ATENÇÃO",IF(K3456&lt;=5,"OPORTUNO","MUITO BOM")))</f>
        <v/>
      </c>
      <c r="M3456" s="3" t="n">
        <v>20</v>
      </c>
      <c r="N3456" s="3" t="n">
        <v>94.29000000000001</v>
      </c>
      <c r="O3456" s="12" t="n">
        <v>25.64766839378239</v>
      </c>
    </row>
    <row r="3457">
      <c r="A3457" s="10" t="n">
        <v>46111</v>
      </c>
      <c r="B3457" t="inlineStr">
        <is>
          <t>Amanda Moura Ferreira</t>
        </is>
      </c>
      <c r="C3457" s="1" t="inlineStr">
        <is>
          <t>Técnico III</t>
        </is>
      </c>
      <c r="D3457" s="3" t="n">
        <v>0</v>
      </c>
      <c r="E3457" s="3" t="n">
        <v>0</v>
      </c>
      <c r="F3457" s="3" t="n">
        <v>0</v>
      </c>
      <c r="G3457" s="3" t="n">
        <v>0</v>
      </c>
      <c r="H3457" s="3" t="n">
        <v>0</v>
      </c>
      <c r="I3457" s="3" t="n">
        <v>0</v>
      </c>
      <c r="J3457" s="3" t="n">
        <v>0</v>
      </c>
      <c r="K3457" s="3" t="n">
        <v>0</v>
      </c>
      <c r="L3457" s="3">
        <f>IF(K3457&lt;-5,"CRÍTICO",IF(K3457&lt;0,"ATENÇÃO",IF(K3457&lt;=5,"OPORTUNO","MUITO BOM")))</f>
        <v/>
      </c>
      <c r="M3457" s="3" t="n">
        <v>25</v>
      </c>
      <c r="N3457" s="3" t="n">
        <v>98.26000000000001</v>
      </c>
      <c r="O3457" s="12" t="n">
        <v>26.66666666666667</v>
      </c>
    </row>
    <row r="3458">
      <c r="A3458" s="10" t="n">
        <v>46111</v>
      </c>
      <c r="B3458" t="inlineStr">
        <is>
          <t>Ana Karollyne Souza Faria</t>
        </is>
      </c>
      <c r="C3458" s="1" t="inlineStr">
        <is>
          <t>Técnico I</t>
        </is>
      </c>
      <c r="D3458" s="3" t="n">
        <v>18</v>
      </c>
      <c r="E3458" s="3" t="n">
        <v>18</v>
      </c>
      <c r="F3458" s="3" t="n">
        <v>25.13</v>
      </c>
      <c r="G3458" s="3" t="n">
        <v>0</v>
      </c>
      <c r="H3458" s="3" t="n">
        <v>0</v>
      </c>
      <c r="I3458" s="3">
        <f>E3458+G3458+H3458</f>
        <v/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/>
      </c>
      <c r="K3458" s="3">
        <f>I3458-J3458</f>
        <v/>
      </c>
      <c r="L3458" s="3">
        <f>IF(K3458&lt;-5,"CRÍTICO",IF(K3458&lt;0,"ATENÇÃO",IF(K3458&lt;=5,"OPORTUNO","MUITO BOM")))</f>
        <v/>
      </c>
      <c r="M3458" s="3" t="n">
        <v>18</v>
      </c>
      <c r="N3458" s="3" t="n">
        <v>98.2</v>
      </c>
      <c r="O3458" s="12" t="n">
        <v>23.37962962962963</v>
      </c>
    </row>
    <row r="3459">
      <c r="A3459" s="10" t="n">
        <v>46111</v>
      </c>
      <c r="B3459" t="inlineStr">
        <is>
          <t>Ana Paula Da Luz Silva Aleixo</t>
        </is>
      </c>
      <c r="C3459" s="1" t="inlineStr">
        <is>
          <t>Técnico III</t>
        </is>
      </c>
      <c r="D3459" s="3" t="n">
        <v>38</v>
      </c>
      <c r="E3459" s="3" t="n">
        <v>35</v>
      </c>
      <c r="F3459" s="3" t="n">
        <v>15.11</v>
      </c>
      <c r="G3459" s="3" t="n">
        <v>0</v>
      </c>
      <c r="H3459" s="3" t="n">
        <v>0</v>
      </c>
      <c r="I3459" s="3">
        <f>E3459+G3459+H3459</f>
        <v/>
      </c>
      <c r="J3459" s="3">
        <f>ROUND(MIN(IF(C3459="Técnico III",35,IF(C3459="Técnico II",28,IF(C3459="Técnico I",23,IF(C3459="JR",20,IF(C3459="Estágio",10,0))))),IF(C3459="Técnico III",SUMIFS($D:$D,$A:$A,$A3459,$B:$B,"&lt;&gt;Patrícia Karla de Sousa Araújo",$B:$B,"&lt;&gt;Lorena Dias de Araujo",$B:$B,"&lt;&gt;Lucas Luiz Romero")*(35/1083),IF(C3459="Técnico II",SUMIFS($D:$D,$A:$A,$A3459,$B:$B,"&lt;&gt;Patrícia Karla de Sousa Araújo",$B:$B,"&lt;&gt;Lorena Dias de Araujo",$B:$B,"&lt;&gt;Lucas Luiz Romero")*(28/1083),IF(C3459="Técnico I",SUMIFS($D:$D,$A:$A,$A3459,$B:$B,"&lt;&gt;Patrícia Karla de Sousa Araújo",$B:$B,"&lt;&gt;Lorena Dias de Araujo",$B:$B,"&lt;&gt;Lucas Luiz Romero")*(23/1083),IF(C3459="JR",SUMIFS($D:$D,$A:$A,$A3459,$B:$B,"&lt;&gt;Patrícia Karla de Sousa Araújo",$B:$B,"&lt;&gt;Lorena Dias de Araujo",$B:$B,"&lt;&gt;Lucas Luiz Romero")*(20/1083),IF(C3459="Estágio",SUMIFS($D:$D,$A:$A,$A3459,$B:$B,"&lt;&gt;Patrícia Karla de Sousa Araújo",$B:$B,"&lt;&gt;Lorena Dias de Araujo",$B:$B,"&lt;&gt;Lucas Luiz Romero")*(10/1083),0)))))),0)</f>
        <v/>
      </c>
      <c r="K3459" s="3">
        <f>I3459-J3459</f>
        <v/>
      </c>
      <c r="L3459" s="3">
        <f>IF(K3459&lt;-5,"CRÍTICO",IF(K3459&lt;0,"ATENÇÃO",IF(K3459&lt;=5,"OPORTUNO","MUITO BOM")))</f>
        <v/>
      </c>
      <c r="M3459" s="3" t="n">
        <v>31</v>
      </c>
      <c r="N3459" s="3" t="n">
        <v>97.3</v>
      </c>
      <c r="O3459" s="12" t="n">
        <v>23.84769539078156</v>
      </c>
    </row>
    <row r="3460">
      <c r="A3460" s="10" t="n">
        <v>46111</v>
      </c>
      <c r="B3460" t="inlineStr">
        <is>
          <t>Anna Luiza Rezende Tavares</t>
        </is>
      </c>
      <c r="C3460" s="1" t="inlineStr">
        <is>
          <t>Estágio</t>
        </is>
      </c>
      <c r="D3460" s="3" t="n">
        <v>16</v>
      </c>
      <c r="E3460" s="3" t="n">
        <v>15</v>
      </c>
      <c r="F3460" s="3" t="n">
        <v>20.52</v>
      </c>
      <c r="G3460" s="3" t="n">
        <v>0</v>
      </c>
      <c r="H3460" s="3" t="n">
        <v>0</v>
      </c>
      <c r="I3460" s="3">
        <f>E3460+G3460+H3460</f>
        <v/>
      </c>
      <c r="J3460" s="3">
        <f>ROUND(MIN(IF(C3460="Técnico III",35,IF(C3460="Técnico II",28,IF(C3460="Técnico I",23,IF(C3460="JR",20,IF(C3460="Estágio",10,0))))),IF(C3460="Técnico III",SUMIFS($D:$D,$A:$A,$A3460,$B:$B,"&lt;&gt;Patrícia Karla de Sousa Araújo",$B:$B,"&lt;&gt;Lorena Dias de Araujo",$B:$B,"&lt;&gt;Lucas Luiz Romero")*(35/1083),IF(C3460="Técnico II",SUMIFS($D:$D,$A:$A,$A3460,$B:$B,"&lt;&gt;Patrícia Karla de Sousa Araújo",$B:$B,"&lt;&gt;Lorena Dias de Araujo",$B:$B,"&lt;&gt;Lucas Luiz Romero")*(28/1083),IF(C3460="Técnico I",SUMIFS($D:$D,$A:$A,$A3460,$B:$B,"&lt;&gt;Patrícia Karla de Sousa Araújo",$B:$B,"&lt;&gt;Lorena Dias de Araujo",$B:$B,"&lt;&gt;Lucas Luiz Romero")*(23/1083),IF(C3460="JR",SUMIFS($D:$D,$A:$A,$A3460,$B:$B,"&lt;&gt;Patrícia Karla de Sousa Araújo",$B:$B,"&lt;&gt;Lorena Dias de Araujo",$B:$B,"&lt;&gt;Lucas Luiz Romero")*(20/1083),IF(C3460="Estágio",SUMIFS($D:$D,$A:$A,$A3460,$B:$B,"&lt;&gt;Patrícia Karla de Sousa Araújo",$B:$B,"&lt;&gt;Lorena Dias de Araujo",$B:$B,"&lt;&gt;Lucas Luiz Romero")*(10/1083),0)))))),0)</f>
        <v/>
      </c>
      <c r="K3460" s="3">
        <f>I3460-J3460</f>
        <v/>
      </c>
      <c r="L3460" s="3">
        <f>IF(K3460&lt;-5,"CRÍTICO",IF(K3460&lt;0,"ATENÇÃO",IF(K3460&lt;=5,"OPORTUNO","MUITO BOM")))</f>
        <v/>
      </c>
      <c r="M3460" s="3" t="n">
        <v>13</v>
      </c>
      <c r="N3460" s="3" t="n">
        <v>100</v>
      </c>
      <c r="O3460" s="12" t="n">
        <v>25.26881720430108</v>
      </c>
    </row>
    <row r="3461">
      <c r="A3461" s="10" t="n">
        <v>46111</v>
      </c>
      <c r="B3461" t="inlineStr">
        <is>
          <t>Brenda de Menezes Silva</t>
        </is>
      </c>
      <c r="C3461" s="1" t="inlineStr">
        <is>
          <t>Técnico II</t>
        </is>
      </c>
      <c r="D3461" s="3" t="n">
        <v>35</v>
      </c>
      <c r="E3461" s="3" t="n">
        <v>33</v>
      </c>
      <c r="F3461" s="3" t="n">
        <v>15.14</v>
      </c>
      <c r="G3461" s="3" t="n">
        <v>0</v>
      </c>
      <c r="H3461" s="3" t="n">
        <v>0</v>
      </c>
      <c r="I3461" s="3">
        <f>E3461+G3461+H3461</f>
        <v/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/>
      </c>
      <c r="K3461" s="3">
        <f>I3461-J3461</f>
        <v/>
      </c>
      <c r="L3461" s="3">
        <f>IF(K3461&lt;-5,"CRÍTICO",IF(K3461&lt;0,"ATENÇÃO",IF(K3461&lt;=5,"OPORTUNO","MUITO BOM")))</f>
        <v/>
      </c>
      <c r="M3461" s="3" t="n">
        <v>32</v>
      </c>
      <c r="N3461" s="3" t="n">
        <v>99.31999999999999</v>
      </c>
      <c r="O3461" s="12" t="n">
        <v>22.82282282282282</v>
      </c>
    </row>
    <row r="3462">
      <c r="A3462" s="10" t="n">
        <v>46111</v>
      </c>
      <c r="B3462" t="inlineStr">
        <is>
          <t>Carlos Mateus Cassimiro Nunes</t>
        </is>
      </c>
      <c r="C3462" s="1" t="inlineStr">
        <is>
          <t>Técnico II</t>
        </is>
      </c>
      <c r="D3462" s="3" t="n">
        <v>26</v>
      </c>
      <c r="E3462" s="3" t="n">
        <v>24</v>
      </c>
      <c r="F3462" s="3" t="n">
        <v>21.53</v>
      </c>
      <c r="G3462" s="3" t="n">
        <v>0</v>
      </c>
      <c r="H3462" s="3" t="n">
        <v>0</v>
      </c>
      <c r="I3462" s="3">
        <f>E3462+G3462+H3462</f>
        <v/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/>
      </c>
      <c r="K3462" s="3">
        <f>I3462-J3462</f>
        <v/>
      </c>
      <c r="L3462" s="3">
        <f>IF(K3462&lt;-5,"CRÍTICO",IF(K3462&lt;0,"ATENÇÃO",IF(K3462&lt;=5,"OPORTUNO","MUITO BOM")))</f>
        <v/>
      </c>
      <c r="M3462" s="3" t="n">
        <v>22</v>
      </c>
      <c r="N3462" s="3" t="n">
        <v>100</v>
      </c>
      <c r="O3462" s="12" t="n">
        <v>27.96610169491525</v>
      </c>
    </row>
    <row r="3463">
      <c r="A3463" s="10" t="n">
        <v>46111</v>
      </c>
      <c r="B3463" t="inlineStr">
        <is>
          <t>Claudio de Sousa Velasco Filho</t>
        </is>
      </c>
      <c r="C3463" s="1" t="inlineStr">
        <is>
          <t>Estágio</t>
        </is>
      </c>
      <c r="D3463" s="3" t="n">
        <v>2</v>
      </c>
      <c r="E3463" s="3" t="n">
        <v>2</v>
      </c>
      <c r="F3463" s="3" t="n">
        <v>35.36</v>
      </c>
      <c r="G3463" s="3" t="n">
        <v>0</v>
      </c>
      <c r="H3463" s="3" t="n">
        <v>0</v>
      </c>
      <c r="I3463" s="3">
        <f>E3463+G3463+H3463</f>
        <v/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/>
      </c>
      <c r="K3463" s="3">
        <f>I3463-J3463</f>
        <v/>
      </c>
      <c r="L3463" s="3">
        <f>IF(K3463&lt;-5,"CRÍTICO",IF(K3463&lt;0,"ATENÇÃO",IF(K3463&lt;=5,"OPORTUNO","MUITO BOM")))</f>
        <v/>
      </c>
      <c r="M3463" s="3" t="n">
        <v>2</v>
      </c>
      <c r="N3463" s="3" t="n">
        <v>100</v>
      </c>
      <c r="O3463" s="12" t="n">
        <v>30.43478260869566</v>
      </c>
    </row>
    <row r="3464">
      <c r="A3464" s="10" t="n">
        <v>46111</v>
      </c>
      <c r="B3464" t="inlineStr">
        <is>
          <t>Clessiane Pereira dos Santos</t>
        </is>
      </c>
      <c r="C3464" s="1" t="inlineStr">
        <is>
          <t>Técnico I</t>
        </is>
      </c>
      <c r="D3464" s="3" t="n">
        <v>28</v>
      </c>
      <c r="E3464" s="3" t="n">
        <v>25</v>
      </c>
      <c r="F3464" s="3" t="n">
        <v>18.49</v>
      </c>
      <c r="G3464" s="3" t="n">
        <v>0</v>
      </c>
      <c r="H3464" s="3" t="n">
        <v>0</v>
      </c>
      <c r="I3464" s="3">
        <f>E3464+G3464+H3464</f>
        <v/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/>
      </c>
      <c r="K3464" s="3">
        <f>I3464-J3464</f>
        <v/>
      </c>
      <c r="L3464" s="3">
        <f>IF(K3464&lt;-5,"CRÍTICO",IF(K3464&lt;0,"ATENÇÃO",IF(K3464&lt;=5,"OPORTUNO","MUITO BOM")))</f>
        <v/>
      </c>
      <c r="M3464" s="3" t="n">
        <v>21</v>
      </c>
      <c r="N3464" s="3" t="n">
        <v>96.51000000000001</v>
      </c>
      <c r="O3464" s="12" t="n">
        <v>22.80285035629454</v>
      </c>
    </row>
    <row r="3465">
      <c r="A3465" s="10" t="n">
        <v>46111</v>
      </c>
      <c r="B3465" t="inlineStr">
        <is>
          <t>Cristiane Ramos da Silva Rocha</t>
        </is>
      </c>
      <c r="C3465" s="1" t="inlineStr">
        <is>
          <t>Técnico III</t>
        </is>
      </c>
      <c r="D3465" s="3" t="n">
        <v>0</v>
      </c>
      <c r="E3465" s="3" t="n">
        <v>0</v>
      </c>
      <c r="F3465" s="3" t="n">
        <v>0</v>
      </c>
      <c r="G3465" s="3" t="n">
        <v>0</v>
      </c>
      <c r="H3465" s="3" t="n">
        <v>0</v>
      </c>
      <c r="I3465" s="3" t="n">
        <v>0</v>
      </c>
      <c r="J3465" s="3" t="n">
        <v>0</v>
      </c>
      <c r="K3465" s="3" t="n">
        <v>0</v>
      </c>
      <c r="L3465" s="3">
        <f>IF(K3465&lt;-5,"CRÍTICO",IF(K3465&lt;0,"ATENÇÃO",IF(K3465&lt;=5,"OPORTUNO","MUITO BOM")))</f>
        <v/>
      </c>
      <c r="M3465" s="3" t="n">
        <v>0</v>
      </c>
      <c r="N3465" s="3" t="n">
        <v>92.68000000000001</v>
      </c>
      <c r="O3465" s="12" t="n">
        <v>27.77777777777778</v>
      </c>
    </row>
    <row r="3466">
      <c r="A3466" s="10" t="n">
        <v>46111</v>
      </c>
      <c r="B3466" t="inlineStr">
        <is>
          <t>Damyllis Lorraine de Oliveira Gonçalves</t>
        </is>
      </c>
      <c r="C3466" s="1" t="inlineStr">
        <is>
          <t>Técnico II</t>
        </is>
      </c>
      <c r="D3466" s="3" t="n">
        <v>38</v>
      </c>
      <c r="E3466" s="3" t="n">
        <v>33</v>
      </c>
      <c r="F3466" s="3" t="n">
        <v>14</v>
      </c>
      <c r="G3466" s="3" t="n">
        <v>0</v>
      </c>
      <c r="H3466" s="3" t="n">
        <v>0</v>
      </c>
      <c r="I3466" s="3" t="n">
        <v>0</v>
      </c>
      <c r="J3466" s="3" t="n">
        <v>0</v>
      </c>
      <c r="K3466" s="3" t="n">
        <v>0</v>
      </c>
      <c r="L3466" s="3">
        <f>IF(K3466&lt;-5,"CRÍTICO",IF(K3466&lt;0,"ATENÇÃO",IF(K3466&lt;=5,"OPORTUNO","MUITO BOM")))</f>
        <v/>
      </c>
      <c r="M3466" s="3" t="n">
        <v>27</v>
      </c>
      <c r="N3466" s="3" t="n">
        <v>99.03</v>
      </c>
      <c r="O3466" s="12" t="n">
        <v>23.99150743099788</v>
      </c>
    </row>
    <row r="3467">
      <c r="A3467" s="10" t="n">
        <v>46111</v>
      </c>
      <c r="B3467" t="inlineStr">
        <is>
          <t>Daniel Gomes da Silva</t>
        </is>
      </c>
      <c r="C3467" s="1" t="inlineStr">
        <is>
          <t>Técnico I</t>
        </is>
      </c>
      <c r="D3467" s="3" t="n">
        <v>19</v>
      </c>
      <c r="E3467" s="3" t="n">
        <v>19</v>
      </c>
      <c r="F3467" s="3" t="n">
        <v>25.08</v>
      </c>
      <c r="G3467" s="3" t="n">
        <v>0</v>
      </c>
      <c r="H3467" s="3" t="n">
        <v>0</v>
      </c>
      <c r="I3467" s="3">
        <f>E3467+G3467+H3467</f>
        <v/>
      </c>
      <c r="J3467" s="3">
        <f>ROUND(MIN(IF(C3467="Técnico III",35,IF(C3467="Técnico II",28,IF(C3467="Técnico I",23,IF(C3467="JR",20,IF(C3467="Estágio",10,0))))),IF(C3467="Técnico III",SUMIFS($D:$D,$A:$A,$A3467,$B:$B,"&lt;&gt;Patrícia Karla de Sousa Araújo",$B:$B,"&lt;&gt;Lorena Dias de Araujo",$B:$B,"&lt;&gt;Lucas Luiz Romero")*(35/1083),IF(C3467="Técnico II",SUMIFS($D:$D,$A:$A,$A3467,$B:$B,"&lt;&gt;Patrícia Karla de Sousa Araújo",$B:$B,"&lt;&gt;Lorena Dias de Araujo",$B:$B,"&lt;&gt;Lucas Luiz Romero")*(28/1083),IF(C3467="Técnico I",SUMIFS($D:$D,$A:$A,$A3467,$B:$B,"&lt;&gt;Patrícia Karla de Sousa Araújo",$B:$B,"&lt;&gt;Lorena Dias de Araujo",$B:$B,"&lt;&gt;Lucas Luiz Romero")*(23/1083),IF(C3467="JR",SUMIFS($D:$D,$A:$A,$A3467,$B:$B,"&lt;&gt;Patrícia Karla de Sousa Araújo",$B:$B,"&lt;&gt;Lorena Dias de Araujo",$B:$B,"&lt;&gt;Lucas Luiz Romero")*(20/1083),IF(C3467="Estágio",SUMIFS($D:$D,$A:$A,$A3467,$B:$B,"&lt;&gt;Patrícia Karla de Sousa Araújo",$B:$B,"&lt;&gt;Lorena Dias de Araujo",$B:$B,"&lt;&gt;Lucas Luiz Romero")*(10/1083),0)))))),0)</f>
        <v/>
      </c>
      <c r="K3467" s="3">
        <f>I3467-J3467</f>
        <v/>
      </c>
      <c r="L3467" s="3">
        <f>IF(K3467&lt;-5,"CRÍTICO",IF(K3467&lt;0,"ATENÇÃO",IF(K3467&lt;=5,"OPORTUNO","MUITO BOM")))</f>
        <v/>
      </c>
      <c r="M3467" s="3" t="n">
        <v>10</v>
      </c>
      <c r="N3467" s="3" t="n">
        <v>98.41</v>
      </c>
      <c r="O3467" s="12" t="n">
        <v>28.13852813852814</v>
      </c>
    </row>
    <row r="3468">
      <c r="A3468" s="10" t="n">
        <v>46111</v>
      </c>
      <c r="B3468" t="inlineStr">
        <is>
          <t>Davylla Rodrigues Freitas Silva</t>
        </is>
      </c>
      <c r="C3468" s="1" t="inlineStr">
        <is>
          <t>Técnico III</t>
        </is>
      </c>
      <c r="D3468" s="3" t="n">
        <v>30</v>
      </c>
      <c r="E3468" s="3" t="n">
        <v>30</v>
      </c>
      <c r="F3468" s="3" t="n">
        <v>20.23</v>
      </c>
      <c r="G3468" s="3" t="n">
        <v>0</v>
      </c>
      <c r="H3468" s="3" t="n">
        <v>0</v>
      </c>
      <c r="I3468" s="3" t="n">
        <v>0</v>
      </c>
      <c r="J3468" s="3" t="n">
        <v>0</v>
      </c>
      <c r="K3468" s="3" t="n">
        <v>0</v>
      </c>
      <c r="L3468" s="3">
        <f>IF(K3468&lt;-5,"CRÍTICO",IF(K3468&lt;0,"ATENÇÃO",IF(K3468&lt;=5,"OPORTUNO","MUITO BOM")))</f>
        <v/>
      </c>
      <c r="M3468" s="3" t="n">
        <v>31</v>
      </c>
      <c r="N3468" s="3" t="n">
        <v>98.73</v>
      </c>
      <c r="O3468" s="12" t="n">
        <v>29.14285714285714</v>
      </c>
    </row>
    <row r="3469">
      <c r="A3469" s="10" t="n">
        <v>46111</v>
      </c>
      <c r="B3469" t="inlineStr">
        <is>
          <t>Emilly Caylane Costa</t>
        </is>
      </c>
      <c r="C3469" s="1" t="inlineStr">
        <is>
          <t>Estágio</t>
        </is>
      </c>
      <c r="D3469" s="3" t="n">
        <v>11</v>
      </c>
      <c r="E3469" s="3" t="n">
        <v>10</v>
      </c>
      <c r="F3469" s="3" t="n">
        <v>26.5</v>
      </c>
      <c r="G3469" s="3" t="n">
        <v>0</v>
      </c>
      <c r="H3469" s="3" t="n">
        <v>0</v>
      </c>
      <c r="I3469" s="3">
        <f>E3469+G3469+H3469</f>
        <v/>
      </c>
      <c r="J3469" s="3">
        <f>ROUND(MIN(IF(C3469="Técnico III",35,IF(C3469="Técnico II",28,IF(C3469="Técnico I",23,IF(C3469="JR",20,IF(C3469="Estágio",10,0))))),IF(C3469="Técnico III",SUMIFS($D:$D,$A:$A,$A3469,$B:$B,"&lt;&gt;Patrícia Karla de Sousa Araújo",$B:$B,"&lt;&gt;Lorena Dias de Araujo",$B:$B,"&lt;&gt;Lucas Luiz Romero")*(35/1083),IF(C3469="Técnico II",SUMIFS($D:$D,$A:$A,$A3469,$B:$B,"&lt;&gt;Patrícia Karla de Sousa Araújo",$B:$B,"&lt;&gt;Lorena Dias de Araujo",$B:$B,"&lt;&gt;Lucas Luiz Romero")*(28/1083),IF(C3469="Técnico I",SUMIFS($D:$D,$A:$A,$A3469,$B:$B,"&lt;&gt;Patrícia Karla de Sousa Araújo",$B:$B,"&lt;&gt;Lorena Dias de Araujo",$B:$B,"&lt;&gt;Lucas Luiz Romero")*(23/1083),IF(C3469="JR",SUMIFS($D:$D,$A:$A,$A3469,$B:$B,"&lt;&gt;Patrícia Karla de Sousa Araújo",$B:$B,"&lt;&gt;Lorena Dias de Araujo",$B:$B,"&lt;&gt;Lucas Luiz Romero")*(20/1083),IF(C3469="Estágio",SUMIFS($D:$D,$A:$A,$A3469,$B:$B,"&lt;&gt;Patrícia Karla de Sousa Araújo",$B:$B,"&lt;&gt;Lorena Dias de Araujo",$B:$B,"&lt;&gt;Lucas Luiz Romero")*(10/1083),0)))))),0)</f>
        <v/>
      </c>
      <c r="K3469" s="3">
        <f>I3469-J3469</f>
        <v/>
      </c>
      <c r="L3469" s="3">
        <f>IF(K3469&lt;-5,"CRÍTICO",IF(K3469&lt;0,"ATENÇÃO",IF(K3469&lt;=5,"OPORTUNO","MUITO BOM")))</f>
        <v/>
      </c>
      <c r="M3469" s="3" t="n">
        <v>7</v>
      </c>
      <c r="N3469" s="3" t="n">
        <v>90.48</v>
      </c>
      <c r="O3469" s="12" t="n">
        <v>20.68965517241379</v>
      </c>
    </row>
    <row r="3470">
      <c r="A3470" s="10" t="n">
        <v>46111</v>
      </c>
      <c r="B3470" t="inlineStr">
        <is>
          <t>Emilly Kamilly Medeiros Miranda</t>
        </is>
      </c>
      <c r="C3470" s="1" t="inlineStr">
        <is>
          <t>Técnico II</t>
        </is>
      </c>
      <c r="D3470" s="3" t="n">
        <v>32</v>
      </c>
      <c r="E3470" s="3" t="n">
        <v>31</v>
      </c>
      <c r="F3470" s="3" t="n">
        <v>16.43</v>
      </c>
      <c r="G3470" s="3" t="n">
        <v>0</v>
      </c>
      <c r="H3470" s="3" t="n">
        <v>0</v>
      </c>
      <c r="I3470" s="3">
        <f>E3470+G3470+H3470</f>
        <v/>
      </c>
      <c r="J3470" s="3">
        <f>ROUND(MIN(IF(C3470="Técnico III",35,IF(C3470="Técnico II",28,IF(C3470="Técnico I",23,IF(C3470="JR",20,IF(C3470="Estágio",10,0))))),IF(C3470="Técnico III",SUMIFS($D:$D,$A:$A,$A3470,$B:$B,"&lt;&gt;Patrícia Karla de Sousa Araújo",$B:$B,"&lt;&gt;Lorena Dias de Araujo",$B:$B,"&lt;&gt;Lucas Luiz Romero")*(35/1083),IF(C3470="Técnico II",SUMIFS($D:$D,$A:$A,$A3470,$B:$B,"&lt;&gt;Patrícia Karla de Sousa Araújo",$B:$B,"&lt;&gt;Lorena Dias de Araujo",$B:$B,"&lt;&gt;Lucas Luiz Romero")*(28/1083),IF(C3470="Técnico I",SUMIFS($D:$D,$A:$A,$A3470,$B:$B,"&lt;&gt;Patrícia Karla de Sousa Araújo",$B:$B,"&lt;&gt;Lorena Dias de Araujo",$B:$B,"&lt;&gt;Lucas Luiz Romero")*(23/1083),IF(C3470="JR",SUMIFS($D:$D,$A:$A,$A3470,$B:$B,"&lt;&gt;Patrícia Karla de Sousa Araújo",$B:$B,"&lt;&gt;Lorena Dias de Araujo",$B:$B,"&lt;&gt;Lucas Luiz Romero")*(20/1083),IF(C3470="Estágio",SUMIFS($D:$D,$A:$A,$A3470,$B:$B,"&lt;&gt;Patrícia Karla de Sousa Araújo",$B:$B,"&lt;&gt;Lorena Dias de Araujo",$B:$B,"&lt;&gt;Lucas Luiz Romero")*(10/1083),0)))))),0)</f>
        <v/>
      </c>
      <c r="K3470" s="3">
        <f>I3470-J3470</f>
        <v/>
      </c>
      <c r="L3470" s="3">
        <f>IF(K3470&lt;-5,"CRÍTICO",IF(K3470&lt;0,"ATENÇÃO",IF(K3470&lt;=5,"OPORTUNO","MUITO BOM")))</f>
        <v/>
      </c>
      <c r="M3470" s="3" t="n">
        <v>27</v>
      </c>
      <c r="N3470" s="3" t="n">
        <v>98.06</v>
      </c>
      <c r="O3470" s="12" t="n">
        <v>24.78991596638656</v>
      </c>
    </row>
    <row r="3471">
      <c r="A3471" s="10" t="n">
        <v>46111</v>
      </c>
      <c r="B3471" t="inlineStr">
        <is>
          <t>Francielson de Oliveira</t>
        </is>
      </c>
      <c r="C3471" s="1" t="inlineStr">
        <is>
          <t>Técnico III</t>
        </is>
      </c>
      <c r="D3471" s="3" t="n">
        <v>0</v>
      </c>
      <c r="E3471" s="3" t="n">
        <v>0</v>
      </c>
      <c r="F3471" s="3" t="n">
        <v>0</v>
      </c>
      <c r="G3471" s="3" t="n">
        <v>0</v>
      </c>
      <c r="H3471" s="3" t="n">
        <v>0</v>
      </c>
      <c r="I3471" s="3" t="n">
        <v>0</v>
      </c>
      <c r="J3471" s="3" t="n">
        <v>0</v>
      </c>
      <c r="K3471" s="3" t="n">
        <v>0</v>
      </c>
      <c r="L3471" s="3">
        <f>IF(K3471&lt;-5,"CRÍTICO",IF(K3471&lt;0,"ATENÇÃO",IF(K3471&lt;=5,"OPORTUNO","MUITO BOM")))</f>
        <v/>
      </c>
      <c r="M3471" s="3" t="n">
        <v>0</v>
      </c>
      <c r="N3471" s="3" t="n">
        <v>97.78</v>
      </c>
      <c r="O3471" s="12" t="n">
        <v>25.49407114624506</v>
      </c>
    </row>
    <row r="3472">
      <c r="A3472" s="10" t="n">
        <v>46111</v>
      </c>
      <c r="B3472" t="inlineStr">
        <is>
          <t>Francilene Ferreira de Jesus</t>
        </is>
      </c>
      <c r="C3472" s="1" t="inlineStr">
        <is>
          <t>Técnico II</t>
        </is>
      </c>
      <c r="D3472" s="3" t="n">
        <v>0</v>
      </c>
      <c r="E3472" s="3" t="n">
        <v>0</v>
      </c>
      <c r="F3472" s="3" t="n">
        <v>0</v>
      </c>
      <c r="G3472" s="3" t="n">
        <v>0</v>
      </c>
      <c r="H3472" s="3" t="n">
        <v>0</v>
      </c>
      <c r="I3472" s="3" t="n">
        <v>0</v>
      </c>
      <c r="J3472" s="3" t="n">
        <v>0</v>
      </c>
      <c r="K3472" s="3" t="n">
        <v>0</v>
      </c>
      <c r="L3472" s="3">
        <f>IF(K3472&lt;-5,"CRÍTICO",IF(K3472&lt;0,"ATENÇÃO",IF(K3472&lt;=5,"OPORTUNO","MUITO BOM")))</f>
        <v/>
      </c>
      <c r="M3472" s="3" t="n">
        <v>0</v>
      </c>
      <c r="N3472" s="3" t="n">
        <v>98.02</v>
      </c>
      <c r="O3472" s="12" t="n">
        <v>23.48484848484848</v>
      </c>
    </row>
    <row r="3473">
      <c r="A3473" s="7" t="n">
        <v>46161</v>
      </c>
      <c r="B3473" s="8" t="inlineStr">
        <is>
          <t>Jaqueline Evangelista da Silva Martins</t>
        </is>
      </c>
      <c r="C3473" s="1" t="inlineStr">
        <is>
          <t>Técnico III</t>
        </is>
      </c>
      <c r="D3473" s="3" t="n">
        <v>11</v>
      </c>
      <c r="E3473" s="3" t="n">
        <v>10</v>
      </c>
      <c r="F3473" s="3" t="n">
        <v>14.08</v>
      </c>
      <c r="G3473" s="3" t="n">
        <v>4</v>
      </c>
      <c r="H3473" s="3" t="n">
        <v>0</v>
      </c>
      <c r="I3473" s="3" t="n">
        <v>14</v>
      </c>
      <c r="J3473" s="3" t="n">
        <v>29</v>
      </c>
      <c r="K3473" s="3" t="n">
        <v>-15</v>
      </c>
      <c r="L3473" s="3" t="inlineStr">
        <is>
          <t>CRÍTICO</t>
        </is>
      </c>
      <c r="M3473" s="3" t="n">
        <v>12</v>
      </c>
      <c r="N3473" s="3" t="n">
        <v>97.04000000000001</v>
      </c>
      <c r="O3473" s="12" t="n">
        <v>29.82885085574572</v>
      </c>
    </row>
    <row r="3474">
      <c r="A3474" s="10" t="n">
        <v>46111</v>
      </c>
      <c r="B3474" t="inlineStr">
        <is>
          <t>Isabella Borges de Oliveira</t>
        </is>
      </c>
      <c r="C3474" s="1" t="inlineStr">
        <is>
          <t>Técnico II</t>
        </is>
      </c>
      <c r="D3474" s="3" t="n">
        <v>31</v>
      </c>
      <c r="E3474" s="3" t="n">
        <v>28</v>
      </c>
      <c r="F3474" s="3" t="n">
        <v>19.17</v>
      </c>
      <c r="G3474" s="3" t="n">
        <v>0</v>
      </c>
      <c r="H3474" s="3" t="n">
        <v>0</v>
      </c>
      <c r="I3474" s="3">
        <f>E3474+G3474+H3474</f>
        <v/>
      </c>
      <c r="J3474" s="3">
        <f>ROUND(MIN(IF(C3474="Técnico III",35,IF(C3474="Técnico II",28,IF(C3474="Técnico I",23,IF(C3474="JR",20,IF(C3474="Estágio",10,0))))),IF(C3474="Técnico III",SUMIFS($D:$D,$A:$A,$A3474,$B:$B,"&lt;&gt;Patrícia Karla de Sousa Araújo",$B:$B,"&lt;&gt;Lorena Dias de Araujo",$B:$B,"&lt;&gt;Lucas Luiz Romero")*(35/1083),IF(C3474="Técnico II",SUMIFS($D:$D,$A:$A,$A3474,$B:$B,"&lt;&gt;Patrícia Karla de Sousa Araújo",$B:$B,"&lt;&gt;Lorena Dias de Araujo",$B:$B,"&lt;&gt;Lucas Luiz Romero")*(28/1083),IF(C3474="Técnico I",SUMIFS($D:$D,$A:$A,$A3474,$B:$B,"&lt;&gt;Patrícia Karla de Sousa Araújo",$B:$B,"&lt;&gt;Lorena Dias de Araujo",$B:$B,"&lt;&gt;Lucas Luiz Romero")*(23/1083),IF(C3474="JR",SUMIFS($D:$D,$A:$A,$A3474,$B:$B,"&lt;&gt;Patrícia Karla de Sousa Araújo",$B:$B,"&lt;&gt;Lorena Dias de Araujo",$B:$B,"&lt;&gt;Lucas Luiz Romero")*(20/1083),IF(C3474="Estágio",SUMIFS($D:$D,$A:$A,$A3474,$B:$B,"&lt;&gt;Patrícia Karla de Sousa Araújo",$B:$B,"&lt;&gt;Lorena Dias de Araujo",$B:$B,"&lt;&gt;Lucas Luiz Romero")*(10/1083),0)))))),0)</f>
        <v/>
      </c>
      <c r="K3474" s="3">
        <f>I3474-J3474</f>
        <v/>
      </c>
      <c r="L3474" s="3">
        <f>IF(K3474&lt;-5,"CRÍTICO",IF(K3474&lt;0,"ATENÇÃO",IF(K3474&lt;=5,"OPORTUNO","MUITO BOM")))</f>
        <v/>
      </c>
      <c r="M3474" s="3" t="n">
        <v>26</v>
      </c>
      <c r="N3474" s="3" t="n">
        <v>100</v>
      </c>
      <c r="O3474" s="12" t="n">
        <v>27.04918032786885</v>
      </c>
    </row>
    <row r="3475">
      <c r="A3475" s="10" t="n">
        <v>46111</v>
      </c>
      <c r="B3475" t="inlineStr">
        <is>
          <t>Janaina Lima dos Reis Urany</t>
        </is>
      </c>
      <c r="C3475" s="1" t="inlineStr">
        <is>
          <t>Técnico III</t>
        </is>
      </c>
      <c r="D3475" s="3" t="n">
        <v>44</v>
      </c>
      <c r="E3475" s="3" t="n">
        <v>40</v>
      </c>
      <c r="F3475" s="3" t="n">
        <v>17.17</v>
      </c>
      <c r="G3475" s="3" t="n">
        <v>0</v>
      </c>
      <c r="H3475" s="3" t="n">
        <v>0</v>
      </c>
      <c r="I3475" s="3">
        <f>E3475+G3475+H3475</f>
        <v/>
      </c>
      <c r="J3475" s="3">
        <f>ROUND(MIN(IF(C3475="Técnico III",35,IF(C3475="Técnico II",28,IF(C3475="Técnico I",23,IF(C3475="JR",20,IF(C3475="Estágio",10,0))))),IF(C3475="Técnico III",SUMIFS($D:$D,$A:$A,$A3475,$B:$B,"&lt;&gt;Patrícia Karla de Sousa Araújo",$B:$B,"&lt;&gt;Lorena Dias de Araujo",$B:$B,"&lt;&gt;Lucas Luiz Romero")*(35/1083),IF(C3475="Técnico II",SUMIFS($D:$D,$A:$A,$A3475,$B:$B,"&lt;&gt;Patrícia Karla de Sousa Araújo",$B:$B,"&lt;&gt;Lorena Dias de Araujo",$B:$B,"&lt;&gt;Lucas Luiz Romero")*(28/1083),IF(C3475="Técnico I",SUMIFS($D:$D,$A:$A,$A3475,$B:$B,"&lt;&gt;Patrícia Karla de Sousa Araújo",$B:$B,"&lt;&gt;Lorena Dias de Araujo",$B:$B,"&lt;&gt;Lucas Luiz Romero")*(23/1083),IF(C3475="JR",SUMIFS($D:$D,$A:$A,$A3475,$B:$B,"&lt;&gt;Patrícia Karla de Sousa Araújo",$B:$B,"&lt;&gt;Lorena Dias de Araujo",$B:$B,"&lt;&gt;Lucas Luiz Romero")*(20/1083),IF(C3475="Estágio",SUMIFS($D:$D,$A:$A,$A3475,$B:$B,"&lt;&gt;Patrícia Karla de Sousa Araújo",$B:$B,"&lt;&gt;Lorena Dias de Araujo",$B:$B,"&lt;&gt;Lucas Luiz Romero")*(10/1083),0)))))),0)</f>
        <v/>
      </c>
      <c r="K3475" s="3">
        <f>I3475-J3475</f>
        <v/>
      </c>
      <c r="L3475" s="3">
        <f>IF(K3475&lt;-5,"CRÍTICO",IF(K3475&lt;0,"ATENÇÃO",IF(K3475&lt;=5,"OPORTUNO","MUITO BOM")))</f>
        <v/>
      </c>
      <c r="M3475" s="3" t="n">
        <v>37</v>
      </c>
      <c r="N3475" s="3" t="n">
        <v>97.83</v>
      </c>
      <c r="O3475" s="12" t="n">
        <v>26.31578947368421</v>
      </c>
    </row>
    <row r="3476">
      <c r="A3476" s="10" t="n">
        <v>46111</v>
      </c>
      <c r="B3476" t="inlineStr">
        <is>
          <t>Jaqueline Evangelista da Silva Martins</t>
        </is>
      </c>
      <c r="C3476" s="1" t="inlineStr">
        <is>
          <t>Técnico III</t>
        </is>
      </c>
      <c r="D3476" s="3" t="n">
        <v>8</v>
      </c>
      <c r="E3476" s="3" t="n">
        <v>8</v>
      </c>
      <c r="F3476" s="3" t="n">
        <v>23.44</v>
      </c>
      <c r="G3476" s="3" t="n">
        <v>0</v>
      </c>
      <c r="H3476" s="3" t="n">
        <v>0</v>
      </c>
      <c r="I3476" s="3">
        <f>E3476+G3476+H3476</f>
        <v/>
      </c>
      <c r="J3476" s="3">
        <f>ROUND(MIN(IF(C3476="Técnico III",35,IF(C3476="Técnico II",28,IF(C3476="Técnico I",23,IF(C3476="JR",20,IF(C3476="Estágio",10,0))))),IF(C3476="Técnico III",SUMIFS($D:$D,$A:$A,$A3476,$B:$B,"&lt;&gt;Patrícia Karla de Sousa Araújo",$B:$B,"&lt;&gt;Lorena Dias de Araujo",$B:$B,"&lt;&gt;Lucas Luiz Romero")*(35/1083),IF(C3476="Técnico II",SUMIFS($D:$D,$A:$A,$A3476,$B:$B,"&lt;&gt;Patrícia Karla de Sousa Araújo",$B:$B,"&lt;&gt;Lorena Dias de Araujo",$B:$B,"&lt;&gt;Lucas Luiz Romero")*(28/1083),IF(C3476="Técnico I",SUMIFS($D:$D,$A:$A,$A3476,$B:$B,"&lt;&gt;Patrícia Karla de Sousa Araújo",$B:$B,"&lt;&gt;Lorena Dias de Araujo",$B:$B,"&lt;&gt;Lucas Luiz Romero")*(23/1083),IF(C3476="JR",SUMIFS($D:$D,$A:$A,$A3476,$B:$B,"&lt;&gt;Patrícia Karla de Sousa Araújo",$B:$B,"&lt;&gt;Lorena Dias de Araujo",$B:$B,"&lt;&gt;Lucas Luiz Romero")*(20/1083),IF(C3476="Estágio",SUMIFS($D:$D,$A:$A,$A3476,$B:$B,"&lt;&gt;Patrícia Karla de Sousa Araújo",$B:$B,"&lt;&gt;Lorena Dias de Araujo",$B:$B,"&lt;&gt;Lucas Luiz Romero")*(10/1083),0)))))),0)</f>
        <v/>
      </c>
      <c r="K3476" s="3">
        <f>I3476-J3476</f>
        <v/>
      </c>
      <c r="L3476" s="3">
        <f>IF(K3476&lt;-5,"CRÍTICO",IF(K3476&lt;0,"ATENÇÃO",IF(K3476&lt;=5,"OPORTUNO","MUITO BOM")))</f>
        <v/>
      </c>
      <c r="M3476" s="3" t="n">
        <v>8</v>
      </c>
      <c r="N3476" s="3" t="n">
        <v>100</v>
      </c>
      <c r="O3476" s="12" t="n">
        <v>26.70157068062827</v>
      </c>
    </row>
    <row r="3477">
      <c r="A3477" s="10" t="n">
        <v>46111</v>
      </c>
      <c r="B3477" t="inlineStr">
        <is>
          <t>Jessica Faria da Silveira</t>
        </is>
      </c>
      <c r="C3477" s="1" t="inlineStr">
        <is>
          <t>Técnico II</t>
        </is>
      </c>
      <c r="D3477" s="3" t="n">
        <v>0</v>
      </c>
      <c r="E3477" s="3" t="n">
        <v>0</v>
      </c>
      <c r="F3477" s="3" t="n">
        <v>0</v>
      </c>
      <c r="G3477" s="3" t="n">
        <v>0</v>
      </c>
      <c r="H3477" s="3" t="n">
        <v>0</v>
      </c>
      <c r="I3477" s="3" t="n">
        <v>0</v>
      </c>
      <c r="J3477" s="3" t="n">
        <v>0</v>
      </c>
      <c r="K3477" s="3" t="n">
        <v>0</v>
      </c>
      <c r="L3477" s="3">
        <f>IF(K3477&lt;-5,"CRÍTICO",IF(K3477&lt;0,"ATENÇÃO",IF(K3477&lt;=5,"OPORTUNO","MUITO BOM")))</f>
        <v/>
      </c>
      <c r="M3477" s="3" t="n">
        <v>0</v>
      </c>
      <c r="N3477" s="3" t="n">
        <v>97.47</v>
      </c>
      <c r="O3477" s="12" t="n">
        <v>22.88732394366197</v>
      </c>
    </row>
    <row r="3478">
      <c r="A3478" s="10" t="n">
        <v>46111</v>
      </c>
      <c r="B3478" t="inlineStr">
        <is>
          <t>Jéssica Fé Moura</t>
        </is>
      </c>
      <c r="C3478" s="1" t="inlineStr">
        <is>
          <t>Técnico III</t>
        </is>
      </c>
      <c r="D3478" s="3" t="n">
        <v>0</v>
      </c>
      <c r="E3478" s="3" t="n">
        <v>0</v>
      </c>
      <c r="F3478" s="3" t="n">
        <v>0</v>
      </c>
      <c r="G3478" s="3" t="n">
        <v>0</v>
      </c>
      <c r="H3478" s="3" t="n">
        <v>0</v>
      </c>
      <c r="I3478" s="3" t="n">
        <v>0</v>
      </c>
      <c r="J3478" s="3" t="n">
        <v>0</v>
      </c>
      <c r="K3478" s="3" t="n">
        <v>0</v>
      </c>
      <c r="L3478" s="3">
        <f>IF(K3478&lt;-5,"CRÍTICO",IF(K3478&lt;0,"ATENÇÃO",IF(K3478&lt;=5,"OPORTUNO","MUITO BOM")))</f>
        <v/>
      </c>
      <c r="M3478" s="3" t="n">
        <v>0</v>
      </c>
      <c r="N3478" s="3" t="n">
        <v>0</v>
      </c>
      <c r="O3478" s="12" t="n">
        <v>0</v>
      </c>
    </row>
    <row r="3479">
      <c r="A3479" s="10" t="n">
        <v>46111</v>
      </c>
      <c r="B3479" t="inlineStr">
        <is>
          <t>Karina Gonçalves Martins</t>
        </is>
      </c>
      <c r="C3479" s="1" t="inlineStr">
        <is>
          <t>JR</t>
        </is>
      </c>
      <c r="D3479" s="3" t="n">
        <v>19</v>
      </c>
      <c r="E3479" s="3" t="n">
        <v>19</v>
      </c>
      <c r="F3479" s="3" t="n">
        <v>29.13</v>
      </c>
      <c r="G3479" s="3" t="n">
        <v>0</v>
      </c>
      <c r="H3479" s="3" t="n">
        <v>0</v>
      </c>
      <c r="I3479" s="3">
        <f>E3479+G3479+H3479</f>
        <v/>
      </c>
      <c r="J3479" s="3">
        <f>ROUND(MIN(IF(C3479="Técnico III",35,IF(C3479="Técnico II",28,IF(C3479="Técnico I",23,IF(C3479="JR",20,IF(C3479="Estágio",10,0))))),IF(C3479="Técnico III",SUMIFS($D:$D,$A:$A,$A3479,$B:$B,"&lt;&gt;Patrícia Karla de Sousa Araújo",$B:$B,"&lt;&gt;Lorena Dias de Araujo",$B:$B,"&lt;&gt;Lucas Luiz Romero")*(35/1083),IF(C3479="Técnico II",SUMIFS($D:$D,$A:$A,$A3479,$B:$B,"&lt;&gt;Patrícia Karla de Sousa Araújo",$B:$B,"&lt;&gt;Lorena Dias de Araujo",$B:$B,"&lt;&gt;Lucas Luiz Romero")*(28/1083),IF(C3479="Técnico I",SUMIFS($D:$D,$A:$A,$A3479,$B:$B,"&lt;&gt;Patrícia Karla de Sousa Araújo",$B:$B,"&lt;&gt;Lorena Dias de Araujo",$B:$B,"&lt;&gt;Lucas Luiz Romero")*(23/1083),IF(C3479="JR",SUMIFS($D:$D,$A:$A,$A3479,$B:$B,"&lt;&gt;Patrícia Karla de Sousa Araújo",$B:$B,"&lt;&gt;Lorena Dias de Araujo",$B:$B,"&lt;&gt;Lucas Luiz Romero")*(20/1083),IF(C3479="Estágio",SUMIFS($D:$D,$A:$A,$A3479,$B:$B,"&lt;&gt;Patrícia Karla de Sousa Araújo",$B:$B,"&lt;&gt;Lorena Dias de Araujo",$B:$B,"&lt;&gt;Lucas Luiz Romero")*(10/1083),0)))))),0)</f>
        <v/>
      </c>
      <c r="K3479" s="3">
        <f>I3479-J3479</f>
        <v/>
      </c>
      <c r="L3479" s="3">
        <f>IF(K3479&lt;-5,"CRÍTICO",IF(K3479&lt;0,"ATENÇÃO",IF(K3479&lt;=5,"OPORTUNO","MUITO BOM")))</f>
        <v/>
      </c>
      <c r="M3479" s="3" t="n">
        <v>17</v>
      </c>
      <c r="N3479" s="3" t="n">
        <v>98.31</v>
      </c>
      <c r="O3479" s="12" t="n">
        <v>24.92012779552715</v>
      </c>
    </row>
    <row r="3480">
      <c r="A3480" s="10" t="n">
        <v>46111</v>
      </c>
      <c r="B3480" t="inlineStr">
        <is>
          <t>Kerollen Cristielly de Jesus Siqueira</t>
        </is>
      </c>
      <c r="C3480" s="1" t="inlineStr">
        <is>
          <t>Técnico III</t>
        </is>
      </c>
      <c r="D3480" s="3" t="n">
        <v>4</v>
      </c>
      <c r="E3480" s="3" t="n">
        <v>4</v>
      </c>
      <c r="F3480" s="3" t="n">
        <v>35.58</v>
      </c>
      <c r="G3480" s="3" t="n">
        <v>0</v>
      </c>
      <c r="H3480" s="3" t="n">
        <v>0</v>
      </c>
      <c r="I3480" s="3">
        <f>E3480+G3480+H3480</f>
        <v/>
      </c>
      <c r="J3480" s="3">
        <f>ROUND(MIN(IF(C3480="Técnico III",35,IF(C3480="Técnico II",28,IF(C3480="Técnico I",23,IF(C3480="JR",20,IF(C3480="Estágio",10,0))))),IF(C3480="Técnico III",SUMIFS($D:$D,$A:$A,$A3480,$B:$B,"&lt;&gt;Patrícia Karla de Sousa Araújo",$B:$B,"&lt;&gt;Lorena Dias de Araujo",$B:$B,"&lt;&gt;Lucas Luiz Romero")*(35/1083),IF(C3480="Técnico II",SUMIFS($D:$D,$A:$A,$A3480,$B:$B,"&lt;&gt;Patrícia Karla de Sousa Araújo",$B:$B,"&lt;&gt;Lorena Dias de Araujo",$B:$B,"&lt;&gt;Lucas Luiz Romero")*(28/1083),IF(C3480="Técnico I",SUMIFS($D:$D,$A:$A,$A3480,$B:$B,"&lt;&gt;Patrícia Karla de Sousa Araújo",$B:$B,"&lt;&gt;Lorena Dias de Araujo",$B:$B,"&lt;&gt;Lucas Luiz Romero")*(23/1083),IF(C3480="JR",SUMIFS($D:$D,$A:$A,$A3480,$B:$B,"&lt;&gt;Patrícia Karla de Sousa Araújo",$B:$B,"&lt;&gt;Lorena Dias de Araujo",$B:$B,"&lt;&gt;Lucas Luiz Romero")*(20/1083),IF(C3480="Estágio",SUMIFS($D:$D,$A:$A,$A3480,$B:$B,"&lt;&gt;Patrícia Karla de Sousa Araújo",$B:$B,"&lt;&gt;Lorena Dias de Araujo",$B:$B,"&lt;&gt;Lucas Luiz Romero")*(10/1083),0)))))),0)</f>
        <v/>
      </c>
      <c r="K3480" s="3">
        <f>I3480-J3480</f>
        <v/>
      </c>
      <c r="L3480" s="3">
        <f>IF(K3480&lt;-5,"CRÍTICO",IF(K3480&lt;0,"ATENÇÃO",IF(K3480&lt;=5,"OPORTUNO","MUITO BOM")))</f>
        <v/>
      </c>
      <c r="M3480" s="3" t="n">
        <v>17</v>
      </c>
      <c r="N3480" s="3" t="n">
        <v>96.81</v>
      </c>
      <c r="O3480" s="12" t="n">
        <v>32.36514522821577</v>
      </c>
    </row>
    <row r="3481">
      <c r="A3481" s="10" t="n">
        <v>46111</v>
      </c>
      <c r="B3481" t="inlineStr">
        <is>
          <t>Leandro de Souza Silva</t>
        </is>
      </c>
      <c r="C3481" s="1" t="inlineStr">
        <is>
          <t>JR</t>
        </is>
      </c>
      <c r="D3481" s="3" t="n">
        <v>18</v>
      </c>
      <c r="E3481" s="3" t="n">
        <v>14</v>
      </c>
      <c r="F3481" s="3" t="n">
        <v>32.35</v>
      </c>
      <c r="G3481" s="3" t="n">
        <v>0</v>
      </c>
      <c r="H3481" s="3" t="n">
        <v>0</v>
      </c>
      <c r="I3481" s="3">
        <f>E3481+G3481+H3481</f>
        <v/>
      </c>
      <c r="J3481" s="3">
        <f>ROUND(MIN(IF(C3481="Técnico III",35,IF(C3481="Técnico II",28,IF(C3481="Técnico I",23,IF(C3481="JR",20,IF(C3481="Estágio",10,0))))),IF(C3481="Técnico III",SUMIFS($D:$D,$A:$A,$A3481,$B:$B,"&lt;&gt;Patrícia Karla de Sousa Araújo",$B:$B,"&lt;&gt;Lorena Dias de Araujo",$B:$B,"&lt;&gt;Lucas Luiz Romero")*(35/1083),IF(C3481="Técnico II",SUMIFS($D:$D,$A:$A,$A3481,$B:$B,"&lt;&gt;Patrícia Karla de Sousa Araújo",$B:$B,"&lt;&gt;Lorena Dias de Araujo",$B:$B,"&lt;&gt;Lucas Luiz Romero")*(28/1083),IF(C3481="Técnico I",SUMIFS($D:$D,$A:$A,$A3481,$B:$B,"&lt;&gt;Patrícia Karla de Sousa Araújo",$B:$B,"&lt;&gt;Lorena Dias de Araujo",$B:$B,"&lt;&gt;Lucas Luiz Romero")*(23/1083),IF(C3481="JR",SUMIFS($D:$D,$A:$A,$A3481,$B:$B,"&lt;&gt;Patrícia Karla de Sousa Araújo",$B:$B,"&lt;&gt;Lorena Dias de Araujo",$B:$B,"&lt;&gt;Lucas Luiz Romero")*(20/1083),IF(C3481="Estágio",SUMIFS($D:$D,$A:$A,$A3481,$B:$B,"&lt;&gt;Patrícia Karla de Sousa Araújo",$B:$B,"&lt;&gt;Lorena Dias de Araujo",$B:$B,"&lt;&gt;Lucas Luiz Romero")*(10/1083),0)))))),0)</f>
        <v/>
      </c>
      <c r="K3481" s="3">
        <f>I3481-J3481</f>
        <v/>
      </c>
      <c r="L3481" s="3">
        <f>IF(K3481&lt;-5,"CRÍTICO",IF(K3481&lt;0,"ATENÇÃO",IF(K3481&lt;=5,"OPORTUNO","MUITO BOM")))</f>
        <v/>
      </c>
      <c r="M3481" s="3" t="n">
        <v>14</v>
      </c>
      <c r="N3481" s="3" t="n">
        <v>100</v>
      </c>
      <c r="O3481" s="12" t="n">
        <v>26.47058823529412</v>
      </c>
    </row>
    <row r="3482">
      <c r="A3482" s="10" t="n">
        <v>46111</v>
      </c>
      <c r="B3482" t="inlineStr">
        <is>
          <t>Leandro Oliveira de Sousa</t>
        </is>
      </c>
      <c r="C3482" s="1" t="inlineStr">
        <is>
          <t>Técnico III</t>
        </is>
      </c>
      <c r="D3482" s="3" t="n">
        <v>28</v>
      </c>
      <c r="E3482" s="3" t="n">
        <v>28</v>
      </c>
      <c r="F3482" s="3" t="n">
        <v>21.53</v>
      </c>
      <c r="G3482" s="3" t="n">
        <v>0</v>
      </c>
      <c r="H3482" s="3" t="n">
        <v>0</v>
      </c>
      <c r="I3482" s="3">
        <f>E3482+G3482+H3482</f>
        <v/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/>
      </c>
      <c r="K3482" s="3">
        <f>I3482-J3482</f>
        <v/>
      </c>
      <c r="L3482" s="3">
        <f>IF(K3482&lt;-5,"CRÍTICO",IF(K3482&lt;0,"ATENÇÃO",IF(K3482&lt;=5,"OPORTUNO","MUITO BOM")))</f>
        <v/>
      </c>
      <c r="M3482" s="3" t="n">
        <v>26</v>
      </c>
      <c r="N3482" s="3" t="n">
        <v>100</v>
      </c>
      <c r="O3482" s="12" t="n">
        <v>28.49002849002849</v>
      </c>
    </row>
    <row r="3483">
      <c r="A3483" s="10" t="n">
        <v>46111</v>
      </c>
      <c r="B3483" t="inlineStr">
        <is>
          <t>Lizandra Gomes Duarte</t>
        </is>
      </c>
      <c r="C3483" s="1" t="inlineStr">
        <is>
          <t>Técnico II</t>
        </is>
      </c>
      <c r="D3483" s="3" t="n">
        <v>21</v>
      </c>
      <c r="E3483" s="3" t="n">
        <v>20</v>
      </c>
      <c r="F3483" s="3" t="n">
        <v>22.04</v>
      </c>
      <c r="G3483" s="3" t="n">
        <v>0</v>
      </c>
      <c r="H3483" s="3" t="n">
        <v>0</v>
      </c>
      <c r="I3483" s="3">
        <f>E3483+G3483+H3483</f>
        <v/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/>
      </c>
      <c r="K3483" s="3">
        <f>I3483-J3483</f>
        <v/>
      </c>
      <c r="L3483" s="3">
        <f>IF(K3483&lt;-5,"CRÍTICO",IF(K3483&lt;0,"ATENÇÃO",IF(K3483&lt;=5,"OPORTUNO","MUITO BOM")))</f>
        <v/>
      </c>
      <c r="M3483" s="3" t="n">
        <v>25</v>
      </c>
      <c r="N3483" s="3" t="n">
        <v>99.14</v>
      </c>
      <c r="O3483" s="12" t="n">
        <v>27.2289156626506</v>
      </c>
    </row>
    <row r="3484">
      <c r="A3484" s="10" t="n">
        <v>46111</v>
      </c>
      <c r="B3484" t="inlineStr">
        <is>
          <t>Lorena Dias de Araujo</t>
        </is>
      </c>
      <c r="C3484" s="1" t="inlineStr">
        <is>
          <t>Técnico II</t>
        </is>
      </c>
      <c r="D3484" s="3" t="n">
        <v>2</v>
      </c>
      <c r="E3484" s="3" t="n">
        <v>2</v>
      </c>
      <c r="F3484" s="3" t="n">
        <v>27.03</v>
      </c>
      <c r="G3484" s="3" t="n">
        <v>0</v>
      </c>
      <c r="H3484" s="3" t="n">
        <v>0</v>
      </c>
      <c r="I3484" s="3" t="n">
        <v>0</v>
      </c>
      <c r="J3484" s="3" t="n">
        <v>0</v>
      </c>
      <c r="K3484" s="3" t="n">
        <v>0</v>
      </c>
      <c r="L3484" s="3">
        <f>IF(K3484&lt;-5,"CRÍTICO",IF(K3484&lt;0,"ATENÇÃO",IF(K3484&lt;=5,"OPORTUNO","MUITO BOM")))</f>
        <v/>
      </c>
      <c r="M3484" s="3" t="n">
        <v>1</v>
      </c>
      <c r="N3484" s="3" t="n">
        <v>97.52</v>
      </c>
      <c r="O3484" s="12" t="n">
        <v>28.2051282051282</v>
      </c>
    </row>
    <row r="3485">
      <c r="A3485" s="10" t="n">
        <v>46111</v>
      </c>
      <c r="B3485" t="inlineStr">
        <is>
          <t>Lucas Luiz Romero</t>
        </is>
      </c>
      <c r="C3485" s="1" t="inlineStr">
        <is>
          <t>Técnico III</t>
        </is>
      </c>
      <c r="D3485" s="3" t="n">
        <v>0</v>
      </c>
      <c r="E3485" s="3" t="n">
        <v>0</v>
      </c>
      <c r="F3485" s="3" t="n">
        <v>0</v>
      </c>
      <c r="G3485" s="3" t="n">
        <v>0</v>
      </c>
      <c r="H3485" s="3" t="n">
        <v>0</v>
      </c>
      <c r="I3485" s="3" t="n">
        <v>0</v>
      </c>
      <c r="J3485" s="3" t="n">
        <v>0</v>
      </c>
      <c r="K3485" s="3" t="n">
        <v>0</v>
      </c>
      <c r="L3485" s="3">
        <f>IF(K3485&lt;-5,"CRÍTICO",IF(K3485&lt;0,"ATENÇÃO",IF(K3485&lt;=5,"OPORTUNO","MUITO BOM")))</f>
        <v/>
      </c>
      <c r="M3485" s="3" t="n">
        <v>0</v>
      </c>
      <c r="N3485" s="3" t="n">
        <v>90</v>
      </c>
      <c r="O3485" s="12" t="n">
        <v>24.18604651162791</v>
      </c>
    </row>
    <row r="3486">
      <c r="A3486" s="10" t="n">
        <v>46111</v>
      </c>
      <c r="B3486" t="inlineStr">
        <is>
          <t>Luiz Fernando de Carvalho Junior</t>
        </is>
      </c>
      <c r="C3486" s="1" t="inlineStr">
        <is>
          <t>Técnico I</t>
        </is>
      </c>
      <c r="D3486" s="3" t="n">
        <v>28</v>
      </c>
      <c r="E3486" s="3" t="n">
        <v>27</v>
      </c>
      <c r="F3486" s="3" t="n">
        <v>20.05</v>
      </c>
      <c r="G3486" s="3" t="n">
        <v>0</v>
      </c>
      <c r="H3486" s="3" t="n">
        <v>0</v>
      </c>
      <c r="I3486" s="3">
        <f>E3486+G3486+H3486</f>
        <v/>
      </c>
      <c r="J3486" s="3">
        <f>ROUND(MIN(IF(C3486="Técnico III",35,IF(C3486="Técnico II",28,IF(C3486="Técnico I",23,IF(C3486="JR",20,IF(C3486="Estágio",10,0))))),IF(C3486="Técnico III",SUMIFS($D:$D,$A:$A,$A3486,$B:$B,"&lt;&gt;Patrícia Karla de Sousa Araújo",$B:$B,"&lt;&gt;Lorena Dias de Araujo",$B:$B,"&lt;&gt;Lucas Luiz Romero")*(35/1083),IF(C3486="Técnico II",SUMIFS($D:$D,$A:$A,$A3486,$B:$B,"&lt;&gt;Patrícia Karla de Sousa Araújo",$B:$B,"&lt;&gt;Lorena Dias de Araujo",$B:$B,"&lt;&gt;Lucas Luiz Romero")*(28/1083),IF(C3486="Técnico I",SUMIFS($D:$D,$A:$A,$A3486,$B:$B,"&lt;&gt;Patrícia Karla de Sousa Araújo",$B:$B,"&lt;&gt;Lorena Dias de Araujo",$B:$B,"&lt;&gt;Lucas Luiz Romero")*(23/1083),IF(C3486="JR",SUMIFS($D:$D,$A:$A,$A3486,$B:$B,"&lt;&gt;Patrícia Karla de Sousa Araújo",$B:$B,"&lt;&gt;Lorena Dias de Araujo",$B:$B,"&lt;&gt;Lucas Luiz Romero")*(20/1083),IF(C3486="Estágio",SUMIFS($D:$D,$A:$A,$A3486,$B:$B,"&lt;&gt;Patrícia Karla de Sousa Araújo",$B:$B,"&lt;&gt;Lorena Dias de Araujo",$B:$B,"&lt;&gt;Lucas Luiz Romero")*(10/1083),0)))))),0)</f>
        <v/>
      </c>
      <c r="K3486" s="3">
        <f>I3486-J3486</f>
        <v/>
      </c>
      <c r="L3486" s="3">
        <f>IF(K3486&lt;-5,"CRÍTICO",IF(K3486&lt;0,"ATENÇÃO",IF(K3486&lt;=5,"OPORTUNO","MUITO BOM")))</f>
        <v/>
      </c>
      <c r="M3486" s="3" t="n">
        <v>23</v>
      </c>
      <c r="N3486" s="3" t="n">
        <v>98.90000000000001</v>
      </c>
      <c r="O3486" s="12" t="n">
        <v>26.7639902676399</v>
      </c>
    </row>
    <row r="3487">
      <c r="A3487" s="10" t="n">
        <v>46111</v>
      </c>
      <c r="B3487" t="inlineStr">
        <is>
          <t>Maria Eduarda Sousa Costa</t>
        </is>
      </c>
      <c r="C3487" s="1" t="inlineStr">
        <is>
          <t>Estágio</t>
        </is>
      </c>
      <c r="D3487" s="3" t="n">
        <v>10</v>
      </c>
      <c r="E3487" s="3" t="n">
        <v>10</v>
      </c>
      <c r="F3487" s="3" t="n">
        <v>33.49</v>
      </c>
      <c r="G3487" s="3" t="n">
        <v>0</v>
      </c>
      <c r="H3487" s="3" t="n">
        <v>0</v>
      </c>
      <c r="I3487" s="3">
        <f>E3487+G3487+H3487</f>
        <v/>
      </c>
      <c r="J3487" s="3">
        <f>ROUND(MIN(IF(C3487="Técnico III",35,IF(C3487="Técnico II",28,IF(C3487="Técnico I",23,IF(C3487="JR",20,IF(C3487="Estágio",10,0))))),IF(C3487="Técnico III",SUMIFS($D:$D,$A:$A,$A3487,$B:$B,"&lt;&gt;Patrícia Karla de Sousa Araújo",$B:$B,"&lt;&gt;Lorena Dias de Araujo",$B:$B,"&lt;&gt;Lucas Luiz Romero")*(35/1083),IF(C3487="Técnico II",SUMIFS($D:$D,$A:$A,$A3487,$B:$B,"&lt;&gt;Patrícia Karla de Sousa Araújo",$B:$B,"&lt;&gt;Lorena Dias de Araujo",$B:$B,"&lt;&gt;Lucas Luiz Romero")*(28/1083),IF(C3487="Técnico I",SUMIFS($D:$D,$A:$A,$A3487,$B:$B,"&lt;&gt;Patrícia Karla de Sousa Araújo",$B:$B,"&lt;&gt;Lorena Dias de Araujo",$B:$B,"&lt;&gt;Lucas Luiz Romero")*(23/1083),IF(C3487="JR",SUMIFS($D:$D,$A:$A,$A3487,$B:$B,"&lt;&gt;Patrícia Karla de Sousa Araújo",$B:$B,"&lt;&gt;Lorena Dias de Araujo",$B:$B,"&lt;&gt;Lucas Luiz Romero")*(20/1083),IF(C3487="Estágio",SUMIFS($D:$D,$A:$A,$A3487,$B:$B,"&lt;&gt;Patrícia Karla de Sousa Araújo",$B:$B,"&lt;&gt;Lorena Dias de Araujo",$B:$B,"&lt;&gt;Lucas Luiz Romero")*(10/1083),0)))))),0)</f>
        <v/>
      </c>
      <c r="K3487" s="3">
        <f>I3487-J3487</f>
        <v/>
      </c>
      <c r="L3487" s="3">
        <f>IF(K3487&lt;-5,"CRÍTICO",IF(K3487&lt;0,"ATENÇÃO",IF(K3487&lt;=5,"OPORTUNO","MUITO BOM")))</f>
        <v/>
      </c>
      <c r="M3487" s="3" t="n">
        <v>8</v>
      </c>
      <c r="N3487" s="3" t="n">
        <v>88.89</v>
      </c>
      <c r="O3487" s="12" t="n">
        <v>25.26315789473684</v>
      </c>
    </row>
    <row r="3488">
      <c r="A3488" s="10" t="n">
        <v>46129</v>
      </c>
      <c r="B3488" t="inlineStr">
        <is>
          <t>Matheus Farias De Souza</t>
        </is>
      </c>
      <c r="C3488" s="1" t="inlineStr">
        <is>
          <t>Técnico III</t>
        </is>
      </c>
      <c r="D3488" s="3" t="n">
        <v>29</v>
      </c>
      <c r="E3488" s="3" t="n">
        <v>29</v>
      </c>
      <c r="F3488" s="3" t="n">
        <v>12.35</v>
      </c>
      <c r="G3488" s="3" t="n">
        <v>0</v>
      </c>
      <c r="H3488" s="3" t="n">
        <v>0</v>
      </c>
      <c r="I3488" s="3">
        <f>E3488+G3488+H3488</f>
        <v/>
      </c>
      <c r="J3488" s="3">
        <f>ROUND(MIN(IF(C3488="Técnico III",35,IF(C3488="Técnico II",28,IF(C3488="Técnico I",23,IF(C3488="JR",20,IF(C3488="Estágio",10,0))))),IF(C3488="Técnico III",SUMIFS($D:$D,$A:$A,$A3488,$B:$B,"&lt;&gt;Patrícia Karla de Sousa Araújo",$B:$B,"&lt;&gt;Lorena Dias de Araujo",$B:$B,"&lt;&gt;Lucas Luiz Romero")*(35/1083),IF(C3488="Técnico II",SUMIFS($D:$D,$A:$A,$A3488,$B:$B,"&lt;&gt;Patrícia Karla de Sousa Araújo",$B:$B,"&lt;&gt;Lorena Dias de Araujo",$B:$B,"&lt;&gt;Lucas Luiz Romero")*(28/1083),IF(C3488="Técnico I",SUMIFS($D:$D,$A:$A,$A3488,$B:$B,"&lt;&gt;Patrícia Karla de Sousa Araújo",$B:$B,"&lt;&gt;Lorena Dias de Araujo",$B:$B,"&lt;&gt;Lucas Luiz Romero")*(23/1083),IF(C3488="JR",SUMIFS($D:$D,$A:$A,$A3488,$B:$B,"&lt;&gt;Patrícia Karla de Sousa Araújo",$B:$B,"&lt;&gt;Lorena Dias de Araujo",$B:$B,"&lt;&gt;Lucas Luiz Romero")*(20/1083),IF(C3488="Estágio",SUMIFS($D:$D,$A:$A,$A3488,$B:$B,"&lt;&gt;Patrícia Karla de Sousa Araújo",$B:$B,"&lt;&gt;Lorena Dias de Araujo",$B:$B,"&lt;&gt;Lucas Luiz Romero")*(10/1083),0)))))),0)</f>
        <v/>
      </c>
      <c r="K3488" s="3">
        <f>I3488-J3488</f>
        <v/>
      </c>
      <c r="L3488" s="3">
        <f>IF(K3488&lt;-5,"CRÍTICO",IF(K3488&lt;0,"ATENÇÃO",IF(K3488&lt;=5,"OPORTUNO","MUITO BOM")))</f>
        <v/>
      </c>
      <c r="M3488" s="3" t="n">
        <v>30</v>
      </c>
      <c r="N3488" s="3" t="n">
        <v>100</v>
      </c>
      <c r="O3488" s="12" t="n">
        <v>23.9870340356564</v>
      </c>
    </row>
    <row r="3489">
      <c r="A3489" s="10" t="n">
        <v>46111</v>
      </c>
      <c r="B3489" t="inlineStr">
        <is>
          <t>Maysa Victoria Dias Moura</t>
        </is>
      </c>
      <c r="C3489" s="1" t="inlineStr">
        <is>
          <t>Técnico III</t>
        </is>
      </c>
      <c r="D3489" s="3" t="n">
        <v>32</v>
      </c>
      <c r="E3489" s="3" t="n">
        <v>29</v>
      </c>
      <c r="F3489" s="3" t="n">
        <v>13.31</v>
      </c>
      <c r="G3489" s="3" t="n">
        <v>0</v>
      </c>
      <c r="H3489" s="3" t="n">
        <v>0</v>
      </c>
      <c r="I3489" s="3">
        <f>E3489+G3489+H3489</f>
        <v/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/>
      </c>
      <c r="K3489" s="3">
        <f>I3489-J3489</f>
        <v/>
      </c>
      <c r="L3489" s="3">
        <f>IF(K3489&lt;-5,"CRÍTICO",IF(K3489&lt;0,"ATENÇÃO",IF(K3489&lt;=5,"OPORTUNO","MUITO BOM")))</f>
        <v/>
      </c>
      <c r="M3489" s="3" t="n">
        <v>23</v>
      </c>
      <c r="N3489" s="3" t="n">
        <v>98.06</v>
      </c>
      <c r="O3489" s="12" t="n">
        <v>22.40566037735849</v>
      </c>
    </row>
    <row r="3490">
      <c r="A3490" s="10" t="n">
        <v>46139</v>
      </c>
      <c r="B3490" t="inlineStr">
        <is>
          <t>Michelle G Santos</t>
        </is>
      </c>
      <c r="C3490" s="1" t="inlineStr">
        <is>
          <t>Estágio</t>
        </is>
      </c>
      <c r="D3490" s="3" t="n">
        <v>6</v>
      </c>
      <c r="E3490" s="3" t="n">
        <v>6</v>
      </c>
      <c r="F3490" s="3" t="n">
        <v>26.47</v>
      </c>
      <c r="G3490" s="3" t="n">
        <v>0</v>
      </c>
      <c r="H3490" s="3" t="n">
        <v>0</v>
      </c>
      <c r="I3490" s="3">
        <f>E3490+G3490+H3490</f>
        <v/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/>
      </c>
      <c r="K3490" s="3">
        <f>I3490-J3490</f>
        <v/>
      </c>
      <c r="L3490" s="3">
        <f>IF(K3490&lt;-5,"CRÍTICO",IF(K3490&lt;0,"ATENÇÃO",IF(K3490&lt;=5,"OPORTUNO","MUITO BOM")))</f>
        <v/>
      </c>
      <c r="M3490" s="3" t="n">
        <v>5</v>
      </c>
      <c r="N3490" s="3" t="n">
        <v>100</v>
      </c>
      <c r="O3490" s="12" t="n">
        <v>23.77622377622378</v>
      </c>
    </row>
    <row r="3491">
      <c r="A3491" s="10" t="n">
        <v>46111</v>
      </c>
      <c r="B3491" t="inlineStr">
        <is>
          <t>Milena Sales</t>
        </is>
      </c>
      <c r="C3491" s="1" t="inlineStr">
        <is>
          <t>JR</t>
        </is>
      </c>
      <c r="D3491" s="3" t="n">
        <v>24</v>
      </c>
      <c r="E3491" s="3" t="n">
        <v>23</v>
      </c>
      <c r="F3491" s="3" t="n">
        <v>27.17</v>
      </c>
      <c r="G3491" s="3" t="n">
        <v>0</v>
      </c>
      <c r="H3491" s="3" t="n">
        <v>0</v>
      </c>
      <c r="I3491" s="3">
        <f>E3491+G3491+H3491</f>
        <v/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/>
      </c>
      <c r="K3491" s="3">
        <f>I3491-J3491</f>
        <v/>
      </c>
      <c r="L3491" s="3">
        <f>IF(K3491&lt;-5,"CRÍTICO",IF(K3491&lt;0,"ATENÇÃO",IF(K3491&lt;=5,"OPORTUNO","MUITO BOM")))</f>
        <v/>
      </c>
      <c r="M3491" s="3" t="n">
        <v>11</v>
      </c>
      <c r="N3491" s="3" t="n">
        <v>100</v>
      </c>
      <c r="O3491" s="12" t="n">
        <v>15.38461538461539</v>
      </c>
    </row>
    <row r="3492">
      <c r="A3492" s="10" t="n">
        <v>46111</v>
      </c>
      <c r="B3492" t="inlineStr">
        <is>
          <t>Patrícia Karla de Sousa Araújo</t>
        </is>
      </c>
      <c r="C3492" s="1" t="inlineStr">
        <is>
          <t>Técnico II</t>
        </is>
      </c>
      <c r="D3492" s="3" t="n">
        <v>38</v>
      </c>
      <c r="E3492" s="3" t="n">
        <v>33</v>
      </c>
      <c r="F3492" s="3" t="n">
        <v>12.27</v>
      </c>
      <c r="G3492" s="3" t="n">
        <v>0</v>
      </c>
      <c r="H3492" s="3" t="n">
        <v>0</v>
      </c>
      <c r="I3492" s="3">
        <f>E3492+G3492+H3492</f>
        <v/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/>
      </c>
      <c r="K3492" s="3">
        <f>I3492-J3492</f>
        <v/>
      </c>
      <c r="L3492" s="3">
        <f>IF(K3492&lt;-5,"CRÍTICO",IF(K3492&lt;0,"ATENÇÃO",IF(K3492&lt;=5,"OPORTUNO","MUITO BOM")))</f>
        <v/>
      </c>
      <c r="M3492" s="3" t="n">
        <v>32</v>
      </c>
      <c r="N3492" s="3" t="n">
        <v>100</v>
      </c>
      <c r="O3492" s="12" t="n">
        <v>27.51479289940828</v>
      </c>
    </row>
    <row r="3493">
      <c r="A3493" s="10" t="n">
        <v>46111</v>
      </c>
      <c r="B3493" t="inlineStr">
        <is>
          <t>Paulo Ricardo Santos</t>
        </is>
      </c>
      <c r="C3493" s="1" t="inlineStr">
        <is>
          <t>JR</t>
        </is>
      </c>
      <c r="D3493" s="3" t="n">
        <v>14</v>
      </c>
      <c r="E3493" s="3" t="n">
        <v>14</v>
      </c>
      <c r="F3493" s="3" t="n">
        <v>30.56</v>
      </c>
      <c r="G3493" s="3" t="n">
        <v>0</v>
      </c>
      <c r="H3493" s="3" t="n">
        <v>0</v>
      </c>
      <c r="I3493" s="3">
        <f>E3493+G3493+H3493</f>
        <v/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/>
      </c>
      <c r="K3493" s="3">
        <f>I3493-J3493</f>
        <v/>
      </c>
      <c r="L3493" s="3">
        <f>IF(K3493&lt;-5,"CRÍTICO",IF(K3493&lt;0,"ATENÇÃO",IF(K3493&lt;=5,"OPORTUNO","MUITO BOM")))</f>
        <v/>
      </c>
      <c r="M3493" s="3" t="n">
        <v>12</v>
      </c>
      <c r="N3493" s="3" t="n">
        <v>100</v>
      </c>
      <c r="O3493" s="12" t="n">
        <v>24.87562189054727</v>
      </c>
    </row>
    <row r="3494">
      <c r="A3494" s="10" t="n">
        <v>46111</v>
      </c>
      <c r="B3494" t="inlineStr">
        <is>
          <t>Pedro Luiz Mota Sousa</t>
        </is>
      </c>
      <c r="C3494" s="1" t="inlineStr">
        <is>
          <t>JR</t>
        </is>
      </c>
      <c r="D3494" s="3" t="n">
        <v>25</v>
      </c>
      <c r="E3494" s="3" t="n">
        <v>22</v>
      </c>
      <c r="F3494" s="3" t="n">
        <v>23.45</v>
      </c>
      <c r="G3494" s="3" t="n">
        <v>0</v>
      </c>
      <c r="H3494" s="3" t="n">
        <v>0</v>
      </c>
      <c r="I3494" s="3">
        <f>E3494+G3494+H3494</f>
        <v/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/>
      </c>
      <c r="K3494" s="3">
        <f>I3494-J3494</f>
        <v/>
      </c>
      <c r="L3494" s="3">
        <f>IF(K3494&lt;-5,"CRÍTICO",IF(K3494&lt;0,"ATENÇÃO",IF(K3494&lt;=5,"OPORTUNO","MUITO BOM")))</f>
        <v/>
      </c>
      <c r="M3494" s="3" t="n">
        <v>17</v>
      </c>
      <c r="N3494" s="3" t="n">
        <v>100</v>
      </c>
      <c r="O3494" s="12" t="n">
        <v>28.10810810810811</v>
      </c>
    </row>
    <row r="3495">
      <c r="A3495" s="10" t="n">
        <v>46139</v>
      </c>
      <c r="B3495" t="inlineStr">
        <is>
          <t>Quirino Diogo Leite Torres</t>
        </is>
      </c>
      <c r="C3495" s="1" t="inlineStr">
        <is>
          <t>Estágio</t>
        </is>
      </c>
      <c r="D3495" s="3" t="n">
        <v>5</v>
      </c>
      <c r="E3495" s="3" t="n">
        <v>4</v>
      </c>
      <c r="F3495" s="3" t="n">
        <v>21.5</v>
      </c>
      <c r="G3495" s="3" t="n">
        <v>0</v>
      </c>
      <c r="H3495" s="3" t="n">
        <v>0</v>
      </c>
      <c r="I3495" s="3">
        <f>E3495+G3495+H3495</f>
        <v/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/>
      </c>
      <c r="K3495" s="3">
        <f>I3495-J3495</f>
        <v/>
      </c>
      <c r="L3495" s="3">
        <f>IF(K3495&lt;-5,"CRÍTICO",IF(K3495&lt;0,"ATENÇÃO",IF(K3495&lt;=5,"OPORTUNO","MUITO BOM")))</f>
        <v/>
      </c>
      <c r="M3495" s="3" t="n">
        <v>4</v>
      </c>
      <c r="N3495" s="3" t="n">
        <v>94.12</v>
      </c>
      <c r="O3495" s="12" t="n">
        <v>32.8</v>
      </c>
    </row>
    <row r="3496">
      <c r="A3496" s="10" t="n">
        <v>46111</v>
      </c>
      <c r="B3496" t="inlineStr">
        <is>
          <t>Raane Batista Matos</t>
        </is>
      </c>
      <c r="C3496" s="1" t="inlineStr">
        <is>
          <t>Técnico I</t>
        </is>
      </c>
      <c r="D3496" s="3" t="n">
        <v>24</v>
      </c>
      <c r="E3496" s="3" t="n">
        <v>23</v>
      </c>
      <c r="F3496" s="3" t="n">
        <v>26.57</v>
      </c>
      <c r="G3496" s="3" t="n">
        <v>0</v>
      </c>
      <c r="H3496" s="3" t="n">
        <v>0</v>
      </c>
      <c r="I3496" s="3">
        <f>E3496+G3496+H3496</f>
        <v/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/>
      </c>
      <c r="K3496" s="3">
        <f>I3496-J3496</f>
        <v/>
      </c>
      <c r="L3496" s="3">
        <f>IF(K3496&lt;-5,"CRÍTICO",IF(K3496&lt;0,"ATENÇÃO",IF(K3496&lt;=5,"OPORTUNO","MUITO BOM")))</f>
        <v/>
      </c>
      <c r="M3496" s="3" t="n">
        <v>14</v>
      </c>
      <c r="N3496" s="3" t="n">
        <v>95.34999999999999</v>
      </c>
      <c r="O3496" s="12" t="n">
        <v>28.61538461538461</v>
      </c>
    </row>
    <row r="3497">
      <c r="A3497" s="10" t="n">
        <v>46111</v>
      </c>
      <c r="B3497" t="inlineStr">
        <is>
          <t>Rafael Gomes de Morais</t>
        </is>
      </c>
      <c r="C3497" s="1" t="inlineStr">
        <is>
          <t>Técnico III</t>
        </is>
      </c>
      <c r="D3497" s="3" t="n">
        <v>41</v>
      </c>
      <c r="E3497" s="3" t="n">
        <v>38</v>
      </c>
      <c r="F3497" s="3" t="n">
        <v>12.28</v>
      </c>
      <c r="G3497" s="3" t="n">
        <v>0</v>
      </c>
      <c r="H3497" s="3" t="n">
        <v>0</v>
      </c>
      <c r="I3497" s="3">
        <f>E3497+G3497+H3497</f>
        <v/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/>
      </c>
      <c r="K3497" s="3">
        <f>I3497-J3497</f>
        <v/>
      </c>
      <c r="L3497" s="3">
        <f>IF(K3497&lt;-5,"CRÍTICO",IF(K3497&lt;0,"ATENÇÃO",IF(K3497&lt;=5,"OPORTUNO","MUITO BOM")))</f>
        <v/>
      </c>
      <c r="M3497" s="3" t="n">
        <v>32</v>
      </c>
      <c r="N3497" s="3" t="n">
        <v>98.26000000000001</v>
      </c>
      <c r="O3497" s="12" t="n">
        <v>27.54491017964072</v>
      </c>
    </row>
    <row r="3498">
      <c r="A3498" s="10" t="n">
        <v>46111</v>
      </c>
      <c r="B3498" t="inlineStr">
        <is>
          <t>Sara Maria Monteiro Lopes</t>
        </is>
      </c>
      <c r="C3498" s="1" t="inlineStr">
        <is>
          <t>Técnico I</t>
        </is>
      </c>
      <c r="D3498" s="3" t="n">
        <v>23</v>
      </c>
      <c r="E3498" s="3" t="n">
        <v>21</v>
      </c>
      <c r="F3498" s="3" t="n">
        <v>22.23</v>
      </c>
      <c r="G3498" s="3" t="n">
        <v>0</v>
      </c>
      <c r="H3498" s="3" t="n">
        <v>0</v>
      </c>
      <c r="I3498" s="3">
        <f>E3498+G3498+H3498</f>
        <v/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/>
      </c>
      <c r="K3498" s="3">
        <f>I3498-J3498</f>
        <v/>
      </c>
      <c r="L3498" s="3">
        <f>IF(K3498&lt;-5,"CRÍTICO",IF(K3498&lt;0,"ATENÇÃO",IF(K3498&lt;=5,"OPORTUNO","MUITO BOM")))</f>
        <v/>
      </c>
      <c r="M3498" s="3" t="n">
        <v>19</v>
      </c>
      <c r="N3498" s="3" t="n">
        <v>98.55</v>
      </c>
      <c r="O3498" s="12" t="n">
        <v>25.33783783783784</v>
      </c>
    </row>
    <row r="3499">
      <c r="A3499" s="10" t="n">
        <v>46111</v>
      </c>
      <c r="B3499" t="inlineStr">
        <is>
          <t>Sarah Steffanie de Lima Borges</t>
        </is>
      </c>
      <c r="C3499" s="1" t="inlineStr">
        <is>
          <t>Técnico III</t>
        </is>
      </c>
      <c r="D3499" s="3" t="n">
        <v>36</v>
      </c>
      <c r="E3499" s="3" t="n">
        <v>36</v>
      </c>
      <c r="F3499" s="3" t="n">
        <v>13.37</v>
      </c>
      <c r="G3499" s="3" t="n">
        <v>0</v>
      </c>
      <c r="H3499" s="3" t="n">
        <v>0</v>
      </c>
      <c r="I3499" s="3">
        <f>E3499+G3499+H3499</f>
        <v/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/>
      </c>
      <c r="K3499" s="3">
        <f>I3499-J3499</f>
        <v/>
      </c>
      <c r="L3499" s="3">
        <f>IF(K3499&lt;-5,"CRÍTICO",IF(K3499&lt;0,"ATENÇÃO",IF(K3499&lt;=5,"OPORTUNO","MUITO BOM")))</f>
        <v/>
      </c>
      <c r="M3499" s="3" t="n">
        <v>30</v>
      </c>
      <c r="N3499" s="3" t="n">
        <v>98.39</v>
      </c>
      <c r="O3499" s="12" t="n">
        <v>25.56390977443609</v>
      </c>
    </row>
    <row r="3500">
      <c r="A3500" s="10" t="n">
        <v>46112</v>
      </c>
      <c r="B3500" t="inlineStr">
        <is>
          <t>Alisson de Freitas Silva</t>
        </is>
      </c>
      <c r="C3500" s="1" t="inlineStr">
        <is>
          <t>Técnico II</t>
        </is>
      </c>
      <c r="D3500" s="3" t="n">
        <v>28</v>
      </c>
      <c r="E3500" s="3" t="n">
        <v>20</v>
      </c>
      <c r="F3500" s="3" t="n">
        <v>13.26</v>
      </c>
      <c r="G3500" s="3" t="n">
        <v>0</v>
      </c>
      <c r="H3500" s="3" t="n">
        <v>0</v>
      </c>
      <c r="I3500" s="3">
        <f>E3500+G3500+H3500</f>
        <v/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/>
      </c>
      <c r="K3500" s="3">
        <f>I3500-J3500</f>
        <v/>
      </c>
      <c r="L3500" s="3">
        <f>IF(K3500&lt;-5,"CRÍTICO",IF(K3500&lt;0,"ATENÇÃO",IF(K3500&lt;=5,"OPORTUNO","MUITO BOM")))</f>
        <v/>
      </c>
      <c r="M3500" s="3" t="n">
        <v>10</v>
      </c>
      <c r="N3500" s="3" t="n">
        <v>94.29000000000001</v>
      </c>
      <c r="O3500" s="12" t="n">
        <v>25.64766839378239</v>
      </c>
    </row>
    <row r="3501">
      <c r="A3501" s="10" t="n">
        <v>46112</v>
      </c>
      <c r="B3501" t="inlineStr">
        <is>
          <t>Amanda Moura Ferreira</t>
        </is>
      </c>
      <c r="C3501" s="1" t="inlineStr">
        <is>
          <t>Técnico III</t>
        </is>
      </c>
      <c r="D3501" s="3" t="n">
        <v>0</v>
      </c>
      <c r="E3501" s="3" t="n">
        <v>0</v>
      </c>
      <c r="F3501" s="3" t="n">
        <v>0</v>
      </c>
      <c r="G3501" s="3" t="n">
        <v>0</v>
      </c>
      <c r="H3501" s="3" t="n">
        <v>0</v>
      </c>
      <c r="I3501" s="3" t="n">
        <v>0</v>
      </c>
      <c r="J3501" s="3" t="n">
        <v>0</v>
      </c>
      <c r="K3501" s="3" t="n">
        <v>0</v>
      </c>
      <c r="L3501" s="3">
        <f>IF(K3501&lt;-5,"CRÍTICO",IF(K3501&lt;0,"ATENÇÃO",IF(K3501&lt;=5,"OPORTUNO","MUITO BOM")))</f>
        <v/>
      </c>
      <c r="M3501" s="3" t="n">
        <v>23</v>
      </c>
      <c r="N3501" s="3" t="n">
        <v>98.26000000000001</v>
      </c>
      <c r="O3501" s="12" t="n">
        <v>26.66666666666667</v>
      </c>
    </row>
    <row r="3502">
      <c r="A3502" s="10" t="n">
        <v>46112</v>
      </c>
      <c r="B3502" t="inlineStr">
        <is>
          <t>Ana Karollyne Souza Faria</t>
        </is>
      </c>
      <c r="C3502" s="1" t="inlineStr">
        <is>
          <t>Técnico I</t>
        </is>
      </c>
      <c r="D3502" s="3" t="n">
        <v>26</v>
      </c>
      <c r="E3502" s="3" t="n">
        <v>22</v>
      </c>
      <c r="F3502" s="3" t="n">
        <v>15.31</v>
      </c>
      <c r="G3502" s="3" t="n">
        <v>0</v>
      </c>
      <c r="H3502" s="3" t="n">
        <v>0</v>
      </c>
      <c r="I3502" s="3">
        <f>E3502+G3502+H3502</f>
        <v/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/>
      </c>
      <c r="K3502" s="3">
        <f>I3502-J3502</f>
        <v/>
      </c>
      <c r="L3502" s="3">
        <f>IF(K3502&lt;-5,"CRÍTICO",IF(K3502&lt;0,"ATENÇÃO",IF(K3502&lt;=5,"OPORTUNO","MUITO BOM")))</f>
        <v/>
      </c>
      <c r="M3502" s="3" t="n">
        <v>20</v>
      </c>
      <c r="N3502" s="3" t="n">
        <v>98.2</v>
      </c>
      <c r="O3502" s="12" t="n">
        <v>23.37962962962963</v>
      </c>
    </row>
    <row r="3503">
      <c r="A3503" s="10" t="n">
        <v>46112</v>
      </c>
      <c r="B3503" t="inlineStr">
        <is>
          <t>Ana Paula Da Luz Silva Aleixo</t>
        </is>
      </c>
      <c r="C3503" s="1" t="inlineStr">
        <is>
          <t>Técnico III</t>
        </is>
      </c>
      <c r="D3503" s="3" t="n">
        <v>30</v>
      </c>
      <c r="E3503" s="3" t="n">
        <v>27</v>
      </c>
      <c r="F3503" s="3" t="n">
        <v>15.15</v>
      </c>
      <c r="G3503" s="3" t="n">
        <v>0</v>
      </c>
      <c r="H3503" s="3" t="n">
        <v>0</v>
      </c>
      <c r="I3503" s="3">
        <f>E3503+G3503+H3503</f>
        <v/>
      </c>
      <c r="J3503" s="3">
        <f>ROUND(MIN(IF(C3503="Técnico III",35,IF(C3503="Técnico II",28,IF(C3503="Técnico I",23,IF(C3503="JR",20,IF(C3503="Estágio",10,0))))),IF(C3503="Técnico III",SUMIFS($D:$D,$A:$A,$A3503,$B:$B,"&lt;&gt;Patrícia Karla de Sousa Araújo",$B:$B,"&lt;&gt;Lorena Dias de Araujo",$B:$B,"&lt;&gt;Lucas Luiz Romero")*(35/1083),IF(C3503="Técnico II",SUMIFS($D:$D,$A:$A,$A3503,$B:$B,"&lt;&gt;Patrícia Karla de Sousa Araújo",$B:$B,"&lt;&gt;Lorena Dias de Araujo",$B:$B,"&lt;&gt;Lucas Luiz Romero")*(28/1083),IF(C3503="Técnico I",SUMIFS($D:$D,$A:$A,$A3503,$B:$B,"&lt;&gt;Patrícia Karla de Sousa Araújo",$B:$B,"&lt;&gt;Lorena Dias de Araujo",$B:$B,"&lt;&gt;Lucas Luiz Romero")*(23/1083),IF(C3503="JR",SUMIFS($D:$D,$A:$A,$A3503,$B:$B,"&lt;&gt;Patrícia Karla de Sousa Araújo",$B:$B,"&lt;&gt;Lorena Dias de Araujo",$B:$B,"&lt;&gt;Lucas Luiz Romero")*(20/1083),IF(C3503="Estágio",SUMIFS($D:$D,$A:$A,$A3503,$B:$B,"&lt;&gt;Patrícia Karla de Sousa Araújo",$B:$B,"&lt;&gt;Lorena Dias de Araujo",$B:$B,"&lt;&gt;Lucas Luiz Romero")*(10/1083),0)))))),0)</f>
        <v/>
      </c>
      <c r="K3503" s="3">
        <f>I3503-J3503</f>
        <v/>
      </c>
      <c r="L3503" s="3">
        <f>IF(K3503&lt;-5,"CRÍTICO",IF(K3503&lt;0,"ATENÇÃO",IF(K3503&lt;=5,"OPORTUNO","MUITO BOM")))</f>
        <v/>
      </c>
      <c r="M3503" s="3" t="n">
        <v>23</v>
      </c>
      <c r="N3503" s="3" t="n">
        <v>97.3</v>
      </c>
      <c r="O3503" s="12" t="n">
        <v>23.84769539078156</v>
      </c>
    </row>
    <row r="3504">
      <c r="A3504" s="10" t="n">
        <v>46112</v>
      </c>
      <c r="B3504" t="inlineStr">
        <is>
          <t>Anna Luiza Rezende Tavares</t>
        </is>
      </c>
      <c r="C3504" s="1" t="inlineStr">
        <is>
          <t>Estágio</t>
        </is>
      </c>
      <c r="D3504" s="3" t="n">
        <v>21</v>
      </c>
      <c r="E3504" s="3" t="n">
        <v>21</v>
      </c>
      <c r="F3504" s="3" t="n">
        <v>15.48</v>
      </c>
      <c r="G3504" s="3" t="n">
        <v>0</v>
      </c>
      <c r="H3504" s="3" t="n">
        <v>0</v>
      </c>
      <c r="I3504" s="3">
        <f>E3504+G3504+H3504</f>
        <v/>
      </c>
      <c r="J3504" s="3">
        <f>ROUND(MIN(IF(C3504="Técnico III",35,IF(C3504="Técnico II",28,IF(C3504="Técnico I",23,IF(C3504="JR",20,IF(C3504="Estágio",10,0))))),IF(C3504="Técnico III",SUMIFS($D:$D,$A:$A,$A3504,$B:$B,"&lt;&gt;Patrícia Karla de Sousa Araújo",$B:$B,"&lt;&gt;Lorena Dias de Araujo",$B:$B,"&lt;&gt;Lucas Luiz Romero")*(35/1083),IF(C3504="Técnico II",SUMIFS($D:$D,$A:$A,$A3504,$B:$B,"&lt;&gt;Patrícia Karla de Sousa Araújo",$B:$B,"&lt;&gt;Lorena Dias de Araujo",$B:$B,"&lt;&gt;Lucas Luiz Romero")*(28/1083),IF(C3504="Técnico I",SUMIFS($D:$D,$A:$A,$A3504,$B:$B,"&lt;&gt;Patrícia Karla de Sousa Araújo",$B:$B,"&lt;&gt;Lorena Dias de Araujo",$B:$B,"&lt;&gt;Lucas Luiz Romero")*(23/1083),IF(C3504="JR",SUMIFS($D:$D,$A:$A,$A3504,$B:$B,"&lt;&gt;Patrícia Karla de Sousa Araújo",$B:$B,"&lt;&gt;Lorena Dias de Araujo",$B:$B,"&lt;&gt;Lucas Luiz Romero")*(20/1083),IF(C3504="Estágio",SUMIFS($D:$D,$A:$A,$A3504,$B:$B,"&lt;&gt;Patrícia Karla de Sousa Araújo",$B:$B,"&lt;&gt;Lorena Dias de Araujo",$B:$B,"&lt;&gt;Lucas Luiz Romero")*(10/1083),0)))))),0)</f>
        <v/>
      </c>
      <c r="K3504" s="3">
        <f>I3504-J3504</f>
        <v/>
      </c>
      <c r="L3504" s="3">
        <f>IF(K3504&lt;-5,"CRÍTICO",IF(K3504&lt;0,"ATENÇÃO",IF(K3504&lt;=5,"OPORTUNO","MUITO BOM")))</f>
        <v/>
      </c>
      <c r="M3504" s="3" t="n">
        <v>16</v>
      </c>
      <c r="N3504" s="3" t="n">
        <v>100</v>
      </c>
      <c r="O3504" s="12" t="n">
        <v>25.26881720430108</v>
      </c>
    </row>
    <row r="3505">
      <c r="A3505" s="10" t="n">
        <v>46112</v>
      </c>
      <c r="B3505" t="inlineStr">
        <is>
          <t>Brenda de Menezes Silva</t>
        </is>
      </c>
      <c r="C3505" s="1" t="inlineStr">
        <is>
          <t>Técnico II</t>
        </is>
      </c>
      <c r="D3505" s="3" t="n">
        <v>31</v>
      </c>
      <c r="E3505" s="3" t="n">
        <v>27</v>
      </c>
      <c r="F3505" s="3" t="n">
        <v>19.02</v>
      </c>
      <c r="G3505" s="3" t="n">
        <v>0</v>
      </c>
      <c r="H3505" s="3" t="n">
        <v>0</v>
      </c>
      <c r="I3505" s="3">
        <f>E3505+G3505+H3505</f>
        <v/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/>
      </c>
      <c r="K3505" s="3">
        <f>I3505-J3505</f>
        <v/>
      </c>
      <c r="L3505" s="3">
        <f>IF(K3505&lt;-5,"CRÍTICO",IF(K3505&lt;0,"ATENÇÃO",IF(K3505&lt;=5,"OPORTUNO","MUITO BOM")))</f>
        <v/>
      </c>
      <c r="M3505" s="3" t="n">
        <v>30</v>
      </c>
      <c r="N3505" s="3" t="n">
        <v>99.31999999999999</v>
      </c>
      <c r="O3505" s="12" t="n">
        <v>22.82282282282282</v>
      </c>
    </row>
    <row r="3506">
      <c r="A3506" s="10" t="n">
        <v>46112</v>
      </c>
      <c r="B3506" t="inlineStr">
        <is>
          <t>Carlos Mateus Cassimiro Nunes</t>
        </is>
      </c>
      <c r="C3506" s="1" t="inlineStr">
        <is>
          <t>Técnico II</t>
        </is>
      </c>
      <c r="D3506" s="3" t="n">
        <v>28</v>
      </c>
      <c r="E3506" s="3" t="n">
        <v>27</v>
      </c>
      <c r="F3506" s="3" t="n">
        <v>21.4</v>
      </c>
      <c r="G3506" s="3" t="n">
        <v>0</v>
      </c>
      <c r="H3506" s="3" t="n">
        <v>0</v>
      </c>
      <c r="I3506" s="3">
        <f>E3506+G3506+H3506</f>
        <v/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/>
      </c>
      <c r="K3506" s="3">
        <f>I3506-J3506</f>
        <v/>
      </c>
      <c r="L3506" s="3">
        <f>IF(K3506&lt;-5,"CRÍTICO",IF(K3506&lt;0,"ATENÇÃO",IF(K3506&lt;=5,"OPORTUNO","MUITO BOM")))</f>
        <v/>
      </c>
      <c r="M3506" s="3" t="n">
        <v>26</v>
      </c>
      <c r="N3506" s="3" t="n">
        <v>100</v>
      </c>
      <c r="O3506" s="12" t="n">
        <v>27.96610169491525</v>
      </c>
    </row>
    <row r="3507">
      <c r="A3507" s="10" t="n">
        <v>46112</v>
      </c>
      <c r="B3507" t="inlineStr">
        <is>
          <t>Claudio de Sousa Velasco Filho</t>
        </is>
      </c>
      <c r="C3507" s="1" t="inlineStr">
        <is>
          <t>Estágio</t>
        </is>
      </c>
      <c r="D3507" s="3" t="n">
        <v>10</v>
      </c>
      <c r="E3507" s="3" t="n">
        <v>10</v>
      </c>
      <c r="F3507" s="3" t="n">
        <v>25.03</v>
      </c>
      <c r="G3507" s="3" t="n">
        <v>0</v>
      </c>
      <c r="H3507" s="3" t="n">
        <v>0</v>
      </c>
      <c r="I3507" s="3">
        <f>E3507+G3507+H3507</f>
        <v/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/>
      </c>
      <c r="K3507" s="3">
        <f>I3507-J3507</f>
        <v/>
      </c>
      <c r="L3507" s="3">
        <f>IF(K3507&lt;-5,"CRÍTICO",IF(K3507&lt;0,"ATENÇÃO",IF(K3507&lt;=5,"OPORTUNO","MUITO BOM")))</f>
        <v/>
      </c>
      <c r="M3507" s="3" t="n">
        <v>6</v>
      </c>
      <c r="N3507" s="3" t="n">
        <v>100</v>
      </c>
      <c r="O3507" s="12" t="n">
        <v>30.43478260869566</v>
      </c>
    </row>
    <row r="3508">
      <c r="A3508" s="10" t="n">
        <v>46112</v>
      </c>
      <c r="B3508" t="inlineStr">
        <is>
          <t>Clessiane Pereira dos Santos</t>
        </is>
      </c>
      <c r="C3508" s="1" t="inlineStr">
        <is>
          <t>Técnico I</t>
        </is>
      </c>
      <c r="D3508" s="3" t="n">
        <v>12</v>
      </c>
      <c r="E3508" s="3" t="n">
        <v>12</v>
      </c>
      <c r="F3508" s="3" t="n">
        <v>18.3</v>
      </c>
      <c r="G3508" s="3" t="n">
        <v>0</v>
      </c>
      <c r="H3508" s="3" t="n">
        <v>0</v>
      </c>
      <c r="I3508" s="3">
        <f>E3508+G3508+H3508</f>
        <v/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/>
      </c>
      <c r="K3508" s="3">
        <f>I3508-J3508</f>
        <v/>
      </c>
      <c r="L3508" s="3">
        <f>IF(K3508&lt;-5,"CRÍTICO",IF(K3508&lt;0,"ATENÇÃO",IF(K3508&lt;=5,"OPORTUNO","MUITO BOM")))</f>
        <v/>
      </c>
      <c r="M3508" s="3" t="n">
        <v>10</v>
      </c>
      <c r="N3508" s="3" t="n">
        <v>96.51000000000001</v>
      </c>
      <c r="O3508" s="12" t="n">
        <v>22.80285035629454</v>
      </c>
    </row>
    <row r="3509">
      <c r="A3509" s="10" t="n">
        <v>46112</v>
      </c>
      <c r="B3509" t="inlineStr">
        <is>
          <t>Cristiane Ramos da Silva Rocha</t>
        </is>
      </c>
      <c r="C3509" s="1" t="inlineStr">
        <is>
          <t>Técnico III</t>
        </is>
      </c>
      <c r="D3509" s="3" t="n">
        <v>33</v>
      </c>
      <c r="E3509" s="3" t="n">
        <v>30</v>
      </c>
      <c r="F3509" s="3" t="n">
        <v>12.05</v>
      </c>
      <c r="G3509" s="3" t="n">
        <v>0</v>
      </c>
      <c r="H3509" s="3" t="n">
        <v>0</v>
      </c>
      <c r="I3509" s="3">
        <f>E3509+G3509+H3509</f>
        <v/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/>
      </c>
      <c r="K3509" s="3">
        <f>I3509-J3509</f>
        <v/>
      </c>
      <c r="L3509" s="3">
        <f>IF(K3509&lt;-5,"CRÍTICO",IF(K3509&lt;0,"ATENÇÃO",IF(K3509&lt;=5,"OPORTUNO","MUITO BOM")))</f>
        <v/>
      </c>
      <c r="M3509" s="3" t="n">
        <v>26</v>
      </c>
      <c r="N3509" s="3" t="n">
        <v>92.68000000000001</v>
      </c>
      <c r="O3509" s="12" t="n">
        <v>27.77777777777778</v>
      </c>
    </row>
    <row r="3510">
      <c r="A3510" s="10" t="n">
        <v>46112</v>
      </c>
      <c r="B3510" t="inlineStr">
        <is>
          <t>Damyllis Lorraine de Oliveira Gonçalves</t>
        </is>
      </c>
      <c r="C3510" s="1" t="inlineStr">
        <is>
          <t>Técnico II</t>
        </is>
      </c>
      <c r="D3510" s="3" t="n">
        <v>14</v>
      </c>
      <c r="E3510" s="3" t="n">
        <v>12</v>
      </c>
      <c r="F3510" s="3" t="n">
        <v>16.42</v>
      </c>
      <c r="G3510" s="3" t="n">
        <v>0</v>
      </c>
      <c r="H3510" s="3" t="n">
        <v>0</v>
      </c>
      <c r="I3510" s="3" t="n">
        <v>0</v>
      </c>
      <c r="J3510" s="3" t="n">
        <v>0</v>
      </c>
      <c r="K3510" s="3" t="n">
        <v>0</v>
      </c>
      <c r="L3510" s="3">
        <f>IF(K3510&lt;-5,"CRÍTICO",IF(K3510&lt;0,"ATENÇÃO",IF(K3510&lt;=5,"OPORTUNO","MUITO BOM")))</f>
        <v/>
      </c>
      <c r="M3510" s="3" t="n">
        <v>11</v>
      </c>
      <c r="N3510" s="3" t="n">
        <v>99.03</v>
      </c>
      <c r="O3510" s="12" t="n">
        <v>23.99150743099788</v>
      </c>
    </row>
    <row r="3511">
      <c r="A3511" s="10" t="n">
        <v>46112</v>
      </c>
      <c r="B3511" t="inlineStr">
        <is>
          <t>Daniel Gomes da Silva</t>
        </is>
      </c>
      <c r="C3511" s="1" t="inlineStr">
        <is>
          <t>Técnico I</t>
        </is>
      </c>
      <c r="D3511" s="3" t="n">
        <v>19</v>
      </c>
      <c r="E3511" s="3" t="n">
        <v>18</v>
      </c>
      <c r="F3511" s="3" t="n">
        <v>23.52</v>
      </c>
      <c r="G3511" s="3" t="n">
        <v>0</v>
      </c>
      <c r="H3511" s="3" t="n">
        <v>0</v>
      </c>
      <c r="I3511" s="3">
        <f>E3511+G3511+H3511</f>
        <v/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/>
      </c>
      <c r="K3511" s="3">
        <f>I3511-J3511</f>
        <v/>
      </c>
      <c r="L3511" s="3">
        <f>IF(K3511&lt;-5,"CRÍTICO",IF(K3511&lt;0,"ATENÇÃO",IF(K3511&lt;=5,"OPORTUNO","MUITO BOM")))</f>
        <v/>
      </c>
      <c r="M3511" s="3" t="n">
        <v>8</v>
      </c>
      <c r="N3511" s="3" t="n">
        <v>98.41</v>
      </c>
      <c r="O3511" s="12" t="n">
        <v>28.13852813852814</v>
      </c>
    </row>
    <row r="3512">
      <c r="A3512" s="10" t="n">
        <v>46112</v>
      </c>
      <c r="B3512" t="inlineStr">
        <is>
          <t>Davylla Rodrigues Freitas Silva</t>
        </is>
      </c>
      <c r="C3512" s="1" t="inlineStr">
        <is>
          <t>Técnico III</t>
        </is>
      </c>
      <c r="D3512" s="3" t="n">
        <v>37</v>
      </c>
      <c r="E3512" s="3" t="n">
        <v>35</v>
      </c>
      <c r="F3512" s="3" t="n">
        <v>17.06</v>
      </c>
      <c r="G3512" s="3" t="n">
        <v>0</v>
      </c>
      <c r="H3512" s="3" t="n">
        <v>0</v>
      </c>
      <c r="I3512" s="3" t="n">
        <v>0</v>
      </c>
      <c r="J3512" s="3" t="n">
        <v>0</v>
      </c>
      <c r="K3512" s="3" t="n">
        <v>0</v>
      </c>
      <c r="L3512" s="3">
        <f>IF(K3512&lt;-5,"CRÍTICO",IF(K3512&lt;0,"ATENÇÃO",IF(K3512&lt;=5,"OPORTUNO","MUITO BOM")))</f>
        <v/>
      </c>
      <c r="M3512" s="3" t="n">
        <v>35</v>
      </c>
      <c r="N3512" s="3" t="n">
        <v>98.73</v>
      </c>
      <c r="O3512" s="12" t="n">
        <v>29.14285714285714</v>
      </c>
    </row>
    <row r="3513">
      <c r="A3513" s="10" t="n">
        <v>46112</v>
      </c>
      <c r="B3513" t="inlineStr">
        <is>
          <t>Emilly Caylane Costa</t>
        </is>
      </c>
      <c r="C3513" s="1" t="inlineStr">
        <is>
          <t>Estágio</t>
        </is>
      </c>
      <c r="D3513" s="3" t="n">
        <v>8</v>
      </c>
      <c r="E3513" s="3" t="n">
        <v>5</v>
      </c>
      <c r="F3513" s="3" t="n">
        <v>35.32</v>
      </c>
      <c r="G3513" s="3" t="n">
        <v>0</v>
      </c>
      <c r="H3513" s="3" t="n">
        <v>0</v>
      </c>
      <c r="I3513" s="3">
        <f>E3513+G3513+H3513</f>
        <v/>
      </c>
      <c r="J3513" s="3">
        <f>ROUND(MIN(IF(C3513="Técnico III",35,IF(C3513="Técnico II",28,IF(C3513="Técnico I",23,IF(C3513="JR",20,IF(C3513="Estágio",10,0))))),IF(C3513="Técnico III",SUMIFS($D:$D,$A:$A,$A3513,$B:$B,"&lt;&gt;Patrícia Karla de Sousa Araújo",$B:$B,"&lt;&gt;Lorena Dias de Araujo",$B:$B,"&lt;&gt;Lucas Luiz Romero")*(35/1083),IF(C3513="Técnico II",SUMIFS($D:$D,$A:$A,$A3513,$B:$B,"&lt;&gt;Patrícia Karla de Sousa Araújo",$B:$B,"&lt;&gt;Lorena Dias de Araujo",$B:$B,"&lt;&gt;Lucas Luiz Romero")*(28/1083),IF(C3513="Técnico I",SUMIFS($D:$D,$A:$A,$A3513,$B:$B,"&lt;&gt;Patrícia Karla de Sousa Araújo",$B:$B,"&lt;&gt;Lorena Dias de Araujo",$B:$B,"&lt;&gt;Lucas Luiz Romero")*(23/1083),IF(C3513="JR",SUMIFS($D:$D,$A:$A,$A3513,$B:$B,"&lt;&gt;Patrícia Karla de Sousa Araújo",$B:$B,"&lt;&gt;Lorena Dias de Araujo",$B:$B,"&lt;&gt;Lucas Luiz Romero")*(20/1083),IF(C3513="Estágio",SUMIFS($D:$D,$A:$A,$A3513,$B:$B,"&lt;&gt;Patrícia Karla de Sousa Araújo",$B:$B,"&lt;&gt;Lorena Dias de Araujo",$B:$B,"&lt;&gt;Lucas Luiz Romero")*(10/1083),0)))))),0)</f>
        <v/>
      </c>
      <c r="K3513" s="3">
        <f>I3513-J3513</f>
        <v/>
      </c>
      <c r="L3513" s="3">
        <f>IF(K3513&lt;-5,"CRÍTICO",IF(K3513&lt;0,"ATENÇÃO",IF(K3513&lt;=5,"OPORTUNO","MUITO BOM")))</f>
        <v/>
      </c>
      <c r="M3513" s="3" t="n">
        <v>3</v>
      </c>
      <c r="N3513" s="3" t="n">
        <v>90.48</v>
      </c>
      <c r="O3513" s="12" t="n">
        <v>20.68965517241379</v>
      </c>
    </row>
    <row r="3514">
      <c r="A3514" s="10" t="n">
        <v>46112</v>
      </c>
      <c r="B3514" t="inlineStr">
        <is>
          <t>Emilly Kamilly Medeiros Miranda</t>
        </is>
      </c>
      <c r="C3514" s="1" t="inlineStr">
        <is>
          <t>Técnico II</t>
        </is>
      </c>
      <c r="D3514" s="3" t="n">
        <v>22</v>
      </c>
      <c r="E3514" s="3" t="n">
        <v>21</v>
      </c>
      <c r="F3514" s="3" t="n">
        <v>17.35</v>
      </c>
      <c r="G3514" s="3" t="n">
        <v>0</v>
      </c>
      <c r="H3514" s="3" t="n">
        <v>0</v>
      </c>
      <c r="I3514" s="3">
        <f>E3514+G3514+H3514</f>
        <v/>
      </c>
      <c r="J3514" s="3">
        <f>ROUND(MIN(IF(C3514="Técnico III",35,IF(C3514="Técnico II",28,IF(C3514="Técnico I",23,IF(C3514="JR",20,IF(C3514="Estágio",10,0))))),IF(C3514="Técnico III",SUMIFS($D:$D,$A:$A,$A3514,$B:$B,"&lt;&gt;Patrícia Karla de Sousa Araújo",$B:$B,"&lt;&gt;Lorena Dias de Araujo",$B:$B,"&lt;&gt;Lucas Luiz Romero")*(35/1083),IF(C3514="Técnico II",SUMIFS($D:$D,$A:$A,$A3514,$B:$B,"&lt;&gt;Patrícia Karla de Sousa Araújo",$B:$B,"&lt;&gt;Lorena Dias de Araujo",$B:$B,"&lt;&gt;Lucas Luiz Romero")*(28/1083),IF(C3514="Técnico I",SUMIFS($D:$D,$A:$A,$A3514,$B:$B,"&lt;&gt;Patrícia Karla de Sousa Araújo",$B:$B,"&lt;&gt;Lorena Dias de Araujo",$B:$B,"&lt;&gt;Lucas Luiz Romero")*(23/1083),IF(C3514="JR",SUMIFS($D:$D,$A:$A,$A3514,$B:$B,"&lt;&gt;Patrícia Karla de Sousa Araújo",$B:$B,"&lt;&gt;Lorena Dias de Araujo",$B:$B,"&lt;&gt;Lucas Luiz Romero")*(20/1083),IF(C3514="Estágio",SUMIFS($D:$D,$A:$A,$A3514,$B:$B,"&lt;&gt;Patrícia Karla de Sousa Araújo",$B:$B,"&lt;&gt;Lorena Dias de Araujo",$B:$B,"&lt;&gt;Lucas Luiz Romero")*(10/1083),0)))))),0)</f>
        <v/>
      </c>
      <c r="K3514" s="3">
        <f>I3514-J3514</f>
        <v/>
      </c>
      <c r="L3514" s="3">
        <f>IF(K3514&lt;-5,"CRÍTICO",IF(K3514&lt;0,"ATENÇÃO",IF(K3514&lt;=5,"OPORTUNO","MUITO BOM")))</f>
        <v/>
      </c>
      <c r="M3514" s="3" t="n">
        <v>18</v>
      </c>
      <c r="N3514" s="3" t="n">
        <v>98.06</v>
      </c>
      <c r="O3514" s="12" t="n">
        <v>24.78991596638656</v>
      </c>
    </row>
    <row r="3515">
      <c r="A3515" s="10" t="n">
        <v>46112</v>
      </c>
      <c r="B3515" t="inlineStr">
        <is>
          <t>Francielson de Oliveira</t>
        </is>
      </c>
      <c r="C3515" s="1" t="inlineStr">
        <is>
          <t>Técnico III</t>
        </is>
      </c>
      <c r="D3515" s="3" t="n">
        <v>0</v>
      </c>
      <c r="E3515" s="3" t="n">
        <v>0</v>
      </c>
      <c r="F3515" s="3" t="n">
        <v>0</v>
      </c>
      <c r="G3515" s="3" t="n">
        <v>0</v>
      </c>
      <c r="H3515" s="3" t="n">
        <v>0</v>
      </c>
      <c r="I3515" s="3" t="n">
        <v>0</v>
      </c>
      <c r="J3515" s="3" t="n">
        <v>0</v>
      </c>
      <c r="K3515" s="3" t="n">
        <v>0</v>
      </c>
      <c r="L3515" s="3">
        <f>IF(K3515&lt;-5,"CRÍTICO",IF(K3515&lt;0,"ATENÇÃO",IF(K3515&lt;=5,"OPORTUNO","MUITO BOM")))</f>
        <v/>
      </c>
      <c r="M3515" s="3" t="n">
        <v>0</v>
      </c>
      <c r="N3515" s="3" t="n">
        <v>97.78</v>
      </c>
      <c r="O3515" s="12" t="n">
        <v>25.49407114624506</v>
      </c>
    </row>
    <row r="3516">
      <c r="A3516" s="10" t="n">
        <v>46112</v>
      </c>
      <c r="B3516" t="inlineStr">
        <is>
          <t>Francilene Ferreira de Jesus</t>
        </is>
      </c>
      <c r="C3516" s="1" t="inlineStr">
        <is>
          <t>Técnico II</t>
        </is>
      </c>
      <c r="D3516" s="3" t="n">
        <v>29</v>
      </c>
      <c r="E3516" s="3" t="n">
        <v>26</v>
      </c>
      <c r="F3516" s="3" t="n">
        <v>17.36</v>
      </c>
      <c r="G3516" s="3" t="n">
        <v>0</v>
      </c>
      <c r="H3516" s="3" t="n">
        <v>0</v>
      </c>
      <c r="I3516" s="3">
        <f>E3516+G3516+H3516</f>
        <v/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/>
      </c>
      <c r="K3516" s="3">
        <f>I3516-J3516</f>
        <v/>
      </c>
      <c r="L3516" s="3">
        <f>IF(K3516&lt;-5,"CRÍTICO",IF(K3516&lt;0,"ATENÇÃO",IF(K3516&lt;=5,"OPORTUNO","MUITO BOM")))</f>
        <v/>
      </c>
      <c r="M3516" s="3" t="n">
        <v>22</v>
      </c>
      <c r="N3516" s="3" t="n">
        <v>98.02</v>
      </c>
      <c r="O3516" s="12" t="n">
        <v>23.48484848484848</v>
      </c>
    </row>
    <row r="3517">
      <c r="A3517" s="7" t="n">
        <v>46161</v>
      </c>
      <c r="B3517" s="8" t="inlineStr">
        <is>
          <t>Jéssica Fé Moura</t>
        </is>
      </c>
      <c r="C3517" s="1" t="inlineStr">
        <is>
          <t>Técnico III</t>
        </is>
      </c>
      <c r="D3517" s="3" t="n">
        <v>0</v>
      </c>
      <c r="E3517" s="3" t="n">
        <v>0</v>
      </c>
      <c r="F3517" s="3" t="n">
        <v>0</v>
      </c>
      <c r="G3517" s="3" t="n">
        <v>0</v>
      </c>
      <c r="H3517" s="3" t="n">
        <v>0</v>
      </c>
      <c r="I3517" s="3" t="n">
        <v>0</v>
      </c>
      <c r="J3517" s="3" t="n">
        <v>0</v>
      </c>
      <c r="K3517" s="3" t="n">
        <v>0</v>
      </c>
      <c r="L3517" s="3" t="inlineStr">
        <is>
          <t>BOM</t>
        </is>
      </c>
      <c r="M3517" s="3" t="n">
        <v>0</v>
      </c>
      <c r="N3517" s="3" t="n">
        <v>0</v>
      </c>
      <c r="O3517" s="12" t="n">
        <v>0</v>
      </c>
    </row>
    <row r="3518">
      <c r="A3518" s="10" t="n">
        <v>46112</v>
      </c>
      <c r="B3518" t="inlineStr">
        <is>
          <t>Isabella Borges de Oliveira</t>
        </is>
      </c>
      <c r="C3518" s="1" t="inlineStr">
        <is>
          <t>Técnico II</t>
        </is>
      </c>
      <c r="D3518" s="3" t="n">
        <v>30</v>
      </c>
      <c r="E3518" s="3" t="n">
        <v>29</v>
      </c>
      <c r="F3518" s="3" t="n">
        <v>19.11</v>
      </c>
      <c r="G3518" s="3" t="n">
        <v>0</v>
      </c>
      <c r="H3518" s="3" t="n">
        <v>0</v>
      </c>
      <c r="I3518" s="3">
        <f>E3518+G3518+H3518</f>
        <v/>
      </c>
      <c r="J3518" s="3">
        <f>ROUND(MIN(IF(C3518="Técnico III",35,IF(C3518="Técnico II",28,IF(C3518="Técnico I",23,IF(C3518="JR",20,IF(C3518="Estágio",10,0))))),IF(C3518="Técnico III",SUMIFS($D:$D,$A:$A,$A3518,$B:$B,"&lt;&gt;Patrícia Karla de Sousa Araújo",$B:$B,"&lt;&gt;Lorena Dias de Araujo",$B:$B,"&lt;&gt;Lucas Luiz Romero")*(35/1083),IF(C3518="Técnico II",SUMIFS($D:$D,$A:$A,$A3518,$B:$B,"&lt;&gt;Patrícia Karla de Sousa Araújo",$B:$B,"&lt;&gt;Lorena Dias de Araujo",$B:$B,"&lt;&gt;Lucas Luiz Romero")*(28/1083),IF(C3518="Técnico I",SUMIFS($D:$D,$A:$A,$A3518,$B:$B,"&lt;&gt;Patrícia Karla de Sousa Araújo",$B:$B,"&lt;&gt;Lorena Dias de Araujo",$B:$B,"&lt;&gt;Lucas Luiz Romero")*(23/1083),IF(C3518="JR",SUMIFS($D:$D,$A:$A,$A3518,$B:$B,"&lt;&gt;Patrícia Karla de Sousa Araújo",$B:$B,"&lt;&gt;Lorena Dias de Araujo",$B:$B,"&lt;&gt;Lucas Luiz Romero")*(20/1083),IF(C3518="Estágio",SUMIFS($D:$D,$A:$A,$A3518,$B:$B,"&lt;&gt;Patrícia Karla de Sousa Araújo",$B:$B,"&lt;&gt;Lorena Dias de Araujo",$B:$B,"&lt;&gt;Lucas Luiz Romero")*(10/1083),0)))))),0)</f>
        <v/>
      </c>
      <c r="K3518" s="3">
        <f>I3518-J3518</f>
        <v/>
      </c>
      <c r="L3518" s="3">
        <f>IF(K3518&lt;-5,"CRÍTICO",IF(K3518&lt;0,"ATENÇÃO",IF(K3518&lt;=5,"OPORTUNO","MUITO BOM")))</f>
        <v/>
      </c>
      <c r="M3518" s="3" t="n">
        <v>29</v>
      </c>
      <c r="N3518" s="3" t="n">
        <v>100</v>
      </c>
      <c r="O3518" s="12" t="n">
        <v>27.04918032786885</v>
      </c>
    </row>
    <row r="3519">
      <c r="A3519" s="10" t="n">
        <v>46112</v>
      </c>
      <c r="B3519" t="inlineStr">
        <is>
          <t>Janaina Lima dos Reis Urany</t>
        </is>
      </c>
      <c r="C3519" s="1" t="inlineStr">
        <is>
          <t>Técnico III</t>
        </is>
      </c>
      <c r="D3519" s="3" t="n">
        <v>51</v>
      </c>
      <c r="E3519" s="3" t="n">
        <v>42</v>
      </c>
      <c r="F3519" s="3" t="n">
        <v>13.24</v>
      </c>
      <c r="G3519" s="3" t="n">
        <v>0</v>
      </c>
      <c r="H3519" s="3" t="n">
        <v>0</v>
      </c>
      <c r="I3519" s="3">
        <f>E3519+G3519+H3519</f>
        <v/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/>
      </c>
      <c r="K3519" s="3">
        <f>I3519-J3519</f>
        <v/>
      </c>
      <c r="L3519" s="3">
        <f>IF(K3519&lt;-5,"CRÍTICO",IF(K3519&lt;0,"ATENÇÃO",IF(K3519&lt;=5,"OPORTUNO","MUITO BOM")))</f>
        <v/>
      </c>
      <c r="M3519" s="3" t="n">
        <v>45</v>
      </c>
      <c r="N3519" s="3" t="n">
        <v>97.83</v>
      </c>
      <c r="O3519" s="12" t="n">
        <v>26.31578947368421</v>
      </c>
    </row>
    <row r="3520">
      <c r="A3520" s="10" t="n">
        <v>46112</v>
      </c>
      <c r="B3520" t="inlineStr">
        <is>
          <t>Jaqueline Evangelista da Silva Martins</t>
        </is>
      </c>
      <c r="C3520" s="1" t="inlineStr">
        <is>
          <t>Técnico III</t>
        </is>
      </c>
      <c r="D3520" s="3" t="n">
        <v>0</v>
      </c>
      <c r="E3520" s="3" t="n">
        <v>0</v>
      </c>
      <c r="F3520" s="3" t="n">
        <v>0</v>
      </c>
      <c r="G3520" s="3" t="n">
        <v>0</v>
      </c>
      <c r="H3520" s="3" t="n">
        <v>0</v>
      </c>
      <c r="I3520" s="3" t="n">
        <v>0</v>
      </c>
      <c r="J3520" s="3" t="n">
        <v>0</v>
      </c>
      <c r="K3520" s="3" t="n">
        <v>0</v>
      </c>
      <c r="L3520" s="3">
        <f>IF(K3520&lt;-5,"CRÍTICO",IF(K3520&lt;0,"ATENÇÃO",IF(K3520&lt;=5,"OPORTUNO","MUITO BOM")))</f>
        <v/>
      </c>
      <c r="M3520" s="3" t="n">
        <v>0</v>
      </c>
      <c r="N3520" s="3" t="n">
        <v>100</v>
      </c>
      <c r="O3520" s="12" t="n">
        <v>26.70157068062827</v>
      </c>
    </row>
    <row r="3521">
      <c r="A3521" s="10" t="n">
        <v>46112</v>
      </c>
      <c r="B3521" t="inlineStr">
        <is>
          <t>Jessica Faria da Silveira</t>
        </is>
      </c>
      <c r="C3521" s="1" t="inlineStr">
        <is>
          <t>Técnico II</t>
        </is>
      </c>
      <c r="D3521" s="3" t="n">
        <v>18</v>
      </c>
      <c r="E3521" s="3" t="n">
        <v>14</v>
      </c>
      <c r="F3521" s="3" t="n">
        <v>14.11</v>
      </c>
      <c r="G3521" s="3" t="n">
        <v>0</v>
      </c>
      <c r="H3521" s="3" t="n">
        <v>0</v>
      </c>
      <c r="I3521" s="3">
        <f>E3521+G3521+H3521</f>
        <v/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/>
      </c>
      <c r="K3521" s="3">
        <f>I3521-J3521</f>
        <v/>
      </c>
      <c r="L3521" s="3">
        <f>IF(K3521&lt;-5,"CRÍTICO",IF(K3521&lt;0,"ATENÇÃO",IF(K3521&lt;=5,"OPORTUNO","MUITO BOM")))</f>
        <v/>
      </c>
      <c r="M3521" s="3" t="n">
        <v>13</v>
      </c>
      <c r="N3521" s="3" t="n">
        <v>97.47</v>
      </c>
      <c r="O3521" s="12" t="n">
        <v>22.88732394366197</v>
      </c>
    </row>
    <row r="3522">
      <c r="A3522" s="10" t="n">
        <v>46112</v>
      </c>
      <c r="B3522" t="inlineStr">
        <is>
          <t>Jéssica Fé Moura</t>
        </is>
      </c>
      <c r="C3522" s="1" t="inlineStr">
        <is>
          <t>Técnico III</t>
        </is>
      </c>
      <c r="D3522" s="3" t="n">
        <v>0</v>
      </c>
      <c r="E3522" s="3" t="n">
        <v>0</v>
      </c>
      <c r="F3522" s="3" t="n">
        <v>0</v>
      </c>
      <c r="G3522" s="3" t="n">
        <v>0</v>
      </c>
      <c r="H3522" s="3" t="n">
        <v>0</v>
      </c>
      <c r="I3522" s="3" t="n">
        <v>0</v>
      </c>
      <c r="J3522" s="3" t="n">
        <v>0</v>
      </c>
      <c r="K3522" s="3" t="n">
        <v>0</v>
      </c>
      <c r="L3522" s="3">
        <f>IF(K3522&lt;-5,"CRÍTICO",IF(K3522&lt;0,"ATENÇÃO",IF(K3522&lt;=5,"OPORTUNO","MUITO BOM")))</f>
        <v/>
      </c>
      <c r="M3522" s="3" t="n">
        <v>0</v>
      </c>
      <c r="N3522" s="3" t="n">
        <v>0</v>
      </c>
      <c r="O3522" s="12" t="n">
        <v>0</v>
      </c>
    </row>
    <row r="3523">
      <c r="A3523" s="10" t="n">
        <v>46112</v>
      </c>
      <c r="B3523" t="inlineStr">
        <is>
          <t>Karina Gonçalves Martins</t>
        </is>
      </c>
      <c r="C3523" s="1" t="inlineStr">
        <is>
          <t>JR</t>
        </is>
      </c>
      <c r="D3523" s="3" t="n">
        <v>23</v>
      </c>
      <c r="E3523" s="3" t="n">
        <v>21</v>
      </c>
      <c r="F3523" s="3" t="n">
        <v>21.5</v>
      </c>
      <c r="G3523" s="3" t="n">
        <v>0</v>
      </c>
      <c r="H3523" s="3" t="n">
        <v>0</v>
      </c>
      <c r="I3523" s="3">
        <f>E3523+G3523+H3523</f>
        <v/>
      </c>
      <c r="J3523" s="3">
        <f>ROUND(MIN(IF(C3523="Técnico III",35,IF(C3523="Técnico II",28,IF(C3523="Técnico I",23,IF(C3523="JR",20,IF(C3523="Estágio",10,0))))),IF(C3523="Técnico III",SUMIFS($D:$D,$A:$A,$A3523,$B:$B,"&lt;&gt;Patrícia Karla de Sousa Araújo",$B:$B,"&lt;&gt;Lorena Dias de Araujo",$B:$B,"&lt;&gt;Lucas Luiz Romero")*(35/1083),IF(C3523="Técnico II",SUMIFS($D:$D,$A:$A,$A3523,$B:$B,"&lt;&gt;Patrícia Karla de Sousa Araújo",$B:$B,"&lt;&gt;Lorena Dias de Araujo",$B:$B,"&lt;&gt;Lucas Luiz Romero")*(28/1083),IF(C3523="Técnico I",SUMIFS($D:$D,$A:$A,$A3523,$B:$B,"&lt;&gt;Patrícia Karla de Sousa Araújo",$B:$B,"&lt;&gt;Lorena Dias de Araujo",$B:$B,"&lt;&gt;Lucas Luiz Romero")*(23/1083),IF(C3523="JR",SUMIFS($D:$D,$A:$A,$A3523,$B:$B,"&lt;&gt;Patrícia Karla de Sousa Araújo",$B:$B,"&lt;&gt;Lorena Dias de Araujo",$B:$B,"&lt;&gt;Lucas Luiz Romero")*(20/1083),IF(C3523="Estágio",SUMIFS($D:$D,$A:$A,$A3523,$B:$B,"&lt;&gt;Patrícia Karla de Sousa Araújo",$B:$B,"&lt;&gt;Lorena Dias de Araujo",$B:$B,"&lt;&gt;Lucas Luiz Romero")*(10/1083),0)))))),0)</f>
        <v/>
      </c>
      <c r="K3523" s="3">
        <f>I3523-J3523</f>
        <v/>
      </c>
      <c r="L3523" s="3">
        <f>IF(K3523&lt;-5,"CRÍTICO",IF(K3523&lt;0,"ATENÇÃO",IF(K3523&lt;=5,"OPORTUNO","MUITO BOM")))</f>
        <v/>
      </c>
      <c r="M3523" s="3" t="n">
        <v>19</v>
      </c>
      <c r="N3523" s="3" t="n">
        <v>98.31</v>
      </c>
      <c r="O3523" s="12" t="n">
        <v>24.92012779552715</v>
      </c>
    </row>
    <row r="3524">
      <c r="A3524" s="10" t="n">
        <v>46112</v>
      </c>
      <c r="B3524" t="inlineStr">
        <is>
          <t>Kerollen Cristielly de Jesus Siqueira</t>
        </is>
      </c>
      <c r="C3524" s="1" t="inlineStr">
        <is>
          <t>Técnico III</t>
        </is>
      </c>
      <c r="D3524" s="3" t="n">
        <v>6</v>
      </c>
      <c r="E3524" s="3" t="n">
        <v>6</v>
      </c>
      <c r="F3524" s="3" t="n">
        <v>53.36</v>
      </c>
      <c r="G3524" s="3" t="n">
        <v>0</v>
      </c>
      <c r="H3524" s="3" t="n">
        <v>0</v>
      </c>
      <c r="I3524" s="3">
        <f>E3524+G3524+H3524</f>
        <v/>
      </c>
      <c r="J3524" s="3">
        <f>ROUND(MIN(IF(C3524="Técnico III",35,IF(C3524="Técnico II",28,IF(C3524="Técnico I",23,IF(C3524="JR",20,IF(C3524="Estágio",10,0))))),IF(C3524="Técnico III",SUMIFS($D:$D,$A:$A,$A3524,$B:$B,"&lt;&gt;Patrícia Karla de Sousa Araújo",$B:$B,"&lt;&gt;Lorena Dias de Araujo",$B:$B,"&lt;&gt;Lucas Luiz Romero")*(35/1083),IF(C3524="Técnico II",SUMIFS($D:$D,$A:$A,$A3524,$B:$B,"&lt;&gt;Patrícia Karla de Sousa Araújo",$B:$B,"&lt;&gt;Lorena Dias de Araujo",$B:$B,"&lt;&gt;Lucas Luiz Romero")*(28/1083),IF(C3524="Técnico I",SUMIFS($D:$D,$A:$A,$A3524,$B:$B,"&lt;&gt;Patrícia Karla de Sousa Araújo",$B:$B,"&lt;&gt;Lorena Dias de Araujo",$B:$B,"&lt;&gt;Lucas Luiz Romero")*(23/1083),IF(C3524="JR",SUMIFS($D:$D,$A:$A,$A3524,$B:$B,"&lt;&gt;Patrícia Karla de Sousa Araújo",$B:$B,"&lt;&gt;Lorena Dias de Araujo",$B:$B,"&lt;&gt;Lucas Luiz Romero")*(20/1083),IF(C3524="Estágio",SUMIFS($D:$D,$A:$A,$A3524,$B:$B,"&lt;&gt;Patrícia Karla de Sousa Araújo",$B:$B,"&lt;&gt;Lorena Dias de Araujo",$B:$B,"&lt;&gt;Lucas Luiz Romero")*(10/1083),0)))))),0)</f>
        <v/>
      </c>
      <c r="K3524" s="3">
        <f>I3524-J3524</f>
        <v/>
      </c>
      <c r="L3524" s="3">
        <f>IF(K3524&lt;-5,"CRÍTICO",IF(K3524&lt;0,"ATENÇÃO",IF(K3524&lt;=5,"OPORTUNO","MUITO BOM")))</f>
        <v/>
      </c>
      <c r="M3524" s="3" t="n">
        <v>7</v>
      </c>
      <c r="N3524" s="3" t="n">
        <v>96.81</v>
      </c>
      <c r="O3524" s="12" t="n">
        <v>32.36514522821577</v>
      </c>
    </row>
    <row r="3525">
      <c r="A3525" s="10" t="n">
        <v>46112</v>
      </c>
      <c r="B3525" t="inlineStr">
        <is>
          <t>Leandro de Souza Silva</t>
        </is>
      </c>
      <c r="C3525" s="1" t="inlineStr">
        <is>
          <t>JR</t>
        </is>
      </c>
      <c r="D3525" s="3" t="n">
        <v>18</v>
      </c>
      <c r="E3525" s="3" t="n">
        <v>18</v>
      </c>
      <c r="F3525" s="3" t="n">
        <v>18.42</v>
      </c>
      <c r="G3525" s="3" t="n">
        <v>0</v>
      </c>
      <c r="H3525" s="3" t="n">
        <v>0</v>
      </c>
      <c r="I3525" s="3">
        <f>E3525+G3525+H3525</f>
        <v/>
      </c>
      <c r="J3525" s="3">
        <f>ROUND(MIN(IF(C3525="Técnico III",35,IF(C3525="Técnico II",28,IF(C3525="Técnico I",23,IF(C3525="JR",20,IF(C3525="Estágio",10,0))))),IF(C3525="Técnico III",SUMIFS($D:$D,$A:$A,$A3525,$B:$B,"&lt;&gt;Patrícia Karla de Sousa Araújo",$B:$B,"&lt;&gt;Lorena Dias de Araujo",$B:$B,"&lt;&gt;Lucas Luiz Romero")*(35/1083),IF(C3525="Técnico II",SUMIFS($D:$D,$A:$A,$A3525,$B:$B,"&lt;&gt;Patrícia Karla de Sousa Araújo",$B:$B,"&lt;&gt;Lorena Dias de Araujo",$B:$B,"&lt;&gt;Lucas Luiz Romero")*(28/1083),IF(C3525="Técnico I",SUMIFS($D:$D,$A:$A,$A3525,$B:$B,"&lt;&gt;Patrícia Karla de Sousa Araújo",$B:$B,"&lt;&gt;Lorena Dias de Araujo",$B:$B,"&lt;&gt;Lucas Luiz Romero")*(23/1083),IF(C3525="JR",SUMIFS($D:$D,$A:$A,$A3525,$B:$B,"&lt;&gt;Patrícia Karla de Sousa Araújo",$B:$B,"&lt;&gt;Lorena Dias de Araujo",$B:$B,"&lt;&gt;Lucas Luiz Romero")*(20/1083),IF(C3525="Estágio",SUMIFS($D:$D,$A:$A,$A3525,$B:$B,"&lt;&gt;Patrícia Karla de Sousa Araújo",$B:$B,"&lt;&gt;Lorena Dias de Araujo",$B:$B,"&lt;&gt;Lucas Luiz Romero")*(10/1083),0)))))),0)</f>
        <v/>
      </c>
      <c r="K3525" s="3">
        <f>I3525-J3525</f>
        <v/>
      </c>
      <c r="L3525" s="3">
        <f>IF(K3525&lt;-5,"CRÍTICO",IF(K3525&lt;0,"ATENÇÃO",IF(K3525&lt;=5,"OPORTUNO","MUITO BOM")))</f>
        <v/>
      </c>
      <c r="M3525" s="3" t="n">
        <v>16</v>
      </c>
      <c r="N3525" s="3" t="n">
        <v>100</v>
      </c>
      <c r="O3525" s="12" t="n">
        <v>26.47058823529412</v>
      </c>
    </row>
    <row r="3526">
      <c r="A3526" s="10" t="n">
        <v>46112</v>
      </c>
      <c r="B3526" t="inlineStr">
        <is>
          <t>Leandro Oliveira de Sousa</t>
        </is>
      </c>
      <c r="C3526" s="1" t="inlineStr">
        <is>
          <t>Técnico III</t>
        </is>
      </c>
      <c r="D3526" s="3" t="n">
        <v>33</v>
      </c>
      <c r="E3526" s="3" t="n">
        <v>29</v>
      </c>
      <c r="F3526" s="3" t="n">
        <v>15.08</v>
      </c>
      <c r="G3526" s="3" t="n">
        <v>0</v>
      </c>
      <c r="H3526" s="3" t="n">
        <v>0</v>
      </c>
      <c r="I3526" s="3">
        <f>E3526+G3526+H3526</f>
        <v/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/>
      </c>
      <c r="K3526" s="3">
        <f>I3526-J3526</f>
        <v/>
      </c>
      <c r="L3526" s="3">
        <f>IF(K3526&lt;-5,"CRÍTICO",IF(K3526&lt;0,"ATENÇÃO",IF(K3526&lt;=5,"OPORTUNO","MUITO BOM")))</f>
        <v/>
      </c>
      <c r="M3526" s="3" t="n">
        <v>28</v>
      </c>
      <c r="N3526" s="3" t="n">
        <v>100</v>
      </c>
      <c r="O3526" s="12" t="n">
        <v>28.49002849002849</v>
      </c>
    </row>
    <row r="3527">
      <c r="A3527" s="10" t="n">
        <v>46112</v>
      </c>
      <c r="B3527" t="inlineStr">
        <is>
          <t>Lizandra Gomes Duarte</t>
        </is>
      </c>
      <c r="C3527" s="1" t="inlineStr">
        <is>
          <t>Técnico II</t>
        </is>
      </c>
      <c r="D3527" s="3" t="n">
        <v>26</v>
      </c>
      <c r="E3527" s="3" t="n">
        <v>23</v>
      </c>
      <c r="F3527" s="3" t="n">
        <v>20.36</v>
      </c>
      <c r="G3527" s="3" t="n">
        <v>0</v>
      </c>
      <c r="H3527" s="3" t="n">
        <v>0</v>
      </c>
      <c r="I3527" s="3">
        <f>E3527+G3527+H3527</f>
        <v/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/>
      </c>
      <c r="K3527" s="3">
        <f>I3527-J3527</f>
        <v/>
      </c>
      <c r="L3527" s="3">
        <f>IF(K3527&lt;-5,"CRÍTICO",IF(K3527&lt;0,"ATENÇÃO",IF(K3527&lt;=5,"OPORTUNO","MUITO BOM")))</f>
        <v/>
      </c>
      <c r="M3527" s="3" t="n">
        <v>9</v>
      </c>
      <c r="N3527" s="3" t="n">
        <v>99.14</v>
      </c>
      <c r="O3527" s="12" t="n">
        <v>27.2289156626506</v>
      </c>
    </row>
    <row r="3528">
      <c r="A3528" s="10" t="n">
        <v>46112</v>
      </c>
      <c r="B3528" t="inlineStr">
        <is>
          <t>Lorena Dias de Araujo</t>
        </is>
      </c>
      <c r="C3528" s="1" t="inlineStr">
        <is>
          <t>Técnico II</t>
        </is>
      </c>
      <c r="D3528" s="3" t="n">
        <v>6</v>
      </c>
      <c r="E3528" s="3" t="n">
        <v>6</v>
      </c>
      <c r="F3528" s="3" t="n">
        <v>16.47</v>
      </c>
      <c r="G3528" s="3" t="n">
        <v>0</v>
      </c>
      <c r="H3528" s="3" t="n">
        <v>0</v>
      </c>
      <c r="I3528" s="3" t="n">
        <v>0</v>
      </c>
      <c r="J3528" s="3" t="n">
        <v>0</v>
      </c>
      <c r="K3528" s="3" t="n">
        <v>0</v>
      </c>
      <c r="L3528" s="3">
        <f>IF(K3528&lt;-5,"CRÍTICO",IF(K3528&lt;0,"ATENÇÃO",IF(K3528&lt;=5,"OPORTUNO","MUITO BOM")))</f>
        <v/>
      </c>
      <c r="M3528" s="3" t="n">
        <v>3</v>
      </c>
      <c r="N3528" s="3" t="n">
        <v>97.52</v>
      </c>
      <c r="O3528" s="12" t="n">
        <v>28.2051282051282</v>
      </c>
    </row>
    <row r="3529">
      <c r="A3529" s="10" t="n">
        <v>46112</v>
      </c>
      <c r="B3529" t="inlineStr">
        <is>
          <t>Lucas Luiz Romero</t>
        </is>
      </c>
      <c r="C3529" s="1" t="inlineStr">
        <is>
          <t>Técnico III</t>
        </is>
      </c>
      <c r="D3529" s="3" t="n">
        <v>41</v>
      </c>
      <c r="E3529" s="3" t="n">
        <v>36</v>
      </c>
      <c r="F3529" s="3" t="n">
        <v>17.23</v>
      </c>
      <c r="G3529" s="3" t="n">
        <v>0</v>
      </c>
      <c r="H3529" s="3" t="n">
        <v>0</v>
      </c>
      <c r="I3529" s="3">
        <f>E3529+G3529+H3529</f>
        <v/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/>
      </c>
      <c r="K3529" s="3">
        <f>I3529-J3529</f>
        <v/>
      </c>
      <c r="L3529" s="3">
        <f>IF(K3529&lt;-5,"CRÍTICO",IF(K3529&lt;0,"ATENÇÃO",IF(K3529&lt;=5,"OPORTUNO","MUITO BOM")))</f>
        <v/>
      </c>
      <c r="M3529" s="3" t="n">
        <v>26</v>
      </c>
      <c r="N3529" s="3" t="n">
        <v>90</v>
      </c>
      <c r="O3529" s="12" t="n">
        <v>24.18604651162791</v>
      </c>
    </row>
    <row r="3530">
      <c r="A3530" s="10" t="n">
        <v>46112</v>
      </c>
      <c r="B3530" t="inlineStr">
        <is>
          <t>Luiz Fernando de Carvalho Junior</t>
        </is>
      </c>
      <c r="C3530" s="1" t="inlineStr">
        <is>
          <t>Técnico I</t>
        </is>
      </c>
      <c r="D3530" s="3" t="n">
        <v>29</v>
      </c>
      <c r="E3530" s="3" t="n">
        <v>28</v>
      </c>
      <c r="F3530" s="3" t="n">
        <v>15.59</v>
      </c>
      <c r="G3530" s="3" t="n">
        <v>0</v>
      </c>
      <c r="H3530" s="3" t="n">
        <v>0</v>
      </c>
      <c r="I3530" s="3">
        <f>E3530+G3530+H3530</f>
        <v/>
      </c>
      <c r="J3530" s="3">
        <f>ROUND(MIN(IF(C3530="Técnico III",35,IF(C3530="Técnico II",28,IF(C3530="Técnico I",23,IF(C3530="JR",20,IF(C3530="Estágio",10,0))))),IF(C3530="Técnico III",SUMIFS($D:$D,$A:$A,$A3530,$B:$B,"&lt;&gt;Patrícia Karla de Sousa Araújo",$B:$B,"&lt;&gt;Lorena Dias de Araujo",$B:$B,"&lt;&gt;Lucas Luiz Romero")*(35/1083),IF(C3530="Técnico II",SUMIFS($D:$D,$A:$A,$A3530,$B:$B,"&lt;&gt;Patrícia Karla de Sousa Araújo",$B:$B,"&lt;&gt;Lorena Dias de Araujo",$B:$B,"&lt;&gt;Lucas Luiz Romero")*(28/1083),IF(C3530="Técnico I",SUMIFS($D:$D,$A:$A,$A3530,$B:$B,"&lt;&gt;Patrícia Karla de Sousa Araújo",$B:$B,"&lt;&gt;Lorena Dias de Araujo",$B:$B,"&lt;&gt;Lucas Luiz Romero")*(23/1083),IF(C3530="JR",SUMIFS($D:$D,$A:$A,$A3530,$B:$B,"&lt;&gt;Patrícia Karla de Sousa Araújo",$B:$B,"&lt;&gt;Lorena Dias de Araujo",$B:$B,"&lt;&gt;Lucas Luiz Romero")*(20/1083),IF(C3530="Estágio",SUMIFS($D:$D,$A:$A,$A3530,$B:$B,"&lt;&gt;Patrícia Karla de Sousa Araújo",$B:$B,"&lt;&gt;Lorena Dias de Araujo",$B:$B,"&lt;&gt;Lucas Luiz Romero")*(10/1083),0)))))),0)</f>
        <v/>
      </c>
      <c r="K3530" s="3">
        <f>I3530-J3530</f>
        <v/>
      </c>
      <c r="L3530" s="3">
        <f>IF(K3530&lt;-5,"CRÍTICO",IF(K3530&lt;0,"ATENÇÃO",IF(K3530&lt;=5,"OPORTUNO","MUITO BOM")))</f>
        <v/>
      </c>
      <c r="M3530" s="3" t="n">
        <v>28</v>
      </c>
      <c r="N3530" s="3" t="n">
        <v>98.90000000000001</v>
      </c>
      <c r="O3530" s="12" t="n">
        <v>26.7639902676399</v>
      </c>
    </row>
    <row r="3531">
      <c r="A3531" s="10" t="n">
        <v>46112</v>
      </c>
      <c r="B3531" t="inlineStr">
        <is>
          <t>Maria Eduarda Sousa Costa</t>
        </is>
      </c>
      <c r="C3531" s="1" t="inlineStr">
        <is>
          <t>Estágio</t>
        </is>
      </c>
      <c r="D3531" s="3" t="n">
        <v>8</v>
      </c>
      <c r="E3531" s="3" t="n">
        <v>8</v>
      </c>
      <c r="F3531" s="3" t="n">
        <v>40.1</v>
      </c>
      <c r="G3531" s="3" t="n">
        <v>0</v>
      </c>
      <c r="H3531" s="3" t="n">
        <v>0</v>
      </c>
      <c r="I3531" s="3">
        <f>E3531+G3531+H3531</f>
        <v/>
      </c>
      <c r="J3531" s="3">
        <f>ROUND(MIN(IF(C3531="Técnico III",35,IF(C3531="Técnico II",28,IF(C3531="Técnico I",23,IF(C3531="JR",20,IF(C3531="Estágio",10,0))))),IF(C3531="Técnico III",SUMIFS($D:$D,$A:$A,$A3531,$B:$B,"&lt;&gt;Patrícia Karla de Sousa Araújo",$B:$B,"&lt;&gt;Lorena Dias de Araujo",$B:$B,"&lt;&gt;Lucas Luiz Romero")*(35/1083),IF(C3531="Técnico II",SUMIFS($D:$D,$A:$A,$A3531,$B:$B,"&lt;&gt;Patrícia Karla de Sousa Araújo",$B:$B,"&lt;&gt;Lorena Dias de Araujo",$B:$B,"&lt;&gt;Lucas Luiz Romero")*(28/1083),IF(C3531="Técnico I",SUMIFS($D:$D,$A:$A,$A3531,$B:$B,"&lt;&gt;Patrícia Karla de Sousa Araújo",$B:$B,"&lt;&gt;Lorena Dias de Araujo",$B:$B,"&lt;&gt;Lucas Luiz Romero")*(23/1083),IF(C3531="JR",SUMIFS($D:$D,$A:$A,$A3531,$B:$B,"&lt;&gt;Patrícia Karla de Sousa Araújo",$B:$B,"&lt;&gt;Lorena Dias de Araujo",$B:$B,"&lt;&gt;Lucas Luiz Romero")*(20/1083),IF(C3531="Estágio",SUMIFS($D:$D,$A:$A,$A3531,$B:$B,"&lt;&gt;Patrícia Karla de Sousa Araújo",$B:$B,"&lt;&gt;Lorena Dias de Araujo",$B:$B,"&lt;&gt;Lucas Luiz Romero")*(10/1083),0)))))),0)</f>
        <v/>
      </c>
      <c r="K3531" s="3">
        <f>I3531-J3531</f>
        <v/>
      </c>
      <c r="L3531" s="3">
        <f>IF(K3531&lt;-5,"CRÍTICO",IF(K3531&lt;0,"ATENÇÃO",IF(K3531&lt;=5,"OPORTUNO","MUITO BOM")))</f>
        <v/>
      </c>
      <c r="M3531" s="3" t="n">
        <v>7</v>
      </c>
      <c r="N3531" s="3" t="n">
        <v>88.89</v>
      </c>
      <c r="O3531" s="12" t="n">
        <v>25.26315789473684</v>
      </c>
    </row>
    <row r="3532">
      <c r="A3532" s="10" t="n">
        <v>46132</v>
      </c>
      <c r="B3532" t="inlineStr">
        <is>
          <t>Matheus Farias De Souza</t>
        </is>
      </c>
      <c r="C3532" s="1" t="inlineStr">
        <is>
          <t>Técnico III</t>
        </is>
      </c>
      <c r="D3532" s="3" t="n">
        <v>23</v>
      </c>
      <c r="E3532" s="3" t="n">
        <v>21</v>
      </c>
      <c r="F3532" s="3" t="n">
        <v>14.14</v>
      </c>
      <c r="G3532" s="3" t="n">
        <v>0</v>
      </c>
      <c r="H3532" s="3" t="n">
        <v>0</v>
      </c>
      <c r="I3532" s="3">
        <f>E3532+G3532+H3532</f>
        <v/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/>
      </c>
      <c r="K3532" s="3">
        <f>I3532-J3532</f>
        <v/>
      </c>
      <c r="L3532" s="3">
        <f>IF(K3532&lt;-5,"CRÍTICO",IF(K3532&lt;0,"ATENÇÃO",IF(K3532&lt;=5,"OPORTUNO","MUITO BOM")))</f>
        <v/>
      </c>
      <c r="M3532" s="3" t="n">
        <v>23</v>
      </c>
      <c r="N3532" s="3" t="n">
        <v>100</v>
      </c>
      <c r="O3532" s="12" t="n">
        <v>23.9870340356564</v>
      </c>
    </row>
    <row r="3533">
      <c r="A3533" s="10" t="n">
        <v>46112</v>
      </c>
      <c r="B3533" t="inlineStr">
        <is>
          <t>Maysa Victoria Dias Moura</t>
        </is>
      </c>
      <c r="C3533" s="1" t="inlineStr">
        <is>
          <t>Técnico III</t>
        </is>
      </c>
      <c r="D3533" s="3" t="n">
        <v>40</v>
      </c>
      <c r="E3533" s="3" t="n">
        <v>37</v>
      </c>
      <c r="F3533" s="3" t="n">
        <v>11.53</v>
      </c>
      <c r="G3533" s="3" t="n">
        <v>0</v>
      </c>
      <c r="H3533" s="3" t="n">
        <v>0</v>
      </c>
      <c r="I3533" s="3">
        <f>E3533+G3533+H3533</f>
        <v/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/>
      </c>
      <c r="K3533" s="3">
        <f>I3533-J3533</f>
        <v/>
      </c>
      <c r="L3533" s="3">
        <f>IF(K3533&lt;-5,"CRÍTICO",IF(K3533&lt;0,"ATENÇÃO",IF(K3533&lt;=5,"OPORTUNO","MUITO BOM")))</f>
        <v/>
      </c>
      <c r="M3533" s="3" t="n">
        <v>25</v>
      </c>
      <c r="N3533" s="3" t="n">
        <v>98.06</v>
      </c>
      <c r="O3533" s="12" t="n">
        <v>22.40566037735849</v>
      </c>
    </row>
    <row r="3534">
      <c r="A3534" s="10" t="n">
        <v>46140</v>
      </c>
      <c r="B3534" t="inlineStr">
        <is>
          <t>Michelle G Santos</t>
        </is>
      </c>
      <c r="C3534" s="1" t="inlineStr">
        <is>
          <t>Estágio</t>
        </is>
      </c>
      <c r="D3534" s="3" t="n">
        <v>13</v>
      </c>
      <c r="E3534" s="3" t="n">
        <v>13</v>
      </c>
      <c r="F3534" s="3" t="n">
        <v>25.28</v>
      </c>
      <c r="G3534" s="3" t="n">
        <v>0</v>
      </c>
      <c r="H3534" s="3" t="n">
        <v>0</v>
      </c>
      <c r="I3534" s="3">
        <f>E3534+G3534+H3534</f>
        <v/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/>
      </c>
      <c r="K3534" s="3">
        <f>I3534-J3534</f>
        <v/>
      </c>
      <c r="L3534" s="3">
        <f>IF(K3534&lt;-5,"CRÍTICO",IF(K3534&lt;0,"ATENÇÃO",IF(K3534&lt;=5,"OPORTUNO","MUITO BOM")))</f>
        <v/>
      </c>
      <c r="M3534" s="3" t="n">
        <v>10</v>
      </c>
      <c r="N3534" s="3" t="n">
        <v>100</v>
      </c>
      <c r="O3534" s="12" t="n">
        <v>23.77622377622378</v>
      </c>
    </row>
    <row r="3535">
      <c r="A3535" s="10" t="n">
        <v>46112</v>
      </c>
      <c r="B3535" t="inlineStr">
        <is>
          <t>Milena Sales</t>
        </is>
      </c>
      <c r="C3535" s="1" t="inlineStr">
        <is>
          <t>JR</t>
        </is>
      </c>
      <c r="D3535" s="3" t="n">
        <v>22</v>
      </c>
      <c r="E3535" s="3" t="n">
        <v>17</v>
      </c>
      <c r="F3535" s="3" t="n">
        <v>20.21</v>
      </c>
      <c r="G3535" s="3" t="n">
        <v>0</v>
      </c>
      <c r="H3535" s="3" t="n">
        <v>0</v>
      </c>
      <c r="I3535" s="3">
        <f>E3535+G3535+H3535</f>
        <v/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/>
      </c>
      <c r="K3535" s="3">
        <f>I3535-J3535</f>
        <v/>
      </c>
      <c r="L3535" s="3">
        <f>IF(K3535&lt;-5,"CRÍTICO",IF(K3535&lt;0,"ATENÇÃO",IF(K3535&lt;=5,"OPORTUNO","MUITO BOM")))</f>
        <v/>
      </c>
      <c r="M3535" s="3" t="n">
        <v>14</v>
      </c>
      <c r="N3535" s="3" t="n">
        <v>100</v>
      </c>
      <c r="O3535" s="12" t="n">
        <v>15.38461538461539</v>
      </c>
    </row>
    <row r="3536">
      <c r="A3536" s="10" t="n">
        <v>46112</v>
      </c>
      <c r="B3536" t="inlineStr">
        <is>
          <t>Patrícia Karla de Sousa Araújo</t>
        </is>
      </c>
      <c r="C3536" s="1" t="inlineStr">
        <is>
          <t>Técnico II</t>
        </is>
      </c>
      <c r="D3536" s="3" t="n">
        <v>32</v>
      </c>
      <c r="E3536" s="3" t="n">
        <v>30</v>
      </c>
      <c r="F3536" s="3" t="n">
        <v>18.39</v>
      </c>
      <c r="G3536" s="3" t="n">
        <v>0</v>
      </c>
      <c r="H3536" s="3" t="n">
        <v>0</v>
      </c>
      <c r="I3536" s="3">
        <f>E3536+G3536+H3536</f>
        <v/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/>
      </c>
      <c r="K3536" s="3">
        <f>I3536-J3536</f>
        <v/>
      </c>
      <c r="L3536" s="3">
        <f>IF(K3536&lt;-5,"CRÍTICO",IF(K3536&lt;0,"ATENÇÃO",IF(K3536&lt;=5,"OPORTUNO","MUITO BOM")))</f>
        <v/>
      </c>
      <c r="M3536" s="3" t="n">
        <v>20</v>
      </c>
      <c r="N3536" s="3" t="n">
        <v>100</v>
      </c>
      <c r="O3536" s="12" t="n">
        <v>27.51479289940828</v>
      </c>
    </row>
    <row r="3537">
      <c r="A3537" s="10" t="n">
        <v>46112</v>
      </c>
      <c r="B3537" t="inlineStr">
        <is>
          <t>Paulo Ricardo Santos</t>
        </is>
      </c>
      <c r="C3537" s="1" t="inlineStr">
        <is>
          <t>JR</t>
        </is>
      </c>
      <c r="D3537" s="3" t="n">
        <v>21</v>
      </c>
      <c r="E3537" s="3" t="n">
        <v>19</v>
      </c>
      <c r="F3537" s="3" t="n">
        <v>18.51</v>
      </c>
      <c r="G3537" s="3" t="n">
        <v>0</v>
      </c>
      <c r="H3537" s="3" t="n">
        <v>0</v>
      </c>
      <c r="I3537" s="3">
        <f>E3537+G3537+H3537</f>
        <v/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/>
      </c>
      <c r="K3537" s="3">
        <f>I3537-J3537</f>
        <v/>
      </c>
      <c r="L3537" s="3">
        <f>IF(K3537&lt;-5,"CRÍTICO",IF(K3537&lt;0,"ATENÇÃO",IF(K3537&lt;=5,"OPORTUNO","MUITO BOM")))</f>
        <v/>
      </c>
      <c r="M3537" s="3" t="n">
        <v>12</v>
      </c>
      <c r="N3537" s="3" t="n">
        <v>100</v>
      </c>
      <c r="O3537" s="12" t="n">
        <v>24.87562189054727</v>
      </c>
    </row>
    <row r="3538">
      <c r="A3538" s="10" t="n">
        <v>46112</v>
      </c>
      <c r="B3538" t="inlineStr">
        <is>
          <t>Pedro Luiz Mota Sousa</t>
        </is>
      </c>
      <c r="C3538" s="1" t="inlineStr">
        <is>
          <t>JR</t>
        </is>
      </c>
      <c r="D3538" s="3" t="n">
        <v>27</v>
      </c>
      <c r="E3538" s="3" t="n">
        <v>25</v>
      </c>
      <c r="F3538" s="3" t="n">
        <v>22.34</v>
      </c>
      <c r="G3538" s="3" t="n">
        <v>0</v>
      </c>
      <c r="H3538" s="3" t="n">
        <v>0</v>
      </c>
      <c r="I3538" s="3">
        <f>E3538+G3538+H3538</f>
        <v/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/>
      </c>
      <c r="K3538" s="3">
        <f>I3538-J3538</f>
        <v/>
      </c>
      <c r="L3538" s="3">
        <f>IF(K3538&lt;-5,"CRÍTICO",IF(K3538&lt;0,"ATENÇÃO",IF(K3538&lt;=5,"OPORTUNO","MUITO BOM")))</f>
        <v/>
      </c>
      <c r="M3538" s="3" t="n">
        <v>19</v>
      </c>
      <c r="N3538" s="3" t="n">
        <v>100</v>
      </c>
      <c r="O3538" s="12" t="n">
        <v>28.10810810810811</v>
      </c>
    </row>
    <row r="3539">
      <c r="A3539" s="10" t="n">
        <v>46140</v>
      </c>
      <c r="B3539" t="inlineStr">
        <is>
          <t>Quirino Diogo Leite Torres</t>
        </is>
      </c>
      <c r="C3539" s="1" t="inlineStr">
        <is>
          <t>Estágio</t>
        </is>
      </c>
      <c r="D3539" s="3" t="n">
        <v>13</v>
      </c>
      <c r="E3539" s="3" t="n">
        <v>13</v>
      </c>
      <c r="F3539" s="3" t="n">
        <v>33.2</v>
      </c>
      <c r="G3539" s="3" t="n">
        <v>0</v>
      </c>
      <c r="H3539" s="3" t="n">
        <v>0</v>
      </c>
      <c r="I3539" s="3">
        <f>E3539+G3539+H3539</f>
        <v/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/>
      </c>
      <c r="K3539" s="3">
        <f>I3539-J3539</f>
        <v/>
      </c>
      <c r="L3539" s="3">
        <f>IF(K3539&lt;-5,"CRÍTICO",IF(K3539&lt;0,"ATENÇÃO",IF(K3539&lt;=5,"OPORTUNO","MUITO BOM")))</f>
        <v/>
      </c>
      <c r="M3539" s="3" t="n">
        <v>9</v>
      </c>
      <c r="N3539" s="3" t="n">
        <v>94.12</v>
      </c>
      <c r="O3539" s="12" t="n">
        <v>32.8</v>
      </c>
    </row>
    <row r="3540">
      <c r="A3540" s="10" t="n">
        <v>46112</v>
      </c>
      <c r="B3540" t="inlineStr">
        <is>
          <t>Raane Batista Matos</t>
        </is>
      </c>
      <c r="C3540" s="1" t="inlineStr">
        <is>
          <t>Técnico I</t>
        </is>
      </c>
      <c r="D3540" s="3" t="n">
        <v>29</v>
      </c>
      <c r="E3540" s="3" t="n">
        <v>28</v>
      </c>
      <c r="F3540" s="3" t="n">
        <v>18.54</v>
      </c>
      <c r="G3540" s="3" t="n">
        <v>0</v>
      </c>
      <c r="H3540" s="3" t="n">
        <v>0</v>
      </c>
      <c r="I3540" s="3">
        <f>E3540+G3540+H3540</f>
        <v/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/>
      </c>
      <c r="K3540" s="3">
        <f>I3540-J3540</f>
        <v/>
      </c>
      <c r="L3540" s="3">
        <f>IF(K3540&lt;-5,"CRÍTICO",IF(K3540&lt;0,"ATENÇÃO",IF(K3540&lt;=5,"OPORTUNO","MUITO BOM")))</f>
        <v/>
      </c>
      <c r="M3540" s="3" t="n">
        <v>17</v>
      </c>
      <c r="N3540" s="3" t="n">
        <v>95.34999999999999</v>
      </c>
      <c r="O3540" s="12" t="n">
        <v>28.61538461538461</v>
      </c>
    </row>
    <row r="3541">
      <c r="A3541" s="10" t="n">
        <v>46112</v>
      </c>
      <c r="B3541" t="inlineStr">
        <is>
          <t>Rafael Gomes de Morais</t>
        </is>
      </c>
      <c r="C3541" s="1" t="inlineStr">
        <is>
          <t>Técnico III</t>
        </is>
      </c>
      <c r="D3541" s="3" t="n">
        <v>47</v>
      </c>
      <c r="E3541" s="3" t="n">
        <v>42</v>
      </c>
      <c r="F3541" s="3" t="n">
        <v>12.22</v>
      </c>
      <c r="G3541" s="3" t="n">
        <v>0</v>
      </c>
      <c r="H3541" s="3" t="n">
        <v>0</v>
      </c>
      <c r="I3541" s="3">
        <f>E3541+G3541+H3541</f>
        <v/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/>
      </c>
      <c r="K3541" s="3">
        <f>I3541-J3541</f>
        <v/>
      </c>
      <c r="L3541" s="3">
        <f>IF(K3541&lt;-5,"CRÍTICO",IF(K3541&lt;0,"ATENÇÃO",IF(K3541&lt;=5,"OPORTUNO","MUITO BOM")))</f>
        <v/>
      </c>
      <c r="M3541" s="3" t="n">
        <v>35</v>
      </c>
      <c r="N3541" s="3" t="n">
        <v>98.26000000000001</v>
      </c>
      <c r="O3541" s="12" t="n">
        <v>27.54491017964072</v>
      </c>
    </row>
    <row r="3542">
      <c r="A3542" s="10" t="n">
        <v>46112</v>
      </c>
      <c r="B3542" t="inlineStr">
        <is>
          <t>Sara Maria Monteiro Lopes</t>
        </is>
      </c>
      <c r="C3542" s="1" t="inlineStr">
        <is>
          <t>Técnico I</t>
        </is>
      </c>
      <c r="D3542" s="3" t="n">
        <v>17</v>
      </c>
      <c r="E3542" s="3" t="n">
        <v>16</v>
      </c>
      <c r="F3542" s="3" t="n">
        <v>33.59</v>
      </c>
      <c r="G3542" s="3" t="n">
        <v>0</v>
      </c>
      <c r="H3542" s="3" t="n">
        <v>0</v>
      </c>
      <c r="I3542" s="3">
        <f>E3542+G3542+H3542</f>
        <v/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/>
      </c>
      <c r="K3542" s="3">
        <f>I3542-J3542</f>
        <v/>
      </c>
      <c r="L3542" s="3">
        <f>IF(K3542&lt;-5,"CRÍTICO",IF(K3542&lt;0,"ATENÇÃO",IF(K3542&lt;=5,"OPORTUNO","MUITO BOM")))</f>
        <v/>
      </c>
      <c r="M3542" s="3" t="n">
        <v>14</v>
      </c>
      <c r="N3542" s="3" t="n">
        <v>98.55</v>
      </c>
      <c r="O3542" s="12" t="n">
        <v>25.33783783783784</v>
      </c>
    </row>
    <row r="3543">
      <c r="A3543" s="10" t="n">
        <v>46112</v>
      </c>
      <c r="B3543" t="inlineStr">
        <is>
          <t>Sarah Steffanie de Lima Borges</t>
        </is>
      </c>
      <c r="C3543" s="1" t="inlineStr">
        <is>
          <t>Técnico III</t>
        </is>
      </c>
      <c r="D3543" s="3" t="n">
        <v>35</v>
      </c>
      <c r="E3543" s="3" t="n">
        <v>33</v>
      </c>
      <c r="F3543" s="3" t="n">
        <v>15.24</v>
      </c>
      <c r="G3543" s="3" t="n">
        <v>0</v>
      </c>
      <c r="H3543" s="3" t="n">
        <v>0</v>
      </c>
      <c r="I3543" s="3">
        <f>E3543+G3543+H3543</f>
        <v/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/>
      </c>
      <c r="K3543" s="3">
        <f>I3543-J3543</f>
        <v/>
      </c>
      <c r="L3543" s="3">
        <f>IF(K3543&lt;-5,"CRÍTICO",IF(K3543&lt;0,"ATENÇÃO",IF(K3543&lt;=5,"OPORTUNO","MUITO BOM")))</f>
        <v/>
      </c>
      <c r="M3543" s="3" t="n">
        <v>27</v>
      </c>
      <c r="N3543" s="3" t="n">
        <v>98.39</v>
      </c>
      <c r="O3543" s="12" t="n">
        <v>25.56390977443609</v>
      </c>
    </row>
    <row r="3544">
      <c r="A3544" s="10" t="n">
        <v>46113</v>
      </c>
      <c r="B3544" t="inlineStr">
        <is>
          <t>Alisson de Freitas Silva</t>
        </is>
      </c>
      <c r="C3544" s="1" t="inlineStr">
        <is>
          <t>Técnico II</t>
        </is>
      </c>
      <c r="D3544" s="3" t="n">
        <v>17</v>
      </c>
      <c r="E3544" s="3" t="n">
        <v>15</v>
      </c>
      <c r="F3544" s="3" t="n">
        <v>18.22</v>
      </c>
      <c r="G3544" s="3" t="n">
        <v>0</v>
      </c>
      <c r="H3544" s="3" t="n">
        <v>0</v>
      </c>
      <c r="I3544" s="3">
        <f>E3544+G3544+H3544</f>
        <v/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/>
      </c>
      <c r="K3544" s="3">
        <f>I3544-J3544</f>
        <v/>
      </c>
      <c r="L3544" s="3">
        <f>IF(K3544&lt;-5,"CRÍTICO",IF(K3544&lt;0,"ATENÇÃO",IF(K3544&lt;=5,"OPORTUNO","MUITO BOM")))</f>
        <v/>
      </c>
      <c r="M3544" s="3" t="n">
        <v>13</v>
      </c>
      <c r="N3544" s="3" t="n">
        <v>100</v>
      </c>
      <c r="O3544" s="12" t="n">
        <v>32.76450511945392</v>
      </c>
    </row>
    <row r="3545">
      <c r="A3545" s="10" t="n">
        <v>46113</v>
      </c>
      <c r="B3545" t="inlineStr">
        <is>
          <t>Amanda Moura Ferreira</t>
        </is>
      </c>
      <c r="C3545" s="1" t="inlineStr">
        <is>
          <t>Técnico III</t>
        </is>
      </c>
      <c r="D3545" s="3" t="n">
        <v>0</v>
      </c>
      <c r="E3545" s="3" t="n">
        <v>0</v>
      </c>
      <c r="F3545" s="3" t="n">
        <v>0</v>
      </c>
      <c r="G3545" s="3" t="n">
        <v>0</v>
      </c>
      <c r="H3545" s="3" t="n">
        <v>0</v>
      </c>
      <c r="I3545" s="3" t="n">
        <v>0</v>
      </c>
      <c r="J3545" s="3" t="n">
        <v>0</v>
      </c>
      <c r="K3545" s="3" t="n">
        <v>0</v>
      </c>
      <c r="L3545" s="3">
        <f>IF(K3545&lt;-5,"CRÍTICO",IF(K3545&lt;0,"ATENÇÃO",IF(K3545&lt;=5,"OPORTUNO","MUITO BOM")))</f>
        <v/>
      </c>
      <c r="M3545" s="3" t="n">
        <v>24</v>
      </c>
      <c r="N3545" s="3" t="n">
        <v>98.66</v>
      </c>
      <c r="O3545" s="12" t="n">
        <v>35.41666666666667</v>
      </c>
    </row>
    <row r="3546">
      <c r="A3546" s="10" t="n">
        <v>46113</v>
      </c>
      <c r="B3546" t="inlineStr">
        <is>
          <t>Ana Karollyne Souza Faria</t>
        </is>
      </c>
      <c r="C3546" s="1" t="inlineStr">
        <is>
          <t>Técnico I</t>
        </is>
      </c>
      <c r="D3546" s="3" t="n">
        <v>26</v>
      </c>
      <c r="E3546" s="3" t="n">
        <v>26</v>
      </c>
      <c r="F3546" s="3" t="n">
        <v>21.52</v>
      </c>
      <c r="G3546" s="3" t="n">
        <v>0</v>
      </c>
      <c r="H3546" s="3" t="n">
        <v>0</v>
      </c>
      <c r="I3546" s="3">
        <f>E3546+G3546+H3546</f>
        <v/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/>
      </c>
      <c r="K3546" s="3">
        <f>I3546-J3546</f>
        <v/>
      </c>
      <c r="L3546" s="3">
        <f>IF(K3546&lt;-5,"CRÍTICO",IF(K3546&lt;0,"ATENÇÃO",IF(K3546&lt;=5,"OPORTUNO","MUITO BOM")))</f>
        <v/>
      </c>
      <c r="M3546" s="3" t="n">
        <v>26</v>
      </c>
      <c r="N3546" s="3" t="n">
        <v>99.31999999999999</v>
      </c>
      <c r="O3546" s="12" t="n">
        <v>30.6483300589391</v>
      </c>
    </row>
    <row r="3547">
      <c r="A3547" s="10" t="n">
        <v>46113</v>
      </c>
      <c r="B3547" t="inlineStr">
        <is>
          <t>Ana Paula Da Luz Silva Aleixo</t>
        </is>
      </c>
      <c r="C3547" s="1" t="inlineStr">
        <is>
          <t>Técnico III</t>
        </is>
      </c>
      <c r="D3547" s="3" t="n">
        <v>22</v>
      </c>
      <c r="E3547" s="3" t="n">
        <v>21</v>
      </c>
      <c r="F3547" s="3" t="n">
        <v>26.55</v>
      </c>
      <c r="G3547" s="3" t="n">
        <v>0</v>
      </c>
      <c r="H3547" s="3" t="n">
        <v>0</v>
      </c>
      <c r="I3547" s="3">
        <f>E3547+G3547+H3547</f>
        <v/>
      </c>
      <c r="J3547" s="3">
        <f>ROUND(MIN(IF(C3547="Técnico III",35,IF(C3547="Técnico II",28,IF(C3547="Técnico I",23,IF(C3547="JR",20,IF(C3547="Estágio",10,0))))),IF(C3547="Técnico III",SUMIFS($D:$D,$A:$A,$A3547,$B:$B,"&lt;&gt;Patrícia Karla de Sousa Araújo",$B:$B,"&lt;&gt;Lorena Dias de Araujo",$B:$B,"&lt;&gt;Lucas Luiz Romero")*(35/1083),IF(C3547="Técnico II",SUMIFS($D:$D,$A:$A,$A3547,$B:$B,"&lt;&gt;Patrícia Karla de Sousa Araújo",$B:$B,"&lt;&gt;Lorena Dias de Araujo",$B:$B,"&lt;&gt;Lucas Luiz Romero")*(28/1083),IF(C3547="Técnico I",SUMIFS($D:$D,$A:$A,$A3547,$B:$B,"&lt;&gt;Patrícia Karla de Sousa Araújo",$B:$B,"&lt;&gt;Lorena Dias de Araujo",$B:$B,"&lt;&gt;Lucas Luiz Romero")*(23/1083),IF(C3547="JR",SUMIFS($D:$D,$A:$A,$A3547,$B:$B,"&lt;&gt;Patrícia Karla de Sousa Araújo",$B:$B,"&lt;&gt;Lorena Dias de Araujo",$B:$B,"&lt;&gt;Lucas Luiz Romero")*(20/1083),IF(C3547="Estágio",SUMIFS($D:$D,$A:$A,$A3547,$B:$B,"&lt;&gt;Patrícia Karla de Sousa Araújo",$B:$B,"&lt;&gt;Lorena Dias de Araujo",$B:$B,"&lt;&gt;Lucas Luiz Romero")*(10/1083),0)))))),0)</f>
        <v/>
      </c>
      <c r="K3547" s="3">
        <f>I3547-J3547</f>
        <v/>
      </c>
      <c r="L3547" s="3">
        <f>IF(K3547&lt;-5,"CRÍTICO",IF(K3547&lt;0,"ATENÇÃO",IF(K3547&lt;=5,"OPORTUNO","MUITO BOM")))</f>
        <v/>
      </c>
      <c r="M3547" s="3" t="n">
        <v>20</v>
      </c>
      <c r="N3547" s="3" t="n">
        <v>100</v>
      </c>
      <c r="O3547" s="12" t="n">
        <v>27.80373831775701</v>
      </c>
    </row>
    <row r="3548">
      <c r="A3548" s="10" t="n">
        <v>46113</v>
      </c>
      <c r="B3548" t="inlineStr">
        <is>
          <t>Anna Luiza Rezende Tavares</t>
        </is>
      </c>
      <c r="C3548" s="1" t="inlineStr">
        <is>
          <t>Estágio</t>
        </is>
      </c>
      <c r="D3548" s="3" t="n">
        <v>17</v>
      </c>
      <c r="E3548" s="3" t="n">
        <v>16</v>
      </c>
      <c r="F3548" s="3" t="n">
        <v>20.01</v>
      </c>
      <c r="G3548" s="3" t="n">
        <v>0</v>
      </c>
      <c r="H3548" s="3" t="n">
        <v>0</v>
      </c>
      <c r="I3548" s="3">
        <f>E3548+G3548+H3548</f>
        <v/>
      </c>
      <c r="J3548" s="3">
        <f>ROUND(MIN(IF(C3548="Técnico III",35,IF(C3548="Técnico II",28,IF(C3548="Técnico I",23,IF(C3548="JR",20,IF(C3548="Estágio",10,0))))),IF(C3548="Técnico III",SUMIFS($D:$D,$A:$A,$A3548,$B:$B,"&lt;&gt;Patrícia Karla de Sousa Araújo",$B:$B,"&lt;&gt;Lorena Dias de Araujo",$B:$B,"&lt;&gt;Lucas Luiz Romero")*(35/1083),IF(C3548="Técnico II",SUMIFS($D:$D,$A:$A,$A3548,$B:$B,"&lt;&gt;Patrícia Karla de Sousa Araújo",$B:$B,"&lt;&gt;Lorena Dias de Araujo",$B:$B,"&lt;&gt;Lucas Luiz Romero")*(28/1083),IF(C3548="Técnico I",SUMIFS($D:$D,$A:$A,$A3548,$B:$B,"&lt;&gt;Patrícia Karla de Sousa Araújo",$B:$B,"&lt;&gt;Lorena Dias de Araujo",$B:$B,"&lt;&gt;Lucas Luiz Romero")*(23/1083),IF(C3548="JR",SUMIFS($D:$D,$A:$A,$A3548,$B:$B,"&lt;&gt;Patrícia Karla de Sousa Araújo",$B:$B,"&lt;&gt;Lorena Dias de Araujo",$B:$B,"&lt;&gt;Lucas Luiz Romero")*(20/1083),IF(C3548="Estágio",SUMIFS($D:$D,$A:$A,$A3548,$B:$B,"&lt;&gt;Patrícia Karla de Sousa Araújo",$B:$B,"&lt;&gt;Lorena Dias de Araujo",$B:$B,"&lt;&gt;Lucas Luiz Romero")*(10/1083),0)))))),0)</f>
        <v/>
      </c>
      <c r="K3548" s="3">
        <f>I3548-J3548</f>
        <v/>
      </c>
      <c r="L3548" s="3">
        <f>IF(K3548&lt;-5,"CRÍTICO",IF(K3548&lt;0,"ATENÇÃO",IF(K3548&lt;=5,"OPORTUNO","MUITO BOM")))</f>
        <v/>
      </c>
      <c r="M3548" s="3" t="n">
        <v>15</v>
      </c>
      <c r="N3548" s="3" t="n">
        <v>96.73999999999999</v>
      </c>
      <c r="O3548" s="12" t="n">
        <v>28.67647058823529</v>
      </c>
    </row>
    <row r="3549">
      <c r="A3549" s="10" t="n">
        <v>46113</v>
      </c>
      <c r="B3549" t="inlineStr">
        <is>
          <t>Brenda de Menezes Silva</t>
        </is>
      </c>
      <c r="C3549" s="1" t="inlineStr">
        <is>
          <t>Técnico II</t>
        </is>
      </c>
      <c r="D3549" s="3" t="n">
        <v>44</v>
      </c>
      <c r="E3549" s="3" t="n">
        <v>36</v>
      </c>
      <c r="F3549" s="3" t="n">
        <v>13.25</v>
      </c>
      <c r="G3549" s="3" t="n">
        <v>0</v>
      </c>
      <c r="H3549" s="3" t="n">
        <v>0</v>
      </c>
      <c r="I3549" s="3">
        <f>E3549+G3549+H3549</f>
        <v/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/>
      </c>
      <c r="K3549" s="3">
        <f>I3549-J3549</f>
        <v/>
      </c>
      <c r="L3549" s="3">
        <f>IF(K3549&lt;-5,"CRÍTICO",IF(K3549&lt;0,"ATENÇÃO",IF(K3549&lt;=5,"OPORTUNO","MUITO BOM")))</f>
        <v/>
      </c>
      <c r="M3549" s="3" t="n">
        <v>39</v>
      </c>
      <c r="N3549" s="3" t="n">
        <v>98.81999999999999</v>
      </c>
      <c r="O3549" s="12" t="n">
        <v>30.74141048824593</v>
      </c>
    </row>
    <row r="3550">
      <c r="A3550" s="10" t="n">
        <v>46113</v>
      </c>
      <c r="B3550" t="inlineStr">
        <is>
          <t>Carlos Mateus Cassimiro Nunes</t>
        </is>
      </c>
      <c r="C3550" s="1" t="inlineStr">
        <is>
          <t>Técnico II</t>
        </is>
      </c>
      <c r="D3550" s="3" t="n">
        <v>21</v>
      </c>
      <c r="E3550" s="3" t="n">
        <v>20</v>
      </c>
      <c r="F3550" s="3" t="n">
        <v>27.38</v>
      </c>
      <c r="G3550" s="3" t="n">
        <v>0</v>
      </c>
      <c r="H3550" s="3" t="n">
        <v>0</v>
      </c>
      <c r="I3550" s="3">
        <f>E3550+G3550+H3550</f>
        <v/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/>
      </c>
      <c r="K3550" s="3">
        <f>I3550-J3550</f>
        <v/>
      </c>
      <c r="L3550" s="3">
        <f>IF(K3550&lt;-5,"CRÍTICO",IF(K3550&lt;0,"ATENÇÃO",IF(K3550&lt;=5,"OPORTUNO","MUITO BOM")))</f>
        <v/>
      </c>
      <c r="M3550" s="3" t="n">
        <v>18</v>
      </c>
      <c r="N3550" s="3" t="n">
        <v>98.2</v>
      </c>
      <c r="O3550" s="12" t="n">
        <v>27.17086834733893</v>
      </c>
    </row>
    <row r="3551">
      <c r="A3551" s="10" t="n">
        <v>46113</v>
      </c>
      <c r="B3551" t="inlineStr">
        <is>
          <t>Claudio de Sousa Velasco Filho</t>
        </is>
      </c>
      <c r="C3551" s="1" t="inlineStr">
        <is>
          <t>Estágio</t>
        </is>
      </c>
      <c r="D3551" s="3" t="n">
        <v>9</v>
      </c>
      <c r="E3551" s="3" t="n">
        <v>9</v>
      </c>
      <c r="F3551" s="3" t="n">
        <v>28.3</v>
      </c>
      <c r="G3551" s="3" t="n">
        <v>0</v>
      </c>
      <c r="H3551" s="3" t="n">
        <v>0</v>
      </c>
      <c r="I3551" s="3">
        <f>E3551+G3551+H3551</f>
        <v/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/>
      </c>
      <c r="K3551" s="3">
        <f>I3551-J3551</f>
        <v/>
      </c>
      <c r="L3551" s="3">
        <f>IF(K3551&lt;-5,"CRÍTICO",IF(K3551&lt;0,"ATENÇÃO",IF(K3551&lt;=5,"OPORTUNO","MUITO BOM")))</f>
        <v/>
      </c>
      <c r="M3551" s="3" t="n">
        <v>9</v>
      </c>
      <c r="N3551" s="3" t="n">
        <v>100</v>
      </c>
      <c r="O3551" s="12" t="n">
        <v>23.13432835820895</v>
      </c>
    </row>
    <row r="3552">
      <c r="A3552" s="10" t="n">
        <v>46113</v>
      </c>
      <c r="B3552" t="inlineStr">
        <is>
          <t>Clessiane Pereira dos Santos</t>
        </is>
      </c>
      <c r="C3552" s="1" t="inlineStr">
        <is>
          <t>Técnico I</t>
        </is>
      </c>
      <c r="D3552" s="3" t="n">
        <v>28</v>
      </c>
      <c r="E3552" s="3" t="n">
        <v>26</v>
      </c>
      <c r="F3552" s="3" t="n">
        <v>18.22</v>
      </c>
      <c r="G3552" s="3" t="n">
        <v>0</v>
      </c>
      <c r="H3552" s="3" t="n">
        <v>0</v>
      </c>
      <c r="I3552" s="3">
        <f>E3552+G3552+H3552</f>
        <v/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/>
      </c>
      <c r="K3552" s="3">
        <f>I3552-J3552</f>
        <v/>
      </c>
      <c r="L3552" s="3">
        <f>IF(K3552&lt;-5,"CRÍTICO",IF(K3552&lt;0,"ATENÇÃO",IF(K3552&lt;=5,"OPORTUNO","MUITO BOM")))</f>
        <v/>
      </c>
      <c r="M3552" s="3" t="n">
        <v>26</v>
      </c>
      <c r="N3552" s="3" t="n">
        <v>96.3</v>
      </c>
      <c r="O3552" s="12" t="n">
        <v>32.21957040572792</v>
      </c>
    </row>
    <row r="3553">
      <c r="A3553" s="10" t="n">
        <v>46113</v>
      </c>
      <c r="B3553" t="inlineStr">
        <is>
          <t>Cristiane Ramos da Silva Rocha</t>
        </is>
      </c>
      <c r="C3553" s="1" t="inlineStr">
        <is>
          <t>Técnico III</t>
        </is>
      </c>
      <c r="D3553" s="3" t="n">
        <v>30</v>
      </c>
      <c r="E3553" s="3" t="n">
        <v>28</v>
      </c>
      <c r="F3553" s="3" t="n">
        <v>13.22</v>
      </c>
      <c r="G3553" s="3" t="n">
        <v>0</v>
      </c>
      <c r="H3553" s="3" t="n">
        <v>0</v>
      </c>
      <c r="I3553" s="3">
        <f>E3553+G3553+H3553</f>
        <v/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/>
      </c>
      <c r="K3553" s="3">
        <f>I3553-J3553</f>
        <v/>
      </c>
      <c r="L3553" s="3">
        <f>IF(K3553&lt;-5,"CRÍTICO",IF(K3553&lt;0,"ATENÇÃO",IF(K3553&lt;=5,"OPORTUNO","MUITO BOM")))</f>
        <v/>
      </c>
      <c r="M3553" s="3" t="n">
        <v>25</v>
      </c>
      <c r="N3553" s="3" t="n">
        <v>93.75</v>
      </c>
      <c r="O3553" s="12" t="n">
        <v>26.81992337164751</v>
      </c>
    </row>
    <row r="3554">
      <c r="A3554" s="10" t="n">
        <v>46113</v>
      </c>
      <c r="B3554" t="inlineStr">
        <is>
          <t>Damyllis Lorraine de Oliveira Gonçalves</t>
        </is>
      </c>
      <c r="C3554" s="1" t="inlineStr">
        <is>
          <t>Técnico II</t>
        </is>
      </c>
      <c r="D3554" s="3" t="n">
        <v>36</v>
      </c>
      <c r="E3554" s="3" t="n">
        <v>32</v>
      </c>
      <c r="F3554" s="3" t="n">
        <v>20.19</v>
      </c>
      <c r="G3554" s="3" t="n">
        <v>0</v>
      </c>
      <c r="H3554" s="3" t="n">
        <v>0</v>
      </c>
      <c r="I3554" s="3" t="n">
        <v>0</v>
      </c>
      <c r="J3554" s="3" t="n">
        <v>0</v>
      </c>
      <c r="K3554" s="3" t="n">
        <v>0</v>
      </c>
      <c r="L3554" s="3">
        <f>IF(K3554&lt;-5,"CRÍTICO",IF(K3554&lt;0,"ATENÇÃO",IF(K3554&lt;=5,"OPORTUNO","MUITO BOM")))</f>
        <v/>
      </c>
      <c r="M3554" s="3" t="n">
        <v>28</v>
      </c>
      <c r="N3554" s="3" t="n">
        <v>97.86</v>
      </c>
      <c r="O3554" s="12" t="n">
        <v>31.01851851851852</v>
      </c>
    </row>
    <row r="3555">
      <c r="A3555" s="10" t="n">
        <v>46113</v>
      </c>
      <c r="B3555" t="inlineStr">
        <is>
          <t>Daniel Gomes da Silva</t>
        </is>
      </c>
      <c r="C3555" s="1" t="inlineStr">
        <is>
          <t>Técnico I</t>
        </is>
      </c>
      <c r="D3555" s="3" t="n">
        <v>25</v>
      </c>
      <c r="E3555" s="3" t="n">
        <v>25</v>
      </c>
      <c r="F3555" s="3" t="n">
        <v>16.56</v>
      </c>
      <c r="G3555" s="3" t="n">
        <v>0</v>
      </c>
      <c r="H3555" s="3" t="n">
        <v>0</v>
      </c>
      <c r="I3555" s="3">
        <f>E3555+G3555+H3555</f>
        <v/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/>
      </c>
      <c r="K3555" s="3">
        <f>I3555-J3555</f>
        <v/>
      </c>
      <c r="L3555" s="3">
        <f>IF(K3555&lt;-5,"CRÍTICO",IF(K3555&lt;0,"ATENÇÃO",IF(K3555&lt;=5,"OPORTUNO","MUITO BOM")))</f>
        <v/>
      </c>
      <c r="M3555" s="3" t="n">
        <v>7</v>
      </c>
      <c r="N3555" s="3" t="n">
        <v>100</v>
      </c>
      <c r="O3555" s="12" t="n">
        <v>36.59420289855073</v>
      </c>
    </row>
    <row r="3556">
      <c r="A3556" s="10" t="n">
        <v>46113</v>
      </c>
      <c r="B3556" t="inlineStr">
        <is>
          <t>Davylla Rodrigues Freitas Silva</t>
        </is>
      </c>
      <c r="C3556" s="1" t="inlineStr">
        <is>
          <t>Técnico III</t>
        </is>
      </c>
      <c r="D3556" s="3" t="n">
        <v>26</v>
      </c>
      <c r="E3556" s="3" t="n">
        <v>25</v>
      </c>
      <c r="F3556" s="3" t="n">
        <v>22.07</v>
      </c>
      <c r="G3556" s="3" t="n">
        <v>0</v>
      </c>
      <c r="H3556" s="3" t="n">
        <v>0</v>
      </c>
      <c r="I3556" s="3" t="n">
        <v>0</v>
      </c>
      <c r="J3556" s="3" t="n">
        <v>0</v>
      </c>
      <c r="K3556" s="3" t="n">
        <v>0</v>
      </c>
      <c r="L3556" s="3">
        <f>IF(K3556&lt;-5,"CRÍTICO",IF(K3556&lt;0,"ATENÇÃO",IF(K3556&lt;=5,"OPORTUNO","MUITO BOM")))</f>
        <v/>
      </c>
      <c r="M3556" s="3" t="n">
        <v>25</v>
      </c>
      <c r="N3556" s="3" t="n">
        <v>100</v>
      </c>
      <c r="O3556" s="12" t="n">
        <v>38.65384615384615</v>
      </c>
    </row>
    <row r="3557">
      <c r="A3557" s="10" t="n">
        <v>46113</v>
      </c>
      <c r="B3557" t="inlineStr">
        <is>
          <t>Emilly Caylane Costa</t>
        </is>
      </c>
      <c r="C3557" s="1" t="inlineStr">
        <is>
          <t>Estágio</t>
        </is>
      </c>
      <c r="D3557" s="3" t="n">
        <v>0</v>
      </c>
      <c r="E3557" s="3" t="n">
        <v>0</v>
      </c>
      <c r="F3557" s="3" t="n">
        <v>0</v>
      </c>
      <c r="G3557" s="3" t="n">
        <v>0</v>
      </c>
      <c r="H3557" s="3" t="n">
        <v>0</v>
      </c>
      <c r="I3557" s="3" t="n">
        <v>0</v>
      </c>
      <c r="J3557" s="3" t="n">
        <v>0</v>
      </c>
      <c r="K3557" s="3" t="n">
        <v>0</v>
      </c>
      <c r="L3557" s="3">
        <f>IF(K3557&lt;-5,"CRÍTICO",IF(K3557&lt;0,"ATENÇÃO",IF(K3557&lt;=5,"OPORTUNO","MUITO BOM")))</f>
        <v/>
      </c>
      <c r="M3557" s="3" t="n">
        <v>0</v>
      </c>
      <c r="N3557" s="3" t="n">
        <v>100</v>
      </c>
      <c r="O3557" s="12" t="n">
        <v>27.36842105263158</v>
      </c>
    </row>
    <row r="3558">
      <c r="A3558" s="10" t="n">
        <v>46113</v>
      </c>
      <c r="B3558" t="inlineStr">
        <is>
          <t>Emilly Kamilly Medeiros Miranda</t>
        </is>
      </c>
      <c r="C3558" s="1" t="inlineStr">
        <is>
          <t>Técnico II</t>
        </is>
      </c>
      <c r="D3558" s="3" t="n">
        <v>23</v>
      </c>
      <c r="E3558" s="3" t="n">
        <v>21</v>
      </c>
      <c r="F3558" s="3" t="n">
        <v>18.43</v>
      </c>
      <c r="G3558" s="3" t="n">
        <v>0</v>
      </c>
      <c r="H3558" s="3" t="n">
        <v>0</v>
      </c>
      <c r="I3558" s="3">
        <f>E3558+G3558+H3558</f>
        <v/>
      </c>
      <c r="J3558" s="3">
        <f>ROUND(MIN(IF(C3558="Técnico III",35,IF(C3558="Técnico II",28,IF(C3558="Técnico I",23,IF(C3558="JR",20,IF(C3558="Estágio",10,0))))),IF(C3558="Técnico III",SUMIFS($D:$D,$A:$A,$A3558,$B:$B,"&lt;&gt;Patrícia Karla de Sousa Araújo",$B:$B,"&lt;&gt;Lorena Dias de Araujo",$B:$B,"&lt;&gt;Lucas Luiz Romero")*(35/1083),IF(C3558="Técnico II",SUMIFS($D:$D,$A:$A,$A3558,$B:$B,"&lt;&gt;Patrícia Karla de Sousa Araújo",$B:$B,"&lt;&gt;Lorena Dias de Araujo",$B:$B,"&lt;&gt;Lucas Luiz Romero")*(28/1083),IF(C3558="Técnico I",SUMIFS($D:$D,$A:$A,$A3558,$B:$B,"&lt;&gt;Patrícia Karla de Sousa Araújo",$B:$B,"&lt;&gt;Lorena Dias de Araujo",$B:$B,"&lt;&gt;Lucas Luiz Romero")*(23/1083),IF(C3558="JR",SUMIFS($D:$D,$A:$A,$A3558,$B:$B,"&lt;&gt;Patrícia Karla de Sousa Araújo",$B:$B,"&lt;&gt;Lorena Dias de Araujo",$B:$B,"&lt;&gt;Lucas Luiz Romero")*(20/1083),IF(C3558="Estágio",SUMIFS($D:$D,$A:$A,$A3558,$B:$B,"&lt;&gt;Patrícia Karla de Sousa Araújo",$B:$B,"&lt;&gt;Lorena Dias de Araujo",$B:$B,"&lt;&gt;Lucas Luiz Romero")*(10/1083),0)))))),0)</f>
        <v/>
      </c>
      <c r="K3558" s="3">
        <f>I3558-J3558</f>
        <v/>
      </c>
      <c r="L3558" s="3">
        <f>IF(K3558&lt;-5,"CRÍTICO",IF(K3558&lt;0,"ATENÇÃO",IF(K3558&lt;=5,"OPORTUNO","MUITO BOM")))</f>
        <v/>
      </c>
      <c r="M3558" s="3" t="n">
        <v>22</v>
      </c>
      <c r="N3558" s="3" t="n">
        <v>97.83</v>
      </c>
      <c r="O3558" s="12" t="n">
        <v>28.35164835164835</v>
      </c>
    </row>
    <row r="3559">
      <c r="A3559" s="10" t="n">
        <v>46113</v>
      </c>
      <c r="B3559" t="inlineStr">
        <is>
          <t>Francielson de Oliveira</t>
        </is>
      </c>
      <c r="C3559" s="1" t="inlineStr">
        <is>
          <t>Técnico III</t>
        </is>
      </c>
      <c r="D3559" s="3" t="n">
        <v>30</v>
      </c>
      <c r="E3559" s="3" t="n">
        <v>25</v>
      </c>
      <c r="F3559" s="3" t="n">
        <v>12.24</v>
      </c>
      <c r="G3559" s="3" t="n">
        <v>0</v>
      </c>
      <c r="H3559" s="3" t="n">
        <v>0</v>
      </c>
      <c r="I3559" s="3">
        <f>E3559+G3559+H3559</f>
        <v/>
      </c>
      <c r="J3559" s="3">
        <f>ROUND(MIN(IF(C3559="Técnico III",35,IF(C3559="Técnico II",28,IF(C3559="Técnico I",23,IF(C3559="JR",20,IF(C3559="Estágio",10,0))))),IF(C3559="Técnico III",SUMIFS($D:$D,$A:$A,$A3559,$B:$B,"&lt;&gt;Patrícia Karla de Sousa Araújo",$B:$B,"&lt;&gt;Lorena Dias de Araujo",$B:$B,"&lt;&gt;Lucas Luiz Romero")*(35/1083),IF(C3559="Técnico II",SUMIFS($D:$D,$A:$A,$A3559,$B:$B,"&lt;&gt;Patrícia Karla de Sousa Araújo",$B:$B,"&lt;&gt;Lorena Dias de Araujo",$B:$B,"&lt;&gt;Lucas Luiz Romero")*(28/1083),IF(C3559="Técnico I",SUMIFS($D:$D,$A:$A,$A3559,$B:$B,"&lt;&gt;Patrícia Karla de Sousa Araújo",$B:$B,"&lt;&gt;Lorena Dias de Araujo",$B:$B,"&lt;&gt;Lucas Luiz Romero")*(23/1083),IF(C3559="JR",SUMIFS($D:$D,$A:$A,$A3559,$B:$B,"&lt;&gt;Patrícia Karla de Sousa Araújo",$B:$B,"&lt;&gt;Lorena Dias de Araujo",$B:$B,"&lt;&gt;Lucas Luiz Romero")*(20/1083),IF(C3559="Estágio",SUMIFS($D:$D,$A:$A,$A3559,$B:$B,"&lt;&gt;Patrícia Karla de Sousa Araújo",$B:$B,"&lt;&gt;Lorena Dias de Araujo",$B:$B,"&lt;&gt;Lucas Luiz Romero")*(10/1083),0)))))),0)</f>
        <v/>
      </c>
      <c r="K3559" s="3">
        <f>I3559-J3559</f>
        <v/>
      </c>
      <c r="L3559" s="3">
        <f>IF(K3559&lt;-5,"CRÍTICO",IF(K3559&lt;0,"ATENÇÃO",IF(K3559&lt;=5,"OPORTUNO","MUITO BOM")))</f>
        <v/>
      </c>
      <c r="M3559" s="3" t="n">
        <v>25</v>
      </c>
      <c r="N3559" s="3" t="n">
        <v>99.26000000000001</v>
      </c>
      <c r="O3559" s="12" t="n">
        <v>29.76653696498055</v>
      </c>
    </row>
    <row r="3560">
      <c r="A3560" s="10" t="n">
        <v>46113</v>
      </c>
      <c r="B3560" t="inlineStr">
        <is>
          <t>Francilene Ferreira de Jesus</t>
        </is>
      </c>
      <c r="C3560" s="1" t="inlineStr">
        <is>
          <t>Técnico II</t>
        </is>
      </c>
      <c r="D3560" s="3" t="n">
        <v>37</v>
      </c>
      <c r="E3560" s="3" t="n">
        <v>35</v>
      </c>
      <c r="F3560" s="3" t="n">
        <v>15.19</v>
      </c>
      <c r="G3560" s="3" t="n">
        <v>0</v>
      </c>
      <c r="H3560" s="3" t="n">
        <v>0</v>
      </c>
      <c r="I3560" s="3">
        <f>E3560+G3560+H3560</f>
        <v/>
      </c>
      <c r="J3560" s="3">
        <f>ROUND(MIN(IF(C3560="Técnico III",35,IF(C3560="Técnico II",28,IF(C3560="Técnico I",23,IF(C3560="JR",20,IF(C3560="Estágio",10,0))))),IF(C3560="Técnico III",SUMIFS($D:$D,$A:$A,$A3560,$B:$B,"&lt;&gt;Patrícia Karla de Sousa Araújo",$B:$B,"&lt;&gt;Lorena Dias de Araujo",$B:$B,"&lt;&gt;Lucas Luiz Romero")*(35/1083),IF(C3560="Técnico II",SUMIFS($D:$D,$A:$A,$A3560,$B:$B,"&lt;&gt;Patrícia Karla de Sousa Araújo",$B:$B,"&lt;&gt;Lorena Dias de Araujo",$B:$B,"&lt;&gt;Lucas Luiz Romero")*(28/1083),IF(C3560="Técnico I",SUMIFS($D:$D,$A:$A,$A3560,$B:$B,"&lt;&gt;Patrícia Karla de Sousa Araújo",$B:$B,"&lt;&gt;Lorena Dias de Araujo",$B:$B,"&lt;&gt;Lucas Luiz Romero")*(23/1083),IF(C3560="JR",SUMIFS($D:$D,$A:$A,$A3560,$B:$B,"&lt;&gt;Patrícia Karla de Sousa Araújo",$B:$B,"&lt;&gt;Lorena Dias de Araujo",$B:$B,"&lt;&gt;Lucas Luiz Romero")*(20/1083),IF(C3560="Estágio",SUMIFS($D:$D,$A:$A,$A3560,$B:$B,"&lt;&gt;Patrícia Karla de Sousa Araújo",$B:$B,"&lt;&gt;Lorena Dias de Araujo",$B:$B,"&lt;&gt;Lucas Luiz Romero")*(10/1083),0)))))),0)</f>
        <v/>
      </c>
      <c r="K3560" s="3">
        <f>I3560-J3560</f>
        <v/>
      </c>
      <c r="L3560" s="3">
        <f>IF(K3560&lt;-5,"CRÍTICO",IF(K3560&lt;0,"ATENÇÃO",IF(K3560&lt;=5,"OPORTUNO","MUITO BOM")))</f>
        <v/>
      </c>
      <c r="M3560" s="3" t="n">
        <v>37</v>
      </c>
      <c r="N3560" s="3" t="n">
        <v>99.19</v>
      </c>
      <c r="O3560" s="12" t="n">
        <v>29.46236559139785</v>
      </c>
    </row>
    <row r="3561">
      <c r="A3561" s="7" t="n">
        <v>46161</v>
      </c>
      <c r="B3561" s="8" t="inlineStr">
        <is>
          <t>Kerollen Cristielly de Jesus Siqueira</t>
        </is>
      </c>
      <c r="C3561" s="1" t="inlineStr">
        <is>
          <t>Técnico III</t>
        </is>
      </c>
      <c r="D3561" s="3" t="n">
        <v>32</v>
      </c>
      <c r="E3561" s="3" t="n">
        <v>32</v>
      </c>
      <c r="F3561" s="3" t="n">
        <v>17.18</v>
      </c>
      <c r="G3561" s="3" t="n">
        <v>0</v>
      </c>
      <c r="H3561" s="3" t="n">
        <v>0</v>
      </c>
      <c r="I3561" s="3" t="n">
        <v>32</v>
      </c>
      <c r="J3561" s="3" t="n">
        <v>29</v>
      </c>
      <c r="K3561" s="3" t="n">
        <v>3</v>
      </c>
      <c r="L3561" s="3" t="inlineStr">
        <is>
          <t>BOM</t>
        </is>
      </c>
      <c r="M3561" s="3" t="n">
        <v>28</v>
      </c>
      <c r="N3561" s="3" t="n">
        <v>96.84</v>
      </c>
      <c r="O3561" s="12" t="n">
        <v>16.33802816901408</v>
      </c>
    </row>
    <row r="3562">
      <c r="A3562" s="10" t="n">
        <v>46113</v>
      </c>
      <c r="B3562" t="inlineStr">
        <is>
          <t>Isabella Borges de Oliveira</t>
        </is>
      </c>
      <c r="C3562" s="1" t="inlineStr">
        <is>
          <t>Técnico II</t>
        </is>
      </c>
      <c r="D3562" s="3" t="n">
        <v>36</v>
      </c>
      <c r="E3562" s="3" t="n">
        <v>35</v>
      </c>
      <c r="F3562" s="3" t="n">
        <v>17.12</v>
      </c>
      <c r="G3562" s="3" t="n">
        <v>0</v>
      </c>
      <c r="H3562" s="3" t="n">
        <v>0</v>
      </c>
      <c r="I3562" s="3">
        <f>E3562+G3562+H3562</f>
        <v/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/>
      </c>
      <c r="K3562" s="3">
        <f>I3562-J3562</f>
        <v/>
      </c>
      <c r="L3562" s="3">
        <f>IF(K3562&lt;-5,"CRÍTICO",IF(K3562&lt;0,"ATENÇÃO",IF(K3562&lt;=5,"OPORTUNO","MUITO BOM")))</f>
        <v/>
      </c>
      <c r="M3562" s="3" t="n">
        <v>32</v>
      </c>
      <c r="N3562" s="3" t="n">
        <v>100</v>
      </c>
      <c r="O3562" s="12" t="n">
        <v>28.92156862745098</v>
      </c>
    </row>
    <row r="3563">
      <c r="A3563" s="10" t="n">
        <v>46113</v>
      </c>
      <c r="B3563" t="inlineStr">
        <is>
          <t>Janaina Lima dos Reis Urany</t>
        </is>
      </c>
      <c r="C3563" s="1" t="inlineStr">
        <is>
          <t>Técnico III</t>
        </is>
      </c>
      <c r="D3563" s="3" t="n">
        <v>45</v>
      </c>
      <c r="E3563" s="3" t="n">
        <v>41</v>
      </c>
      <c r="F3563" s="3" t="n">
        <v>12.26</v>
      </c>
      <c r="G3563" s="3" t="n">
        <v>0</v>
      </c>
      <c r="H3563" s="3" t="n">
        <v>0</v>
      </c>
      <c r="I3563" s="3">
        <f>E3563+G3563+H3563</f>
        <v/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/>
      </c>
      <c r="K3563" s="3">
        <f>I3563-J3563</f>
        <v/>
      </c>
      <c r="L3563" s="3">
        <f>IF(K3563&lt;-5,"CRÍTICO",IF(K3563&lt;0,"ATENÇÃO",IF(K3563&lt;=5,"OPORTUNO","MUITO BOM")))</f>
        <v/>
      </c>
      <c r="M3563" s="3" t="n">
        <v>41</v>
      </c>
      <c r="N3563" s="3" t="n">
        <v>99.56999999999999</v>
      </c>
      <c r="O3563" s="12" t="n">
        <v>30.63583815028902</v>
      </c>
    </row>
    <row r="3564">
      <c r="A3564" s="10" t="n">
        <v>46113</v>
      </c>
      <c r="B3564" t="inlineStr">
        <is>
          <t>Jaqueline Evangelista da Silva Martins</t>
        </is>
      </c>
      <c r="C3564" s="1" t="inlineStr">
        <is>
          <t>Técnico III</t>
        </is>
      </c>
      <c r="D3564" s="3" t="n">
        <v>2</v>
      </c>
      <c r="E3564" s="3" t="n">
        <v>2</v>
      </c>
      <c r="F3564" s="3" t="n">
        <v>20.07</v>
      </c>
      <c r="G3564" s="3" t="n">
        <v>0</v>
      </c>
      <c r="H3564" s="3" t="n">
        <v>0</v>
      </c>
      <c r="I3564" s="3">
        <f>E3564+G3564+H3564</f>
        <v/>
      </c>
      <c r="J3564" s="3">
        <f>ROUND(MIN(IF(C3564="Técnico III",35,IF(C3564="Técnico II",28,IF(C3564="Técnico I",23,IF(C3564="JR",20,IF(C3564="Estágio",10,0))))),IF(C3564="Técnico III",SUMIFS($D:$D,$A:$A,$A3564,$B:$B,"&lt;&gt;Patrícia Karla de Sousa Araújo",$B:$B,"&lt;&gt;Lorena Dias de Araujo",$B:$B,"&lt;&gt;Lucas Luiz Romero")*(35/1083),IF(C3564="Técnico II",SUMIFS($D:$D,$A:$A,$A3564,$B:$B,"&lt;&gt;Patrícia Karla de Sousa Araújo",$B:$B,"&lt;&gt;Lorena Dias de Araujo",$B:$B,"&lt;&gt;Lucas Luiz Romero")*(28/1083),IF(C3564="Técnico I",SUMIFS($D:$D,$A:$A,$A3564,$B:$B,"&lt;&gt;Patrícia Karla de Sousa Araújo",$B:$B,"&lt;&gt;Lorena Dias de Araujo",$B:$B,"&lt;&gt;Lucas Luiz Romero")*(23/1083),IF(C3564="JR",SUMIFS($D:$D,$A:$A,$A3564,$B:$B,"&lt;&gt;Patrícia Karla de Sousa Araújo",$B:$B,"&lt;&gt;Lorena Dias de Araujo",$B:$B,"&lt;&gt;Lucas Luiz Romero")*(20/1083),IF(C3564="Estágio",SUMIFS($D:$D,$A:$A,$A3564,$B:$B,"&lt;&gt;Patrícia Karla de Sousa Araújo",$B:$B,"&lt;&gt;Lorena Dias de Araujo",$B:$B,"&lt;&gt;Lucas Luiz Romero")*(10/1083),0)))))),0)</f>
        <v/>
      </c>
      <c r="K3564" s="3">
        <f>I3564-J3564</f>
        <v/>
      </c>
      <c r="L3564" s="3">
        <f>IF(K3564&lt;-5,"CRÍTICO",IF(K3564&lt;0,"ATENÇÃO",IF(K3564&lt;=5,"OPORTUNO","MUITO BOM")))</f>
        <v/>
      </c>
      <c r="M3564" s="3" t="n">
        <v>2</v>
      </c>
      <c r="N3564" s="3" t="n">
        <v>95.65000000000001</v>
      </c>
      <c r="O3564" s="12" t="n">
        <v>32.43243243243244</v>
      </c>
    </row>
    <row r="3565">
      <c r="A3565" s="10" t="n">
        <v>46113</v>
      </c>
      <c r="B3565" t="inlineStr">
        <is>
          <t>Jessica Faria da Silveira</t>
        </is>
      </c>
      <c r="C3565" s="1" t="inlineStr">
        <is>
          <t>Técnico II</t>
        </is>
      </c>
      <c r="D3565" s="3" t="n">
        <v>28</v>
      </c>
      <c r="E3565" s="3" t="n">
        <v>25</v>
      </c>
      <c r="F3565" s="3" t="n">
        <v>21.55</v>
      </c>
      <c r="G3565" s="3" t="n">
        <v>0</v>
      </c>
      <c r="H3565" s="3" t="n">
        <v>0</v>
      </c>
      <c r="I3565" s="3">
        <f>E3565+G3565+H3565</f>
        <v/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/>
      </c>
      <c r="K3565" s="3">
        <f>I3565-J3565</f>
        <v/>
      </c>
      <c r="L3565" s="3">
        <f>IF(K3565&lt;-5,"CRÍTICO",IF(K3565&lt;0,"ATENÇÃO",IF(K3565&lt;=5,"OPORTUNO","MUITO BOM")))</f>
        <v/>
      </c>
      <c r="M3565" s="3" t="n">
        <v>26</v>
      </c>
      <c r="N3565" s="3" t="n">
        <v>98.81</v>
      </c>
      <c r="O3565" s="12" t="n">
        <v>26.25698324022346</v>
      </c>
    </row>
    <row r="3566">
      <c r="A3566" s="10" t="n">
        <v>46113</v>
      </c>
      <c r="B3566" t="inlineStr">
        <is>
          <t>Jéssica Fé Moura</t>
        </is>
      </c>
      <c r="C3566" s="1" t="inlineStr">
        <is>
          <t>Técnico III</t>
        </is>
      </c>
      <c r="D3566" s="3" t="n">
        <v>0</v>
      </c>
      <c r="E3566" s="3" t="n">
        <v>0</v>
      </c>
      <c r="F3566" s="3" t="n">
        <v>0</v>
      </c>
      <c r="G3566" s="3" t="n">
        <v>0</v>
      </c>
      <c r="H3566" s="3" t="n">
        <v>0</v>
      </c>
      <c r="I3566" s="3" t="n">
        <v>0</v>
      </c>
      <c r="J3566" s="3" t="n">
        <v>0</v>
      </c>
      <c r="K3566" s="3" t="n">
        <v>0</v>
      </c>
      <c r="L3566" s="3">
        <f>IF(K3566&lt;-5,"CRÍTICO",IF(K3566&lt;0,"ATENÇÃO",IF(K3566&lt;=5,"OPORTUNO","MUITO BOM")))</f>
        <v/>
      </c>
      <c r="M3566" s="3" t="n">
        <v>0</v>
      </c>
      <c r="N3566" s="3" t="n">
        <v>0</v>
      </c>
      <c r="O3566" s="12" t="n">
        <v>0</v>
      </c>
    </row>
    <row r="3567">
      <c r="A3567" s="10" t="n">
        <v>46113</v>
      </c>
      <c r="B3567" t="inlineStr">
        <is>
          <t>Karina Gonçalves Martins</t>
        </is>
      </c>
      <c r="C3567" s="1" t="inlineStr">
        <is>
          <t>JR</t>
        </is>
      </c>
      <c r="D3567" s="3" t="n">
        <v>22</v>
      </c>
      <c r="E3567" s="3" t="n">
        <v>18</v>
      </c>
      <c r="F3567" s="3" t="n">
        <v>19</v>
      </c>
      <c r="G3567" s="3" t="n">
        <v>0</v>
      </c>
      <c r="H3567" s="3" t="n">
        <v>0</v>
      </c>
      <c r="I3567" s="3">
        <f>E3567+G3567+H3567</f>
        <v/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/>
      </c>
      <c r="K3567" s="3">
        <f>I3567-J3567</f>
        <v/>
      </c>
      <c r="L3567" s="3">
        <f>IF(K3567&lt;-5,"CRÍTICO",IF(K3567&lt;0,"ATENÇÃO",IF(K3567&lt;=5,"OPORTUNO","MUITO BOM")))</f>
        <v/>
      </c>
      <c r="M3567" s="3" t="n">
        <v>19</v>
      </c>
      <c r="N3567" s="3" t="n">
        <v>97.17</v>
      </c>
      <c r="O3567" s="12" t="n">
        <v>28.81844380403458</v>
      </c>
    </row>
    <row r="3568">
      <c r="A3568" s="10" t="n">
        <v>46113</v>
      </c>
      <c r="B3568" t="inlineStr">
        <is>
          <t>Kerollen Cristielly de Jesus Siqueira</t>
        </is>
      </c>
      <c r="C3568" s="1" t="inlineStr">
        <is>
          <t>Técnico III</t>
        </is>
      </c>
      <c r="D3568" s="3" t="n">
        <v>19</v>
      </c>
      <c r="E3568" s="3" t="n">
        <v>19</v>
      </c>
      <c r="F3568" s="3" t="n">
        <v>12.21</v>
      </c>
      <c r="G3568" s="3" t="n">
        <v>0</v>
      </c>
      <c r="H3568" s="3" t="n">
        <v>0</v>
      </c>
      <c r="I3568" s="3">
        <f>E3568+G3568+H3568</f>
        <v/>
      </c>
      <c r="J3568" s="3">
        <f>ROUND(MIN(IF(C3568="Técnico III",35,IF(C3568="Técnico II",28,IF(C3568="Técnico I",23,IF(C3568="JR",20,IF(C3568="Estágio",10,0))))),IF(C3568="Técnico III",SUMIFS($D:$D,$A:$A,$A3568,$B:$B,"&lt;&gt;Patrícia Karla de Sousa Araújo",$B:$B,"&lt;&gt;Lorena Dias de Araujo",$B:$B,"&lt;&gt;Lucas Luiz Romero")*(35/1083),IF(C3568="Técnico II",SUMIFS($D:$D,$A:$A,$A3568,$B:$B,"&lt;&gt;Patrícia Karla de Sousa Araújo",$B:$B,"&lt;&gt;Lorena Dias de Araujo",$B:$B,"&lt;&gt;Lucas Luiz Romero")*(28/1083),IF(C3568="Técnico I",SUMIFS($D:$D,$A:$A,$A3568,$B:$B,"&lt;&gt;Patrícia Karla de Sousa Araújo",$B:$B,"&lt;&gt;Lorena Dias de Araujo",$B:$B,"&lt;&gt;Lucas Luiz Romero")*(23/1083),IF(C3568="JR",SUMIFS($D:$D,$A:$A,$A3568,$B:$B,"&lt;&gt;Patrícia Karla de Sousa Araújo",$B:$B,"&lt;&gt;Lorena Dias de Araujo",$B:$B,"&lt;&gt;Lucas Luiz Romero")*(20/1083),IF(C3568="Estágio",SUMIFS($D:$D,$A:$A,$A3568,$B:$B,"&lt;&gt;Patrícia Karla de Sousa Araújo",$B:$B,"&lt;&gt;Lorena Dias de Araujo",$B:$B,"&lt;&gt;Lucas Luiz Romero")*(10/1083),0)))))),0)</f>
        <v/>
      </c>
      <c r="K3568" s="3">
        <f>I3568-J3568</f>
        <v/>
      </c>
      <c r="L3568" s="3">
        <f>IF(K3568&lt;-5,"CRÍTICO",IF(K3568&lt;0,"ATENÇÃO",IF(K3568&lt;=5,"OPORTUNO","MUITO BOM")))</f>
        <v/>
      </c>
      <c r="M3568" s="3" t="n">
        <v>19</v>
      </c>
      <c r="N3568" s="3" t="n">
        <v>96.81</v>
      </c>
      <c r="O3568" s="12" t="n">
        <v>48.01864801864802</v>
      </c>
    </row>
    <row r="3569">
      <c r="A3569" s="10" t="n">
        <v>46113</v>
      </c>
      <c r="B3569" t="inlineStr">
        <is>
          <t>Leandro de Souza Silva</t>
        </is>
      </c>
      <c r="C3569" s="1" t="inlineStr">
        <is>
          <t>JR</t>
        </is>
      </c>
      <c r="D3569" s="3" t="n">
        <v>14</v>
      </c>
      <c r="E3569" s="3" t="n">
        <v>14</v>
      </c>
      <c r="F3569" s="3" t="n">
        <v>33.52</v>
      </c>
      <c r="G3569" s="3" t="n">
        <v>0</v>
      </c>
      <c r="H3569" s="3" t="n">
        <v>0</v>
      </c>
      <c r="I3569" s="3">
        <f>E3569+G3569+H3569</f>
        <v/>
      </c>
      <c r="J3569" s="3">
        <f>ROUND(MIN(IF(C3569="Técnico III",35,IF(C3569="Técnico II",28,IF(C3569="Técnico I",23,IF(C3569="JR",20,IF(C3569="Estágio",10,0))))),IF(C3569="Técnico III",SUMIFS($D:$D,$A:$A,$A3569,$B:$B,"&lt;&gt;Patrícia Karla de Sousa Araújo",$B:$B,"&lt;&gt;Lorena Dias de Araujo",$B:$B,"&lt;&gt;Lucas Luiz Romero")*(35/1083),IF(C3569="Técnico II",SUMIFS($D:$D,$A:$A,$A3569,$B:$B,"&lt;&gt;Patrícia Karla de Sousa Araújo",$B:$B,"&lt;&gt;Lorena Dias de Araujo",$B:$B,"&lt;&gt;Lucas Luiz Romero")*(28/1083),IF(C3569="Técnico I",SUMIFS($D:$D,$A:$A,$A3569,$B:$B,"&lt;&gt;Patrícia Karla de Sousa Araújo",$B:$B,"&lt;&gt;Lorena Dias de Araujo",$B:$B,"&lt;&gt;Lucas Luiz Romero")*(23/1083),IF(C3569="JR",SUMIFS($D:$D,$A:$A,$A3569,$B:$B,"&lt;&gt;Patrícia Karla de Sousa Araújo",$B:$B,"&lt;&gt;Lorena Dias de Araujo",$B:$B,"&lt;&gt;Lucas Luiz Romero")*(20/1083),IF(C3569="Estágio",SUMIFS($D:$D,$A:$A,$A3569,$B:$B,"&lt;&gt;Patrícia Karla de Sousa Araújo",$B:$B,"&lt;&gt;Lorena Dias de Araujo",$B:$B,"&lt;&gt;Lucas Luiz Romero")*(10/1083),0)))))),0)</f>
        <v/>
      </c>
      <c r="K3569" s="3">
        <f>I3569-J3569</f>
        <v/>
      </c>
      <c r="L3569" s="3">
        <f>IF(K3569&lt;-5,"CRÍTICO",IF(K3569&lt;0,"ATENÇÃO",IF(K3569&lt;=5,"OPORTUNO","MUITO BOM")))</f>
        <v/>
      </c>
      <c r="M3569" s="3" t="n">
        <v>11</v>
      </c>
      <c r="N3569" s="3" t="n">
        <v>98.15000000000001</v>
      </c>
      <c r="O3569" s="12" t="n">
        <v>27.1551724137931</v>
      </c>
    </row>
    <row r="3570">
      <c r="A3570" s="10" t="n">
        <v>46113</v>
      </c>
      <c r="B3570" t="inlineStr">
        <is>
          <t>Leandro Oliveira de Sousa</t>
        </is>
      </c>
      <c r="C3570" s="1" t="inlineStr">
        <is>
          <t>Técnico III</t>
        </is>
      </c>
      <c r="D3570" s="3" t="n">
        <v>24</v>
      </c>
      <c r="E3570" s="3" t="n">
        <v>24</v>
      </c>
      <c r="F3570" s="3" t="n">
        <v>21.48</v>
      </c>
      <c r="G3570" s="3" t="n">
        <v>0</v>
      </c>
      <c r="H3570" s="3" t="n">
        <v>0</v>
      </c>
      <c r="I3570" s="3">
        <f>E3570+G3570+H3570</f>
        <v/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/>
      </c>
      <c r="K3570" s="3">
        <f>I3570-J3570</f>
        <v/>
      </c>
      <c r="L3570" s="3">
        <f>IF(K3570&lt;-5,"CRÍTICO",IF(K3570&lt;0,"ATENÇÃO",IF(K3570&lt;=5,"OPORTUNO","MUITO BOM")))</f>
        <v/>
      </c>
      <c r="M3570" s="3" t="n">
        <v>21</v>
      </c>
      <c r="N3570" s="3" t="n">
        <v>99.15000000000001</v>
      </c>
      <c r="O3570" s="12" t="n">
        <v>27.58620689655172</v>
      </c>
    </row>
    <row r="3571">
      <c r="A3571" s="10" t="n">
        <v>46113</v>
      </c>
      <c r="B3571" t="inlineStr">
        <is>
          <t>Lizandra Gomes Duarte</t>
        </is>
      </c>
      <c r="C3571" s="1" t="inlineStr">
        <is>
          <t>Técnico II</t>
        </is>
      </c>
      <c r="D3571" s="3" t="n">
        <v>26</v>
      </c>
      <c r="E3571" s="3" t="n">
        <v>24</v>
      </c>
      <c r="F3571" s="3" t="n">
        <v>20.29</v>
      </c>
      <c r="G3571" s="3" t="n">
        <v>0</v>
      </c>
      <c r="H3571" s="3" t="n">
        <v>0</v>
      </c>
      <c r="I3571" s="3">
        <f>E3571+G3571+H3571</f>
        <v/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/>
      </c>
      <c r="K3571" s="3">
        <f>I3571-J3571</f>
        <v/>
      </c>
      <c r="L3571" s="3">
        <f>IF(K3571&lt;-5,"CRÍTICO",IF(K3571&lt;0,"ATENÇÃO",IF(K3571&lt;=5,"OPORTUNO","MUITO BOM")))</f>
        <v/>
      </c>
      <c r="M3571" s="3" t="n">
        <v>23</v>
      </c>
      <c r="N3571" s="3" t="n">
        <v>99.17</v>
      </c>
      <c r="O3571" s="12" t="n">
        <v>29.75206611570248</v>
      </c>
    </row>
    <row r="3572">
      <c r="A3572" s="10" t="n">
        <v>46113</v>
      </c>
      <c r="B3572" t="inlineStr">
        <is>
          <t>Lorena Dias de Araujo</t>
        </is>
      </c>
      <c r="C3572" s="1" t="inlineStr">
        <is>
          <t>Técnico II</t>
        </is>
      </c>
      <c r="D3572" s="3" t="n">
        <v>35</v>
      </c>
      <c r="E3572" s="3" t="n">
        <v>34</v>
      </c>
      <c r="F3572" s="3" t="n">
        <v>15.59</v>
      </c>
      <c r="G3572" s="3" t="n">
        <v>0</v>
      </c>
      <c r="H3572" s="3" t="n">
        <v>0</v>
      </c>
      <c r="I3572" s="3" t="n">
        <v>0</v>
      </c>
      <c r="J3572" s="3" t="n">
        <v>0</v>
      </c>
      <c r="K3572" s="3" t="n">
        <v>0</v>
      </c>
      <c r="L3572" s="3">
        <f>IF(K3572&lt;-5,"CRÍTICO",IF(K3572&lt;0,"ATENÇÃO",IF(K3572&lt;=5,"OPORTUNO","MUITO BOM")))</f>
        <v/>
      </c>
      <c r="M3572" s="3" t="n">
        <v>33</v>
      </c>
      <c r="N3572" s="3" t="n">
        <v>98.73</v>
      </c>
      <c r="O3572" s="12" t="n">
        <v>28.96174863387978</v>
      </c>
    </row>
    <row r="3573">
      <c r="A3573" s="10" t="n">
        <v>46113</v>
      </c>
      <c r="B3573" t="inlineStr">
        <is>
          <t>Lucas Luiz Romero</t>
        </is>
      </c>
      <c r="C3573" s="1" t="inlineStr">
        <is>
          <t>Técnico III</t>
        </is>
      </c>
      <c r="D3573" s="3" t="n">
        <v>61</v>
      </c>
      <c r="E3573" s="3" t="n">
        <v>48</v>
      </c>
      <c r="F3573" s="3" t="n">
        <v>11.44</v>
      </c>
      <c r="G3573" s="3" t="n">
        <v>0</v>
      </c>
      <c r="H3573" s="3" t="n">
        <v>0</v>
      </c>
      <c r="I3573" s="3">
        <f>E3573+G3573+H3573</f>
        <v/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/>
      </c>
      <c r="K3573" s="3">
        <f>I3573-J3573</f>
        <v/>
      </c>
      <c r="L3573" s="3">
        <f>IF(K3573&lt;-5,"CRÍTICO",IF(K3573&lt;0,"ATENÇÃO",IF(K3573&lt;=5,"OPORTUNO","MUITO BOM")))</f>
        <v/>
      </c>
      <c r="M3573" s="3" t="n">
        <v>39</v>
      </c>
      <c r="N3573" s="3" t="n">
        <v>88.68000000000001</v>
      </c>
      <c r="O3573" s="12" t="n">
        <v>22.03389830508474</v>
      </c>
    </row>
    <row r="3574">
      <c r="A3574" s="10" t="n">
        <v>46113</v>
      </c>
      <c r="B3574" t="inlineStr">
        <is>
          <t>Luiz Fernando de Carvalho Junior</t>
        </is>
      </c>
      <c r="C3574" s="1" t="inlineStr">
        <is>
          <t>Técnico I</t>
        </is>
      </c>
      <c r="D3574" s="3" t="n">
        <v>28</v>
      </c>
      <c r="E3574" s="3" t="n">
        <v>24</v>
      </c>
      <c r="F3574" s="3" t="n">
        <v>20.47</v>
      </c>
      <c r="G3574" s="3" t="n">
        <v>0</v>
      </c>
      <c r="H3574" s="3" t="n">
        <v>0</v>
      </c>
      <c r="I3574" s="3">
        <f>E3574+G3574+H3574</f>
        <v/>
      </c>
      <c r="J3574" s="3">
        <f>ROUND(MIN(IF(C3574="Técnico III",35,IF(C3574="Técnico II",28,IF(C3574="Técnico I",23,IF(C3574="JR",20,IF(C3574="Estágio",10,0))))),IF(C3574="Técnico III",SUMIFS($D:$D,$A:$A,$A3574,$B:$B,"&lt;&gt;Patrícia Karla de Sousa Araújo",$B:$B,"&lt;&gt;Lorena Dias de Araujo",$B:$B,"&lt;&gt;Lucas Luiz Romero")*(35/1083),IF(C3574="Técnico II",SUMIFS($D:$D,$A:$A,$A3574,$B:$B,"&lt;&gt;Patrícia Karla de Sousa Araújo",$B:$B,"&lt;&gt;Lorena Dias de Araujo",$B:$B,"&lt;&gt;Lucas Luiz Romero")*(28/1083),IF(C3574="Técnico I",SUMIFS($D:$D,$A:$A,$A3574,$B:$B,"&lt;&gt;Patrícia Karla de Sousa Araújo",$B:$B,"&lt;&gt;Lorena Dias de Araujo",$B:$B,"&lt;&gt;Lucas Luiz Romero")*(23/1083),IF(C3574="JR",SUMIFS($D:$D,$A:$A,$A3574,$B:$B,"&lt;&gt;Patrícia Karla de Sousa Araújo",$B:$B,"&lt;&gt;Lorena Dias de Araujo",$B:$B,"&lt;&gt;Lucas Luiz Romero")*(20/1083),IF(C3574="Estágio",SUMIFS($D:$D,$A:$A,$A3574,$B:$B,"&lt;&gt;Patrícia Karla de Sousa Araújo",$B:$B,"&lt;&gt;Lorena Dias de Araujo",$B:$B,"&lt;&gt;Lucas Luiz Romero")*(10/1083),0)))))),0)</f>
        <v/>
      </c>
      <c r="K3574" s="3">
        <f>I3574-J3574</f>
        <v/>
      </c>
      <c r="L3574" s="3">
        <f>IF(K3574&lt;-5,"CRÍTICO",IF(K3574&lt;0,"ATENÇÃO",IF(K3574&lt;=5,"OPORTUNO","MUITO BOM")))</f>
        <v/>
      </c>
      <c r="M3574" s="3" t="n">
        <v>27</v>
      </c>
      <c r="N3574" s="3" t="n">
        <v>97.37</v>
      </c>
      <c r="O3574" s="12" t="n">
        <v>25.76530612244898</v>
      </c>
    </row>
    <row r="3575">
      <c r="A3575" s="10" t="n">
        <v>46113</v>
      </c>
      <c r="B3575" t="inlineStr">
        <is>
          <t>Maria Eduarda Sousa Costa</t>
        </is>
      </c>
      <c r="C3575" s="1" t="inlineStr">
        <is>
          <t>Estágio</t>
        </is>
      </c>
      <c r="D3575" s="3" t="n">
        <v>0</v>
      </c>
      <c r="E3575" s="3" t="n">
        <v>0</v>
      </c>
      <c r="F3575" s="3" t="n">
        <v>0</v>
      </c>
      <c r="G3575" s="3" t="n">
        <v>0</v>
      </c>
      <c r="H3575" s="3" t="n">
        <v>0</v>
      </c>
      <c r="I3575" s="3" t="n">
        <v>0</v>
      </c>
      <c r="J3575" s="3" t="n">
        <v>0</v>
      </c>
      <c r="K3575" s="3" t="n">
        <v>0</v>
      </c>
      <c r="L3575" s="3">
        <f>IF(K3575&lt;-5,"CRÍTICO",IF(K3575&lt;0,"ATENÇÃO",IF(K3575&lt;=5,"OPORTUNO","MUITO BOM")))</f>
        <v/>
      </c>
      <c r="M3575" s="3" t="n">
        <v>0</v>
      </c>
      <c r="N3575" s="3" t="n">
        <v>100</v>
      </c>
      <c r="O3575" s="12" t="n">
        <v>25</v>
      </c>
    </row>
    <row r="3576">
      <c r="A3576" s="10" t="n">
        <v>46133</v>
      </c>
      <c r="B3576" t="inlineStr">
        <is>
          <t>Matheus Farias De Souza</t>
        </is>
      </c>
      <c r="C3576" s="1" t="inlineStr">
        <is>
          <t>Técnico III</t>
        </is>
      </c>
      <c r="D3576" s="3" t="n">
        <v>0</v>
      </c>
      <c r="E3576" s="3" t="n">
        <v>0</v>
      </c>
      <c r="F3576" s="3" t="n">
        <v>0</v>
      </c>
      <c r="G3576" s="3" t="n">
        <v>0</v>
      </c>
      <c r="H3576" s="3" t="n">
        <v>0</v>
      </c>
      <c r="I3576" s="3" t="n">
        <v>0</v>
      </c>
      <c r="J3576" s="3" t="n">
        <v>0</v>
      </c>
      <c r="K3576" s="3" t="n">
        <v>0</v>
      </c>
      <c r="M3576" s="3" t="n">
        <v>0</v>
      </c>
      <c r="N3576" s="3" t="n">
        <v>100</v>
      </c>
      <c r="O3576" s="12" t="n">
        <v>23.9870340356564</v>
      </c>
    </row>
    <row r="3577">
      <c r="A3577" s="10" t="n">
        <v>46113</v>
      </c>
      <c r="B3577" t="inlineStr">
        <is>
          <t>Maysa Victoria Dias Moura</t>
        </is>
      </c>
      <c r="C3577" s="1" t="inlineStr">
        <is>
          <t>Técnico III</t>
        </is>
      </c>
      <c r="D3577" s="3" t="n">
        <v>35</v>
      </c>
      <c r="E3577" s="3" t="n">
        <v>31</v>
      </c>
      <c r="F3577" s="3" t="n">
        <v>12.33</v>
      </c>
      <c r="G3577" s="3" t="n">
        <v>0</v>
      </c>
      <c r="H3577" s="3" t="n">
        <v>0</v>
      </c>
      <c r="I3577" s="3">
        <f>E3577+G3577+H3577</f>
        <v/>
      </c>
      <c r="J3577" s="3">
        <f>ROUND(MIN(IF(C3577="Técnico III",35,IF(C3577="Técnico II",28,IF(C3577="Técnico I",23,IF(C3577="JR",20,IF(C3577="Estágio",10,0))))),IF(C3577="Técnico III",SUMIFS($D:$D,$A:$A,$A3577,$B:$B,"&lt;&gt;Patrícia Karla de Sousa Araújo",$B:$B,"&lt;&gt;Lorena Dias de Araujo",$B:$B,"&lt;&gt;Lucas Luiz Romero")*(35/1083),IF(C3577="Técnico II",SUMIFS($D:$D,$A:$A,$A3577,$B:$B,"&lt;&gt;Patrícia Karla de Sousa Araújo",$B:$B,"&lt;&gt;Lorena Dias de Araujo",$B:$B,"&lt;&gt;Lucas Luiz Romero")*(28/1083),IF(C3577="Técnico I",SUMIFS($D:$D,$A:$A,$A3577,$B:$B,"&lt;&gt;Patrícia Karla de Sousa Araújo",$B:$B,"&lt;&gt;Lorena Dias de Araujo",$B:$B,"&lt;&gt;Lucas Luiz Romero")*(23/1083),IF(C3577="JR",SUMIFS($D:$D,$A:$A,$A3577,$B:$B,"&lt;&gt;Patrícia Karla de Sousa Araújo",$B:$B,"&lt;&gt;Lorena Dias de Araujo",$B:$B,"&lt;&gt;Lucas Luiz Romero")*(20/1083),IF(C3577="Estágio",SUMIFS($D:$D,$A:$A,$A3577,$B:$B,"&lt;&gt;Patrícia Karla de Sousa Araújo",$B:$B,"&lt;&gt;Lorena Dias de Araujo",$B:$B,"&lt;&gt;Lucas Luiz Romero")*(10/1083),0)))))),0)</f>
        <v/>
      </c>
      <c r="K3577" s="3">
        <f>I3577-J3577</f>
        <v/>
      </c>
      <c r="L3577" s="3">
        <f>IF(K3577&lt;-5,"CRÍTICO",IF(K3577&lt;0,"ATENÇÃO",IF(K3577&lt;=5,"OPORTUNO","MUITO BOM")))</f>
        <v/>
      </c>
      <c r="M3577" s="3" t="n">
        <v>25</v>
      </c>
      <c r="N3577" s="3" t="n">
        <v>95.48999999999999</v>
      </c>
      <c r="O3577" s="12" t="n">
        <v>28.37022132796781</v>
      </c>
    </row>
    <row r="3578">
      <c r="A3578" s="10" t="n">
        <v>46141</v>
      </c>
      <c r="B3578" t="inlineStr">
        <is>
          <t>Michelle G Santos</t>
        </is>
      </c>
      <c r="C3578" s="1" t="inlineStr">
        <is>
          <t>Estágio</t>
        </is>
      </c>
      <c r="D3578" s="3" t="n">
        <v>19</v>
      </c>
      <c r="E3578" s="3" t="n">
        <v>15</v>
      </c>
      <c r="F3578" s="3" t="n">
        <v>21.55</v>
      </c>
      <c r="G3578" s="3" t="n">
        <v>0</v>
      </c>
      <c r="H3578" s="3" t="n">
        <v>0</v>
      </c>
      <c r="I3578" s="3">
        <f>E3578+G3578+H3578</f>
        <v/>
      </c>
      <c r="J3578" s="3">
        <f>ROUND(MIN(IF(C3578="Técnico III",35,IF(C3578="Técnico II",28,IF(C3578="Técnico I",23,IF(C3578="JR",20,IF(C3578="Estágio",10,0))))),IF(C3578="Técnico III",SUMIFS($D:$D,$A:$A,$A3578,$B:$B,"&lt;&gt;Patrícia Karla de Sousa Araújo",$B:$B,"&lt;&gt;Lorena Dias de Araujo",$B:$B,"&lt;&gt;Lucas Luiz Romero")*(35/1083),IF(C3578="Técnico II",SUMIFS($D:$D,$A:$A,$A3578,$B:$B,"&lt;&gt;Patrícia Karla de Sousa Araújo",$B:$B,"&lt;&gt;Lorena Dias de Araujo",$B:$B,"&lt;&gt;Lucas Luiz Romero")*(28/1083),IF(C3578="Técnico I",SUMIFS($D:$D,$A:$A,$A3578,$B:$B,"&lt;&gt;Patrícia Karla de Sousa Araújo",$B:$B,"&lt;&gt;Lorena Dias de Araujo",$B:$B,"&lt;&gt;Lucas Luiz Romero")*(23/1083),IF(C3578="JR",SUMIFS($D:$D,$A:$A,$A3578,$B:$B,"&lt;&gt;Patrícia Karla de Sousa Araújo",$B:$B,"&lt;&gt;Lorena Dias de Araujo",$B:$B,"&lt;&gt;Lucas Luiz Romero")*(20/1083),IF(C3578="Estágio",SUMIFS($D:$D,$A:$A,$A3578,$B:$B,"&lt;&gt;Patrícia Karla de Sousa Araújo",$B:$B,"&lt;&gt;Lorena Dias de Araujo",$B:$B,"&lt;&gt;Lucas Luiz Romero")*(10/1083),0)))))),0)</f>
        <v/>
      </c>
      <c r="K3578" s="3">
        <f>I3578-J3578</f>
        <v/>
      </c>
      <c r="L3578" s="3">
        <f>IF(K3578&lt;-5,"CRÍTICO",IF(K3578&lt;0,"ATENÇÃO",IF(K3578&lt;=5,"OPORTUNO","MUITO BOM")))</f>
        <v/>
      </c>
      <c r="M3578" s="3" t="n">
        <v>11</v>
      </c>
      <c r="N3578" s="3" t="n">
        <v>100</v>
      </c>
      <c r="O3578" s="12" t="n">
        <v>23.77622377622378</v>
      </c>
    </row>
    <row r="3579">
      <c r="A3579" s="10" t="n">
        <v>46113</v>
      </c>
      <c r="B3579" t="inlineStr">
        <is>
          <t>Milena Sales</t>
        </is>
      </c>
      <c r="C3579" s="1" t="inlineStr">
        <is>
          <t>JR</t>
        </is>
      </c>
      <c r="D3579" s="3" t="n">
        <v>27</v>
      </c>
      <c r="E3579" s="3" t="n">
        <v>23</v>
      </c>
      <c r="F3579" s="3" t="n">
        <v>18.55</v>
      </c>
      <c r="G3579" s="3" t="n">
        <v>0</v>
      </c>
      <c r="H3579" s="3" t="n">
        <v>0</v>
      </c>
      <c r="I3579" s="3">
        <f>E3579+G3579+H3579</f>
        <v/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/>
      </c>
      <c r="K3579" s="3">
        <f>I3579-J3579</f>
        <v/>
      </c>
      <c r="L3579" s="3">
        <f>IF(K3579&lt;-5,"CRÍTICO",IF(K3579&lt;0,"ATENÇÃO",IF(K3579&lt;=5,"OPORTUNO","MUITO BOM")))</f>
        <v/>
      </c>
      <c r="M3579" s="3" t="n">
        <v>11</v>
      </c>
      <c r="N3579" s="3" t="n">
        <v>96.15000000000001</v>
      </c>
      <c r="O3579" s="12" t="n">
        <v>24.04580152671756</v>
      </c>
    </row>
    <row r="3580">
      <c r="A3580" s="10" t="n">
        <v>46113</v>
      </c>
      <c r="B3580" t="inlineStr">
        <is>
          <t>Patrícia Karla de Sousa Araújo</t>
        </is>
      </c>
      <c r="C3580" s="1" t="inlineStr">
        <is>
          <t>Técnico II</t>
        </is>
      </c>
      <c r="D3580" s="3" t="n">
        <v>24</v>
      </c>
      <c r="E3580" s="3" t="n">
        <v>21</v>
      </c>
      <c r="F3580" s="3" t="n">
        <v>23.41</v>
      </c>
      <c r="G3580" s="3" t="n">
        <v>0</v>
      </c>
      <c r="H3580" s="3" t="n">
        <v>0</v>
      </c>
      <c r="I3580" s="3">
        <f>E3580+G3580+H3580</f>
        <v/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/>
      </c>
      <c r="K3580" s="3">
        <f>I3580-J3580</f>
        <v/>
      </c>
      <c r="L3580" s="3">
        <f>IF(K3580&lt;-5,"CRÍTICO",IF(K3580&lt;0,"ATENÇÃO",IF(K3580&lt;=5,"OPORTUNO","MUITO BOM")))</f>
        <v/>
      </c>
      <c r="M3580" s="3" t="n">
        <v>19</v>
      </c>
      <c r="N3580" s="3" t="n">
        <v>99.02</v>
      </c>
      <c r="O3580" s="12" t="n">
        <v>34.7972972972973</v>
      </c>
    </row>
    <row r="3581">
      <c r="A3581" s="10" t="n">
        <v>46113</v>
      </c>
      <c r="B3581" t="inlineStr">
        <is>
          <t>Paulo Ricardo Santos</t>
        </is>
      </c>
      <c r="C3581" s="1" t="inlineStr">
        <is>
          <t>JR</t>
        </is>
      </c>
      <c r="D3581" s="3" t="n">
        <v>21</v>
      </c>
      <c r="E3581" s="3" t="n">
        <v>21</v>
      </c>
      <c r="F3581" s="3" t="n">
        <v>16.51</v>
      </c>
      <c r="G3581" s="3" t="n">
        <v>0</v>
      </c>
      <c r="H3581" s="3" t="n">
        <v>0</v>
      </c>
      <c r="I3581" s="3">
        <f>E3581+G3581+H3581</f>
        <v/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/>
      </c>
      <c r="K3581" s="3">
        <f>I3581-J3581</f>
        <v/>
      </c>
      <c r="L3581" s="3">
        <f>IF(K3581&lt;-5,"CRÍTICO",IF(K3581&lt;0,"ATENÇÃO",IF(K3581&lt;=5,"OPORTUNO","MUITO BOM")))</f>
        <v/>
      </c>
      <c r="M3581" s="3" t="n">
        <v>16</v>
      </c>
      <c r="N3581" s="3" t="n">
        <v>98.84</v>
      </c>
      <c r="O3581" s="12" t="n">
        <v>31.86813186813187</v>
      </c>
    </row>
    <row r="3582">
      <c r="A3582" s="10" t="n">
        <v>46113</v>
      </c>
      <c r="B3582" t="inlineStr">
        <is>
          <t>Pedro Luiz Mota Sousa</t>
        </is>
      </c>
      <c r="C3582" s="1" t="inlineStr">
        <is>
          <t>JR</t>
        </is>
      </c>
      <c r="D3582" s="3" t="n">
        <v>19</v>
      </c>
      <c r="E3582" s="3" t="n">
        <v>19</v>
      </c>
      <c r="F3582" s="3" t="n">
        <v>22.12</v>
      </c>
      <c r="G3582" s="3" t="n">
        <v>0</v>
      </c>
      <c r="H3582" s="3" t="n">
        <v>0</v>
      </c>
      <c r="I3582" s="3">
        <f>E3582+G3582+H3582</f>
        <v/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/>
      </c>
      <c r="K3582" s="3">
        <f>I3582-J3582</f>
        <v/>
      </c>
      <c r="L3582" s="3">
        <f>IF(K3582&lt;-5,"CRÍTICO",IF(K3582&lt;0,"ATENÇÃO",IF(K3582&lt;=5,"OPORTUNO","MUITO BOM")))</f>
        <v/>
      </c>
      <c r="M3582" s="3" t="n">
        <v>18</v>
      </c>
      <c r="N3582" s="3" t="n">
        <v>100</v>
      </c>
      <c r="O3582" s="12" t="n">
        <v>34.66666666666667</v>
      </c>
    </row>
    <row r="3583">
      <c r="A3583" s="10" t="n">
        <v>46141</v>
      </c>
      <c r="B3583" t="inlineStr">
        <is>
          <t>Quirino Diogo Leite Torres</t>
        </is>
      </c>
      <c r="C3583" s="1" t="inlineStr">
        <is>
          <t>Estágio</t>
        </is>
      </c>
      <c r="D3583" s="3" t="n">
        <v>19</v>
      </c>
      <c r="E3583" s="3" t="n">
        <v>17</v>
      </c>
      <c r="F3583" s="3" t="n">
        <v>18.46</v>
      </c>
      <c r="G3583" s="3" t="n">
        <v>0</v>
      </c>
      <c r="H3583" s="3" t="n">
        <v>0</v>
      </c>
      <c r="I3583" s="3">
        <f>E3583+G3583+H3583</f>
        <v/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/>
      </c>
      <c r="K3583" s="3">
        <f>I3583-J3583</f>
        <v/>
      </c>
      <c r="L3583" s="3">
        <f>IF(K3583&lt;-5,"CRÍTICO",IF(K3583&lt;0,"ATENÇÃO",IF(K3583&lt;=5,"OPORTUNO","MUITO BOM")))</f>
        <v/>
      </c>
      <c r="M3583" s="3" t="n">
        <v>11</v>
      </c>
      <c r="N3583" s="3" t="n">
        <v>94.12</v>
      </c>
      <c r="O3583" s="12" t="n">
        <v>32.8</v>
      </c>
    </row>
    <row r="3584">
      <c r="A3584" s="10" t="n">
        <v>46113</v>
      </c>
      <c r="B3584" t="inlineStr">
        <is>
          <t>Raane Batista Matos</t>
        </is>
      </c>
      <c r="C3584" s="1" t="inlineStr">
        <is>
          <t>Técnico I</t>
        </is>
      </c>
      <c r="D3584" s="3" t="n">
        <v>33</v>
      </c>
      <c r="E3584" s="3" t="n">
        <v>32</v>
      </c>
      <c r="F3584" s="3" t="n">
        <v>15.14</v>
      </c>
      <c r="G3584" s="3" t="n">
        <v>0</v>
      </c>
      <c r="H3584" s="3" t="n">
        <v>0</v>
      </c>
      <c r="I3584" s="3">
        <f>E3584+G3584+H3584</f>
        <v/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/>
      </c>
      <c r="K3584" s="3">
        <f>I3584-J3584</f>
        <v/>
      </c>
      <c r="L3584" s="3">
        <f>IF(K3584&lt;-5,"CRÍTICO",IF(K3584&lt;0,"ATENÇÃO",IF(K3584&lt;=5,"OPORTUNO","MUITO BOM")))</f>
        <v/>
      </c>
      <c r="M3584" s="3" t="n">
        <v>28</v>
      </c>
      <c r="N3584" s="3" t="n">
        <v>98.31999999999999</v>
      </c>
      <c r="O3584" s="12" t="n">
        <v>26.85851318944844</v>
      </c>
    </row>
    <row r="3585">
      <c r="A3585" s="10" t="n">
        <v>46113</v>
      </c>
      <c r="B3585" t="inlineStr">
        <is>
          <t>Rafael Gomes de Morais</t>
        </is>
      </c>
      <c r="C3585" s="1" t="inlineStr">
        <is>
          <t>Técnico III</t>
        </is>
      </c>
      <c r="D3585" s="3" t="n">
        <v>47</v>
      </c>
      <c r="E3585" s="3" t="n">
        <v>42</v>
      </c>
      <c r="F3585" s="3" t="n">
        <v>13.55</v>
      </c>
      <c r="G3585" s="3" t="n">
        <v>0</v>
      </c>
      <c r="H3585" s="3" t="n">
        <v>0</v>
      </c>
      <c r="I3585" s="3">
        <f>E3585+G3585+H3585</f>
        <v/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/>
      </c>
      <c r="K3585" s="3">
        <f>I3585-J3585</f>
        <v/>
      </c>
      <c r="L3585" s="3">
        <f>IF(K3585&lt;-5,"CRÍTICO",IF(K3585&lt;0,"ATENÇÃO",IF(K3585&lt;=5,"OPORTUNO","MUITO BOM")))</f>
        <v/>
      </c>
      <c r="M3585" s="3" t="n">
        <v>37</v>
      </c>
      <c r="N3585" s="3" t="n">
        <v>100</v>
      </c>
      <c r="O3585" s="12" t="n">
        <v>31.13553113553114</v>
      </c>
    </row>
    <row r="3586">
      <c r="A3586" s="10" t="n">
        <v>46113</v>
      </c>
      <c r="B3586" t="inlineStr">
        <is>
          <t>Sara Maria Monteiro Lopes</t>
        </is>
      </c>
      <c r="C3586" s="1" t="inlineStr">
        <is>
          <t>Técnico I</t>
        </is>
      </c>
      <c r="D3586" s="3" t="n">
        <v>24</v>
      </c>
      <c r="E3586" s="3" t="n">
        <v>24</v>
      </c>
      <c r="F3586" s="3" t="n">
        <v>20.54</v>
      </c>
      <c r="G3586" s="3" t="n">
        <v>0</v>
      </c>
      <c r="H3586" s="3" t="n">
        <v>0</v>
      </c>
      <c r="I3586" s="3">
        <f>E3586+G3586+H3586</f>
        <v/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/>
      </c>
      <c r="K3586" s="3">
        <f>I3586-J3586</f>
        <v/>
      </c>
      <c r="L3586" s="3">
        <f>IF(K3586&lt;-5,"CRÍTICO",IF(K3586&lt;0,"ATENÇÃO",IF(K3586&lt;=5,"OPORTUNO","MUITO BOM")))</f>
        <v/>
      </c>
      <c r="M3586" s="3" t="n">
        <v>26</v>
      </c>
      <c r="N3586" s="3" t="n">
        <v>100</v>
      </c>
      <c r="O3586" s="12" t="n">
        <v>26.36986301369863</v>
      </c>
    </row>
    <row r="3587">
      <c r="A3587" s="10" t="n">
        <v>46113</v>
      </c>
      <c r="B3587" t="inlineStr">
        <is>
          <t>Sarah Steffanie de Lima Borges</t>
        </is>
      </c>
      <c r="C3587" s="1" t="inlineStr">
        <is>
          <t>Técnico III</t>
        </is>
      </c>
      <c r="D3587" s="3" t="n">
        <v>34</v>
      </c>
      <c r="E3587" s="3" t="n">
        <v>31</v>
      </c>
      <c r="F3587" s="3" t="n">
        <v>13.37</v>
      </c>
      <c r="G3587" s="3" t="n">
        <v>0</v>
      </c>
      <c r="H3587" s="3" t="n">
        <v>0</v>
      </c>
      <c r="I3587" s="3">
        <f>E3587+G3587+H3587</f>
        <v/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/>
      </c>
      <c r="K3587" s="3">
        <f>I3587-J3587</f>
        <v/>
      </c>
      <c r="L3587" s="3">
        <f>IF(K3587&lt;-5,"CRÍTICO",IF(K3587&lt;0,"ATENÇÃO",IF(K3587&lt;=5,"OPORTUNO","MUITO BOM")))</f>
        <v/>
      </c>
      <c r="M3587" s="3" t="n">
        <v>31</v>
      </c>
      <c r="N3587" s="3" t="n">
        <v>99.20999999999999</v>
      </c>
      <c r="O3587" s="12" t="n">
        <v>25.18891687657431</v>
      </c>
    </row>
    <row r="3588">
      <c r="A3588" s="10" t="n">
        <v>46114</v>
      </c>
      <c r="B3588" t="inlineStr">
        <is>
          <t>Alisson de Freitas Silva</t>
        </is>
      </c>
      <c r="C3588" s="1" t="inlineStr">
        <is>
          <t>Técnico II</t>
        </is>
      </c>
      <c r="D3588" s="3" t="n">
        <v>10</v>
      </c>
      <c r="E3588" s="3" t="n">
        <v>8</v>
      </c>
      <c r="F3588" s="3" t="n">
        <v>16.58</v>
      </c>
      <c r="G3588" s="3" t="n">
        <v>0</v>
      </c>
      <c r="H3588" s="3" t="n">
        <v>0</v>
      </c>
      <c r="I3588" s="3">
        <f>E3588+G3588+H3588</f>
        <v/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/>
      </c>
      <c r="K3588" s="3">
        <f>I3588-J3588</f>
        <v/>
      </c>
      <c r="L3588" s="3">
        <f>IF(K3588&lt;-5,"CRÍTICO",IF(K3588&lt;0,"ATENÇÃO",IF(K3588&lt;=5,"OPORTUNO","MUITO BOM")))</f>
        <v/>
      </c>
      <c r="M3588" s="3" t="n">
        <v>4</v>
      </c>
      <c r="N3588" s="3" t="n">
        <v>100</v>
      </c>
      <c r="O3588" s="12" t="n">
        <v>32.76450511945392</v>
      </c>
    </row>
    <row r="3589">
      <c r="A3589" s="10" t="n">
        <v>46114</v>
      </c>
      <c r="B3589" t="inlineStr">
        <is>
          <t>Amanda Moura Ferreira</t>
        </is>
      </c>
      <c r="C3589" s="1" t="inlineStr">
        <is>
          <t>Técnico III</t>
        </is>
      </c>
      <c r="D3589" s="3" t="n">
        <v>0</v>
      </c>
      <c r="E3589" s="3" t="n">
        <v>0</v>
      </c>
      <c r="F3589" s="3" t="n">
        <v>0</v>
      </c>
      <c r="G3589" s="3" t="n">
        <v>0</v>
      </c>
      <c r="H3589" s="3" t="n">
        <v>0</v>
      </c>
      <c r="I3589" s="3" t="n">
        <v>0</v>
      </c>
      <c r="J3589" s="3" t="n">
        <v>0</v>
      </c>
      <c r="K3589" s="3" t="n">
        <v>0</v>
      </c>
      <c r="L3589" s="3">
        <f>IF(K3589&lt;-5,"CRÍTICO",IF(K3589&lt;0,"ATENÇÃO",IF(K3589&lt;=5,"OPORTUNO","MUITO BOM")))</f>
        <v/>
      </c>
      <c r="M3589" s="3" t="n">
        <v>31</v>
      </c>
      <c r="N3589" s="3" t="n">
        <v>98.66</v>
      </c>
      <c r="O3589" s="12" t="n">
        <v>35.41666666666667</v>
      </c>
    </row>
    <row r="3590">
      <c r="A3590" s="10" t="n">
        <v>46114</v>
      </c>
      <c r="B3590" t="inlineStr">
        <is>
          <t>Ana Karollyne Souza Faria</t>
        </is>
      </c>
      <c r="C3590" s="1" t="inlineStr">
        <is>
          <t>Técnico I</t>
        </is>
      </c>
      <c r="D3590" s="3" t="n">
        <v>37</v>
      </c>
      <c r="E3590" s="3" t="n">
        <v>35</v>
      </c>
      <c r="F3590" s="3" t="n">
        <v>17</v>
      </c>
      <c r="G3590" s="3" t="n">
        <v>0</v>
      </c>
      <c r="H3590" s="3" t="n">
        <v>0</v>
      </c>
      <c r="I3590" s="3">
        <f>E3590+G3590+H3590</f>
        <v/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/>
      </c>
      <c r="K3590" s="3">
        <f>I3590-J3590</f>
        <v/>
      </c>
      <c r="L3590" s="3">
        <f>IF(K3590&lt;-5,"CRÍTICO",IF(K3590&lt;0,"ATENÇÃO",IF(K3590&lt;=5,"OPORTUNO","MUITO BOM")))</f>
        <v/>
      </c>
      <c r="M3590" s="3" t="n">
        <v>31</v>
      </c>
      <c r="N3590" s="3" t="n">
        <v>99.31999999999999</v>
      </c>
      <c r="O3590" s="12" t="n">
        <v>30.6483300589391</v>
      </c>
    </row>
    <row r="3591">
      <c r="A3591" s="10" t="n">
        <v>46114</v>
      </c>
      <c r="B3591" t="inlineStr">
        <is>
          <t>Ana Paula Da Luz Silva Aleixo</t>
        </is>
      </c>
      <c r="C3591" s="1" t="inlineStr">
        <is>
          <t>Técnico III</t>
        </is>
      </c>
      <c r="D3591" s="3" t="n">
        <v>33</v>
      </c>
      <c r="E3591" s="3" t="n">
        <v>28</v>
      </c>
      <c r="F3591" s="3" t="n">
        <v>17.02</v>
      </c>
      <c r="G3591" s="3" t="n">
        <v>0</v>
      </c>
      <c r="H3591" s="3" t="n">
        <v>0</v>
      </c>
      <c r="I3591" s="3">
        <f>E3591+G3591+H3591</f>
        <v/>
      </c>
      <c r="J3591" s="3">
        <f>ROUND(MIN(IF(C3591="Técnico III",35,IF(C3591="Técnico II",28,IF(C3591="Técnico I",23,IF(C3591="JR",20,IF(C3591="Estágio",10,0))))),IF(C3591="Técnico III",SUMIFS($D:$D,$A:$A,$A3591,$B:$B,"&lt;&gt;Patrícia Karla de Sousa Araújo",$B:$B,"&lt;&gt;Lorena Dias de Araujo",$B:$B,"&lt;&gt;Lucas Luiz Romero")*(35/1083),IF(C3591="Técnico II",SUMIFS($D:$D,$A:$A,$A3591,$B:$B,"&lt;&gt;Patrícia Karla de Sousa Araújo",$B:$B,"&lt;&gt;Lorena Dias de Araujo",$B:$B,"&lt;&gt;Lucas Luiz Romero")*(28/1083),IF(C3591="Técnico I",SUMIFS($D:$D,$A:$A,$A3591,$B:$B,"&lt;&gt;Patrícia Karla de Sousa Araújo",$B:$B,"&lt;&gt;Lorena Dias de Araujo",$B:$B,"&lt;&gt;Lucas Luiz Romero")*(23/1083),IF(C3591="JR",SUMIFS($D:$D,$A:$A,$A3591,$B:$B,"&lt;&gt;Patrícia Karla de Sousa Araújo",$B:$B,"&lt;&gt;Lorena Dias de Araujo",$B:$B,"&lt;&gt;Lucas Luiz Romero")*(20/1083),IF(C3591="Estágio",SUMIFS($D:$D,$A:$A,$A3591,$B:$B,"&lt;&gt;Patrícia Karla de Sousa Araújo",$B:$B,"&lt;&gt;Lorena Dias de Araujo",$B:$B,"&lt;&gt;Lucas Luiz Romero")*(10/1083),0)))))),0)</f>
        <v/>
      </c>
      <c r="K3591" s="3">
        <f>I3591-J3591</f>
        <v/>
      </c>
      <c r="L3591" s="3">
        <f>IF(K3591&lt;-5,"CRÍTICO",IF(K3591&lt;0,"ATENÇÃO",IF(K3591&lt;=5,"OPORTUNO","MUITO BOM")))</f>
        <v/>
      </c>
      <c r="M3591" s="3" t="n">
        <v>32</v>
      </c>
      <c r="N3591" s="3" t="n">
        <v>100</v>
      </c>
      <c r="O3591" s="12" t="n">
        <v>27.80373831775701</v>
      </c>
    </row>
    <row r="3592">
      <c r="A3592" s="10" t="n">
        <v>46114</v>
      </c>
      <c r="B3592" t="inlineStr">
        <is>
          <t>Anna Luiza Rezende Tavares</t>
        </is>
      </c>
      <c r="C3592" s="1" t="inlineStr">
        <is>
          <t>Estágio</t>
        </is>
      </c>
      <c r="D3592" s="3" t="n">
        <v>13</v>
      </c>
      <c r="E3592" s="3" t="n">
        <v>13</v>
      </c>
      <c r="F3592" s="3" t="n">
        <v>20.26</v>
      </c>
      <c r="G3592" s="3" t="n">
        <v>0</v>
      </c>
      <c r="H3592" s="3" t="n">
        <v>0</v>
      </c>
      <c r="I3592" s="3">
        <f>E3592+G3592+H3592</f>
        <v/>
      </c>
      <c r="J3592" s="3">
        <f>ROUND(MIN(IF(C3592="Técnico III",35,IF(C3592="Técnico II",28,IF(C3592="Técnico I",23,IF(C3592="JR",20,IF(C3592="Estágio",10,0))))),IF(C3592="Técnico III",SUMIFS($D:$D,$A:$A,$A3592,$B:$B,"&lt;&gt;Patrícia Karla de Sousa Araújo",$B:$B,"&lt;&gt;Lorena Dias de Araujo",$B:$B,"&lt;&gt;Lucas Luiz Romero")*(35/1083),IF(C3592="Técnico II",SUMIFS($D:$D,$A:$A,$A3592,$B:$B,"&lt;&gt;Patrícia Karla de Sousa Araújo",$B:$B,"&lt;&gt;Lorena Dias de Araujo",$B:$B,"&lt;&gt;Lucas Luiz Romero")*(28/1083),IF(C3592="Técnico I",SUMIFS($D:$D,$A:$A,$A3592,$B:$B,"&lt;&gt;Patrícia Karla de Sousa Araújo",$B:$B,"&lt;&gt;Lorena Dias de Araujo",$B:$B,"&lt;&gt;Lucas Luiz Romero")*(23/1083),IF(C3592="JR",SUMIFS($D:$D,$A:$A,$A3592,$B:$B,"&lt;&gt;Patrícia Karla de Sousa Araújo",$B:$B,"&lt;&gt;Lorena Dias de Araujo",$B:$B,"&lt;&gt;Lucas Luiz Romero")*(20/1083),IF(C3592="Estágio",SUMIFS($D:$D,$A:$A,$A3592,$B:$B,"&lt;&gt;Patrícia Karla de Sousa Araújo",$B:$B,"&lt;&gt;Lorena Dias de Araujo",$B:$B,"&lt;&gt;Lucas Luiz Romero")*(10/1083),0)))))),0)</f>
        <v/>
      </c>
      <c r="K3592" s="3">
        <f>I3592-J3592</f>
        <v/>
      </c>
      <c r="L3592" s="3">
        <f>IF(K3592&lt;-5,"CRÍTICO",IF(K3592&lt;0,"ATENÇÃO",IF(K3592&lt;=5,"OPORTUNO","MUITO BOM")))</f>
        <v/>
      </c>
      <c r="M3592" s="3" t="n">
        <v>12</v>
      </c>
      <c r="N3592" s="3" t="n">
        <v>96.73999999999999</v>
      </c>
      <c r="O3592" s="12" t="n">
        <v>28.67647058823529</v>
      </c>
    </row>
    <row r="3593">
      <c r="A3593" s="10" t="n">
        <v>46114</v>
      </c>
      <c r="B3593" t="inlineStr">
        <is>
          <t>Brenda de Menezes Silva</t>
        </is>
      </c>
      <c r="C3593" s="1" t="inlineStr">
        <is>
          <t>Técnico II</t>
        </is>
      </c>
      <c r="D3593" s="3" t="n">
        <v>38</v>
      </c>
      <c r="E3593" s="3" t="n">
        <v>31</v>
      </c>
      <c r="F3593" s="3" t="n">
        <v>12.16</v>
      </c>
      <c r="G3593" s="3" t="n">
        <v>0</v>
      </c>
      <c r="H3593" s="3" t="n">
        <v>0</v>
      </c>
      <c r="I3593" s="3">
        <f>E3593+G3593+H3593</f>
        <v/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/>
      </c>
      <c r="K3593" s="3">
        <f>I3593-J3593</f>
        <v/>
      </c>
      <c r="L3593" s="3">
        <f>IF(K3593&lt;-5,"CRÍTICO",IF(K3593&lt;0,"ATENÇÃO",IF(K3593&lt;=5,"OPORTUNO","MUITO BOM")))</f>
        <v/>
      </c>
      <c r="M3593" s="3" t="n">
        <v>37</v>
      </c>
      <c r="N3593" s="3" t="n">
        <v>98.81999999999999</v>
      </c>
      <c r="O3593" s="12" t="n">
        <v>30.74141048824593</v>
      </c>
    </row>
    <row r="3594">
      <c r="A3594" s="10" t="n">
        <v>46114</v>
      </c>
      <c r="B3594" t="inlineStr">
        <is>
          <t>Carlos Mateus Cassimiro Nunes</t>
        </is>
      </c>
      <c r="C3594" s="1" t="inlineStr">
        <is>
          <t>Técnico II</t>
        </is>
      </c>
      <c r="D3594" s="3" t="n">
        <v>31</v>
      </c>
      <c r="E3594" s="3" t="n">
        <v>28</v>
      </c>
      <c r="F3594" s="3" t="n">
        <v>15.36</v>
      </c>
      <c r="G3594" s="3" t="n">
        <v>0</v>
      </c>
      <c r="H3594" s="3" t="n">
        <v>0</v>
      </c>
      <c r="I3594" s="3">
        <f>E3594+G3594+H3594</f>
        <v/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/>
      </c>
      <c r="K3594" s="3">
        <f>I3594-J3594</f>
        <v/>
      </c>
      <c r="L3594" s="3">
        <f>IF(K3594&lt;-5,"CRÍTICO",IF(K3594&lt;0,"ATENÇÃO",IF(K3594&lt;=5,"OPORTUNO","MUITO BOM")))</f>
        <v/>
      </c>
      <c r="M3594" s="3" t="n">
        <v>27</v>
      </c>
      <c r="N3594" s="3" t="n">
        <v>98.2</v>
      </c>
      <c r="O3594" s="12" t="n">
        <v>27.17086834733893</v>
      </c>
    </row>
    <row r="3595">
      <c r="A3595" s="10" t="n">
        <v>46114</v>
      </c>
      <c r="B3595" t="inlineStr">
        <is>
          <t>Claudio de Sousa Velasco Filho</t>
        </is>
      </c>
      <c r="C3595" s="1" t="inlineStr">
        <is>
          <t>Estágio</t>
        </is>
      </c>
      <c r="D3595" s="3" t="n">
        <v>11</v>
      </c>
      <c r="E3595" s="3" t="n">
        <v>10</v>
      </c>
      <c r="F3595" s="3" t="n">
        <v>26.42</v>
      </c>
      <c r="G3595" s="3" t="n">
        <v>0</v>
      </c>
      <c r="H3595" s="3" t="n">
        <v>0</v>
      </c>
      <c r="I3595" s="3">
        <f>E3595+G3595+H3595</f>
        <v/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/>
      </c>
      <c r="K3595" s="3">
        <f>I3595-J3595</f>
        <v/>
      </c>
      <c r="L3595" s="3">
        <f>IF(K3595&lt;-5,"CRÍTICO",IF(K3595&lt;0,"ATENÇÃO",IF(K3595&lt;=5,"OPORTUNO","MUITO BOM")))</f>
        <v/>
      </c>
      <c r="M3595" s="3" t="n">
        <v>10</v>
      </c>
      <c r="N3595" s="3" t="n">
        <v>100</v>
      </c>
      <c r="O3595" s="12" t="n">
        <v>23.13432835820895</v>
      </c>
    </row>
    <row r="3596">
      <c r="A3596" s="10" t="n">
        <v>46114</v>
      </c>
      <c r="B3596" t="inlineStr">
        <is>
          <t>Clessiane Pereira dos Santos</t>
        </is>
      </c>
      <c r="C3596" s="1" t="inlineStr">
        <is>
          <t>Técnico I</t>
        </is>
      </c>
      <c r="D3596" s="3" t="n">
        <v>27</v>
      </c>
      <c r="E3596" s="3" t="n">
        <v>21</v>
      </c>
      <c r="F3596" s="3" t="n">
        <v>16.45</v>
      </c>
      <c r="G3596" s="3" t="n">
        <v>0</v>
      </c>
      <c r="H3596" s="3" t="n">
        <v>0</v>
      </c>
      <c r="I3596" s="3">
        <f>E3596+G3596+H3596</f>
        <v/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/>
      </c>
      <c r="K3596" s="3">
        <f>I3596-J3596</f>
        <v/>
      </c>
      <c r="L3596" s="3">
        <f>IF(K3596&lt;-5,"CRÍTICO",IF(K3596&lt;0,"ATENÇÃO",IF(K3596&lt;=5,"OPORTUNO","MUITO BOM")))</f>
        <v/>
      </c>
      <c r="M3596" s="3" t="n">
        <v>25</v>
      </c>
      <c r="N3596" s="3" t="n">
        <v>96.3</v>
      </c>
      <c r="O3596" s="12" t="n">
        <v>32.21957040572792</v>
      </c>
    </row>
    <row r="3597">
      <c r="A3597" s="10" t="n">
        <v>46114</v>
      </c>
      <c r="B3597" t="inlineStr">
        <is>
          <t>Cristiane Ramos da Silva Rocha</t>
        </is>
      </c>
      <c r="C3597" s="1" t="inlineStr">
        <is>
          <t>Técnico III</t>
        </is>
      </c>
      <c r="D3597" s="3" t="n">
        <v>47</v>
      </c>
      <c r="E3597" s="3" t="n">
        <v>42</v>
      </c>
      <c r="F3597" s="3" t="n">
        <v>12.35</v>
      </c>
      <c r="G3597" s="3" t="n">
        <v>0</v>
      </c>
      <c r="H3597" s="3" t="n">
        <v>0</v>
      </c>
      <c r="I3597" s="3">
        <f>E3597+G3597+H3597</f>
        <v/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/>
      </c>
      <c r="K3597" s="3">
        <f>I3597-J3597</f>
        <v/>
      </c>
      <c r="L3597" s="3">
        <f>IF(K3597&lt;-5,"CRÍTICO",IF(K3597&lt;0,"ATENÇÃO",IF(K3597&lt;=5,"OPORTUNO","MUITO BOM")))</f>
        <v/>
      </c>
      <c r="M3597" s="3" t="n">
        <v>33</v>
      </c>
      <c r="N3597" s="3" t="n">
        <v>93.75</v>
      </c>
      <c r="O3597" s="12" t="n">
        <v>26.81992337164751</v>
      </c>
    </row>
    <row r="3598">
      <c r="A3598" s="10" t="n">
        <v>46114</v>
      </c>
      <c r="B3598" t="inlineStr">
        <is>
          <t>Damyllis Lorraine de Oliveira Gonçalves</t>
        </is>
      </c>
      <c r="C3598" s="1" t="inlineStr">
        <is>
          <t>Técnico II</t>
        </is>
      </c>
      <c r="D3598" s="3" t="n">
        <v>25</v>
      </c>
      <c r="E3598" s="3" t="n">
        <v>21</v>
      </c>
      <c r="F3598" s="3" t="n">
        <v>23.35</v>
      </c>
      <c r="G3598" s="3" t="n">
        <v>0</v>
      </c>
      <c r="H3598" s="3" t="n">
        <v>0</v>
      </c>
      <c r="I3598" s="3" t="n">
        <v>0</v>
      </c>
      <c r="J3598" s="3" t="n">
        <v>0</v>
      </c>
      <c r="K3598" s="3" t="n">
        <v>0</v>
      </c>
      <c r="L3598" s="3">
        <f>IF(K3598&lt;-5,"CRÍTICO",IF(K3598&lt;0,"ATENÇÃO",IF(K3598&lt;=5,"OPORTUNO","MUITO BOM")))</f>
        <v/>
      </c>
      <c r="M3598" s="3" t="n">
        <v>21</v>
      </c>
      <c r="N3598" s="3" t="n">
        <v>97.86</v>
      </c>
      <c r="O3598" s="12" t="n">
        <v>31.01851851851852</v>
      </c>
    </row>
    <row r="3599">
      <c r="A3599" s="10" t="n">
        <v>46114</v>
      </c>
      <c r="B3599" t="inlineStr">
        <is>
          <t>Daniel Gomes da Silva</t>
        </is>
      </c>
      <c r="C3599" s="1" t="inlineStr">
        <is>
          <t>Técnico I</t>
        </is>
      </c>
      <c r="D3599" s="3" t="n">
        <v>18</v>
      </c>
      <c r="E3599" s="3" t="n">
        <v>18</v>
      </c>
      <c r="F3599" s="3" t="n">
        <v>23.57</v>
      </c>
      <c r="G3599" s="3" t="n">
        <v>0</v>
      </c>
      <c r="H3599" s="3" t="n">
        <v>0</v>
      </c>
      <c r="I3599" s="3">
        <f>E3599+G3599+H3599</f>
        <v/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/>
      </c>
      <c r="K3599" s="3">
        <f>I3599-J3599</f>
        <v/>
      </c>
      <c r="L3599" s="3">
        <f>IF(K3599&lt;-5,"CRÍTICO",IF(K3599&lt;0,"ATENÇÃO",IF(K3599&lt;=5,"OPORTUNO","MUITO BOM")))</f>
        <v/>
      </c>
      <c r="M3599" s="3" t="n">
        <v>6</v>
      </c>
      <c r="N3599" s="3" t="n">
        <v>100</v>
      </c>
      <c r="O3599" s="12" t="n">
        <v>36.59420289855073</v>
      </c>
    </row>
    <row r="3600">
      <c r="A3600" s="10" t="n">
        <v>46114</v>
      </c>
      <c r="B3600" t="inlineStr">
        <is>
          <t>Davylla Rodrigues Freitas Silva</t>
        </is>
      </c>
      <c r="C3600" s="1" t="inlineStr">
        <is>
          <t>Técnico III</t>
        </is>
      </c>
      <c r="D3600" s="3" t="n">
        <v>35</v>
      </c>
      <c r="E3600" s="3" t="n">
        <v>33</v>
      </c>
      <c r="F3600" s="3" t="n">
        <v>18.2</v>
      </c>
      <c r="G3600" s="3" t="n">
        <v>0</v>
      </c>
      <c r="H3600" s="3" t="n">
        <v>0</v>
      </c>
      <c r="I3600" s="3" t="n">
        <v>0</v>
      </c>
      <c r="J3600" s="3" t="n">
        <v>0</v>
      </c>
      <c r="K3600" s="3" t="n">
        <v>0</v>
      </c>
      <c r="L3600" s="3">
        <f>IF(K3600&lt;-5,"CRÍTICO",IF(K3600&lt;0,"ATENÇÃO",IF(K3600&lt;=5,"OPORTUNO","MUITO BOM")))</f>
        <v/>
      </c>
      <c r="M3600" s="3" t="n">
        <v>33</v>
      </c>
      <c r="N3600" s="3" t="n">
        <v>100</v>
      </c>
      <c r="O3600" s="12" t="n">
        <v>38.65384615384615</v>
      </c>
    </row>
    <row r="3601">
      <c r="A3601" s="10" t="n">
        <v>46114</v>
      </c>
      <c r="B3601" t="inlineStr">
        <is>
          <t>Emilly Caylane Costa</t>
        </is>
      </c>
      <c r="C3601" s="1" t="inlineStr">
        <is>
          <t>Estágio</t>
        </is>
      </c>
      <c r="D3601" s="3" t="n">
        <v>6</v>
      </c>
      <c r="E3601" s="3" t="n">
        <v>6</v>
      </c>
      <c r="F3601" s="3" t="n">
        <v>54.12</v>
      </c>
      <c r="G3601" s="3" t="n">
        <v>0</v>
      </c>
      <c r="H3601" s="3" t="n">
        <v>0</v>
      </c>
      <c r="I3601" s="3">
        <f>E3601+G3601+H3601</f>
        <v/>
      </c>
      <c r="J3601" s="3">
        <f>ROUND(MIN(IF(C3601="Técnico III",35,IF(C3601="Técnico II",28,IF(C3601="Técnico I",23,IF(C3601="JR",20,IF(C3601="Estágio",10,0))))),IF(C3601="Técnico III",SUMIFS($D:$D,$A:$A,$A3601,$B:$B,"&lt;&gt;Patrícia Karla de Sousa Araújo",$B:$B,"&lt;&gt;Lorena Dias de Araujo",$B:$B,"&lt;&gt;Lucas Luiz Romero")*(35/1083),IF(C3601="Técnico II",SUMIFS($D:$D,$A:$A,$A3601,$B:$B,"&lt;&gt;Patrícia Karla de Sousa Araújo",$B:$B,"&lt;&gt;Lorena Dias de Araujo",$B:$B,"&lt;&gt;Lucas Luiz Romero")*(28/1083),IF(C3601="Técnico I",SUMIFS($D:$D,$A:$A,$A3601,$B:$B,"&lt;&gt;Patrícia Karla de Sousa Araújo",$B:$B,"&lt;&gt;Lorena Dias de Araujo",$B:$B,"&lt;&gt;Lucas Luiz Romero")*(23/1083),IF(C3601="JR",SUMIFS($D:$D,$A:$A,$A3601,$B:$B,"&lt;&gt;Patrícia Karla de Sousa Araújo",$B:$B,"&lt;&gt;Lorena Dias de Araujo",$B:$B,"&lt;&gt;Lucas Luiz Romero")*(20/1083),IF(C3601="Estágio",SUMIFS($D:$D,$A:$A,$A3601,$B:$B,"&lt;&gt;Patrícia Karla de Sousa Araújo",$B:$B,"&lt;&gt;Lorena Dias de Araujo",$B:$B,"&lt;&gt;Lucas Luiz Romero")*(10/1083),0)))))),0)</f>
        <v/>
      </c>
      <c r="K3601" s="3">
        <f>I3601-J3601</f>
        <v/>
      </c>
      <c r="L3601" s="3">
        <f>IF(K3601&lt;-5,"CRÍTICO",IF(K3601&lt;0,"ATENÇÃO",IF(K3601&lt;=5,"OPORTUNO","MUITO BOM")))</f>
        <v/>
      </c>
      <c r="M3601" s="3" t="n">
        <v>5</v>
      </c>
      <c r="N3601" s="3" t="n">
        <v>100</v>
      </c>
      <c r="O3601" s="12" t="n">
        <v>27.36842105263158</v>
      </c>
    </row>
    <row r="3602">
      <c r="A3602" s="10" t="n">
        <v>46114</v>
      </c>
      <c r="B3602" t="inlineStr">
        <is>
          <t>Emilly Kamilly Medeiros Miranda</t>
        </is>
      </c>
      <c r="C3602" s="1" t="inlineStr">
        <is>
          <t>Técnico II</t>
        </is>
      </c>
      <c r="D3602" s="3" t="n">
        <v>33</v>
      </c>
      <c r="E3602" s="3" t="n">
        <v>31</v>
      </c>
      <c r="F3602" s="3" t="n">
        <v>14.08</v>
      </c>
      <c r="G3602" s="3" t="n">
        <v>0</v>
      </c>
      <c r="H3602" s="3" t="n">
        <v>0</v>
      </c>
      <c r="I3602" s="3">
        <f>E3602+G3602+H3602</f>
        <v/>
      </c>
      <c r="J3602" s="3">
        <f>ROUND(MIN(IF(C3602="Técnico III",35,IF(C3602="Técnico II",28,IF(C3602="Técnico I",23,IF(C3602="JR",20,IF(C3602="Estágio",10,0))))),IF(C3602="Técnico III",SUMIFS($D:$D,$A:$A,$A3602,$B:$B,"&lt;&gt;Patrícia Karla de Sousa Araújo",$B:$B,"&lt;&gt;Lorena Dias de Araujo",$B:$B,"&lt;&gt;Lucas Luiz Romero")*(35/1083),IF(C3602="Técnico II",SUMIFS($D:$D,$A:$A,$A3602,$B:$B,"&lt;&gt;Patrícia Karla de Sousa Araújo",$B:$B,"&lt;&gt;Lorena Dias de Araujo",$B:$B,"&lt;&gt;Lucas Luiz Romero")*(28/1083),IF(C3602="Técnico I",SUMIFS($D:$D,$A:$A,$A3602,$B:$B,"&lt;&gt;Patrícia Karla de Sousa Araújo",$B:$B,"&lt;&gt;Lorena Dias de Araujo",$B:$B,"&lt;&gt;Lucas Luiz Romero")*(23/1083),IF(C3602="JR",SUMIFS($D:$D,$A:$A,$A3602,$B:$B,"&lt;&gt;Patrícia Karla de Sousa Araújo",$B:$B,"&lt;&gt;Lorena Dias de Araujo",$B:$B,"&lt;&gt;Lucas Luiz Romero")*(20/1083),IF(C3602="Estágio",SUMIFS($D:$D,$A:$A,$A3602,$B:$B,"&lt;&gt;Patrícia Karla de Sousa Araújo",$B:$B,"&lt;&gt;Lorena Dias de Araujo",$B:$B,"&lt;&gt;Lucas Luiz Romero")*(10/1083),0)))))),0)</f>
        <v/>
      </c>
      <c r="K3602" s="3">
        <f>I3602-J3602</f>
        <v/>
      </c>
      <c r="L3602" s="3">
        <f>IF(K3602&lt;-5,"CRÍTICO",IF(K3602&lt;0,"ATENÇÃO",IF(K3602&lt;=5,"OPORTUNO","MUITO BOM")))</f>
        <v/>
      </c>
      <c r="M3602" s="3" t="n">
        <v>24</v>
      </c>
      <c r="N3602" s="3" t="n">
        <v>97.83</v>
      </c>
      <c r="O3602" s="12" t="n">
        <v>28.35164835164835</v>
      </c>
    </row>
    <row r="3603">
      <c r="A3603" s="10" t="n">
        <v>46114</v>
      </c>
      <c r="B3603" t="inlineStr">
        <is>
          <t>Francielson de Oliveira</t>
        </is>
      </c>
      <c r="C3603" s="1" t="inlineStr">
        <is>
          <t>Técnico III</t>
        </is>
      </c>
      <c r="D3603" s="3" t="n">
        <v>26</v>
      </c>
      <c r="E3603" s="3" t="n">
        <v>26</v>
      </c>
      <c r="F3603" s="3" t="n">
        <v>16.58</v>
      </c>
      <c r="G3603" s="3" t="n">
        <v>0</v>
      </c>
      <c r="H3603" s="3" t="n">
        <v>0</v>
      </c>
      <c r="I3603" s="3">
        <f>E3603+G3603+H3603</f>
        <v/>
      </c>
      <c r="J3603" s="3">
        <f>ROUND(MIN(IF(C3603="Técnico III",35,IF(C3603="Técnico II",28,IF(C3603="Técnico I",23,IF(C3603="JR",20,IF(C3603="Estágio",10,0))))),IF(C3603="Técnico III",SUMIFS($D:$D,$A:$A,$A3603,$B:$B,"&lt;&gt;Patrícia Karla de Sousa Araújo",$B:$B,"&lt;&gt;Lorena Dias de Araujo",$B:$B,"&lt;&gt;Lucas Luiz Romero")*(35/1083),IF(C3603="Técnico II",SUMIFS($D:$D,$A:$A,$A3603,$B:$B,"&lt;&gt;Patrícia Karla de Sousa Araújo",$B:$B,"&lt;&gt;Lorena Dias de Araujo",$B:$B,"&lt;&gt;Lucas Luiz Romero")*(28/1083),IF(C3603="Técnico I",SUMIFS($D:$D,$A:$A,$A3603,$B:$B,"&lt;&gt;Patrícia Karla de Sousa Araújo",$B:$B,"&lt;&gt;Lorena Dias de Araujo",$B:$B,"&lt;&gt;Lucas Luiz Romero")*(23/1083),IF(C3603="JR",SUMIFS($D:$D,$A:$A,$A3603,$B:$B,"&lt;&gt;Patrícia Karla de Sousa Araújo",$B:$B,"&lt;&gt;Lorena Dias de Araujo",$B:$B,"&lt;&gt;Lucas Luiz Romero")*(20/1083),IF(C3603="Estágio",SUMIFS($D:$D,$A:$A,$A3603,$B:$B,"&lt;&gt;Patrícia Karla de Sousa Araújo",$B:$B,"&lt;&gt;Lorena Dias de Araujo",$B:$B,"&lt;&gt;Lucas Luiz Romero")*(10/1083),0)))))),0)</f>
        <v/>
      </c>
      <c r="K3603" s="3">
        <f>I3603-J3603</f>
        <v/>
      </c>
      <c r="L3603" s="3">
        <f>IF(K3603&lt;-5,"CRÍTICO",IF(K3603&lt;0,"ATENÇÃO",IF(K3603&lt;=5,"OPORTUNO","MUITO BOM")))</f>
        <v/>
      </c>
      <c r="M3603" s="3" t="n">
        <v>26</v>
      </c>
      <c r="N3603" s="3" t="n">
        <v>99.26000000000001</v>
      </c>
      <c r="O3603" s="12" t="n">
        <v>29.76653696498055</v>
      </c>
    </row>
    <row r="3604">
      <c r="A3604" s="10" t="n">
        <v>46114</v>
      </c>
      <c r="B3604" t="inlineStr">
        <is>
          <t>Francilene Ferreira de Jesus</t>
        </is>
      </c>
      <c r="C3604" s="1" t="inlineStr">
        <is>
          <t>Técnico II</t>
        </is>
      </c>
      <c r="D3604" s="3" t="n">
        <v>33</v>
      </c>
      <c r="E3604" s="3" t="n">
        <v>33</v>
      </c>
      <c r="F3604" s="3" t="n">
        <v>20.44</v>
      </c>
      <c r="G3604" s="3" t="n">
        <v>0</v>
      </c>
      <c r="H3604" s="3" t="n">
        <v>0</v>
      </c>
      <c r="I3604" s="3">
        <f>E3604+G3604+H3604</f>
        <v/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/>
      </c>
      <c r="K3604" s="3">
        <f>I3604-J3604</f>
        <v/>
      </c>
      <c r="L3604" s="3">
        <f>IF(K3604&lt;-5,"CRÍTICO",IF(K3604&lt;0,"ATENÇÃO",IF(K3604&lt;=5,"OPORTUNO","MUITO BOM")))</f>
        <v/>
      </c>
      <c r="M3604" s="3" t="n">
        <v>29</v>
      </c>
      <c r="N3604" s="3" t="n">
        <v>99.19</v>
      </c>
      <c r="O3604" s="12" t="n">
        <v>29.46236559139785</v>
      </c>
    </row>
    <row r="3605">
      <c r="A3605" s="7" t="n">
        <v>46161</v>
      </c>
      <c r="B3605" s="8" t="inlineStr">
        <is>
          <t>Leandro Oliveira de Sousa</t>
        </is>
      </c>
      <c r="C3605" s="1" t="inlineStr">
        <is>
          <t>Técnico III</t>
        </is>
      </c>
      <c r="D3605" s="3" t="n">
        <v>27</v>
      </c>
      <c r="E3605" s="3" t="n">
        <v>26</v>
      </c>
      <c r="F3605" s="3" t="n">
        <v>15.39</v>
      </c>
      <c r="G3605" s="3" t="n">
        <v>0</v>
      </c>
      <c r="H3605" s="3" t="n">
        <v>0</v>
      </c>
      <c r="I3605" s="3" t="n">
        <v>26</v>
      </c>
      <c r="J3605" s="3" t="n">
        <v>29</v>
      </c>
      <c r="K3605" s="3" t="n">
        <v>-3</v>
      </c>
      <c r="L3605" s="3" t="inlineStr">
        <is>
          <t>ATENÇÃO</t>
        </is>
      </c>
      <c r="M3605" s="3" t="n">
        <v>24</v>
      </c>
      <c r="N3605" s="3" t="n">
        <v>100</v>
      </c>
      <c r="O3605" s="12" t="n">
        <v>18.24480369515012</v>
      </c>
    </row>
    <row r="3606">
      <c r="A3606" s="10" t="n">
        <v>46114</v>
      </c>
      <c r="B3606" t="inlineStr">
        <is>
          <t>Isabella Borges de Oliveira</t>
        </is>
      </c>
      <c r="C3606" s="1" t="inlineStr">
        <is>
          <t>Técnico II</t>
        </is>
      </c>
      <c r="D3606" s="3" t="n">
        <v>36</v>
      </c>
      <c r="E3606" s="3" t="n">
        <v>34</v>
      </c>
      <c r="F3606" s="3" t="n">
        <v>16.58</v>
      </c>
      <c r="G3606" s="3" t="n">
        <v>0</v>
      </c>
      <c r="H3606" s="3" t="n">
        <v>0</v>
      </c>
      <c r="I3606" s="3">
        <f>E3606+G3606+H3606</f>
        <v/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/>
      </c>
      <c r="K3606" s="3">
        <f>I3606-J3606</f>
        <v/>
      </c>
      <c r="L3606" s="3">
        <f>IF(K3606&lt;-5,"CRÍTICO",IF(K3606&lt;0,"ATENÇÃO",IF(K3606&lt;=5,"OPORTUNO","MUITO BOM")))</f>
        <v/>
      </c>
      <c r="M3606" s="3" t="n">
        <v>30</v>
      </c>
      <c r="N3606" s="3" t="n">
        <v>100</v>
      </c>
      <c r="O3606" s="12" t="n">
        <v>28.92156862745098</v>
      </c>
    </row>
    <row r="3607">
      <c r="A3607" s="10" t="n">
        <v>46114</v>
      </c>
      <c r="B3607" t="inlineStr">
        <is>
          <t>Janaina Lima dos Reis Urany</t>
        </is>
      </c>
      <c r="C3607" s="1" t="inlineStr">
        <is>
          <t>Técnico III</t>
        </is>
      </c>
      <c r="D3607" s="3" t="n">
        <v>56</v>
      </c>
      <c r="E3607" s="3" t="n">
        <v>50</v>
      </c>
      <c r="F3607" s="3" t="n">
        <v>12.22</v>
      </c>
      <c r="G3607" s="3" t="n">
        <v>0</v>
      </c>
      <c r="H3607" s="3" t="n">
        <v>0</v>
      </c>
      <c r="I3607" s="3">
        <f>E3607+G3607+H3607</f>
        <v/>
      </c>
      <c r="J3607" s="3">
        <f>ROUND(MIN(IF(C3607="Técnico III",35,IF(C3607="Técnico II",28,IF(C3607="Técnico I",23,IF(C3607="JR",20,IF(C3607="Estágio",10,0))))),IF(C3607="Técnico III",SUMIFS($D:$D,$A:$A,$A3607,$B:$B,"&lt;&gt;Patrícia Karla de Sousa Araújo",$B:$B,"&lt;&gt;Lorena Dias de Araujo",$B:$B,"&lt;&gt;Lucas Luiz Romero")*(35/1083),IF(C3607="Técnico II",SUMIFS($D:$D,$A:$A,$A3607,$B:$B,"&lt;&gt;Patrícia Karla de Sousa Araújo",$B:$B,"&lt;&gt;Lorena Dias de Araujo",$B:$B,"&lt;&gt;Lucas Luiz Romero")*(28/1083),IF(C3607="Técnico I",SUMIFS($D:$D,$A:$A,$A3607,$B:$B,"&lt;&gt;Patrícia Karla de Sousa Araújo",$B:$B,"&lt;&gt;Lorena Dias de Araujo",$B:$B,"&lt;&gt;Lucas Luiz Romero")*(23/1083),IF(C3607="JR",SUMIFS($D:$D,$A:$A,$A3607,$B:$B,"&lt;&gt;Patrícia Karla de Sousa Araújo",$B:$B,"&lt;&gt;Lorena Dias de Araujo",$B:$B,"&lt;&gt;Lucas Luiz Romero")*(20/1083),IF(C3607="Estágio",SUMIFS($D:$D,$A:$A,$A3607,$B:$B,"&lt;&gt;Patrícia Karla de Sousa Araújo",$B:$B,"&lt;&gt;Lorena Dias de Araujo",$B:$B,"&lt;&gt;Lucas Luiz Romero")*(10/1083),0)))))),0)</f>
        <v/>
      </c>
      <c r="K3607" s="3">
        <f>I3607-J3607</f>
        <v/>
      </c>
      <c r="L3607" s="3">
        <f>IF(K3607&lt;-5,"CRÍTICO",IF(K3607&lt;0,"ATENÇÃO",IF(K3607&lt;=5,"OPORTUNO","MUITO BOM")))</f>
        <v/>
      </c>
      <c r="M3607" s="3" t="n">
        <v>49</v>
      </c>
      <c r="N3607" s="3" t="n">
        <v>99.56999999999999</v>
      </c>
      <c r="O3607" s="12" t="n">
        <v>30.63583815028902</v>
      </c>
    </row>
    <row r="3608">
      <c r="A3608" s="10" t="n">
        <v>46114</v>
      </c>
      <c r="B3608" t="inlineStr">
        <is>
          <t>Jaqueline Evangelista da Silva Martins</t>
        </is>
      </c>
      <c r="C3608" s="1" t="inlineStr">
        <is>
          <t>Técnico III</t>
        </is>
      </c>
      <c r="D3608" s="3" t="n">
        <v>12</v>
      </c>
      <c r="E3608" s="3" t="n">
        <v>12</v>
      </c>
      <c r="F3608" s="3" t="n">
        <v>18.31</v>
      </c>
      <c r="G3608" s="3" t="n">
        <v>0</v>
      </c>
      <c r="H3608" s="3" t="n">
        <v>0</v>
      </c>
      <c r="I3608" s="3">
        <f>E3608+G3608+H3608</f>
        <v/>
      </c>
      <c r="J3608" s="3">
        <f>ROUND(MIN(IF(C3608="Técnico III",35,IF(C3608="Técnico II",28,IF(C3608="Técnico I",23,IF(C3608="JR",20,IF(C3608="Estágio",10,0))))),IF(C3608="Técnico III",SUMIFS($D:$D,$A:$A,$A3608,$B:$B,"&lt;&gt;Patrícia Karla de Sousa Araújo",$B:$B,"&lt;&gt;Lorena Dias de Araujo",$B:$B,"&lt;&gt;Lucas Luiz Romero")*(35/1083),IF(C3608="Técnico II",SUMIFS($D:$D,$A:$A,$A3608,$B:$B,"&lt;&gt;Patrícia Karla de Sousa Araújo",$B:$B,"&lt;&gt;Lorena Dias de Araujo",$B:$B,"&lt;&gt;Lucas Luiz Romero")*(28/1083),IF(C3608="Técnico I",SUMIFS($D:$D,$A:$A,$A3608,$B:$B,"&lt;&gt;Patrícia Karla de Sousa Araújo",$B:$B,"&lt;&gt;Lorena Dias de Araujo",$B:$B,"&lt;&gt;Lucas Luiz Romero")*(23/1083),IF(C3608="JR",SUMIFS($D:$D,$A:$A,$A3608,$B:$B,"&lt;&gt;Patrícia Karla de Sousa Araújo",$B:$B,"&lt;&gt;Lorena Dias de Araujo",$B:$B,"&lt;&gt;Lucas Luiz Romero")*(20/1083),IF(C3608="Estágio",SUMIFS($D:$D,$A:$A,$A3608,$B:$B,"&lt;&gt;Patrícia Karla de Sousa Araújo",$B:$B,"&lt;&gt;Lorena Dias de Araujo",$B:$B,"&lt;&gt;Lucas Luiz Romero")*(10/1083),0)))))),0)</f>
        <v/>
      </c>
      <c r="K3608" s="3">
        <f>I3608-J3608</f>
        <v/>
      </c>
      <c r="L3608" s="3">
        <f>IF(K3608&lt;-5,"CRÍTICO",IF(K3608&lt;0,"ATENÇÃO",IF(K3608&lt;=5,"OPORTUNO","MUITO BOM")))</f>
        <v/>
      </c>
      <c r="M3608" s="3" t="n">
        <v>10</v>
      </c>
      <c r="N3608" s="3" t="n">
        <v>95.65000000000001</v>
      </c>
      <c r="O3608" s="12" t="n">
        <v>32.43243243243244</v>
      </c>
    </row>
    <row r="3609">
      <c r="A3609" s="10" t="n">
        <v>46114</v>
      </c>
      <c r="B3609" t="inlineStr">
        <is>
          <t>Jessica Faria da Silveira</t>
        </is>
      </c>
      <c r="C3609" s="1" t="inlineStr">
        <is>
          <t>Técnico II</t>
        </is>
      </c>
      <c r="D3609" s="3" t="n">
        <v>18</v>
      </c>
      <c r="E3609" s="3" t="n">
        <v>18</v>
      </c>
      <c r="F3609" s="3" t="n">
        <v>18.35</v>
      </c>
      <c r="G3609" s="3" t="n">
        <v>0</v>
      </c>
      <c r="H3609" s="3" t="n">
        <v>0</v>
      </c>
      <c r="I3609" s="3">
        <f>E3609+G3609+H3609</f>
        <v/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/>
      </c>
      <c r="K3609" s="3">
        <f>I3609-J3609</f>
        <v/>
      </c>
      <c r="L3609" s="3">
        <f>IF(K3609&lt;-5,"CRÍTICO",IF(K3609&lt;0,"ATENÇÃO",IF(K3609&lt;=5,"OPORTUNO","MUITO BOM")))</f>
        <v/>
      </c>
      <c r="M3609" s="3" t="n">
        <v>15</v>
      </c>
      <c r="N3609" s="3" t="n">
        <v>98.81</v>
      </c>
      <c r="O3609" s="12" t="n">
        <v>26.25698324022346</v>
      </c>
    </row>
    <row r="3610">
      <c r="A3610" s="10" t="n">
        <v>46114</v>
      </c>
      <c r="B3610" t="inlineStr">
        <is>
          <t>Jéssica Fé Moura</t>
        </is>
      </c>
      <c r="C3610" s="1" t="inlineStr">
        <is>
          <t>Técnico III</t>
        </is>
      </c>
      <c r="D3610" s="3" t="n">
        <v>0</v>
      </c>
      <c r="E3610" s="3" t="n">
        <v>0</v>
      </c>
      <c r="F3610" s="3" t="n">
        <v>0</v>
      </c>
      <c r="G3610" s="3" t="n">
        <v>0</v>
      </c>
      <c r="H3610" s="3" t="n">
        <v>0</v>
      </c>
      <c r="I3610" s="3" t="n">
        <v>0</v>
      </c>
      <c r="J3610" s="3" t="n">
        <v>0</v>
      </c>
      <c r="K3610" s="3" t="n">
        <v>0</v>
      </c>
      <c r="L3610" s="3">
        <f>IF(K3610&lt;-5,"CRÍTICO",IF(K3610&lt;0,"ATENÇÃO",IF(K3610&lt;=5,"OPORTUNO","MUITO BOM")))</f>
        <v/>
      </c>
      <c r="M3610" s="3" t="n">
        <v>0</v>
      </c>
      <c r="N3610" s="3" t="n">
        <v>0</v>
      </c>
      <c r="O3610" s="12" t="n">
        <v>0</v>
      </c>
    </row>
    <row r="3611">
      <c r="A3611" s="10" t="n">
        <v>46114</v>
      </c>
      <c r="B3611" t="inlineStr">
        <is>
          <t>Karina Gonçalves Martins</t>
        </is>
      </c>
      <c r="C3611" s="1" t="inlineStr">
        <is>
          <t>JR</t>
        </is>
      </c>
      <c r="D3611" s="3" t="n">
        <v>22</v>
      </c>
      <c r="E3611" s="3" t="n">
        <v>22</v>
      </c>
      <c r="F3611" s="3" t="n">
        <v>18.44</v>
      </c>
      <c r="G3611" s="3" t="n">
        <v>0</v>
      </c>
      <c r="H3611" s="3" t="n">
        <v>0</v>
      </c>
      <c r="I3611" s="3">
        <f>E3611+G3611+H3611</f>
        <v/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/>
      </c>
      <c r="K3611" s="3">
        <f>I3611-J3611</f>
        <v/>
      </c>
      <c r="L3611" s="3">
        <f>IF(K3611&lt;-5,"CRÍTICO",IF(K3611&lt;0,"ATENÇÃO",IF(K3611&lt;=5,"OPORTUNO","MUITO BOM")))</f>
        <v/>
      </c>
      <c r="M3611" s="3" t="n">
        <v>20</v>
      </c>
      <c r="N3611" s="3" t="n">
        <v>97.17</v>
      </c>
      <c r="O3611" s="12" t="n">
        <v>28.81844380403458</v>
      </c>
    </row>
    <row r="3612">
      <c r="A3612" s="10" t="n">
        <v>46114</v>
      </c>
      <c r="B3612" t="inlineStr">
        <is>
          <t>Kerollen Cristielly de Jesus Siqueira</t>
        </is>
      </c>
      <c r="C3612" s="1" t="inlineStr">
        <is>
          <t>Técnico III</t>
        </is>
      </c>
      <c r="D3612" s="3" t="n">
        <v>6</v>
      </c>
      <c r="E3612" s="3" t="n">
        <v>6</v>
      </c>
      <c r="F3612" s="3" t="n">
        <v>24.18</v>
      </c>
      <c r="G3612" s="3" t="n">
        <v>0</v>
      </c>
      <c r="H3612" s="3" t="n">
        <v>0</v>
      </c>
      <c r="I3612" s="3">
        <f>E3612+G3612+H3612</f>
        <v/>
      </c>
      <c r="J3612" s="3">
        <f>ROUND(MIN(IF(C3612="Técnico III",35,IF(C3612="Técnico II",28,IF(C3612="Técnico I",23,IF(C3612="JR",20,IF(C3612="Estágio",10,0))))),IF(C3612="Técnico III",SUMIFS($D:$D,$A:$A,$A3612,$B:$B,"&lt;&gt;Patrícia Karla de Sousa Araújo",$B:$B,"&lt;&gt;Lorena Dias de Araujo",$B:$B,"&lt;&gt;Lucas Luiz Romero")*(35/1083),IF(C3612="Técnico II",SUMIFS($D:$D,$A:$A,$A3612,$B:$B,"&lt;&gt;Patrícia Karla de Sousa Araújo",$B:$B,"&lt;&gt;Lorena Dias de Araujo",$B:$B,"&lt;&gt;Lucas Luiz Romero")*(28/1083),IF(C3612="Técnico I",SUMIFS($D:$D,$A:$A,$A3612,$B:$B,"&lt;&gt;Patrícia Karla de Sousa Araújo",$B:$B,"&lt;&gt;Lorena Dias de Araujo",$B:$B,"&lt;&gt;Lucas Luiz Romero")*(23/1083),IF(C3612="JR",SUMIFS($D:$D,$A:$A,$A3612,$B:$B,"&lt;&gt;Patrícia Karla de Sousa Araújo",$B:$B,"&lt;&gt;Lorena Dias de Araujo",$B:$B,"&lt;&gt;Lucas Luiz Romero")*(20/1083),IF(C3612="Estágio",SUMIFS($D:$D,$A:$A,$A3612,$B:$B,"&lt;&gt;Patrícia Karla de Sousa Araújo",$B:$B,"&lt;&gt;Lorena Dias de Araujo",$B:$B,"&lt;&gt;Lucas Luiz Romero")*(10/1083),0)))))),0)</f>
        <v/>
      </c>
      <c r="K3612" s="3">
        <f>I3612-J3612</f>
        <v/>
      </c>
      <c r="L3612" s="3">
        <f>IF(K3612&lt;-5,"CRÍTICO",IF(K3612&lt;0,"ATENÇÃO",IF(K3612&lt;=5,"OPORTUNO","MUITO BOM")))</f>
        <v/>
      </c>
      <c r="M3612" s="3" t="n">
        <v>6</v>
      </c>
      <c r="N3612" s="3" t="n">
        <v>96.81</v>
      </c>
      <c r="O3612" s="12" t="n">
        <v>48.01864801864802</v>
      </c>
    </row>
    <row r="3613">
      <c r="A3613" s="10" t="n">
        <v>46114</v>
      </c>
      <c r="B3613" t="inlineStr">
        <is>
          <t>Leandro de Souza Silva</t>
        </is>
      </c>
      <c r="C3613" s="1" t="inlineStr">
        <is>
          <t>JR</t>
        </is>
      </c>
      <c r="D3613" s="3" t="n">
        <v>22</v>
      </c>
      <c r="E3613" s="3" t="n">
        <v>21</v>
      </c>
      <c r="F3613" s="3" t="n">
        <v>25.36</v>
      </c>
      <c r="G3613" s="3" t="n">
        <v>0</v>
      </c>
      <c r="H3613" s="3" t="n">
        <v>0</v>
      </c>
      <c r="I3613" s="3">
        <f>E3613+G3613+H3613</f>
        <v/>
      </c>
      <c r="J3613" s="3">
        <f>ROUND(MIN(IF(C3613="Técnico III",35,IF(C3613="Técnico II",28,IF(C3613="Técnico I",23,IF(C3613="JR",20,IF(C3613="Estágio",10,0))))),IF(C3613="Técnico III",SUMIFS($D:$D,$A:$A,$A3613,$B:$B,"&lt;&gt;Patrícia Karla de Sousa Araújo",$B:$B,"&lt;&gt;Lorena Dias de Araujo",$B:$B,"&lt;&gt;Lucas Luiz Romero")*(35/1083),IF(C3613="Técnico II",SUMIFS($D:$D,$A:$A,$A3613,$B:$B,"&lt;&gt;Patrícia Karla de Sousa Araújo",$B:$B,"&lt;&gt;Lorena Dias de Araujo",$B:$B,"&lt;&gt;Lucas Luiz Romero")*(28/1083),IF(C3613="Técnico I",SUMIFS($D:$D,$A:$A,$A3613,$B:$B,"&lt;&gt;Patrícia Karla de Sousa Araújo",$B:$B,"&lt;&gt;Lorena Dias de Araujo",$B:$B,"&lt;&gt;Lucas Luiz Romero")*(23/1083),IF(C3613="JR",SUMIFS($D:$D,$A:$A,$A3613,$B:$B,"&lt;&gt;Patrícia Karla de Sousa Araújo",$B:$B,"&lt;&gt;Lorena Dias de Araujo",$B:$B,"&lt;&gt;Lucas Luiz Romero")*(20/1083),IF(C3613="Estágio",SUMIFS($D:$D,$A:$A,$A3613,$B:$B,"&lt;&gt;Patrícia Karla de Sousa Araújo",$B:$B,"&lt;&gt;Lorena Dias de Araujo",$B:$B,"&lt;&gt;Lucas Luiz Romero")*(10/1083),0)))))),0)</f>
        <v/>
      </c>
      <c r="K3613" s="3">
        <f>I3613-J3613</f>
        <v/>
      </c>
      <c r="L3613" s="3">
        <f>IF(K3613&lt;-5,"CRÍTICO",IF(K3613&lt;0,"ATENÇÃO",IF(K3613&lt;=5,"OPORTUNO","MUITO BOM")))</f>
        <v/>
      </c>
      <c r="M3613" s="3" t="n">
        <v>19</v>
      </c>
      <c r="N3613" s="3" t="n">
        <v>98.15000000000001</v>
      </c>
      <c r="O3613" s="12" t="n">
        <v>27.1551724137931</v>
      </c>
    </row>
    <row r="3614">
      <c r="A3614" s="10" t="n">
        <v>46114</v>
      </c>
      <c r="B3614" t="inlineStr">
        <is>
          <t>Leandro Oliveira de Sousa</t>
        </is>
      </c>
      <c r="C3614" s="1" t="inlineStr">
        <is>
          <t>Técnico III</t>
        </is>
      </c>
      <c r="D3614" s="3" t="n">
        <v>40</v>
      </c>
      <c r="E3614" s="3" t="n">
        <v>38</v>
      </c>
      <c r="F3614" s="3" t="n">
        <v>13.41</v>
      </c>
      <c r="G3614" s="3" t="n">
        <v>0</v>
      </c>
      <c r="H3614" s="3" t="n">
        <v>0</v>
      </c>
      <c r="I3614" s="3">
        <f>E3614+G3614+H3614</f>
        <v/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/>
      </c>
      <c r="K3614" s="3">
        <f>I3614-J3614</f>
        <v/>
      </c>
      <c r="L3614" s="3">
        <f>IF(K3614&lt;-5,"CRÍTICO",IF(K3614&lt;0,"ATENÇÃO",IF(K3614&lt;=5,"OPORTUNO","MUITO BOM")))</f>
        <v/>
      </c>
      <c r="M3614" s="3" t="n">
        <v>35</v>
      </c>
      <c r="N3614" s="3" t="n">
        <v>99.15000000000001</v>
      </c>
      <c r="O3614" s="12" t="n">
        <v>27.58620689655172</v>
      </c>
    </row>
    <row r="3615">
      <c r="A3615" s="10" t="n">
        <v>46114</v>
      </c>
      <c r="B3615" t="inlineStr">
        <is>
          <t>Lizandra Gomes Duarte</t>
        </is>
      </c>
      <c r="C3615" s="1" t="inlineStr">
        <is>
          <t>Técnico II</t>
        </is>
      </c>
      <c r="D3615" s="3" t="n">
        <v>37</v>
      </c>
      <c r="E3615" s="3" t="n">
        <v>35</v>
      </c>
      <c r="F3615" s="3" t="n">
        <v>20.24</v>
      </c>
      <c r="G3615" s="3" t="n">
        <v>0</v>
      </c>
      <c r="H3615" s="3" t="n">
        <v>0</v>
      </c>
      <c r="I3615" s="3">
        <f>E3615+G3615+H3615</f>
        <v/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/>
      </c>
      <c r="K3615" s="3">
        <f>I3615-J3615</f>
        <v/>
      </c>
      <c r="L3615" s="3">
        <f>IF(K3615&lt;-5,"CRÍTICO",IF(K3615&lt;0,"ATENÇÃO",IF(K3615&lt;=5,"OPORTUNO","MUITO BOM")))</f>
        <v/>
      </c>
      <c r="M3615" s="3" t="n">
        <v>20</v>
      </c>
      <c r="N3615" s="3" t="n">
        <v>99.17</v>
      </c>
      <c r="O3615" s="12" t="n">
        <v>29.75206611570248</v>
      </c>
    </row>
    <row r="3616">
      <c r="A3616" s="10" t="n">
        <v>46114</v>
      </c>
      <c r="B3616" t="inlineStr">
        <is>
          <t>Lorena Dias de Araujo</t>
        </is>
      </c>
      <c r="C3616" s="1" t="inlineStr">
        <is>
          <t>Técnico II</t>
        </is>
      </c>
      <c r="D3616" s="3" t="n">
        <v>45</v>
      </c>
      <c r="E3616" s="3" t="n">
        <v>42</v>
      </c>
      <c r="F3616" s="3" t="n">
        <v>16.47</v>
      </c>
      <c r="G3616" s="3" t="n">
        <v>0</v>
      </c>
      <c r="H3616" s="3" t="n">
        <v>0</v>
      </c>
      <c r="I3616" s="3" t="n">
        <v>0</v>
      </c>
      <c r="J3616" s="3" t="n">
        <v>0</v>
      </c>
      <c r="K3616" s="3" t="n">
        <v>0</v>
      </c>
      <c r="L3616" s="3">
        <f>IF(K3616&lt;-5,"CRÍTICO",IF(K3616&lt;0,"ATENÇÃO",IF(K3616&lt;=5,"OPORTUNO","MUITO BOM")))</f>
        <v/>
      </c>
      <c r="M3616" s="3" t="n">
        <v>39</v>
      </c>
      <c r="N3616" s="3" t="n">
        <v>98.73</v>
      </c>
      <c r="O3616" s="12" t="n">
        <v>28.96174863387978</v>
      </c>
    </row>
    <row r="3617">
      <c r="A3617" s="10" t="n">
        <v>46114</v>
      </c>
      <c r="B3617" t="inlineStr">
        <is>
          <t>Lucas Luiz Romero</t>
        </is>
      </c>
      <c r="C3617" s="1" t="inlineStr">
        <is>
          <t>Técnico III</t>
        </is>
      </c>
      <c r="D3617" s="3" t="n">
        <v>44</v>
      </c>
      <c r="E3617" s="3" t="n">
        <v>32</v>
      </c>
      <c r="F3617" s="3" t="n">
        <v>14.1</v>
      </c>
      <c r="G3617" s="3" t="n">
        <v>0</v>
      </c>
      <c r="H3617" s="3" t="n">
        <v>0</v>
      </c>
      <c r="I3617" s="3">
        <f>E3617+G3617+H3617</f>
        <v/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/>
      </c>
      <c r="K3617" s="3">
        <f>I3617-J3617</f>
        <v/>
      </c>
      <c r="L3617" s="3">
        <f>IF(K3617&lt;-5,"CRÍTICO",IF(K3617&lt;0,"ATENÇÃO",IF(K3617&lt;=5,"OPORTUNO","MUITO BOM")))</f>
        <v/>
      </c>
      <c r="M3617" s="3" t="n">
        <v>27</v>
      </c>
      <c r="N3617" s="3" t="n">
        <v>88.68000000000001</v>
      </c>
      <c r="O3617" s="12" t="n">
        <v>22.03389830508474</v>
      </c>
    </row>
    <row r="3618">
      <c r="A3618" s="10" t="n">
        <v>46114</v>
      </c>
      <c r="B3618" t="inlineStr">
        <is>
          <t>Luiz Fernando de Carvalho Junior</t>
        </is>
      </c>
      <c r="C3618" s="1" t="inlineStr">
        <is>
          <t>Técnico I</t>
        </is>
      </c>
      <c r="D3618" s="3" t="n">
        <v>28</v>
      </c>
      <c r="E3618" s="3" t="n">
        <v>27</v>
      </c>
      <c r="F3618" s="3" t="n">
        <v>15.3</v>
      </c>
      <c r="G3618" s="3" t="n">
        <v>0</v>
      </c>
      <c r="H3618" s="3" t="n">
        <v>0</v>
      </c>
      <c r="I3618" s="3">
        <f>E3618+G3618+H3618</f>
        <v/>
      </c>
      <c r="J3618" s="3">
        <f>ROUND(MIN(IF(C3618="Técnico III",35,IF(C3618="Técnico II",28,IF(C3618="Técnico I",23,IF(C3618="JR",20,IF(C3618="Estágio",10,0))))),IF(C3618="Técnico III",SUMIFS($D:$D,$A:$A,$A3618,$B:$B,"&lt;&gt;Patrícia Karla de Sousa Araújo",$B:$B,"&lt;&gt;Lorena Dias de Araujo",$B:$B,"&lt;&gt;Lucas Luiz Romero")*(35/1083),IF(C3618="Técnico II",SUMIFS($D:$D,$A:$A,$A3618,$B:$B,"&lt;&gt;Patrícia Karla de Sousa Araújo",$B:$B,"&lt;&gt;Lorena Dias de Araujo",$B:$B,"&lt;&gt;Lucas Luiz Romero")*(28/1083),IF(C3618="Técnico I",SUMIFS($D:$D,$A:$A,$A3618,$B:$B,"&lt;&gt;Patrícia Karla de Sousa Araújo",$B:$B,"&lt;&gt;Lorena Dias de Araujo",$B:$B,"&lt;&gt;Lucas Luiz Romero")*(23/1083),IF(C3618="JR",SUMIFS($D:$D,$A:$A,$A3618,$B:$B,"&lt;&gt;Patrícia Karla de Sousa Araújo",$B:$B,"&lt;&gt;Lorena Dias de Araujo",$B:$B,"&lt;&gt;Lucas Luiz Romero")*(20/1083),IF(C3618="Estágio",SUMIFS($D:$D,$A:$A,$A3618,$B:$B,"&lt;&gt;Patrícia Karla de Sousa Araújo",$B:$B,"&lt;&gt;Lorena Dias de Araujo",$B:$B,"&lt;&gt;Lucas Luiz Romero")*(10/1083),0)))))),0)</f>
        <v/>
      </c>
      <c r="K3618" s="3">
        <f>I3618-J3618</f>
        <v/>
      </c>
      <c r="L3618" s="3">
        <f>IF(K3618&lt;-5,"CRÍTICO",IF(K3618&lt;0,"ATENÇÃO",IF(K3618&lt;=5,"OPORTUNO","MUITO BOM")))</f>
        <v/>
      </c>
      <c r="M3618" s="3" t="n">
        <v>28</v>
      </c>
      <c r="N3618" s="3" t="n">
        <v>97.37</v>
      </c>
      <c r="O3618" s="12" t="n">
        <v>25.76530612244898</v>
      </c>
    </row>
    <row r="3619">
      <c r="A3619" s="10" t="n">
        <v>46114</v>
      </c>
      <c r="B3619" t="inlineStr">
        <is>
          <t>Maria Eduarda Sousa Costa</t>
        </is>
      </c>
      <c r="C3619" s="1" t="inlineStr">
        <is>
          <t>Estágio</t>
        </is>
      </c>
      <c r="D3619" s="3" t="n">
        <v>10</v>
      </c>
      <c r="E3619" s="3" t="n">
        <v>10</v>
      </c>
      <c r="F3619" s="3" t="n">
        <v>23.32</v>
      </c>
      <c r="G3619" s="3" t="n">
        <v>0</v>
      </c>
      <c r="H3619" s="3" t="n">
        <v>0</v>
      </c>
      <c r="I3619" s="3">
        <f>E3619+G3619+H3619</f>
        <v/>
      </c>
      <c r="J3619" s="3">
        <f>ROUND(MIN(IF(C3619="Técnico III",35,IF(C3619="Técnico II",28,IF(C3619="Técnico I",23,IF(C3619="JR",20,IF(C3619="Estágio",10,0))))),IF(C3619="Técnico III",SUMIFS($D:$D,$A:$A,$A3619,$B:$B,"&lt;&gt;Patrícia Karla de Sousa Araújo",$B:$B,"&lt;&gt;Lorena Dias de Araujo",$B:$B,"&lt;&gt;Lucas Luiz Romero")*(35/1083),IF(C3619="Técnico II",SUMIFS($D:$D,$A:$A,$A3619,$B:$B,"&lt;&gt;Patrícia Karla de Sousa Araújo",$B:$B,"&lt;&gt;Lorena Dias de Araujo",$B:$B,"&lt;&gt;Lucas Luiz Romero")*(28/1083),IF(C3619="Técnico I",SUMIFS($D:$D,$A:$A,$A3619,$B:$B,"&lt;&gt;Patrícia Karla de Sousa Araújo",$B:$B,"&lt;&gt;Lorena Dias de Araujo",$B:$B,"&lt;&gt;Lucas Luiz Romero")*(23/1083),IF(C3619="JR",SUMIFS($D:$D,$A:$A,$A3619,$B:$B,"&lt;&gt;Patrícia Karla de Sousa Araújo",$B:$B,"&lt;&gt;Lorena Dias de Araujo",$B:$B,"&lt;&gt;Lucas Luiz Romero")*(20/1083),IF(C3619="Estágio",SUMIFS($D:$D,$A:$A,$A3619,$B:$B,"&lt;&gt;Patrícia Karla de Sousa Araújo",$B:$B,"&lt;&gt;Lorena Dias de Araujo",$B:$B,"&lt;&gt;Lucas Luiz Romero")*(10/1083),0)))))),0)</f>
        <v/>
      </c>
      <c r="K3619" s="3">
        <f>I3619-J3619</f>
        <v/>
      </c>
      <c r="L3619" s="3">
        <f>IF(K3619&lt;-5,"CRÍTICO",IF(K3619&lt;0,"ATENÇÃO",IF(K3619&lt;=5,"OPORTUNO","MUITO BOM")))</f>
        <v/>
      </c>
      <c r="M3619" s="3" t="n">
        <v>7</v>
      </c>
      <c r="N3619" s="3" t="n">
        <v>100</v>
      </c>
      <c r="O3619" s="12" t="n">
        <v>25</v>
      </c>
    </row>
    <row r="3620">
      <c r="A3620" s="10" t="n">
        <v>46134</v>
      </c>
      <c r="B3620" t="inlineStr">
        <is>
          <t>Matheus Farias De Souza</t>
        </is>
      </c>
      <c r="C3620" s="1" t="inlineStr">
        <is>
          <t>Técnico III</t>
        </is>
      </c>
      <c r="D3620" s="3" t="n">
        <v>22</v>
      </c>
      <c r="E3620" s="3" t="n">
        <v>21</v>
      </c>
      <c r="F3620" s="3" t="n">
        <v>14.13</v>
      </c>
      <c r="G3620" s="3" t="n">
        <v>0</v>
      </c>
      <c r="H3620" s="3" t="n">
        <v>0</v>
      </c>
      <c r="I3620" s="3">
        <f>E3620+G3620+H3620</f>
        <v/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/>
      </c>
      <c r="K3620" s="3">
        <f>I3620-J3620</f>
        <v/>
      </c>
      <c r="L3620" s="3">
        <f>IF(K3620&lt;-5,"CRÍTICO",IF(K3620&lt;0,"ATENÇÃO",IF(K3620&lt;=5,"OPORTUNO","MUITO BOM")))</f>
        <v/>
      </c>
      <c r="M3620" s="3" t="n">
        <v>31</v>
      </c>
      <c r="N3620" s="3" t="n">
        <v>100</v>
      </c>
      <c r="O3620" s="12" t="n">
        <v>23.9870340356564</v>
      </c>
    </row>
    <row r="3621">
      <c r="A3621" s="10" t="n">
        <v>46114</v>
      </c>
      <c r="B3621" t="inlineStr">
        <is>
          <t>Maysa Victoria Dias Moura</t>
        </is>
      </c>
      <c r="C3621" s="1" t="inlineStr">
        <is>
          <t>Técnico III</t>
        </is>
      </c>
      <c r="D3621" s="3" t="n">
        <v>38</v>
      </c>
      <c r="E3621" s="3" t="n">
        <v>32</v>
      </c>
      <c r="F3621" s="3" t="n">
        <v>12.01</v>
      </c>
      <c r="G3621" s="3" t="n">
        <v>0</v>
      </c>
      <c r="H3621" s="3" t="n">
        <v>0</v>
      </c>
      <c r="I3621" s="3">
        <f>E3621+G3621+H3621</f>
        <v/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/>
      </c>
      <c r="K3621" s="3">
        <f>I3621-J3621</f>
        <v/>
      </c>
      <c r="L3621" s="3">
        <f>IF(K3621&lt;-5,"CRÍTICO",IF(K3621&lt;0,"ATENÇÃO",IF(K3621&lt;=5,"OPORTUNO","MUITO BOM")))</f>
        <v/>
      </c>
      <c r="M3621" s="3" t="n">
        <v>29</v>
      </c>
      <c r="N3621" s="3" t="n">
        <v>95.48999999999999</v>
      </c>
      <c r="O3621" s="12" t="n">
        <v>28.37022132796781</v>
      </c>
    </row>
    <row r="3622">
      <c r="A3622" s="10" t="n">
        <v>46142</v>
      </c>
      <c r="B3622" t="inlineStr">
        <is>
          <t>Michelle G Santos</t>
        </is>
      </c>
      <c r="C3622" s="1" t="inlineStr">
        <is>
          <t>Estágio</t>
        </is>
      </c>
      <c r="D3622" s="3" t="n">
        <v>19</v>
      </c>
      <c r="E3622" s="3" t="n">
        <v>17</v>
      </c>
      <c r="F3622" s="3" t="n">
        <v>24.14</v>
      </c>
      <c r="G3622" s="3" t="n">
        <v>0</v>
      </c>
      <c r="H3622" s="3" t="n">
        <v>0</v>
      </c>
      <c r="I3622" s="3">
        <f>E3622+G3622+H3622</f>
        <v/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/>
      </c>
      <c r="K3622" s="3">
        <f>I3622-J3622</f>
        <v/>
      </c>
      <c r="L3622" s="3">
        <f>IF(K3622&lt;-5,"CRÍTICO",IF(K3622&lt;0,"ATENÇÃO",IF(K3622&lt;=5,"OPORTUNO","MUITO BOM")))</f>
        <v/>
      </c>
      <c r="M3622" s="3" t="n">
        <v>7</v>
      </c>
      <c r="N3622" s="3" t="n">
        <v>100</v>
      </c>
      <c r="O3622" s="12" t="n">
        <v>23.77622377622378</v>
      </c>
    </row>
    <row r="3623">
      <c r="A3623" s="10" t="n">
        <v>46114</v>
      </c>
      <c r="B3623" t="inlineStr">
        <is>
          <t>Milena Sales</t>
        </is>
      </c>
      <c r="C3623" s="1" t="inlineStr">
        <is>
          <t>JR</t>
        </is>
      </c>
      <c r="D3623" s="3" t="n">
        <v>21</v>
      </c>
      <c r="E3623" s="3" t="n">
        <v>17</v>
      </c>
      <c r="F3623" s="3" t="n">
        <v>20.36</v>
      </c>
      <c r="G3623" s="3" t="n">
        <v>0</v>
      </c>
      <c r="H3623" s="3" t="n">
        <v>0</v>
      </c>
      <c r="I3623" s="3">
        <f>E3623+G3623+H3623</f>
        <v/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/>
      </c>
      <c r="K3623" s="3">
        <f>I3623-J3623</f>
        <v/>
      </c>
      <c r="L3623" s="3">
        <f>IF(K3623&lt;-5,"CRÍTICO",IF(K3623&lt;0,"ATENÇÃO",IF(K3623&lt;=5,"OPORTUNO","MUITO BOM")))</f>
        <v/>
      </c>
      <c r="M3623" s="3" t="n">
        <v>16</v>
      </c>
      <c r="N3623" s="3" t="n">
        <v>96.15000000000001</v>
      </c>
      <c r="O3623" s="12" t="n">
        <v>24.04580152671756</v>
      </c>
    </row>
    <row r="3624">
      <c r="A3624" s="10" t="n">
        <v>46114</v>
      </c>
      <c r="B3624" t="inlineStr">
        <is>
          <t>Patrícia Karla de Sousa Araújo</t>
        </is>
      </c>
      <c r="C3624" s="1" t="inlineStr">
        <is>
          <t>Técnico II</t>
        </is>
      </c>
      <c r="D3624" s="3" t="n">
        <v>19</v>
      </c>
      <c r="E3624" s="3" t="n">
        <v>18</v>
      </c>
      <c r="F3624" s="3" t="n">
        <v>14.17</v>
      </c>
      <c r="G3624" s="3" t="n">
        <v>0</v>
      </c>
      <c r="H3624" s="3" t="n">
        <v>0</v>
      </c>
      <c r="I3624" s="3">
        <f>E3624+G3624+H3624</f>
        <v/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/>
      </c>
      <c r="K3624" s="3">
        <f>I3624-J3624</f>
        <v/>
      </c>
      <c r="L3624" s="3">
        <f>IF(K3624&lt;-5,"CRÍTICO",IF(K3624&lt;0,"ATENÇÃO",IF(K3624&lt;=5,"OPORTUNO","MUITO BOM")))</f>
        <v/>
      </c>
      <c r="M3624" s="3" t="n">
        <v>15</v>
      </c>
      <c r="N3624" s="3" t="n">
        <v>99.02</v>
      </c>
      <c r="O3624" s="12" t="n">
        <v>34.7972972972973</v>
      </c>
    </row>
    <row r="3625">
      <c r="A3625" s="10" t="n">
        <v>46114</v>
      </c>
      <c r="B3625" t="inlineStr">
        <is>
          <t>Paulo Ricardo Santos</t>
        </is>
      </c>
      <c r="C3625" s="1" t="inlineStr">
        <is>
          <t>JR</t>
        </is>
      </c>
      <c r="D3625" s="3" t="n">
        <v>22</v>
      </c>
      <c r="E3625" s="3" t="n">
        <v>21</v>
      </c>
      <c r="F3625" s="3" t="n">
        <v>15.57</v>
      </c>
      <c r="G3625" s="3" t="n">
        <v>0</v>
      </c>
      <c r="H3625" s="3" t="n">
        <v>0</v>
      </c>
      <c r="I3625" s="3">
        <f>E3625+G3625+H3625</f>
        <v/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/>
      </c>
      <c r="K3625" s="3">
        <f>I3625-J3625</f>
        <v/>
      </c>
      <c r="L3625" s="3">
        <f>IF(K3625&lt;-5,"CRÍTICO",IF(K3625&lt;0,"ATENÇÃO",IF(K3625&lt;=5,"OPORTUNO","MUITO BOM")))</f>
        <v/>
      </c>
      <c r="M3625" s="3" t="n">
        <v>18</v>
      </c>
      <c r="N3625" s="3" t="n">
        <v>98.84</v>
      </c>
      <c r="O3625" s="12" t="n">
        <v>31.86813186813187</v>
      </c>
    </row>
    <row r="3626">
      <c r="A3626" s="10" t="n">
        <v>46114</v>
      </c>
      <c r="B3626" t="inlineStr">
        <is>
          <t>Pedro Luiz Mota Sousa</t>
        </is>
      </c>
      <c r="C3626" s="1" t="inlineStr">
        <is>
          <t>JR</t>
        </is>
      </c>
      <c r="D3626" s="3" t="n">
        <v>17</v>
      </c>
      <c r="E3626" s="3" t="n">
        <v>17</v>
      </c>
      <c r="F3626" s="3" t="n">
        <v>24.14</v>
      </c>
      <c r="G3626" s="3" t="n">
        <v>0</v>
      </c>
      <c r="H3626" s="3" t="n">
        <v>0</v>
      </c>
      <c r="I3626" s="3">
        <f>E3626+G3626+H3626</f>
        <v/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/>
      </c>
      <c r="K3626" s="3">
        <f>I3626-J3626</f>
        <v/>
      </c>
      <c r="L3626" s="3">
        <f>IF(K3626&lt;-5,"CRÍTICO",IF(K3626&lt;0,"ATENÇÃO",IF(K3626&lt;=5,"OPORTUNO","MUITO BOM")))</f>
        <v/>
      </c>
      <c r="M3626" s="3" t="n">
        <v>15</v>
      </c>
      <c r="N3626" s="3" t="n">
        <v>100</v>
      </c>
      <c r="O3626" s="12" t="n">
        <v>34.66666666666667</v>
      </c>
    </row>
    <row r="3627">
      <c r="A3627" s="10" t="n">
        <v>46142</v>
      </c>
      <c r="B3627" t="inlineStr">
        <is>
          <t>Quirino Diogo Leite Torres</t>
        </is>
      </c>
      <c r="C3627" s="1" t="inlineStr">
        <is>
          <t>Estágio</t>
        </is>
      </c>
      <c r="D3627" s="3" t="n">
        <v>18</v>
      </c>
      <c r="E3627" s="3" t="n">
        <v>17</v>
      </c>
      <c r="F3627" s="3" t="n">
        <v>28.41</v>
      </c>
      <c r="G3627" s="3" t="n">
        <v>0</v>
      </c>
      <c r="H3627" s="3" t="n">
        <v>0</v>
      </c>
      <c r="I3627" s="3">
        <f>E3627+G3627+H3627</f>
        <v/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/>
      </c>
      <c r="K3627" s="3">
        <f>I3627-J3627</f>
        <v/>
      </c>
      <c r="L3627" s="3">
        <f>IF(K3627&lt;-5,"CRÍTICO",IF(K3627&lt;0,"ATENÇÃO",IF(K3627&lt;=5,"OPORTUNO","MUITO BOM")))</f>
        <v/>
      </c>
      <c r="M3627" s="3" t="n">
        <v>13</v>
      </c>
      <c r="N3627" s="3" t="n">
        <v>94.12</v>
      </c>
      <c r="O3627" s="12" t="n">
        <v>32.8</v>
      </c>
    </row>
    <row r="3628">
      <c r="A3628" s="10" t="n">
        <v>46114</v>
      </c>
      <c r="B3628" t="inlineStr">
        <is>
          <t>Raane Batista Matos</t>
        </is>
      </c>
      <c r="C3628" s="1" t="inlineStr">
        <is>
          <t>Técnico I</t>
        </is>
      </c>
      <c r="D3628" s="3" t="n">
        <v>33</v>
      </c>
      <c r="E3628" s="3" t="n">
        <v>29</v>
      </c>
      <c r="F3628" s="3" t="n">
        <v>13.5</v>
      </c>
      <c r="G3628" s="3" t="n">
        <v>0</v>
      </c>
      <c r="H3628" s="3" t="n">
        <v>0</v>
      </c>
      <c r="I3628" s="3">
        <f>E3628+G3628+H3628</f>
        <v/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/>
      </c>
      <c r="K3628" s="3">
        <f>I3628-J3628</f>
        <v/>
      </c>
      <c r="L3628" s="3">
        <f>IF(K3628&lt;-5,"CRÍTICO",IF(K3628&lt;0,"ATENÇÃO",IF(K3628&lt;=5,"OPORTUNO","MUITO BOM")))</f>
        <v/>
      </c>
      <c r="M3628" s="3" t="n">
        <v>23</v>
      </c>
      <c r="N3628" s="3" t="n">
        <v>98.31999999999999</v>
      </c>
      <c r="O3628" s="12" t="n">
        <v>26.85851318944844</v>
      </c>
    </row>
    <row r="3629">
      <c r="A3629" s="10" t="n">
        <v>46114</v>
      </c>
      <c r="B3629" t="inlineStr">
        <is>
          <t>Rafael Gomes de Morais</t>
        </is>
      </c>
      <c r="C3629" s="1" t="inlineStr">
        <is>
          <t>Técnico III</t>
        </is>
      </c>
      <c r="D3629" s="3" t="n">
        <v>41</v>
      </c>
      <c r="E3629" s="3" t="n">
        <v>38</v>
      </c>
      <c r="F3629" s="3" t="n">
        <v>15.29</v>
      </c>
      <c r="G3629" s="3" t="n">
        <v>0</v>
      </c>
      <c r="H3629" s="3" t="n">
        <v>0</v>
      </c>
      <c r="I3629" s="3">
        <f>E3629+G3629+H3629</f>
        <v/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/>
      </c>
      <c r="K3629" s="3">
        <f>I3629-J3629</f>
        <v/>
      </c>
      <c r="L3629" s="3">
        <f>IF(K3629&lt;-5,"CRÍTICO",IF(K3629&lt;0,"ATENÇÃO",IF(K3629&lt;=5,"OPORTUNO","MUITO BOM")))</f>
        <v/>
      </c>
      <c r="M3629" s="3" t="n">
        <v>35</v>
      </c>
      <c r="N3629" s="3" t="n">
        <v>100</v>
      </c>
      <c r="O3629" s="12" t="n">
        <v>31.13553113553114</v>
      </c>
    </row>
    <row r="3630">
      <c r="A3630" s="10" t="n">
        <v>46114</v>
      </c>
      <c r="B3630" t="inlineStr">
        <is>
          <t>Sara Maria Monteiro Lopes</t>
        </is>
      </c>
      <c r="C3630" s="1" t="inlineStr">
        <is>
          <t>Técnico I</t>
        </is>
      </c>
      <c r="D3630" s="3" t="n">
        <v>20</v>
      </c>
      <c r="E3630" s="3" t="n">
        <v>18</v>
      </c>
      <c r="F3630" s="3" t="n">
        <v>22.3</v>
      </c>
      <c r="G3630" s="3" t="n">
        <v>0</v>
      </c>
      <c r="H3630" s="3" t="n">
        <v>0</v>
      </c>
      <c r="I3630" s="3">
        <f>E3630+G3630+H3630</f>
        <v/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/>
      </c>
      <c r="K3630" s="3">
        <f>I3630-J3630</f>
        <v/>
      </c>
      <c r="L3630" s="3">
        <f>IF(K3630&lt;-5,"CRÍTICO",IF(K3630&lt;0,"ATENÇÃO",IF(K3630&lt;=5,"OPORTUNO","MUITO BOM")))</f>
        <v/>
      </c>
      <c r="M3630" s="3" t="n">
        <v>17</v>
      </c>
      <c r="N3630" s="3" t="n">
        <v>100</v>
      </c>
      <c r="O3630" s="12" t="n">
        <v>26.36986301369863</v>
      </c>
    </row>
    <row r="3631">
      <c r="A3631" s="10" t="n">
        <v>46114</v>
      </c>
      <c r="B3631" t="inlineStr">
        <is>
          <t>Sarah Steffanie de Lima Borges</t>
        </is>
      </c>
      <c r="C3631" s="1" t="inlineStr">
        <is>
          <t>Técnico III</t>
        </is>
      </c>
      <c r="D3631" s="3" t="n">
        <v>36</v>
      </c>
      <c r="E3631" s="3" t="n">
        <v>32</v>
      </c>
      <c r="F3631" s="3" t="n">
        <v>15.15</v>
      </c>
      <c r="G3631" s="3" t="n">
        <v>0</v>
      </c>
      <c r="H3631" s="3" t="n">
        <v>0</v>
      </c>
      <c r="I3631" s="3">
        <f>E3631+G3631+H3631</f>
        <v/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/>
      </c>
      <c r="K3631" s="3">
        <f>I3631-J3631</f>
        <v/>
      </c>
      <c r="L3631" s="3">
        <f>IF(K3631&lt;-5,"CRÍTICO",IF(K3631&lt;0,"ATENÇÃO",IF(K3631&lt;=5,"OPORTUNO","MUITO BOM")))</f>
        <v/>
      </c>
      <c r="M3631" s="3" t="n">
        <v>28</v>
      </c>
      <c r="N3631" s="3" t="n">
        <v>99.20999999999999</v>
      </c>
      <c r="O3631" s="12" t="n">
        <v>25.18891687657431</v>
      </c>
    </row>
    <row r="3632">
      <c r="A3632" s="10" t="n">
        <v>46115</v>
      </c>
      <c r="B3632" t="inlineStr">
        <is>
          <t>Alisson de Freitas Silva</t>
        </is>
      </c>
      <c r="C3632" s="1" t="inlineStr">
        <is>
          <t>Técnico II</t>
        </is>
      </c>
      <c r="D3632" s="3" t="n">
        <v>0</v>
      </c>
      <c r="E3632" s="3" t="n">
        <v>0</v>
      </c>
      <c r="F3632" s="3" t="n">
        <v>0</v>
      </c>
      <c r="G3632" s="3" t="n">
        <v>0</v>
      </c>
      <c r="H3632" s="3" t="n">
        <v>0</v>
      </c>
      <c r="I3632" s="3" t="n">
        <v>0</v>
      </c>
      <c r="J3632" s="3" t="n">
        <v>0</v>
      </c>
      <c r="K3632" s="3" t="n">
        <v>0</v>
      </c>
      <c r="L3632" s="3">
        <f>IF(K3632&lt;-5,"CRÍTICO",IF(K3632&lt;0,"ATENÇÃO",IF(K3632&lt;=5,"OPORTUNO","MUITO BOM")))</f>
        <v/>
      </c>
      <c r="M3632" s="3" t="n">
        <v>0</v>
      </c>
      <c r="N3632" s="3" t="n">
        <v>100</v>
      </c>
      <c r="O3632" s="12" t="n">
        <v>32.76450511945392</v>
      </c>
    </row>
    <row r="3633">
      <c r="A3633" s="10" t="n">
        <v>46115</v>
      </c>
      <c r="B3633" t="inlineStr">
        <is>
          <t>Amanda Moura Ferreira</t>
        </is>
      </c>
      <c r="C3633" s="1" t="inlineStr">
        <is>
          <t>Técnico III</t>
        </is>
      </c>
      <c r="D3633" s="3" t="n">
        <v>0</v>
      </c>
      <c r="E3633" s="3" t="n">
        <v>0</v>
      </c>
      <c r="F3633" s="3" t="n">
        <v>0</v>
      </c>
      <c r="G3633" s="3" t="n">
        <v>0</v>
      </c>
      <c r="H3633" s="3" t="n">
        <v>0</v>
      </c>
      <c r="I3633" s="3" t="n">
        <v>0</v>
      </c>
      <c r="J3633" s="3" t="n">
        <v>0</v>
      </c>
      <c r="K3633" s="3" t="n">
        <v>0</v>
      </c>
      <c r="L3633" s="3">
        <f>IF(K3633&lt;-5,"CRÍTICO",IF(K3633&lt;0,"ATENÇÃO",IF(K3633&lt;=5,"OPORTUNO","MUITO BOM")))</f>
        <v/>
      </c>
      <c r="M3633" s="3" t="n">
        <v>0</v>
      </c>
      <c r="N3633" s="3" t="n">
        <v>98.66</v>
      </c>
      <c r="O3633" s="12" t="n">
        <v>35.41666666666667</v>
      </c>
    </row>
    <row r="3634">
      <c r="A3634" s="10" t="n">
        <v>46115</v>
      </c>
      <c r="B3634" t="inlineStr">
        <is>
          <t>Ana Karollyne Souza Faria</t>
        </is>
      </c>
      <c r="C3634" s="1" t="inlineStr">
        <is>
          <t>Técnico I</t>
        </is>
      </c>
      <c r="D3634" s="3" t="n">
        <v>0</v>
      </c>
      <c r="E3634" s="3" t="n">
        <v>0</v>
      </c>
      <c r="F3634" s="3" t="n">
        <v>0</v>
      </c>
      <c r="G3634" s="3" t="n">
        <v>0</v>
      </c>
      <c r="H3634" s="3" t="n">
        <v>0</v>
      </c>
      <c r="I3634" s="3" t="n">
        <v>0</v>
      </c>
      <c r="J3634" s="3" t="n">
        <v>0</v>
      </c>
      <c r="K3634" s="3" t="n">
        <v>0</v>
      </c>
      <c r="L3634" s="3">
        <f>IF(K3634&lt;-5,"CRÍTICO",IF(K3634&lt;0,"ATENÇÃO",IF(K3634&lt;=5,"OPORTUNO","MUITO BOM")))</f>
        <v/>
      </c>
      <c r="M3634" s="3" t="n">
        <v>0</v>
      </c>
      <c r="N3634" s="3" t="n">
        <v>99.31999999999999</v>
      </c>
      <c r="O3634" s="12" t="n">
        <v>30.6483300589391</v>
      </c>
    </row>
    <row r="3635">
      <c r="A3635" s="10" t="n">
        <v>46115</v>
      </c>
      <c r="B3635" t="inlineStr">
        <is>
          <t>Ana Paula Da Luz Silva Aleixo</t>
        </is>
      </c>
      <c r="C3635" s="1" t="inlineStr">
        <is>
          <t>Técnico III</t>
        </is>
      </c>
      <c r="D3635" s="3" t="n">
        <v>0</v>
      </c>
      <c r="E3635" s="3" t="n">
        <v>0</v>
      </c>
      <c r="F3635" s="3" t="n">
        <v>0</v>
      </c>
      <c r="G3635" s="3" t="n">
        <v>0</v>
      </c>
      <c r="H3635" s="3" t="n">
        <v>0</v>
      </c>
      <c r="I3635" s="3" t="n">
        <v>0</v>
      </c>
      <c r="J3635" s="3" t="n">
        <v>0</v>
      </c>
      <c r="K3635" s="3" t="n">
        <v>0</v>
      </c>
      <c r="L3635" s="3">
        <f>IF(K3635&lt;-5,"CRÍTICO",IF(K3635&lt;0,"ATENÇÃO",IF(K3635&lt;=5,"OPORTUNO","MUITO BOM")))</f>
        <v/>
      </c>
      <c r="M3635" s="3" t="n">
        <v>0</v>
      </c>
      <c r="N3635" s="3" t="n">
        <v>100</v>
      </c>
      <c r="O3635" s="12" t="n">
        <v>27.80373831775701</v>
      </c>
    </row>
    <row r="3636">
      <c r="A3636" s="10" t="n">
        <v>46115</v>
      </c>
      <c r="B3636" t="inlineStr">
        <is>
          <t>Anna Luiza Rezende Tavares</t>
        </is>
      </c>
      <c r="C3636" s="1" t="inlineStr">
        <is>
          <t>Estágio</t>
        </is>
      </c>
      <c r="D3636" s="3" t="n">
        <v>0</v>
      </c>
      <c r="E3636" s="3" t="n">
        <v>0</v>
      </c>
      <c r="F3636" s="3" t="n">
        <v>0</v>
      </c>
      <c r="G3636" s="3" t="n">
        <v>0</v>
      </c>
      <c r="H3636" s="3" t="n">
        <v>0</v>
      </c>
      <c r="I3636" s="3" t="n">
        <v>0</v>
      </c>
      <c r="J3636" s="3" t="n">
        <v>0</v>
      </c>
      <c r="K3636" s="3" t="n">
        <v>0</v>
      </c>
      <c r="L3636" s="3">
        <f>IF(K3636&lt;-5,"CRÍTICO",IF(K3636&lt;0,"ATENÇÃO",IF(K3636&lt;=5,"OPORTUNO","MUITO BOM")))</f>
        <v/>
      </c>
      <c r="M3636" s="3" t="n">
        <v>0</v>
      </c>
      <c r="N3636" s="3" t="n">
        <v>96.73999999999999</v>
      </c>
      <c r="O3636" s="12" t="n">
        <v>28.67647058823529</v>
      </c>
    </row>
    <row r="3637">
      <c r="A3637" s="10" t="n">
        <v>46115</v>
      </c>
      <c r="B3637" t="inlineStr">
        <is>
          <t>Brenda de Menezes Silva</t>
        </is>
      </c>
      <c r="C3637" s="1" t="inlineStr">
        <is>
          <t>Técnico II</t>
        </is>
      </c>
      <c r="D3637" s="3" t="n">
        <v>0</v>
      </c>
      <c r="E3637" s="3" t="n">
        <v>0</v>
      </c>
      <c r="F3637" s="3" t="n">
        <v>0</v>
      </c>
      <c r="G3637" s="3" t="n">
        <v>0</v>
      </c>
      <c r="H3637" s="3" t="n">
        <v>0</v>
      </c>
      <c r="I3637" s="3" t="n">
        <v>0</v>
      </c>
      <c r="J3637" s="3" t="n">
        <v>0</v>
      </c>
      <c r="K3637" s="3" t="n">
        <v>0</v>
      </c>
      <c r="L3637" s="3">
        <f>IF(K3637&lt;-5,"CRÍTICO",IF(K3637&lt;0,"ATENÇÃO",IF(K3637&lt;=5,"OPORTUNO","MUITO BOM")))</f>
        <v/>
      </c>
      <c r="M3637" s="3" t="n">
        <v>0</v>
      </c>
      <c r="N3637" s="3" t="n">
        <v>98.81999999999999</v>
      </c>
      <c r="O3637" s="12" t="n">
        <v>30.74141048824593</v>
      </c>
    </row>
    <row r="3638">
      <c r="A3638" s="10" t="n">
        <v>46115</v>
      </c>
      <c r="B3638" t="inlineStr">
        <is>
          <t>Carlos Mateus Cassimiro Nunes</t>
        </is>
      </c>
      <c r="C3638" s="1" t="inlineStr">
        <is>
          <t>Técnico II</t>
        </is>
      </c>
      <c r="D3638" s="3" t="n">
        <v>0</v>
      </c>
      <c r="E3638" s="3" t="n">
        <v>0</v>
      </c>
      <c r="F3638" s="3" t="n">
        <v>0</v>
      </c>
      <c r="G3638" s="3" t="n">
        <v>0</v>
      </c>
      <c r="H3638" s="3" t="n">
        <v>0</v>
      </c>
      <c r="I3638" s="3" t="n">
        <v>0</v>
      </c>
      <c r="J3638" s="3" t="n">
        <v>0</v>
      </c>
      <c r="K3638" s="3" t="n">
        <v>0</v>
      </c>
      <c r="L3638" s="3">
        <f>IF(K3638&lt;-5,"CRÍTICO",IF(K3638&lt;0,"ATENÇÃO",IF(K3638&lt;=5,"OPORTUNO","MUITO BOM")))</f>
        <v/>
      </c>
      <c r="M3638" s="3" t="n">
        <v>0</v>
      </c>
      <c r="N3638" s="3" t="n">
        <v>98.2</v>
      </c>
      <c r="O3638" s="12" t="n">
        <v>27.17086834733893</v>
      </c>
    </row>
    <row r="3639">
      <c r="A3639" s="10" t="n">
        <v>46115</v>
      </c>
      <c r="B3639" t="inlineStr">
        <is>
          <t>Claudio de Sousa Velasco Filho</t>
        </is>
      </c>
      <c r="C3639" s="1" t="inlineStr">
        <is>
          <t>Estágio</t>
        </is>
      </c>
      <c r="D3639" s="3" t="n">
        <v>0</v>
      </c>
      <c r="E3639" s="3" t="n">
        <v>0</v>
      </c>
      <c r="F3639" s="3" t="n">
        <v>0</v>
      </c>
      <c r="G3639" s="3" t="n">
        <v>0</v>
      </c>
      <c r="H3639" s="3" t="n">
        <v>0</v>
      </c>
      <c r="I3639" s="3" t="n">
        <v>0</v>
      </c>
      <c r="J3639" s="3" t="n">
        <v>0</v>
      </c>
      <c r="K3639" s="3" t="n">
        <v>0</v>
      </c>
      <c r="L3639" s="3">
        <f>IF(K3639&lt;-5,"CRÍTICO",IF(K3639&lt;0,"ATENÇÃO",IF(K3639&lt;=5,"OPORTUNO","MUITO BOM")))</f>
        <v/>
      </c>
      <c r="M3639" s="3" t="n">
        <v>0</v>
      </c>
      <c r="N3639" s="3" t="n">
        <v>100</v>
      </c>
      <c r="O3639" s="12" t="n">
        <v>23.13432835820895</v>
      </c>
    </row>
    <row r="3640">
      <c r="A3640" s="10" t="n">
        <v>46115</v>
      </c>
      <c r="B3640" t="inlineStr">
        <is>
          <t>Clessiane Pereira dos Santos</t>
        </is>
      </c>
      <c r="C3640" s="1" t="inlineStr">
        <is>
          <t>Técnico I</t>
        </is>
      </c>
      <c r="D3640" s="3" t="n">
        <v>0</v>
      </c>
      <c r="E3640" s="3" t="n">
        <v>0</v>
      </c>
      <c r="F3640" s="3" t="n">
        <v>0</v>
      </c>
      <c r="G3640" s="3" t="n">
        <v>0</v>
      </c>
      <c r="H3640" s="3" t="n">
        <v>0</v>
      </c>
      <c r="I3640" s="3" t="n">
        <v>0</v>
      </c>
      <c r="J3640" s="3" t="n">
        <v>0</v>
      </c>
      <c r="K3640" s="3" t="n">
        <v>0</v>
      </c>
      <c r="L3640" s="3">
        <f>IF(K3640&lt;-5,"CRÍTICO",IF(K3640&lt;0,"ATENÇÃO",IF(K3640&lt;=5,"OPORTUNO","MUITO BOM")))</f>
        <v/>
      </c>
      <c r="M3640" s="3" t="n">
        <v>0</v>
      </c>
      <c r="N3640" s="3" t="n">
        <v>96.3</v>
      </c>
      <c r="O3640" s="12" t="n">
        <v>32.21957040572792</v>
      </c>
    </row>
    <row r="3641">
      <c r="A3641" s="10" t="n">
        <v>46115</v>
      </c>
      <c r="B3641" t="inlineStr">
        <is>
          <t>Cristiane Ramos da Silva Rocha</t>
        </is>
      </c>
      <c r="C3641" s="1" t="inlineStr">
        <is>
          <t>Técnico III</t>
        </is>
      </c>
      <c r="D3641" s="3" t="n">
        <v>0</v>
      </c>
      <c r="E3641" s="3" t="n">
        <v>0</v>
      </c>
      <c r="F3641" s="3" t="n">
        <v>0</v>
      </c>
      <c r="G3641" s="3" t="n">
        <v>0</v>
      </c>
      <c r="H3641" s="3" t="n">
        <v>0</v>
      </c>
      <c r="I3641" s="3" t="n">
        <v>0</v>
      </c>
      <c r="J3641" s="3" t="n">
        <v>0</v>
      </c>
      <c r="K3641" s="3" t="n">
        <v>0</v>
      </c>
      <c r="L3641" s="3">
        <f>IF(K3641&lt;-5,"CRÍTICO",IF(K3641&lt;0,"ATENÇÃO",IF(K3641&lt;=5,"OPORTUNO","MUITO BOM")))</f>
        <v/>
      </c>
      <c r="M3641" s="3" t="n">
        <v>0</v>
      </c>
      <c r="N3641" s="3" t="n">
        <v>93.75</v>
      </c>
      <c r="O3641" s="12" t="n">
        <v>26.81992337164751</v>
      </c>
    </row>
    <row r="3642">
      <c r="A3642" s="10" t="n">
        <v>46115</v>
      </c>
      <c r="B3642" t="inlineStr">
        <is>
          <t>Damyllis Lorraine de Oliveira Gonçalves</t>
        </is>
      </c>
      <c r="C3642" s="1" t="inlineStr">
        <is>
          <t>Técnico II</t>
        </is>
      </c>
      <c r="D3642" s="3" t="n">
        <v>0</v>
      </c>
      <c r="E3642" s="3" t="n">
        <v>0</v>
      </c>
      <c r="F3642" s="3" t="n">
        <v>0</v>
      </c>
      <c r="G3642" s="3" t="n">
        <v>0</v>
      </c>
      <c r="H3642" s="3" t="n">
        <v>0</v>
      </c>
      <c r="I3642" s="3" t="n">
        <v>0</v>
      </c>
      <c r="J3642" s="3" t="n">
        <v>0</v>
      </c>
      <c r="K3642" s="3" t="n">
        <v>0</v>
      </c>
      <c r="L3642" s="3">
        <f>IF(K3642&lt;-5,"CRÍTICO",IF(K3642&lt;0,"ATENÇÃO",IF(K3642&lt;=5,"OPORTUNO","MUITO BOM")))</f>
        <v/>
      </c>
      <c r="M3642" s="3" t="n">
        <v>0</v>
      </c>
      <c r="N3642" s="3" t="n">
        <v>97.86</v>
      </c>
      <c r="O3642" s="12" t="n">
        <v>31.01851851851852</v>
      </c>
    </row>
    <row r="3643">
      <c r="A3643" s="10" t="n">
        <v>46115</v>
      </c>
      <c r="B3643" t="inlineStr">
        <is>
          <t>Daniel Gomes da Silva</t>
        </is>
      </c>
      <c r="C3643" s="1" t="inlineStr">
        <is>
          <t>Técnico I</t>
        </is>
      </c>
      <c r="D3643" s="3" t="n">
        <v>0</v>
      </c>
      <c r="E3643" s="3" t="n">
        <v>0</v>
      </c>
      <c r="F3643" s="3" t="n">
        <v>0</v>
      </c>
      <c r="G3643" s="3" t="n">
        <v>0</v>
      </c>
      <c r="H3643" s="3" t="n">
        <v>0</v>
      </c>
      <c r="I3643" s="3" t="n">
        <v>0</v>
      </c>
      <c r="J3643" s="3" t="n">
        <v>0</v>
      </c>
      <c r="K3643" s="3" t="n">
        <v>0</v>
      </c>
      <c r="L3643" s="3">
        <f>IF(K3643&lt;-5,"CRÍTICO",IF(K3643&lt;0,"ATENÇÃO",IF(K3643&lt;=5,"OPORTUNO","MUITO BOM")))</f>
        <v/>
      </c>
      <c r="M3643" s="3" t="n">
        <v>0</v>
      </c>
      <c r="N3643" s="3" t="n">
        <v>100</v>
      </c>
      <c r="O3643" s="12" t="n">
        <v>36.59420289855073</v>
      </c>
    </row>
    <row r="3644">
      <c r="A3644" s="10" t="n">
        <v>46115</v>
      </c>
      <c r="B3644" t="inlineStr">
        <is>
          <t>Davylla Rodrigues Freitas Silva</t>
        </is>
      </c>
      <c r="C3644" s="1" t="inlineStr">
        <is>
          <t>Técnico III</t>
        </is>
      </c>
      <c r="D3644" s="3" t="n">
        <v>0</v>
      </c>
      <c r="E3644" s="3" t="n">
        <v>0</v>
      </c>
      <c r="F3644" s="3" t="n">
        <v>0</v>
      </c>
      <c r="G3644" s="3" t="n">
        <v>0</v>
      </c>
      <c r="H3644" s="3" t="n">
        <v>0</v>
      </c>
      <c r="I3644" s="3" t="n">
        <v>0</v>
      </c>
      <c r="J3644" s="3" t="n">
        <v>0</v>
      </c>
      <c r="K3644" s="3" t="n">
        <v>0</v>
      </c>
      <c r="L3644" s="3">
        <f>IF(K3644&lt;-5,"CRÍTICO",IF(K3644&lt;0,"ATENÇÃO",IF(K3644&lt;=5,"OPORTUNO","MUITO BOM")))</f>
        <v/>
      </c>
      <c r="M3644" s="3" t="n">
        <v>0</v>
      </c>
      <c r="N3644" s="3" t="n">
        <v>100</v>
      </c>
      <c r="O3644" s="12" t="n">
        <v>38.65384615384615</v>
      </c>
    </row>
    <row r="3645">
      <c r="A3645" s="10" t="n">
        <v>46115</v>
      </c>
      <c r="B3645" t="inlineStr">
        <is>
          <t>Emilly Caylane Costa</t>
        </is>
      </c>
      <c r="C3645" s="1" t="inlineStr">
        <is>
          <t>Estágio</t>
        </is>
      </c>
      <c r="D3645" s="3" t="n">
        <v>0</v>
      </c>
      <c r="E3645" s="3" t="n">
        <v>0</v>
      </c>
      <c r="F3645" s="3" t="n">
        <v>0</v>
      </c>
      <c r="G3645" s="3" t="n">
        <v>0</v>
      </c>
      <c r="H3645" s="3" t="n">
        <v>0</v>
      </c>
      <c r="I3645" s="3" t="n">
        <v>0</v>
      </c>
      <c r="J3645" s="3" t="n">
        <v>0</v>
      </c>
      <c r="K3645" s="3" t="n">
        <v>0</v>
      </c>
      <c r="L3645" s="3">
        <f>IF(K3645&lt;-5,"CRÍTICO",IF(K3645&lt;0,"ATENÇÃO",IF(K3645&lt;=5,"OPORTUNO","MUITO BOM")))</f>
        <v/>
      </c>
      <c r="M3645" s="3" t="n">
        <v>0</v>
      </c>
      <c r="N3645" s="3" t="n">
        <v>100</v>
      </c>
      <c r="O3645" s="12" t="n">
        <v>27.36842105263158</v>
      </c>
    </row>
    <row r="3646">
      <c r="A3646" s="10" t="n">
        <v>46115</v>
      </c>
      <c r="B3646" t="inlineStr">
        <is>
          <t>Emilly Kamilly Medeiros Miranda</t>
        </is>
      </c>
      <c r="C3646" s="1" t="inlineStr">
        <is>
          <t>Técnico II</t>
        </is>
      </c>
      <c r="D3646" s="3" t="n">
        <v>0</v>
      </c>
      <c r="E3646" s="3" t="n">
        <v>0</v>
      </c>
      <c r="F3646" s="3" t="n">
        <v>0</v>
      </c>
      <c r="G3646" s="3" t="n">
        <v>0</v>
      </c>
      <c r="H3646" s="3" t="n">
        <v>0</v>
      </c>
      <c r="I3646" s="3" t="n">
        <v>0</v>
      </c>
      <c r="J3646" s="3" t="n">
        <v>0</v>
      </c>
      <c r="K3646" s="3" t="n">
        <v>0</v>
      </c>
      <c r="L3646" s="3">
        <f>IF(K3646&lt;-5,"CRÍTICO",IF(K3646&lt;0,"ATENÇÃO",IF(K3646&lt;=5,"OPORTUNO","MUITO BOM")))</f>
        <v/>
      </c>
      <c r="M3646" s="3" t="n">
        <v>0</v>
      </c>
      <c r="N3646" s="3" t="n">
        <v>97.83</v>
      </c>
      <c r="O3646" s="12" t="n">
        <v>28.35164835164835</v>
      </c>
    </row>
    <row r="3647">
      <c r="A3647" s="10" t="n">
        <v>46115</v>
      </c>
      <c r="B3647" t="inlineStr">
        <is>
          <t>Francielson de Oliveira</t>
        </is>
      </c>
      <c r="C3647" s="1" t="inlineStr">
        <is>
          <t>Técnico III</t>
        </is>
      </c>
      <c r="D3647" s="3" t="n">
        <v>0</v>
      </c>
      <c r="E3647" s="3" t="n">
        <v>0</v>
      </c>
      <c r="F3647" s="3" t="n">
        <v>0</v>
      </c>
      <c r="G3647" s="3" t="n">
        <v>0</v>
      </c>
      <c r="H3647" s="3" t="n">
        <v>0</v>
      </c>
      <c r="I3647" s="3" t="n">
        <v>0</v>
      </c>
      <c r="J3647" s="3" t="n">
        <v>0</v>
      </c>
      <c r="K3647" s="3" t="n">
        <v>0</v>
      </c>
      <c r="L3647" s="3">
        <f>IF(K3647&lt;-5,"CRÍTICO",IF(K3647&lt;0,"ATENÇÃO",IF(K3647&lt;=5,"OPORTUNO","MUITO BOM")))</f>
        <v/>
      </c>
      <c r="M3647" s="3" t="n">
        <v>0</v>
      </c>
      <c r="N3647" s="3" t="n">
        <v>99.26000000000001</v>
      </c>
      <c r="O3647" s="12" t="n">
        <v>29.76653696498055</v>
      </c>
    </row>
    <row r="3648">
      <c r="A3648" s="10" t="n">
        <v>46115</v>
      </c>
      <c r="B3648" t="inlineStr">
        <is>
          <t>Francilene Ferreira de Jesus</t>
        </is>
      </c>
      <c r="C3648" s="1" t="inlineStr">
        <is>
          <t>Técnico II</t>
        </is>
      </c>
      <c r="D3648" s="3" t="n">
        <v>0</v>
      </c>
      <c r="E3648" s="3" t="n">
        <v>0</v>
      </c>
      <c r="F3648" s="3" t="n">
        <v>0</v>
      </c>
      <c r="G3648" s="3" t="n">
        <v>0</v>
      </c>
      <c r="H3648" s="3" t="n">
        <v>0</v>
      </c>
      <c r="I3648" s="3" t="n">
        <v>0</v>
      </c>
      <c r="J3648" s="3" t="n">
        <v>0</v>
      </c>
      <c r="K3648" s="3" t="n">
        <v>0</v>
      </c>
      <c r="L3648" s="3">
        <f>IF(K3648&lt;-5,"CRÍTICO",IF(K3648&lt;0,"ATENÇÃO",IF(K3648&lt;=5,"OPORTUNO","MUITO BOM")))</f>
        <v/>
      </c>
      <c r="M3648" s="3" t="n">
        <v>0</v>
      </c>
      <c r="N3648" s="3" t="n">
        <v>99.19</v>
      </c>
      <c r="O3648" s="12" t="n">
        <v>29.46236559139785</v>
      </c>
    </row>
    <row r="3649">
      <c r="A3649" s="7" t="n">
        <v>46161</v>
      </c>
      <c r="B3649" s="8" t="inlineStr">
        <is>
          <t>Lucas Luiz Romero</t>
        </is>
      </c>
      <c r="C3649" s="1" t="inlineStr">
        <is>
          <t>Técnico III</t>
        </is>
      </c>
      <c r="D3649" s="3" t="n">
        <v>22</v>
      </c>
      <c r="E3649" s="3" t="n">
        <v>20</v>
      </c>
      <c r="F3649" s="3" t="n">
        <v>21.49</v>
      </c>
      <c r="G3649" s="3" t="n">
        <v>0</v>
      </c>
      <c r="H3649" s="3" t="n">
        <v>0</v>
      </c>
      <c r="I3649" s="3" t="n">
        <v>20</v>
      </c>
      <c r="J3649" s="3" t="n">
        <v>29</v>
      </c>
      <c r="K3649" s="3" t="n">
        <v>-9</v>
      </c>
      <c r="L3649" s="3" t="inlineStr">
        <is>
          <t>CRÍTICO</t>
        </is>
      </c>
      <c r="M3649" s="3" t="n">
        <v>18</v>
      </c>
      <c r="N3649" s="3" t="n">
        <v>100</v>
      </c>
      <c r="O3649" s="12" t="n">
        <v>15.78947368421053</v>
      </c>
    </row>
    <row r="3650">
      <c r="A3650" s="10" t="n">
        <v>46115</v>
      </c>
      <c r="B3650" t="inlineStr">
        <is>
          <t>Isabella Borges de Oliveira</t>
        </is>
      </c>
      <c r="C3650" s="1" t="inlineStr">
        <is>
          <t>Técnico II</t>
        </is>
      </c>
      <c r="D3650" s="3" t="n">
        <v>0</v>
      </c>
      <c r="E3650" s="3" t="n">
        <v>0</v>
      </c>
      <c r="F3650" s="3" t="n">
        <v>0</v>
      </c>
      <c r="G3650" s="3" t="n">
        <v>0</v>
      </c>
      <c r="H3650" s="3" t="n">
        <v>0</v>
      </c>
      <c r="I3650" s="3" t="n">
        <v>0</v>
      </c>
      <c r="J3650" s="3" t="n">
        <v>0</v>
      </c>
      <c r="K3650" s="3" t="n">
        <v>0</v>
      </c>
      <c r="L3650" s="3">
        <f>IF(K3650&lt;-5,"CRÍTICO",IF(K3650&lt;0,"ATENÇÃO",IF(K3650&lt;=5,"OPORTUNO","MUITO BOM")))</f>
        <v/>
      </c>
      <c r="M3650" s="3" t="n">
        <v>0</v>
      </c>
      <c r="N3650" s="3" t="n">
        <v>100</v>
      </c>
      <c r="O3650" s="12" t="n">
        <v>28.92156862745098</v>
      </c>
    </row>
    <row r="3651">
      <c r="A3651" s="10" t="n">
        <v>46115</v>
      </c>
      <c r="B3651" t="inlineStr">
        <is>
          <t>Janaina Lima dos Reis Urany</t>
        </is>
      </c>
      <c r="C3651" s="1" t="inlineStr">
        <is>
          <t>Técnico III</t>
        </is>
      </c>
      <c r="D3651" s="3" t="n">
        <v>0</v>
      </c>
      <c r="E3651" s="3" t="n">
        <v>0</v>
      </c>
      <c r="F3651" s="3" t="n">
        <v>0</v>
      </c>
      <c r="G3651" s="3" t="n">
        <v>0</v>
      </c>
      <c r="H3651" s="3" t="n">
        <v>0</v>
      </c>
      <c r="I3651" s="3" t="n">
        <v>0</v>
      </c>
      <c r="J3651" s="3" t="n">
        <v>0</v>
      </c>
      <c r="K3651" s="3" t="n">
        <v>0</v>
      </c>
      <c r="L3651" s="3">
        <f>IF(K3651&lt;-5,"CRÍTICO",IF(K3651&lt;0,"ATENÇÃO",IF(K3651&lt;=5,"OPORTUNO","MUITO BOM")))</f>
        <v/>
      </c>
      <c r="M3651" s="3" t="n">
        <v>0</v>
      </c>
      <c r="N3651" s="3" t="n">
        <v>99.56999999999999</v>
      </c>
      <c r="O3651" s="12" t="n">
        <v>30.63583815028902</v>
      </c>
    </row>
    <row r="3652">
      <c r="A3652" s="10" t="n">
        <v>46115</v>
      </c>
      <c r="B3652" t="inlineStr">
        <is>
          <t>Jaqueline Evangelista da Silva Martins</t>
        </is>
      </c>
      <c r="C3652" s="1" t="inlineStr">
        <is>
          <t>Técnico III</t>
        </is>
      </c>
      <c r="D3652" s="3" t="n">
        <v>0</v>
      </c>
      <c r="E3652" s="3" t="n">
        <v>0</v>
      </c>
      <c r="F3652" s="3" t="n">
        <v>0</v>
      </c>
      <c r="G3652" s="3" t="n">
        <v>0</v>
      </c>
      <c r="H3652" s="3" t="n">
        <v>0</v>
      </c>
      <c r="I3652" s="3" t="n">
        <v>0</v>
      </c>
      <c r="J3652" s="3" t="n">
        <v>0</v>
      </c>
      <c r="K3652" s="3" t="n">
        <v>0</v>
      </c>
      <c r="L3652" s="3">
        <f>IF(K3652&lt;-5,"CRÍTICO",IF(K3652&lt;0,"ATENÇÃO",IF(K3652&lt;=5,"OPORTUNO","MUITO BOM")))</f>
        <v/>
      </c>
      <c r="M3652" s="3" t="n">
        <v>0</v>
      </c>
      <c r="N3652" s="3" t="n">
        <v>95.65000000000001</v>
      </c>
      <c r="O3652" s="12" t="n">
        <v>32.43243243243244</v>
      </c>
    </row>
    <row r="3653">
      <c r="A3653" s="10" t="n">
        <v>46115</v>
      </c>
      <c r="B3653" t="inlineStr">
        <is>
          <t>Jessica Faria da Silveira</t>
        </is>
      </c>
      <c r="C3653" s="1" t="inlineStr">
        <is>
          <t>Técnico II</t>
        </is>
      </c>
      <c r="D3653" s="3" t="n">
        <v>0</v>
      </c>
      <c r="E3653" s="3" t="n">
        <v>0</v>
      </c>
      <c r="F3653" s="3" t="n">
        <v>0</v>
      </c>
      <c r="G3653" s="3" t="n">
        <v>0</v>
      </c>
      <c r="H3653" s="3" t="n">
        <v>0</v>
      </c>
      <c r="I3653" s="3" t="n">
        <v>0</v>
      </c>
      <c r="J3653" s="3" t="n">
        <v>0</v>
      </c>
      <c r="K3653" s="3" t="n">
        <v>0</v>
      </c>
      <c r="L3653" s="3">
        <f>IF(K3653&lt;-5,"CRÍTICO",IF(K3653&lt;0,"ATENÇÃO",IF(K3653&lt;=5,"OPORTUNO","MUITO BOM")))</f>
        <v/>
      </c>
      <c r="M3653" s="3" t="n">
        <v>0</v>
      </c>
      <c r="N3653" s="3" t="n">
        <v>98.81</v>
      </c>
      <c r="O3653" s="12" t="n">
        <v>26.25698324022346</v>
      </c>
    </row>
    <row r="3654">
      <c r="A3654" s="10" t="n">
        <v>46115</v>
      </c>
      <c r="B3654" t="inlineStr">
        <is>
          <t>Jéssica Fé Moura</t>
        </is>
      </c>
      <c r="C3654" s="1" t="inlineStr">
        <is>
          <t>Técnico III</t>
        </is>
      </c>
      <c r="D3654" s="3" t="n">
        <v>0</v>
      </c>
      <c r="E3654" s="3" t="n">
        <v>0</v>
      </c>
      <c r="F3654" s="3" t="n">
        <v>0</v>
      </c>
      <c r="G3654" s="3" t="n">
        <v>0</v>
      </c>
      <c r="H3654" s="3" t="n">
        <v>0</v>
      </c>
      <c r="I3654" s="3" t="n">
        <v>0</v>
      </c>
      <c r="J3654" s="3" t="n">
        <v>0</v>
      </c>
      <c r="K3654" s="3" t="n">
        <v>0</v>
      </c>
      <c r="L3654" s="3">
        <f>IF(K3654&lt;-5,"CRÍTICO",IF(K3654&lt;0,"ATENÇÃO",IF(K3654&lt;=5,"OPORTUNO","MUITO BOM")))</f>
        <v/>
      </c>
      <c r="M3654" s="3" t="n">
        <v>0</v>
      </c>
      <c r="N3654" s="3" t="n">
        <v>0</v>
      </c>
      <c r="O3654" s="12" t="n">
        <v>0</v>
      </c>
    </row>
    <row r="3655">
      <c r="A3655" s="10" t="n">
        <v>46115</v>
      </c>
      <c r="B3655" t="inlineStr">
        <is>
          <t>Karina Gonçalves Martins</t>
        </is>
      </c>
      <c r="C3655" s="1" t="inlineStr">
        <is>
          <t>JR</t>
        </is>
      </c>
      <c r="D3655" s="3" t="n">
        <v>0</v>
      </c>
      <c r="E3655" s="3" t="n">
        <v>0</v>
      </c>
      <c r="F3655" s="3" t="n">
        <v>0</v>
      </c>
      <c r="G3655" s="3" t="n">
        <v>0</v>
      </c>
      <c r="H3655" s="3" t="n">
        <v>0</v>
      </c>
      <c r="I3655" s="3" t="n">
        <v>0</v>
      </c>
      <c r="J3655" s="3" t="n">
        <v>0</v>
      </c>
      <c r="K3655" s="3" t="n">
        <v>0</v>
      </c>
      <c r="L3655" s="3">
        <f>IF(K3655&lt;-5,"CRÍTICO",IF(K3655&lt;0,"ATENÇÃO",IF(K3655&lt;=5,"OPORTUNO","MUITO BOM")))</f>
        <v/>
      </c>
      <c r="M3655" s="3" t="n">
        <v>0</v>
      </c>
      <c r="N3655" s="3" t="n">
        <v>97.17</v>
      </c>
      <c r="O3655" s="12" t="n">
        <v>28.81844380403458</v>
      </c>
    </row>
    <row r="3656">
      <c r="A3656" s="10" t="n">
        <v>46115</v>
      </c>
      <c r="B3656" t="inlineStr">
        <is>
          <t>Kerollen Cristielly de Jesus Siqueira</t>
        </is>
      </c>
      <c r="C3656" s="1" t="inlineStr">
        <is>
          <t>Técnico III</t>
        </is>
      </c>
      <c r="D3656" s="3" t="n">
        <v>0</v>
      </c>
      <c r="E3656" s="3" t="n">
        <v>0</v>
      </c>
      <c r="F3656" s="3" t="n">
        <v>0</v>
      </c>
      <c r="G3656" s="3" t="n">
        <v>0</v>
      </c>
      <c r="H3656" s="3" t="n">
        <v>0</v>
      </c>
      <c r="I3656" s="3" t="n">
        <v>0</v>
      </c>
      <c r="J3656" s="3" t="n">
        <v>0</v>
      </c>
      <c r="K3656" s="3" t="n">
        <v>0</v>
      </c>
      <c r="L3656" s="3">
        <f>IF(K3656&lt;-5,"CRÍTICO",IF(K3656&lt;0,"ATENÇÃO",IF(K3656&lt;=5,"OPORTUNO","MUITO BOM")))</f>
        <v/>
      </c>
      <c r="M3656" s="3" t="n">
        <v>0</v>
      </c>
      <c r="N3656" s="3" t="n">
        <v>96.81</v>
      </c>
      <c r="O3656" s="12" t="n">
        <v>48.01864801864802</v>
      </c>
    </row>
    <row r="3657">
      <c r="A3657" s="10" t="n">
        <v>46115</v>
      </c>
      <c r="B3657" t="inlineStr">
        <is>
          <t>Leandro de Souza Silva</t>
        </is>
      </c>
      <c r="C3657" s="1" t="inlineStr">
        <is>
          <t>JR</t>
        </is>
      </c>
      <c r="D3657" s="3" t="n">
        <v>0</v>
      </c>
      <c r="E3657" s="3" t="n">
        <v>0</v>
      </c>
      <c r="F3657" s="3" t="n">
        <v>0</v>
      </c>
      <c r="G3657" s="3" t="n">
        <v>0</v>
      </c>
      <c r="H3657" s="3" t="n">
        <v>0</v>
      </c>
      <c r="I3657" s="3" t="n">
        <v>0</v>
      </c>
      <c r="J3657" s="3" t="n">
        <v>0</v>
      </c>
      <c r="K3657" s="3" t="n">
        <v>0</v>
      </c>
      <c r="L3657" s="3">
        <f>IF(K3657&lt;-5,"CRÍTICO",IF(K3657&lt;0,"ATENÇÃO",IF(K3657&lt;=5,"OPORTUNO","MUITO BOM")))</f>
        <v/>
      </c>
      <c r="M3657" s="3" t="n">
        <v>0</v>
      </c>
      <c r="N3657" s="3" t="n">
        <v>98.15000000000001</v>
      </c>
      <c r="O3657" s="12" t="n">
        <v>27.1551724137931</v>
      </c>
    </row>
    <row r="3658">
      <c r="A3658" s="10" t="n">
        <v>46115</v>
      </c>
      <c r="B3658" t="inlineStr">
        <is>
          <t>Leandro Oliveira de Sousa</t>
        </is>
      </c>
      <c r="C3658" s="1" t="inlineStr">
        <is>
          <t>Técnico III</t>
        </is>
      </c>
      <c r="D3658" s="3" t="n">
        <v>0</v>
      </c>
      <c r="E3658" s="3" t="n">
        <v>0</v>
      </c>
      <c r="F3658" s="3" t="n">
        <v>0</v>
      </c>
      <c r="G3658" s="3" t="n">
        <v>0</v>
      </c>
      <c r="H3658" s="3" t="n">
        <v>0</v>
      </c>
      <c r="I3658" s="3" t="n">
        <v>0</v>
      </c>
      <c r="J3658" s="3" t="n">
        <v>0</v>
      </c>
      <c r="K3658" s="3" t="n">
        <v>0</v>
      </c>
      <c r="L3658" s="3">
        <f>IF(K3658&lt;-5,"CRÍTICO",IF(K3658&lt;0,"ATENÇÃO",IF(K3658&lt;=5,"OPORTUNO","MUITO BOM")))</f>
        <v/>
      </c>
      <c r="M3658" s="3" t="n">
        <v>0</v>
      </c>
      <c r="N3658" s="3" t="n">
        <v>99.15000000000001</v>
      </c>
      <c r="O3658" s="12" t="n">
        <v>27.58620689655172</v>
      </c>
    </row>
    <row r="3659">
      <c r="A3659" s="10" t="n">
        <v>46115</v>
      </c>
      <c r="B3659" t="inlineStr">
        <is>
          <t>Lizandra Gomes Duarte</t>
        </is>
      </c>
      <c r="C3659" s="1" t="inlineStr">
        <is>
          <t>Técnico II</t>
        </is>
      </c>
      <c r="D3659" s="3" t="n">
        <v>0</v>
      </c>
      <c r="E3659" s="3" t="n">
        <v>0</v>
      </c>
      <c r="F3659" s="3" t="n">
        <v>0</v>
      </c>
      <c r="G3659" s="3" t="n">
        <v>0</v>
      </c>
      <c r="H3659" s="3" t="n">
        <v>0</v>
      </c>
      <c r="I3659" s="3" t="n">
        <v>0</v>
      </c>
      <c r="J3659" s="3" t="n">
        <v>0</v>
      </c>
      <c r="K3659" s="3" t="n">
        <v>0</v>
      </c>
      <c r="L3659" s="3">
        <f>IF(K3659&lt;-5,"CRÍTICO",IF(K3659&lt;0,"ATENÇÃO",IF(K3659&lt;=5,"OPORTUNO","MUITO BOM")))</f>
        <v/>
      </c>
      <c r="M3659" s="3" t="n">
        <v>10</v>
      </c>
      <c r="N3659" s="3" t="n">
        <v>99.17</v>
      </c>
      <c r="O3659" s="12" t="n">
        <v>29.75206611570248</v>
      </c>
    </row>
    <row r="3660">
      <c r="A3660" s="10" t="n">
        <v>46115</v>
      </c>
      <c r="B3660" t="inlineStr">
        <is>
          <t>Lorena Dias de Araujo</t>
        </is>
      </c>
      <c r="C3660" s="1" t="inlineStr">
        <is>
          <t>Técnico II</t>
        </is>
      </c>
      <c r="D3660" s="3" t="n">
        <v>0</v>
      </c>
      <c r="E3660" s="3" t="n">
        <v>0</v>
      </c>
      <c r="F3660" s="3" t="n">
        <v>0</v>
      </c>
      <c r="G3660" s="3" t="n">
        <v>0</v>
      </c>
      <c r="H3660" s="3" t="n">
        <v>0</v>
      </c>
      <c r="I3660" s="3" t="n">
        <v>0</v>
      </c>
      <c r="J3660" s="3" t="n">
        <v>0</v>
      </c>
      <c r="K3660" s="3" t="n">
        <v>0</v>
      </c>
      <c r="L3660" s="3">
        <f>IF(K3660&lt;-5,"CRÍTICO",IF(K3660&lt;0,"ATENÇÃO",IF(K3660&lt;=5,"OPORTUNO","MUITO BOM")))</f>
        <v/>
      </c>
      <c r="M3660" s="3" t="n">
        <v>0</v>
      </c>
      <c r="N3660" s="3" t="n">
        <v>98.73</v>
      </c>
      <c r="O3660" s="12" t="n">
        <v>28.96174863387978</v>
      </c>
    </row>
    <row r="3661">
      <c r="A3661" s="10" t="n">
        <v>46115</v>
      </c>
      <c r="B3661" t="inlineStr">
        <is>
          <t>Lucas Luiz Romero</t>
        </is>
      </c>
      <c r="C3661" s="1" t="inlineStr">
        <is>
          <t>Técnico III</t>
        </is>
      </c>
      <c r="D3661" s="3" t="n">
        <v>0</v>
      </c>
      <c r="E3661" s="3" t="n">
        <v>0</v>
      </c>
      <c r="F3661" s="3" t="n">
        <v>0</v>
      </c>
      <c r="G3661" s="3" t="n">
        <v>0</v>
      </c>
      <c r="H3661" s="3" t="n">
        <v>0</v>
      </c>
      <c r="I3661" s="3" t="n">
        <v>0</v>
      </c>
      <c r="J3661" s="3" t="n">
        <v>0</v>
      </c>
      <c r="K3661" s="3" t="n">
        <v>0</v>
      </c>
      <c r="L3661" s="3">
        <f>IF(K3661&lt;-5,"CRÍTICO",IF(K3661&lt;0,"ATENÇÃO",IF(K3661&lt;=5,"OPORTUNO","MUITO BOM")))</f>
        <v/>
      </c>
      <c r="M3661" s="3" t="n">
        <v>0</v>
      </c>
      <c r="N3661" s="3" t="n">
        <v>88.68000000000001</v>
      </c>
      <c r="O3661" s="12" t="n">
        <v>22.03389830508474</v>
      </c>
    </row>
    <row r="3662">
      <c r="A3662" s="10" t="n">
        <v>46115</v>
      </c>
      <c r="B3662" t="inlineStr">
        <is>
          <t>Luiz Fernando de Carvalho Junior</t>
        </is>
      </c>
      <c r="C3662" s="1" t="inlineStr">
        <is>
          <t>Técnico I</t>
        </is>
      </c>
      <c r="D3662" s="3" t="n">
        <v>0</v>
      </c>
      <c r="E3662" s="3" t="n">
        <v>0</v>
      </c>
      <c r="F3662" s="3" t="n">
        <v>0</v>
      </c>
      <c r="G3662" s="3" t="n">
        <v>0</v>
      </c>
      <c r="H3662" s="3" t="n">
        <v>0</v>
      </c>
      <c r="I3662" s="3" t="n">
        <v>0</v>
      </c>
      <c r="J3662" s="3" t="n">
        <v>0</v>
      </c>
      <c r="K3662" s="3" t="n">
        <v>0</v>
      </c>
      <c r="L3662" s="3">
        <f>IF(K3662&lt;-5,"CRÍTICO",IF(K3662&lt;0,"ATENÇÃO",IF(K3662&lt;=5,"OPORTUNO","MUITO BOM")))</f>
        <v/>
      </c>
      <c r="M3662" s="3" t="n">
        <v>0</v>
      </c>
      <c r="N3662" s="3" t="n">
        <v>97.37</v>
      </c>
      <c r="O3662" s="12" t="n">
        <v>25.76530612244898</v>
      </c>
    </row>
    <row r="3663">
      <c r="A3663" s="10" t="n">
        <v>46115</v>
      </c>
      <c r="B3663" t="inlineStr">
        <is>
          <t>Maria Eduarda Sousa Costa</t>
        </is>
      </c>
      <c r="C3663" s="1" t="inlineStr">
        <is>
          <t>Estágio</t>
        </is>
      </c>
      <c r="D3663" s="3" t="n">
        <v>0</v>
      </c>
      <c r="E3663" s="3" t="n">
        <v>0</v>
      </c>
      <c r="F3663" s="3" t="n">
        <v>0</v>
      </c>
      <c r="G3663" s="3" t="n">
        <v>0</v>
      </c>
      <c r="H3663" s="3" t="n">
        <v>0</v>
      </c>
      <c r="I3663" s="3" t="n">
        <v>0</v>
      </c>
      <c r="J3663" s="3" t="n">
        <v>0</v>
      </c>
      <c r="K3663" s="3" t="n">
        <v>0</v>
      </c>
      <c r="L3663" s="3">
        <f>IF(K3663&lt;-5,"CRÍTICO",IF(K3663&lt;0,"ATENÇÃO",IF(K3663&lt;=5,"OPORTUNO","MUITO BOM")))</f>
        <v/>
      </c>
      <c r="M3663" s="3" t="n">
        <v>0</v>
      </c>
      <c r="N3663" s="3" t="n">
        <v>100</v>
      </c>
      <c r="O3663" s="12" t="n">
        <v>25</v>
      </c>
    </row>
    <row r="3664">
      <c r="A3664" s="10" t="n">
        <v>46135</v>
      </c>
      <c r="B3664" t="inlineStr">
        <is>
          <t>Matheus Farias De Souza</t>
        </is>
      </c>
      <c r="C3664" s="1" t="inlineStr">
        <is>
          <t>Técnico III</t>
        </is>
      </c>
      <c r="D3664" s="3" t="n">
        <v>19</v>
      </c>
      <c r="E3664" s="3" t="n">
        <v>17</v>
      </c>
      <c r="F3664" s="3" t="n">
        <v>12.26</v>
      </c>
      <c r="G3664" s="3" t="n">
        <v>0</v>
      </c>
      <c r="H3664" s="3" t="n">
        <v>0</v>
      </c>
      <c r="I3664" s="3">
        <f>E3664+G3664+H3664</f>
        <v/>
      </c>
      <c r="J3664" s="3">
        <f>ROUND(MIN(IF(C3664="Técnico III",35,IF(C3664="Técnico II",28,IF(C3664="Técnico I",23,IF(C3664="JR",20,IF(C3664="Estágio",10,0))))),IF(C3664="Técnico III",SUMIFS($D:$D,$A:$A,$A3664,$B:$B,"&lt;&gt;Patrícia Karla de Sousa Araújo",$B:$B,"&lt;&gt;Lorena Dias de Araujo",$B:$B,"&lt;&gt;Lucas Luiz Romero")*(35/1083),IF(C3664="Técnico II",SUMIFS($D:$D,$A:$A,$A3664,$B:$B,"&lt;&gt;Patrícia Karla de Sousa Araújo",$B:$B,"&lt;&gt;Lorena Dias de Araujo",$B:$B,"&lt;&gt;Lucas Luiz Romero")*(28/1083),IF(C3664="Técnico I",SUMIFS($D:$D,$A:$A,$A3664,$B:$B,"&lt;&gt;Patrícia Karla de Sousa Araújo",$B:$B,"&lt;&gt;Lorena Dias de Araujo",$B:$B,"&lt;&gt;Lucas Luiz Romero")*(23/1083),IF(C3664="JR",SUMIFS($D:$D,$A:$A,$A3664,$B:$B,"&lt;&gt;Patrícia Karla de Sousa Araújo",$B:$B,"&lt;&gt;Lorena Dias de Araujo",$B:$B,"&lt;&gt;Lucas Luiz Romero")*(20/1083),IF(C3664="Estágio",SUMIFS($D:$D,$A:$A,$A3664,$B:$B,"&lt;&gt;Patrícia Karla de Sousa Araújo",$B:$B,"&lt;&gt;Lorena Dias de Araujo",$B:$B,"&lt;&gt;Lucas Luiz Romero")*(10/1083),0)))))),0)</f>
        <v/>
      </c>
      <c r="K3664" s="3">
        <f>I3664-J3664</f>
        <v/>
      </c>
      <c r="L3664" s="3">
        <f>IF(K3664&lt;-5,"CRÍTICO",IF(K3664&lt;0,"ATENÇÃO",IF(K3664&lt;=5,"OPORTUNO","MUITO BOM")))</f>
        <v/>
      </c>
      <c r="M3664" s="3" t="n">
        <v>26</v>
      </c>
      <c r="N3664" s="3" t="n">
        <v>100</v>
      </c>
      <c r="O3664" s="12" t="n">
        <v>23.9870340356564</v>
      </c>
    </row>
    <row r="3665">
      <c r="A3665" s="10" t="n">
        <v>46115</v>
      </c>
      <c r="B3665" t="inlineStr">
        <is>
          <t>Maysa Victoria Dias Moura</t>
        </is>
      </c>
      <c r="C3665" s="1" t="inlineStr">
        <is>
          <t>Técnico III</t>
        </is>
      </c>
      <c r="D3665" s="3" t="n">
        <v>0</v>
      </c>
      <c r="E3665" s="3" t="n">
        <v>0</v>
      </c>
      <c r="F3665" s="3" t="n">
        <v>0</v>
      </c>
      <c r="G3665" s="3" t="n">
        <v>0</v>
      </c>
      <c r="H3665" s="3" t="n">
        <v>0</v>
      </c>
      <c r="I3665" s="3" t="n">
        <v>0</v>
      </c>
      <c r="J3665" s="3" t="n">
        <v>0</v>
      </c>
      <c r="K3665" s="3" t="n">
        <v>0</v>
      </c>
      <c r="L3665" s="3">
        <f>IF(K3665&lt;-5,"CRÍTICO",IF(K3665&lt;0,"ATENÇÃO",IF(K3665&lt;=5,"OPORTUNO","MUITO BOM")))</f>
        <v/>
      </c>
      <c r="M3665" s="3" t="n">
        <v>0</v>
      </c>
      <c r="N3665" s="3" t="n">
        <v>95.48999999999999</v>
      </c>
      <c r="O3665" s="12" t="n">
        <v>28.37022132796781</v>
      </c>
    </row>
    <row r="3666">
      <c r="A3666" s="7" t="n">
        <v>46161</v>
      </c>
      <c r="B3666" s="8" t="inlineStr">
        <is>
          <t>Maysa Victoria Dias Moura</t>
        </is>
      </c>
      <c r="C3666" s="1" t="inlineStr">
        <is>
          <t>Técnico III</t>
        </is>
      </c>
      <c r="D3666" s="3" t="n">
        <v>35</v>
      </c>
      <c r="E3666" s="3" t="n">
        <v>31</v>
      </c>
      <c r="F3666" s="3" t="n">
        <v>10.43</v>
      </c>
      <c r="G3666" s="3" t="n">
        <v>4</v>
      </c>
      <c r="H3666" s="3" t="n">
        <v>0</v>
      </c>
      <c r="I3666" s="3" t="n">
        <v>35</v>
      </c>
      <c r="J3666" s="3" t="n">
        <v>29</v>
      </c>
      <c r="K3666" s="3" t="n">
        <v>6</v>
      </c>
      <c r="L3666" s="3" t="inlineStr">
        <is>
          <t>EXCELENTE</t>
        </is>
      </c>
      <c r="M3666" s="3" t="n">
        <v>30</v>
      </c>
      <c r="N3666" s="3" t="n">
        <v>96.38</v>
      </c>
      <c r="O3666" s="12" t="n">
        <v>23.1981981981982</v>
      </c>
    </row>
    <row r="3667">
      <c r="A3667" s="10" t="n">
        <v>46115</v>
      </c>
      <c r="B3667" t="inlineStr">
        <is>
          <t>Milena Sales</t>
        </is>
      </c>
      <c r="C3667" s="1" t="inlineStr">
        <is>
          <t>JR</t>
        </is>
      </c>
      <c r="D3667" s="3" t="n">
        <v>0</v>
      </c>
      <c r="E3667" s="3" t="n">
        <v>0</v>
      </c>
      <c r="F3667" s="3" t="n">
        <v>0</v>
      </c>
      <c r="G3667" s="3" t="n">
        <v>0</v>
      </c>
      <c r="H3667" s="3" t="n">
        <v>0</v>
      </c>
      <c r="I3667" s="3" t="n">
        <v>0</v>
      </c>
      <c r="J3667" s="3" t="n">
        <v>0</v>
      </c>
      <c r="K3667" s="3" t="n">
        <v>0</v>
      </c>
      <c r="L3667" s="3">
        <f>IF(K3667&lt;-5,"CRÍTICO",IF(K3667&lt;0,"ATENÇÃO",IF(K3667&lt;=5,"OPORTUNO","MUITO BOM")))</f>
        <v/>
      </c>
      <c r="M3667" s="3" t="n">
        <v>0</v>
      </c>
      <c r="N3667" s="3" t="n">
        <v>96.15000000000001</v>
      </c>
      <c r="O3667" s="12" t="n">
        <v>24.04580152671756</v>
      </c>
    </row>
    <row r="3668">
      <c r="A3668" s="10" t="n">
        <v>46115</v>
      </c>
      <c r="B3668" t="inlineStr">
        <is>
          <t>Patrícia Karla de Sousa Araújo</t>
        </is>
      </c>
      <c r="C3668" s="1" t="inlineStr">
        <is>
          <t>Técnico II</t>
        </is>
      </c>
      <c r="D3668" s="3" t="n">
        <v>0</v>
      </c>
      <c r="E3668" s="3" t="n">
        <v>0</v>
      </c>
      <c r="F3668" s="3" t="n">
        <v>0</v>
      </c>
      <c r="G3668" s="3" t="n">
        <v>0</v>
      </c>
      <c r="H3668" s="3" t="n">
        <v>0</v>
      </c>
      <c r="I3668" s="3" t="n">
        <v>0</v>
      </c>
      <c r="J3668" s="3" t="n">
        <v>0</v>
      </c>
      <c r="K3668" s="3" t="n">
        <v>0</v>
      </c>
      <c r="L3668" s="3">
        <f>IF(K3668&lt;-5,"CRÍTICO",IF(K3668&lt;0,"ATENÇÃO",IF(K3668&lt;=5,"OPORTUNO","MUITO BOM")))</f>
        <v/>
      </c>
      <c r="M3668" s="3" t="n">
        <v>0</v>
      </c>
      <c r="N3668" s="3" t="n">
        <v>99.02</v>
      </c>
      <c r="O3668" s="12" t="n">
        <v>34.7972972972973</v>
      </c>
    </row>
    <row r="3669">
      <c r="A3669" s="10" t="n">
        <v>46115</v>
      </c>
      <c r="B3669" t="inlineStr">
        <is>
          <t>Paulo Ricardo Santos</t>
        </is>
      </c>
      <c r="C3669" s="1" t="inlineStr">
        <is>
          <t>JR</t>
        </is>
      </c>
      <c r="D3669" s="3" t="n">
        <v>0</v>
      </c>
      <c r="E3669" s="3" t="n">
        <v>0</v>
      </c>
      <c r="F3669" s="3" t="n">
        <v>0</v>
      </c>
      <c r="G3669" s="3" t="n">
        <v>0</v>
      </c>
      <c r="H3669" s="3" t="n">
        <v>0</v>
      </c>
      <c r="I3669" s="3" t="n">
        <v>0</v>
      </c>
      <c r="J3669" s="3" t="n">
        <v>0</v>
      </c>
      <c r="K3669" s="3" t="n">
        <v>0</v>
      </c>
      <c r="L3669" s="3">
        <f>IF(K3669&lt;-5,"CRÍTICO",IF(K3669&lt;0,"ATENÇÃO",IF(K3669&lt;=5,"OPORTUNO","MUITO BOM")))</f>
        <v/>
      </c>
      <c r="M3669" s="3" t="n">
        <v>0</v>
      </c>
      <c r="N3669" s="3" t="n">
        <v>98.84</v>
      </c>
      <c r="O3669" s="12" t="n">
        <v>31.86813186813187</v>
      </c>
    </row>
    <row r="3670">
      <c r="A3670" s="10" t="n">
        <v>46115</v>
      </c>
      <c r="B3670" t="inlineStr">
        <is>
          <t>Pedro Luiz Mota Sousa</t>
        </is>
      </c>
      <c r="C3670" s="1" t="inlineStr">
        <is>
          <t>JR</t>
        </is>
      </c>
      <c r="D3670" s="3" t="n">
        <v>0</v>
      </c>
      <c r="E3670" s="3" t="n">
        <v>0</v>
      </c>
      <c r="F3670" s="3" t="n">
        <v>0</v>
      </c>
      <c r="G3670" s="3" t="n">
        <v>0</v>
      </c>
      <c r="H3670" s="3" t="n">
        <v>0</v>
      </c>
      <c r="I3670" s="3" t="n">
        <v>0</v>
      </c>
      <c r="J3670" s="3" t="n">
        <v>0</v>
      </c>
      <c r="K3670" s="3" t="n">
        <v>0</v>
      </c>
      <c r="L3670" s="3">
        <f>IF(K3670&lt;-5,"CRÍTICO",IF(K3670&lt;0,"ATENÇÃO",IF(K3670&lt;=5,"OPORTUNO","MUITO BOM")))</f>
        <v/>
      </c>
      <c r="M3670" s="3" t="n">
        <v>0</v>
      </c>
      <c r="N3670" s="3" t="n">
        <v>100</v>
      </c>
      <c r="O3670" s="12" t="n">
        <v>34.66666666666667</v>
      </c>
    </row>
    <row r="3671">
      <c r="A3671" s="7" t="n">
        <v>46161</v>
      </c>
      <c r="B3671" s="8" t="inlineStr">
        <is>
          <t>Rafael Gomes de Morais</t>
        </is>
      </c>
      <c r="C3671" s="1" t="inlineStr">
        <is>
          <t>Técnico III</t>
        </is>
      </c>
      <c r="D3671" s="3" t="n">
        <v>39</v>
      </c>
      <c r="E3671" s="3" t="n">
        <v>35</v>
      </c>
      <c r="F3671" s="3" t="n">
        <v>10.55</v>
      </c>
      <c r="G3671" s="3" t="n">
        <v>3</v>
      </c>
      <c r="H3671" s="3" t="n">
        <v>0</v>
      </c>
      <c r="I3671" s="3" t="n">
        <v>38</v>
      </c>
      <c r="J3671" s="3" t="n">
        <v>29</v>
      </c>
      <c r="K3671" s="3" t="n">
        <v>9</v>
      </c>
      <c r="L3671" s="3" t="inlineStr">
        <is>
          <t>EXCELENTE</t>
        </is>
      </c>
      <c r="M3671" s="3" t="n">
        <v>34</v>
      </c>
      <c r="N3671" s="3" t="n">
        <v>99.39</v>
      </c>
      <c r="O3671" s="12" t="n">
        <v>25.20325203252033</v>
      </c>
    </row>
    <row r="3672">
      <c r="A3672" s="10" t="n">
        <v>46115</v>
      </c>
      <c r="B3672" t="inlineStr">
        <is>
          <t>Raane Batista Matos</t>
        </is>
      </c>
      <c r="C3672" s="1" t="inlineStr">
        <is>
          <t>Técnico I</t>
        </is>
      </c>
      <c r="D3672" s="3" t="n">
        <v>0</v>
      </c>
      <c r="E3672" s="3" t="n">
        <v>0</v>
      </c>
      <c r="F3672" s="3" t="n">
        <v>0</v>
      </c>
      <c r="G3672" s="3" t="n">
        <v>0</v>
      </c>
      <c r="H3672" s="3" t="n">
        <v>0</v>
      </c>
      <c r="I3672" s="3" t="n">
        <v>0</v>
      </c>
      <c r="J3672" s="3" t="n">
        <v>0</v>
      </c>
      <c r="K3672" s="3" t="n">
        <v>0</v>
      </c>
      <c r="L3672" s="3">
        <f>IF(K3672&lt;-5,"CRÍTICO",IF(K3672&lt;0,"ATENÇÃO",IF(K3672&lt;=5,"OPORTUNO","MUITO BOM")))</f>
        <v/>
      </c>
      <c r="M3672" s="3" t="n">
        <v>0</v>
      </c>
      <c r="N3672" s="3" t="n">
        <v>98.31999999999999</v>
      </c>
      <c r="O3672" s="12" t="n">
        <v>26.85851318944844</v>
      </c>
    </row>
    <row r="3673">
      <c r="A3673" s="10" t="n">
        <v>46115</v>
      </c>
      <c r="B3673" t="inlineStr">
        <is>
          <t>Rafael Gomes de Morais</t>
        </is>
      </c>
      <c r="C3673" s="1" t="inlineStr">
        <is>
          <t>Técnico III</t>
        </is>
      </c>
      <c r="D3673" s="3" t="n">
        <v>0</v>
      </c>
      <c r="E3673" s="3" t="n">
        <v>0</v>
      </c>
      <c r="F3673" s="3" t="n">
        <v>0</v>
      </c>
      <c r="G3673" s="3" t="n">
        <v>0</v>
      </c>
      <c r="H3673" s="3" t="n">
        <v>0</v>
      </c>
      <c r="I3673" s="3" t="n">
        <v>0</v>
      </c>
      <c r="J3673" s="3" t="n">
        <v>0</v>
      </c>
      <c r="K3673" s="3" t="n">
        <v>0</v>
      </c>
      <c r="L3673" s="3">
        <f>IF(K3673&lt;-5,"CRÍTICO",IF(K3673&lt;0,"ATENÇÃO",IF(K3673&lt;=5,"OPORTUNO","MUITO BOM")))</f>
        <v/>
      </c>
      <c r="M3673" s="3" t="n">
        <v>0</v>
      </c>
      <c r="N3673" s="3" t="n">
        <v>100</v>
      </c>
      <c r="O3673" s="12" t="n">
        <v>31.13553113553114</v>
      </c>
    </row>
    <row r="3674">
      <c r="A3674" s="10" t="n">
        <v>46115</v>
      </c>
      <c r="B3674" t="inlineStr">
        <is>
          <t>Sara Maria Monteiro Lopes</t>
        </is>
      </c>
      <c r="C3674" s="1" t="inlineStr">
        <is>
          <t>Técnico I</t>
        </is>
      </c>
      <c r="D3674" s="3" t="n">
        <v>0</v>
      </c>
      <c r="E3674" s="3" t="n">
        <v>0</v>
      </c>
      <c r="F3674" s="3" t="n">
        <v>0</v>
      </c>
      <c r="G3674" s="3" t="n">
        <v>0</v>
      </c>
      <c r="H3674" s="3" t="n">
        <v>0</v>
      </c>
      <c r="I3674" s="3" t="n">
        <v>0</v>
      </c>
      <c r="J3674" s="3" t="n">
        <v>0</v>
      </c>
      <c r="K3674" s="3" t="n">
        <v>0</v>
      </c>
      <c r="L3674" s="3">
        <f>IF(K3674&lt;-5,"CRÍTICO",IF(K3674&lt;0,"ATENÇÃO",IF(K3674&lt;=5,"OPORTUNO","MUITO BOM")))</f>
        <v/>
      </c>
      <c r="M3674" s="3" t="n">
        <v>0</v>
      </c>
      <c r="N3674" s="3" t="n">
        <v>100</v>
      </c>
      <c r="O3674" s="12" t="n">
        <v>26.36986301369863</v>
      </c>
    </row>
    <row r="3675">
      <c r="A3675" s="10" t="n">
        <v>46115</v>
      </c>
      <c r="B3675" t="inlineStr">
        <is>
          <t>Sarah Steffanie de Lima Borges</t>
        </is>
      </c>
      <c r="C3675" s="1" t="inlineStr">
        <is>
          <t>Técnico III</t>
        </is>
      </c>
      <c r="D3675" s="3" t="n">
        <v>0</v>
      </c>
      <c r="E3675" s="3" t="n">
        <v>0</v>
      </c>
      <c r="F3675" s="3" t="n">
        <v>0</v>
      </c>
      <c r="G3675" s="3" t="n">
        <v>0</v>
      </c>
      <c r="H3675" s="3" t="n">
        <v>0</v>
      </c>
      <c r="I3675" s="3" t="n">
        <v>0</v>
      </c>
      <c r="J3675" s="3" t="n">
        <v>0</v>
      </c>
      <c r="K3675" s="3" t="n">
        <v>0</v>
      </c>
      <c r="L3675" s="3">
        <f>IF(K3675&lt;-5,"CRÍTICO",IF(K3675&lt;0,"ATENÇÃO",IF(K3675&lt;=5,"OPORTUNO","MUITO BOM")))</f>
        <v/>
      </c>
      <c r="M3675" s="3" t="n">
        <v>0</v>
      </c>
      <c r="N3675" s="3" t="n">
        <v>99.20999999999999</v>
      </c>
      <c r="O3675" s="12" t="n">
        <v>25.18891687657431</v>
      </c>
    </row>
    <row r="3676">
      <c r="A3676" s="10" t="n">
        <v>46118</v>
      </c>
      <c r="B3676" t="inlineStr">
        <is>
          <t>Alisson de Freitas Silva</t>
        </is>
      </c>
      <c r="C3676" s="1" t="inlineStr">
        <is>
          <t>Técnico II</t>
        </is>
      </c>
      <c r="D3676" s="3" t="n">
        <v>18</v>
      </c>
      <c r="E3676" s="3" t="n">
        <v>14</v>
      </c>
      <c r="F3676" s="3" t="n">
        <v>20.28</v>
      </c>
      <c r="G3676" s="3" t="n">
        <v>0</v>
      </c>
      <c r="H3676" s="3" t="n">
        <v>0</v>
      </c>
      <c r="I3676" s="3">
        <f>E3676+G3676+H3676</f>
        <v/>
      </c>
      <c r="J3676" s="3">
        <f>ROUND(MIN(IF(C3676="Técnico III",35,IF(C3676="Técnico II",28,IF(C3676="Técnico I",23,IF(C3676="JR",20,IF(C3676="Estágio",10,0))))),IF(C3676="Técnico III",SUMIFS($D:$D,$A:$A,$A3676,$B:$B,"&lt;&gt;Patrícia Karla de Sousa Araújo",$B:$B,"&lt;&gt;Lorena Dias de Araujo",$B:$B,"&lt;&gt;Lucas Luiz Romero")*(35/1083),IF(C3676="Técnico II",SUMIFS($D:$D,$A:$A,$A3676,$B:$B,"&lt;&gt;Patrícia Karla de Sousa Araújo",$B:$B,"&lt;&gt;Lorena Dias de Araujo",$B:$B,"&lt;&gt;Lucas Luiz Romero")*(28/1083),IF(C3676="Técnico I",SUMIFS($D:$D,$A:$A,$A3676,$B:$B,"&lt;&gt;Patrícia Karla de Sousa Araújo",$B:$B,"&lt;&gt;Lorena Dias de Araujo",$B:$B,"&lt;&gt;Lucas Luiz Romero")*(23/1083),IF(C3676="JR",SUMIFS($D:$D,$A:$A,$A3676,$B:$B,"&lt;&gt;Patrícia Karla de Sousa Araújo",$B:$B,"&lt;&gt;Lorena Dias de Araujo",$B:$B,"&lt;&gt;Lucas Luiz Romero")*(20/1083),IF(C3676="Estágio",SUMIFS($D:$D,$A:$A,$A3676,$B:$B,"&lt;&gt;Patrícia Karla de Sousa Araújo",$B:$B,"&lt;&gt;Lorena Dias de Araujo",$B:$B,"&lt;&gt;Lucas Luiz Romero")*(10/1083),0)))))),0)</f>
        <v/>
      </c>
      <c r="K3676" s="3">
        <f>I3676-J3676</f>
        <v/>
      </c>
      <c r="L3676" s="3">
        <f>IF(K3676&lt;-5,"CRÍTICO",IF(K3676&lt;0,"ATENÇÃO",IF(K3676&lt;=5,"OPORTUNO","MUITO BOM")))</f>
        <v/>
      </c>
      <c r="M3676" s="3" t="n">
        <v>14</v>
      </c>
      <c r="N3676" s="3" t="n">
        <v>100</v>
      </c>
      <c r="O3676" s="12" t="n">
        <v>32.76450511945392</v>
      </c>
    </row>
    <row r="3677">
      <c r="A3677" s="10" t="n">
        <v>46118</v>
      </c>
      <c r="B3677" t="inlineStr">
        <is>
          <t>Amanda Moura Ferreira</t>
        </is>
      </c>
      <c r="C3677" s="1" t="inlineStr">
        <is>
          <t>Técnico III</t>
        </is>
      </c>
      <c r="D3677" s="3" t="n">
        <v>0</v>
      </c>
      <c r="E3677" s="3" t="n">
        <v>0</v>
      </c>
      <c r="F3677" s="3" t="n">
        <v>0</v>
      </c>
      <c r="G3677" s="3" t="n">
        <v>0</v>
      </c>
      <c r="H3677" s="3" t="n">
        <v>0</v>
      </c>
      <c r="I3677" s="3" t="n">
        <v>0</v>
      </c>
      <c r="J3677" s="3" t="n">
        <v>0</v>
      </c>
      <c r="K3677" s="3" t="n">
        <v>0</v>
      </c>
      <c r="L3677" s="3">
        <f>IF(K3677&lt;-5,"CRÍTICO",IF(K3677&lt;0,"ATENÇÃO",IF(K3677&lt;=5,"OPORTUNO","MUITO BOM")))</f>
        <v/>
      </c>
      <c r="M3677" s="3" t="n">
        <v>32</v>
      </c>
      <c r="N3677" s="3" t="n">
        <v>98.66</v>
      </c>
      <c r="O3677" s="12" t="n">
        <v>35.41666666666667</v>
      </c>
    </row>
    <row r="3678">
      <c r="A3678" s="10" t="n">
        <v>46118</v>
      </c>
      <c r="B3678" t="inlineStr">
        <is>
          <t>Ana Karollyne Souza Faria</t>
        </is>
      </c>
      <c r="C3678" s="1" t="inlineStr">
        <is>
          <t>Técnico I</t>
        </is>
      </c>
      <c r="D3678" s="3" t="n">
        <v>29</v>
      </c>
      <c r="E3678" s="3" t="n">
        <v>25</v>
      </c>
      <c r="F3678" s="3" t="n">
        <v>17.36</v>
      </c>
      <c r="G3678" s="3" t="n">
        <v>0</v>
      </c>
      <c r="H3678" s="3" t="n">
        <v>0</v>
      </c>
      <c r="I3678" s="3">
        <f>E3678+G3678+H3678</f>
        <v/>
      </c>
      <c r="J3678" s="3">
        <f>ROUND(MIN(IF(C3678="Técnico III",35,IF(C3678="Técnico II",28,IF(C3678="Técnico I",23,IF(C3678="JR",20,IF(C3678="Estágio",10,0))))),IF(C3678="Técnico III",SUMIFS($D:$D,$A:$A,$A3678,$B:$B,"&lt;&gt;Patrícia Karla de Sousa Araújo",$B:$B,"&lt;&gt;Lorena Dias de Araujo",$B:$B,"&lt;&gt;Lucas Luiz Romero")*(35/1083),IF(C3678="Técnico II",SUMIFS($D:$D,$A:$A,$A3678,$B:$B,"&lt;&gt;Patrícia Karla de Sousa Araújo",$B:$B,"&lt;&gt;Lorena Dias de Araujo",$B:$B,"&lt;&gt;Lucas Luiz Romero")*(28/1083),IF(C3678="Técnico I",SUMIFS($D:$D,$A:$A,$A3678,$B:$B,"&lt;&gt;Patrícia Karla de Sousa Araújo",$B:$B,"&lt;&gt;Lorena Dias de Araujo",$B:$B,"&lt;&gt;Lucas Luiz Romero")*(23/1083),IF(C3678="JR",SUMIFS($D:$D,$A:$A,$A3678,$B:$B,"&lt;&gt;Patrícia Karla de Sousa Araújo",$B:$B,"&lt;&gt;Lorena Dias de Araujo",$B:$B,"&lt;&gt;Lucas Luiz Romero")*(20/1083),IF(C3678="Estágio",SUMIFS($D:$D,$A:$A,$A3678,$B:$B,"&lt;&gt;Patrícia Karla de Sousa Araújo",$B:$B,"&lt;&gt;Lorena Dias de Araujo",$B:$B,"&lt;&gt;Lucas Luiz Romero")*(10/1083),0)))))),0)</f>
        <v/>
      </c>
      <c r="K3678" s="3">
        <f>I3678-J3678</f>
        <v/>
      </c>
      <c r="L3678" s="3">
        <f>IF(K3678&lt;-5,"CRÍTICO",IF(K3678&lt;0,"ATENÇÃO",IF(K3678&lt;=5,"OPORTUNO","MUITO BOM")))</f>
        <v/>
      </c>
      <c r="M3678" s="3" t="n">
        <v>31</v>
      </c>
      <c r="N3678" s="3" t="n">
        <v>99.31999999999999</v>
      </c>
      <c r="O3678" s="12" t="n">
        <v>30.6483300589391</v>
      </c>
    </row>
    <row r="3679">
      <c r="A3679" s="10" t="n">
        <v>46118</v>
      </c>
      <c r="B3679" t="inlineStr">
        <is>
          <t>Ana Paula Da Luz Silva Aleixo</t>
        </is>
      </c>
      <c r="C3679" s="1" t="inlineStr">
        <is>
          <t>Técnico III</t>
        </is>
      </c>
      <c r="D3679" s="3" t="n">
        <v>49</v>
      </c>
      <c r="E3679" s="3" t="n">
        <v>41</v>
      </c>
      <c r="F3679" s="3" t="n">
        <v>12.04</v>
      </c>
      <c r="G3679" s="3" t="n">
        <v>0</v>
      </c>
      <c r="H3679" s="3" t="n">
        <v>0</v>
      </c>
      <c r="I3679" s="3">
        <f>E3679+G3679+H3679</f>
        <v/>
      </c>
      <c r="J3679" s="3">
        <f>ROUND(MIN(IF(C3679="Técnico III",35,IF(C3679="Técnico II",28,IF(C3679="Técnico I",23,IF(C3679="JR",20,IF(C3679="Estágio",10,0))))),IF(C3679="Técnico III",SUMIFS($D:$D,$A:$A,$A3679,$B:$B,"&lt;&gt;Patrícia Karla de Sousa Araújo",$B:$B,"&lt;&gt;Lorena Dias de Araujo",$B:$B,"&lt;&gt;Lucas Luiz Romero")*(35/1083),IF(C3679="Técnico II",SUMIFS($D:$D,$A:$A,$A3679,$B:$B,"&lt;&gt;Patrícia Karla de Sousa Araújo",$B:$B,"&lt;&gt;Lorena Dias de Araujo",$B:$B,"&lt;&gt;Lucas Luiz Romero")*(28/1083),IF(C3679="Técnico I",SUMIFS($D:$D,$A:$A,$A3679,$B:$B,"&lt;&gt;Patrícia Karla de Sousa Araújo",$B:$B,"&lt;&gt;Lorena Dias de Araujo",$B:$B,"&lt;&gt;Lucas Luiz Romero")*(23/1083),IF(C3679="JR",SUMIFS($D:$D,$A:$A,$A3679,$B:$B,"&lt;&gt;Patrícia Karla de Sousa Araújo",$B:$B,"&lt;&gt;Lorena Dias de Araujo",$B:$B,"&lt;&gt;Lucas Luiz Romero")*(20/1083),IF(C3679="Estágio",SUMIFS($D:$D,$A:$A,$A3679,$B:$B,"&lt;&gt;Patrícia Karla de Sousa Araújo",$B:$B,"&lt;&gt;Lorena Dias de Araujo",$B:$B,"&lt;&gt;Lucas Luiz Romero")*(10/1083),0)))))),0)</f>
        <v/>
      </c>
      <c r="K3679" s="3">
        <f>I3679-J3679</f>
        <v/>
      </c>
      <c r="L3679" s="3">
        <f>IF(K3679&lt;-5,"CRÍTICO",IF(K3679&lt;0,"ATENÇÃO",IF(K3679&lt;=5,"OPORTUNO","MUITO BOM")))</f>
        <v/>
      </c>
      <c r="M3679" s="3" t="n">
        <v>40</v>
      </c>
      <c r="N3679" s="3" t="n">
        <v>100</v>
      </c>
      <c r="O3679" s="12" t="n">
        <v>27.80373831775701</v>
      </c>
    </row>
    <row r="3680">
      <c r="A3680" s="10" t="n">
        <v>46118</v>
      </c>
      <c r="B3680" t="inlineStr">
        <is>
          <t>Anna Luiza Rezende Tavares</t>
        </is>
      </c>
      <c r="C3680" s="1" t="inlineStr">
        <is>
          <t>Estágio</t>
        </is>
      </c>
      <c r="D3680" s="3" t="n">
        <v>25</v>
      </c>
      <c r="E3680" s="3" t="n">
        <v>21</v>
      </c>
      <c r="F3680" s="3" t="n">
        <v>12.25</v>
      </c>
      <c r="G3680" s="3" t="n">
        <v>0</v>
      </c>
      <c r="H3680" s="3" t="n">
        <v>0</v>
      </c>
      <c r="I3680" s="3">
        <f>E3680+G3680+H3680</f>
        <v/>
      </c>
      <c r="J3680" s="3">
        <f>ROUND(MIN(IF(C3680="Técnico III",35,IF(C3680="Técnico II",28,IF(C3680="Técnico I",23,IF(C3680="JR",20,IF(C3680="Estágio",10,0))))),IF(C3680="Técnico III",SUMIFS($D:$D,$A:$A,$A3680,$B:$B,"&lt;&gt;Patrícia Karla de Sousa Araújo",$B:$B,"&lt;&gt;Lorena Dias de Araujo",$B:$B,"&lt;&gt;Lucas Luiz Romero")*(35/1083),IF(C3680="Técnico II",SUMIFS($D:$D,$A:$A,$A3680,$B:$B,"&lt;&gt;Patrícia Karla de Sousa Araújo",$B:$B,"&lt;&gt;Lorena Dias de Araujo",$B:$B,"&lt;&gt;Lucas Luiz Romero")*(28/1083),IF(C3680="Técnico I",SUMIFS($D:$D,$A:$A,$A3680,$B:$B,"&lt;&gt;Patrícia Karla de Sousa Araújo",$B:$B,"&lt;&gt;Lorena Dias de Araujo",$B:$B,"&lt;&gt;Lucas Luiz Romero")*(23/1083),IF(C3680="JR",SUMIFS($D:$D,$A:$A,$A3680,$B:$B,"&lt;&gt;Patrícia Karla de Sousa Araújo",$B:$B,"&lt;&gt;Lorena Dias de Araujo",$B:$B,"&lt;&gt;Lucas Luiz Romero")*(20/1083),IF(C3680="Estágio",SUMIFS($D:$D,$A:$A,$A3680,$B:$B,"&lt;&gt;Patrícia Karla de Sousa Araújo",$B:$B,"&lt;&gt;Lorena Dias de Araujo",$B:$B,"&lt;&gt;Lucas Luiz Romero")*(10/1083),0)))))),0)</f>
        <v/>
      </c>
      <c r="K3680" s="3">
        <f>I3680-J3680</f>
        <v/>
      </c>
      <c r="L3680" s="3">
        <f>IF(K3680&lt;-5,"CRÍTICO",IF(K3680&lt;0,"ATENÇÃO",IF(K3680&lt;=5,"OPORTUNO","MUITO BOM")))</f>
        <v/>
      </c>
      <c r="M3680" s="3" t="n">
        <v>20</v>
      </c>
      <c r="N3680" s="3" t="n">
        <v>96.73999999999999</v>
      </c>
      <c r="O3680" s="12" t="n">
        <v>28.67647058823529</v>
      </c>
    </row>
    <row r="3681">
      <c r="A3681" s="10" t="n">
        <v>46118</v>
      </c>
      <c r="B3681" t="inlineStr">
        <is>
          <t>Brenda de Menezes Silva</t>
        </is>
      </c>
      <c r="C3681" s="1" t="inlineStr">
        <is>
          <t>Técnico II</t>
        </is>
      </c>
      <c r="D3681" s="3" t="n">
        <v>42</v>
      </c>
      <c r="E3681" s="3" t="n">
        <v>36</v>
      </c>
      <c r="F3681" s="3" t="n">
        <v>15.1</v>
      </c>
      <c r="G3681" s="3" t="n">
        <v>0</v>
      </c>
      <c r="H3681" s="3" t="n">
        <v>0</v>
      </c>
      <c r="I3681" s="3">
        <f>E3681+G3681+H3681</f>
        <v/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/>
      </c>
      <c r="K3681" s="3">
        <f>I3681-J3681</f>
        <v/>
      </c>
      <c r="L3681" s="3">
        <f>IF(K3681&lt;-5,"CRÍTICO",IF(K3681&lt;0,"ATENÇÃO",IF(K3681&lt;=5,"OPORTUNO","MUITO BOM")))</f>
        <v/>
      </c>
      <c r="M3681" s="3" t="n">
        <v>38</v>
      </c>
      <c r="N3681" s="3" t="n">
        <v>98.81999999999999</v>
      </c>
      <c r="O3681" s="12" t="n">
        <v>30.74141048824593</v>
      </c>
    </row>
    <row r="3682">
      <c r="A3682" s="10" t="n">
        <v>46118</v>
      </c>
      <c r="B3682" t="inlineStr">
        <is>
          <t>Carlos Mateus Cassimiro Nunes</t>
        </is>
      </c>
      <c r="C3682" s="1" t="inlineStr">
        <is>
          <t>Técnico II</t>
        </is>
      </c>
      <c r="D3682" s="3" t="n">
        <v>33</v>
      </c>
      <c r="E3682" s="3" t="n">
        <v>31</v>
      </c>
      <c r="F3682" s="3" t="n">
        <v>19.06</v>
      </c>
      <c r="G3682" s="3" t="n">
        <v>0</v>
      </c>
      <c r="H3682" s="3" t="n">
        <v>0</v>
      </c>
      <c r="I3682" s="3">
        <f>E3682+G3682+H3682</f>
        <v/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/>
      </c>
      <c r="K3682" s="3">
        <f>I3682-J3682</f>
        <v/>
      </c>
      <c r="L3682" s="3">
        <f>IF(K3682&lt;-5,"CRÍTICO",IF(K3682&lt;0,"ATENÇÃO",IF(K3682&lt;=5,"OPORTUNO","MUITO BOM")))</f>
        <v/>
      </c>
      <c r="M3682" s="3" t="n">
        <v>28</v>
      </c>
      <c r="N3682" s="3" t="n">
        <v>98.2</v>
      </c>
      <c r="O3682" s="12" t="n">
        <v>27.17086834733893</v>
      </c>
    </row>
    <row r="3683">
      <c r="A3683" s="10" t="n">
        <v>46118</v>
      </c>
      <c r="B3683" t="inlineStr">
        <is>
          <t>Claudio de Sousa Velasco Filho</t>
        </is>
      </c>
      <c r="C3683" s="1" t="inlineStr">
        <is>
          <t>Estágio</t>
        </is>
      </c>
      <c r="D3683" s="3" t="n">
        <v>12</v>
      </c>
      <c r="E3683" s="3" t="n">
        <v>11</v>
      </c>
      <c r="F3683" s="3" t="n">
        <v>22.04</v>
      </c>
      <c r="G3683" s="3" t="n">
        <v>0</v>
      </c>
      <c r="H3683" s="3" t="n">
        <v>0</v>
      </c>
      <c r="I3683" s="3">
        <f>E3683+G3683+H3683</f>
        <v/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/>
      </c>
      <c r="K3683" s="3">
        <f>I3683-J3683</f>
        <v/>
      </c>
      <c r="L3683" s="3">
        <f>IF(K3683&lt;-5,"CRÍTICO",IF(K3683&lt;0,"ATENÇÃO",IF(K3683&lt;=5,"OPORTUNO","MUITO BOM")))</f>
        <v/>
      </c>
      <c r="M3683" s="3" t="n">
        <v>11</v>
      </c>
      <c r="N3683" s="3" t="n">
        <v>100</v>
      </c>
      <c r="O3683" s="12" t="n">
        <v>23.13432835820895</v>
      </c>
    </row>
    <row r="3684">
      <c r="A3684" s="10" t="n">
        <v>46118</v>
      </c>
      <c r="B3684" t="inlineStr">
        <is>
          <t>Clessiane Pereira dos Santos</t>
        </is>
      </c>
      <c r="C3684" s="1" t="inlineStr">
        <is>
          <t>Técnico I</t>
        </is>
      </c>
      <c r="D3684" s="3" t="n">
        <v>34</v>
      </c>
      <c r="E3684" s="3" t="n">
        <v>32</v>
      </c>
      <c r="F3684" s="3" t="n">
        <v>14.14</v>
      </c>
      <c r="G3684" s="3" t="n">
        <v>0</v>
      </c>
      <c r="H3684" s="3" t="n">
        <v>0</v>
      </c>
      <c r="I3684" s="3">
        <f>E3684+G3684+H3684</f>
        <v/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/>
      </c>
      <c r="K3684" s="3">
        <f>I3684-J3684</f>
        <v/>
      </c>
      <c r="L3684" s="3">
        <f>IF(K3684&lt;-5,"CRÍTICO",IF(K3684&lt;0,"ATENÇÃO",IF(K3684&lt;=5,"OPORTUNO","MUITO BOM")))</f>
        <v/>
      </c>
      <c r="M3684" s="3" t="n">
        <v>32</v>
      </c>
      <c r="N3684" s="3" t="n">
        <v>96.3</v>
      </c>
      <c r="O3684" s="12" t="n">
        <v>32.21957040572792</v>
      </c>
    </row>
    <row r="3685">
      <c r="A3685" s="10" t="n">
        <v>46118</v>
      </c>
      <c r="B3685" t="inlineStr">
        <is>
          <t>Cristiane Ramos da Silva Rocha</t>
        </is>
      </c>
      <c r="C3685" s="1" t="inlineStr">
        <is>
          <t>Técnico III</t>
        </is>
      </c>
      <c r="D3685" s="3" t="n">
        <v>37</v>
      </c>
      <c r="E3685" s="3" t="n">
        <v>34</v>
      </c>
      <c r="F3685" s="3" t="n">
        <v>12.19</v>
      </c>
      <c r="G3685" s="3" t="n">
        <v>0</v>
      </c>
      <c r="H3685" s="3" t="n">
        <v>0</v>
      </c>
      <c r="I3685" s="3">
        <f>E3685+G3685+H3685</f>
        <v/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/>
      </c>
      <c r="K3685" s="3">
        <f>I3685-J3685</f>
        <v/>
      </c>
      <c r="L3685" s="3">
        <f>IF(K3685&lt;-5,"CRÍTICO",IF(K3685&lt;0,"ATENÇÃO",IF(K3685&lt;=5,"OPORTUNO","MUITO BOM")))</f>
        <v/>
      </c>
      <c r="M3685" s="3" t="n">
        <v>35</v>
      </c>
      <c r="N3685" s="3" t="n">
        <v>93.75</v>
      </c>
      <c r="O3685" s="12" t="n">
        <v>26.81992337164751</v>
      </c>
    </row>
    <row r="3686">
      <c r="A3686" s="10" t="n">
        <v>46118</v>
      </c>
      <c r="B3686" t="inlineStr">
        <is>
          <t>Damyllis Lorraine de Oliveira Gonçalves</t>
        </is>
      </c>
      <c r="C3686" s="1" t="inlineStr">
        <is>
          <t>Técnico II</t>
        </is>
      </c>
      <c r="D3686" s="3" t="n">
        <v>33</v>
      </c>
      <c r="E3686" s="3" t="n">
        <v>29</v>
      </c>
      <c r="F3686" s="3" t="n">
        <v>13.56</v>
      </c>
      <c r="G3686" s="3" t="n">
        <v>0</v>
      </c>
      <c r="H3686" s="3" t="n">
        <v>0</v>
      </c>
      <c r="I3686" s="3" t="n">
        <v>0</v>
      </c>
      <c r="J3686" s="3" t="n">
        <v>0</v>
      </c>
      <c r="K3686" s="3" t="n">
        <v>0</v>
      </c>
      <c r="L3686" s="3">
        <f>IF(K3686&lt;-5,"CRÍTICO",IF(K3686&lt;0,"ATENÇÃO",IF(K3686&lt;=5,"OPORTUNO","MUITO BOM")))</f>
        <v/>
      </c>
      <c r="M3686" s="3" t="n">
        <v>28</v>
      </c>
      <c r="N3686" s="3" t="n">
        <v>97.86</v>
      </c>
      <c r="O3686" s="12" t="n">
        <v>31.01851851851852</v>
      </c>
    </row>
    <row r="3687">
      <c r="A3687" s="10" t="n">
        <v>46118</v>
      </c>
      <c r="B3687" t="inlineStr">
        <is>
          <t>Daniel Gomes da Silva</t>
        </is>
      </c>
      <c r="C3687" s="1" t="inlineStr">
        <is>
          <t>Técnico I</t>
        </is>
      </c>
      <c r="D3687" s="3" t="n">
        <v>23</v>
      </c>
      <c r="E3687" s="3" t="n">
        <v>22</v>
      </c>
      <c r="F3687" s="3" t="n">
        <v>19.05</v>
      </c>
      <c r="G3687" s="3" t="n">
        <v>0</v>
      </c>
      <c r="H3687" s="3" t="n">
        <v>0</v>
      </c>
      <c r="I3687" s="3">
        <f>E3687+G3687+H3687</f>
        <v/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/>
      </c>
      <c r="K3687" s="3">
        <f>I3687-J3687</f>
        <v/>
      </c>
      <c r="L3687" s="3">
        <f>IF(K3687&lt;-5,"CRÍTICO",IF(K3687&lt;0,"ATENÇÃO",IF(K3687&lt;=5,"OPORTUNO","MUITO BOM")))</f>
        <v/>
      </c>
      <c r="M3687" s="3" t="n">
        <v>12</v>
      </c>
      <c r="N3687" s="3" t="n">
        <v>100</v>
      </c>
      <c r="O3687" s="12" t="n">
        <v>36.59420289855073</v>
      </c>
    </row>
    <row r="3688">
      <c r="A3688" s="10" t="n">
        <v>46118</v>
      </c>
      <c r="B3688" t="inlineStr">
        <is>
          <t>Davylla Rodrigues Freitas Silva</t>
        </is>
      </c>
      <c r="C3688" s="1" t="inlineStr">
        <is>
          <t>Técnico III</t>
        </is>
      </c>
      <c r="D3688" s="3" t="n">
        <v>27</v>
      </c>
      <c r="E3688" s="3" t="n">
        <v>27</v>
      </c>
      <c r="F3688" s="3" t="n">
        <v>20.3</v>
      </c>
      <c r="G3688" s="3" t="n">
        <v>0</v>
      </c>
      <c r="H3688" s="3" t="n">
        <v>0</v>
      </c>
      <c r="I3688" s="3" t="n">
        <v>0</v>
      </c>
      <c r="J3688" s="3" t="n">
        <v>0</v>
      </c>
      <c r="K3688" s="3" t="n">
        <v>0</v>
      </c>
      <c r="L3688" s="3">
        <f>IF(K3688&lt;-5,"CRÍTICO",IF(K3688&lt;0,"ATENÇÃO",IF(K3688&lt;=5,"OPORTUNO","MUITO BOM")))</f>
        <v/>
      </c>
      <c r="M3688" s="3" t="n">
        <v>35</v>
      </c>
      <c r="N3688" s="3" t="n">
        <v>100</v>
      </c>
      <c r="O3688" s="12" t="n">
        <v>38.65384615384615</v>
      </c>
    </row>
    <row r="3689">
      <c r="A3689" s="10" t="n">
        <v>46118</v>
      </c>
      <c r="B3689" t="inlineStr">
        <is>
          <t>Emilly Caylane Costa</t>
        </is>
      </c>
      <c r="C3689" s="1" t="inlineStr">
        <is>
          <t>Estágio</t>
        </is>
      </c>
      <c r="D3689" s="3" t="n">
        <v>8</v>
      </c>
      <c r="E3689" s="3" t="n">
        <v>8</v>
      </c>
      <c r="F3689" s="3" t="n">
        <v>37.14</v>
      </c>
      <c r="G3689" s="3" t="n">
        <v>0</v>
      </c>
      <c r="H3689" s="3" t="n">
        <v>0</v>
      </c>
      <c r="I3689" s="3">
        <f>E3689+G3689+H3689</f>
        <v/>
      </c>
      <c r="J3689" s="3">
        <f>ROUND(MIN(IF(C3689="Técnico III",35,IF(C3689="Técnico II",28,IF(C3689="Técnico I",23,IF(C3689="JR",20,IF(C3689="Estágio",10,0))))),IF(C3689="Técnico III",SUMIFS($D:$D,$A:$A,$A3689,$B:$B,"&lt;&gt;Patrícia Karla de Sousa Araújo",$B:$B,"&lt;&gt;Lorena Dias de Araujo",$B:$B,"&lt;&gt;Lucas Luiz Romero")*(35/1083),IF(C3689="Técnico II",SUMIFS($D:$D,$A:$A,$A3689,$B:$B,"&lt;&gt;Patrícia Karla de Sousa Araújo",$B:$B,"&lt;&gt;Lorena Dias de Araujo",$B:$B,"&lt;&gt;Lucas Luiz Romero")*(28/1083),IF(C3689="Técnico I",SUMIFS($D:$D,$A:$A,$A3689,$B:$B,"&lt;&gt;Patrícia Karla de Sousa Araújo",$B:$B,"&lt;&gt;Lorena Dias de Araujo",$B:$B,"&lt;&gt;Lucas Luiz Romero")*(23/1083),IF(C3689="JR",SUMIFS($D:$D,$A:$A,$A3689,$B:$B,"&lt;&gt;Patrícia Karla de Sousa Araújo",$B:$B,"&lt;&gt;Lorena Dias de Araujo",$B:$B,"&lt;&gt;Lucas Luiz Romero")*(20/1083),IF(C3689="Estágio",SUMIFS($D:$D,$A:$A,$A3689,$B:$B,"&lt;&gt;Patrícia Karla de Sousa Araújo",$B:$B,"&lt;&gt;Lorena Dias de Araujo",$B:$B,"&lt;&gt;Lucas Luiz Romero")*(10/1083),0)))))),0)</f>
        <v/>
      </c>
      <c r="K3689" s="3">
        <f>I3689-J3689</f>
        <v/>
      </c>
      <c r="L3689" s="3">
        <f>IF(K3689&lt;-5,"CRÍTICO",IF(K3689&lt;0,"ATENÇÃO",IF(K3689&lt;=5,"OPORTUNO","MUITO BOM")))</f>
        <v/>
      </c>
      <c r="M3689" s="3" t="n">
        <v>8</v>
      </c>
      <c r="N3689" s="3" t="n">
        <v>100</v>
      </c>
      <c r="O3689" s="12" t="n">
        <v>27.36842105263158</v>
      </c>
    </row>
    <row r="3690">
      <c r="A3690" s="10" t="n">
        <v>46118</v>
      </c>
      <c r="B3690" t="inlineStr">
        <is>
          <t>Emilly Kamilly Medeiros Miranda</t>
        </is>
      </c>
      <c r="C3690" s="1" t="inlineStr">
        <is>
          <t>Técnico II</t>
        </is>
      </c>
      <c r="D3690" s="3" t="n">
        <v>35</v>
      </c>
      <c r="E3690" s="3" t="n">
        <v>33</v>
      </c>
      <c r="F3690" s="3" t="n">
        <v>14.19</v>
      </c>
      <c r="G3690" s="3" t="n">
        <v>0</v>
      </c>
      <c r="H3690" s="3" t="n">
        <v>0</v>
      </c>
      <c r="I3690" s="3">
        <f>E3690+G3690+H3690</f>
        <v/>
      </c>
      <c r="J3690" s="3">
        <f>ROUND(MIN(IF(C3690="Técnico III",35,IF(C3690="Técnico II",28,IF(C3690="Técnico I",23,IF(C3690="JR",20,IF(C3690="Estágio",10,0))))),IF(C3690="Técnico III",SUMIFS($D:$D,$A:$A,$A3690,$B:$B,"&lt;&gt;Patrícia Karla de Sousa Araújo",$B:$B,"&lt;&gt;Lorena Dias de Araujo",$B:$B,"&lt;&gt;Lucas Luiz Romero")*(35/1083),IF(C3690="Técnico II",SUMIFS($D:$D,$A:$A,$A3690,$B:$B,"&lt;&gt;Patrícia Karla de Sousa Araújo",$B:$B,"&lt;&gt;Lorena Dias de Araujo",$B:$B,"&lt;&gt;Lucas Luiz Romero")*(28/1083),IF(C3690="Técnico I",SUMIFS($D:$D,$A:$A,$A3690,$B:$B,"&lt;&gt;Patrícia Karla de Sousa Araújo",$B:$B,"&lt;&gt;Lorena Dias de Araujo",$B:$B,"&lt;&gt;Lucas Luiz Romero")*(23/1083),IF(C3690="JR",SUMIFS($D:$D,$A:$A,$A3690,$B:$B,"&lt;&gt;Patrícia Karla de Sousa Araújo",$B:$B,"&lt;&gt;Lorena Dias de Araujo",$B:$B,"&lt;&gt;Lucas Luiz Romero")*(20/1083),IF(C3690="Estágio",SUMIFS($D:$D,$A:$A,$A3690,$B:$B,"&lt;&gt;Patrícia Karla de Sousa Araújo",$B:$B,"&lt;&gt;Lorena Dias de Araujo",$B:$B,"&lt;&gt;Lucas Luiz Romero")*(10/1083),0)))))),0)</f>
        <v/>
      </c>
      <c r="K3690" s="3">
        <f>I3690-J3690</f>
        <v/>
      </c>
      <c r="L3690" s="3">
        <f>IF(K3690&lt;-5,"CRÍTICO",IF(K3690&lt;0,"ATENÇÃO",IF(K3690&lt;=5,"OPORTUNO","MUITO BOM")))</f>
        <v/>
      </c>
      <c r="M3690" s="3" t="n">
        <v>31</v>
      </c>
      <c r="N3690" s="3" t="n">
        <v>97.83</v>
      </c>
      <c r="O3690" s="12" t="n">
        <v>28.35164835164835</v>
      </c>
    </row>
    <row r="3691">
      <c r="A3691" s="10" t="n">
        <v>46118</v>
      </c>
      <c r="B3691" t="inlineStr">
        <is>
          <t>Francielson de Oliveira</t>
        </is>
      </c>
      <c r="C3691" s="1" t="inlineStr">
        <is>
          <t>Técnico III</t>
        </is>
      </c>
      <c r="D3691" s="3" t="n">
        <v>29</v>
      </c>
      <c r="E3691" s="3" t="n">
        <v>28</v>
      </c>
      <c r="F3691" s="3" t="n">
        <v>17.03</v>
      </c>
      <c r="G3691" s="3" t="n">
        <v>0</v>
      </c>
      <c r="H3691" s="3" t="n">
        <v>0</v>
      </c>
      <c r="I3691" s="3">
        <f>E3691+G3691+H3691</f>
        <v/>
      </c>
      <c r="J3691" s="3">
        <f>ROUND(MIN(IF(C3691="Técnico III",35,IF(C3691="Técnico II",28,IF(C3691="Técnico I",23,IF(C3691="JR",20,IF(C3691="Estágio",10,0))))),IF(C3691="Técnico III",SUMIFS($D:$D,$A:$A,$A3691,$B:$B,"&lt;&gt;Patrícia Karla de Sousa Araújo",$B:$B,"&lt;&gt;Lorena Dias de Araujo",$B:$B,"&lt;&gt;Lucas Luiz Romero")*(35/1083),IF(C3691="Técnico II",SUMIFS($D:$D,$A:$A,$A3691,$B:$B,"&lt;&gt;Patrícia Karla de Sousa Araújo",$B:$B,"&lt;&gt;Lorena Dias de Araujo",$B:$B,"&lt;&gt;Lucas Luiz Romero")*(28/1083),IF(C3691="Técnico I",SUMIFS($D:$D,$A:$A,$A3691,$B:$B,"&lt;&gt;Patrícia Karla de Sousa Araújo",$B:$B,"&lt;&gt;Lorena Dias de Araujo",$B:$B,"&lt;&gt;Lucas Luiz Romero")*(23/1083),IF(C3691="JR",SUMIFS($D:$D,$A:$A,$A3691,$B:$B,"&lt;&gt;Patrícia Karla de Sousa Araújo",$B:$B,"&lt;&gt;Lorena Dias de Araujo",$B:$B,"&lt;&gt;Lucas Luiz Romero")*(20/1083),IF(C3691="Estágio",SUMIFS($D:$D,$A:$A,$A3691,$B:$B,"&lt;&gt;Patrícia Karla de Sousa Araújo",$B:$B,"&lt;&gt;Lorena Dias de Araujo",$B:$B,"&lt;&gt;Lucas Luiz Romero")*(10/1083),0)))))),0)</f>
        <v/>
      </c>
      <c r="K3691" s="3">
        <f>I3691-J3691</f>
        <v/>
      </c>
      <c r="L3691" s="3">
        <f>IF(K3691&lt;-5,"CRÍTICO",IF(K3691&lt;0,"ATENÇÃO",IF(K3691&lt;=5,"OPORTUNO","MUITO BOM")))</f>
        <v/>
      </c>
      <c r="M3691" s="3" t="n">
        <v>29</v>
      </c>
      <c r="N3691" s="3" t="n">
        <v>99.26000000000001</v>
      </c>
      <c r="O3691" s="12" t="n">
        <v>29.76653696498055</v>
      </c>
    </row>
    <row r="3692">
      <c r="A3692" s="10" t="n">
        <v>46118</v>
      </c>
      <c r="B3692" t="inlineStr">
        <is>
          <t>Francilene Ferreira de Jesus</t>
        </is>
      </c>
      <c r="C3692" s="1" t="inlineStr">
        <is>
          <t>Técnico II</t>
        </is>
      </c>
      <c r="D3692" s="3" t="n">
        <v>34</v>
      </c>
      <c r="E3692" s="3" t="n">
        <v>30</v>
      </c>
      <c r="F3692" s="3" t="n">
        <v>20.59</v>
      </c>
      <c r="G3692" s="3" t="n">
        <v>0</v>
      </c>
      <c r="H3692" s="3" t="n">
        <v>0</v>
      </c>
      <c r="I3692" s="3">
        <f>E3692+G3692+H3692</f>
        <v/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/>
      </c>
      <c r="K3692" s="3">
        <f>I3692-J3692</f>
        <v/>
      </c>
      <c r="L3692" s="3">
        <f>IF(K3692&lt;-5,"CRÍTICO",IF(K3692&lt;0,"ATENÇÃO",IF(K3692&lt;=5,"OPORTUNO","MUITO BOM")))</f>
        <v/>
      </c>
      <c r="M3692" s="3" t="n">
        <v>29</v>
      </c>
      <c r="N3692" s="3" t="n">
        <v>99.19</v>
      </c>
      <c r="O3692" s="12" t="n">
        <v>29.46236559139785</v>
      </c>
    </row>
    <row r="3693">
      <c r="A3693" s="7" t="n">
        <v>46161</v>
      </c>
      <c r="B3693" s="8" t="inlineStr">
        <is>
          <t>Sarah Steffanie de Lima Borges</t>
        </is>
      </c>
      <c r="C3693" s="1" t="inlineStr">
        <is>
          <t>Técnico III</t>
        </is>
      </c>
      <c r="D3693" s="3" t="n">
        <v>25</v>
      </c>
      <c r="E3693" s="3" t="n">
        <v>24</v>
      </c>
      <c r="F3693" s="3" t="n">
        <v>18.25</v>
      </c>
      <c r="G3693" s="3" t="n">
        <v>3</v>
      </c>
      <c r="H3693" s="3" t="n">
        <v>0</v>
      </c>
      <c r="I3693" s="3" t="n">
        <v>27</v>
      </c>
      <c r="J3693" s="3" t="n">
        <v>29</v>
      </c>
      <c r="K3693" s="3" t="n">
        <v>-2</v>
      </c>
      <c r="L3693" s="3" t="inlineStr">
        <is>
          <t>ATENÇÃO</t>
        </is>
      </c>
      <c r="M3693" s="3" t="n">
        <v>21</v>
      </c>
      <c r="N3693" s="3" t="n">
        <v>97</v>
      </c>
      <c r="O3693" s="12" t="n">
        <v>20.32520325203252</v>
      </c>
    </row>
    <row r="3694">
      <c r="A3694" s="10" t="n">
        <v>46118</v>
      </c>
      <c r="B3694" t="inlineStr">
        <is>
          <t>Isabella Borges de Oliveira</t>
        </is>
      </c>
      <c r="C3694" s="1" t="inlineStr">
        <is>
          <t>Técnico II</t>
        </is>
      </c>
      <c r="D3694" s="3" t="n">
        <v>0</v>
      </c>
      <c r="E3694" s="3" t="n">
        <v>0</v>
      </c>
      <c r="F3694" s="3" t="n">
        <v>0</v>
      </c>
      <c r="G3694" s="3" t="n">
        <v>0</v>
      </c>
      <c r="H3694" s="3" t="n">
        <v>0</v>
      </c>
      <c r="I3694" s="3" t="n">
        <v>0</v>
      </c>
      <c r="J3694" s="3" t="n">
        <v>0</v>
      </c>
      <c r="K3694" s="3" t="n">
        <v>0</v>
      </c>
      <c r="L3694" s="3">
        <f>IF(K3694&lt;-5,"CRÍTICO",IF(K3694&lt;0,"ATENÇÃO",IF(K3694&lt;=5,"OPORTUNO","MUITO BOM")))</f>
        <v/>
      </c>
      <c r="M3694" s="3" t="n">
        <v>0</v>
      </c>
      <c r="N3694" s="3" t="n">
        <v>100</v>
      </c>
      <c r="O3694" s="12" t="n">
        <v>28.92156862745098</v>
      </c>
    </row>
    <row r="3695">
      <c r="A3695" s="10" t="n">
        <v>46118</v>
      </c>
      <c r="B3695" t="inlineStr">
        <is>
          <t>Janaina Lima dos Reis Urany</t>
        </is>
      </c>
      <c r="C3695" s="1" t="inlineStr">
        <is>
          <t>Técnico III</t>
        </is>
      </c>
      <c r="D3695" s="3" t="n">
        <v>46</v>
      </c>
      <c r="E3695" s="3" t="n">
        <v>46</v>
      </c>
      <c r="F3695" s="3" t="n">
        <v>13.59</v>
      </c>
      <c r="G3695" s="3" t="n">
        <v>0</v>
      </c>
      <c r="H3695" s="3" t="n">
        <v>0</v>
      </c>
      <c r="I3695" s="3">
        <f>E3695+G3695+H3695</f>
        <v/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/>
      </c>
      <c r="K3695" s="3">
        <f>I3695-J3695</f>
        <v/>
      </c>
      <c r="L3695" s="3">
        <f>IF(K3695&lt;-5,"CRÍTICO",IF(K3695&lt;0,"ATENÇÃO",IF(K3695&lt;=5,"OPORTUNO","MUITO BOM")))</f>
        <v/>
      </c>
      <c r="M3695" s="3" t="n">
        <v>44</v>
      </c>
      <c r="N3695" s="3" t="n">
        <v>99.56999999999999</v>
      </c>
      <c r="O3695" s="12" t="n">
        <v>30.63583815028902</v>
      </c>
    </row>
    <row r="3696">
      <c r="A3696" s="10" t="n">
        <v>46118</v>
      </c>
      <c r="B3696" t="inlineStr">
        <is>
          <t>Jaqueline Evangelista da Silva Martins</t>
        </is>
      </c>
      <c r="C3696" s="1" t="inlineStr">
        <is>
          <t>Técnico III</t>
        </is>
      </c>
      <c r="D3696" s="3" t="n">
        <v>0</v>
      </c>
      <c r="E3696" s="3" t="n">
        <v>0</v>
      </c>
      <c r="F3696" s="3" t="n">
        <v>0</v>
      </c>
      <c r="G3696" s="3" t="n">
        <v>0</v>
      </c>
      <c r="H3696" s="3" t="n">
        <v>0</v>
      </c>
      <c r="I3696" s="3" t="n">
        <v>0</v>
      </c>
      <c r="J3696" s="3" t="n">
        <v>0</v>
      </c>
      <c r="K3696" s="3" t="n">
        <v>0</v>
      </c>
      <c r="L3696" s="3">
        <f>IF(K3696&lt;-5,"CRÍTICO",IF(K3696&lt;0,"ATENÇÃO",IF(K3696&lt;=5,"OPORTUNO","MUITO BOM")))</f>
        <v/>
      </c>
      <c r="M3696" s="3" t="n">
        <v>0</v>
      </c>
      <c r="N3696" s="3" t="n">
        <v>95.65000000000001</v>
      </c>
      <c r="O3696" s="12" t="n">
        <v>32.43243243243244</v>
      </c>
    </row>
    <row r="3697">
      <c r="A3697" s="10" t="n">
        <v>46118</v>
      </c>
      <c r="B3697" t="inlineStr">
        <is>
          <t>Jessica Faria da Silveira</t>
        </is>
      </c>
      <c r="C3697" s="1" t="inlineStr">
        <is>
          <t>Técnico II</t>
        </is>
      </c>
      <c r="D3697" s="3" t="n">
        <v>12</v>
      </c>
      <c r="E3697" s="3" t="n">
        <v>12</v>
      </c>
      <c r="F3697" s="3" t="n">
        <v>16.45</v>
      </c>
      <c r="G3697" s="3" t="n">
        <v>0</v>
      </c>
      <c r="H3697" s="3" t="n">
        <v>0</v>
      </c>
      <c r="I3697" s="3">
        <f>E3697+G3697+H3697</f>
        <v/>
      </c>
      <c r="J3697" s="3">
        <f>ROUND(MIN(IF(C3697="Técnico III",35,IF(C3697="Técnico II",28,IF(C3697="Técnico I",23,IF(C3697="JR",20,IF(C3697="Estágio",10,0))))),IF(C3697="Técnico III",SUMIFS($D:$D,$A:$A,$A3697,$B:$B,"&lt;&gt;Patrícia Karla de Sousa Araújo",$B:$B,"&lt;&gt;Lorena Dias de Araujo",$B:$B,"&lt;&gt;Lucas Luiz Romero")*(35/1083),IF(C3697="Técnico II",SUMIFS($D:$D,$A:$A,$A3697,$B:$B,"&lt;&gt;Patrícia Karla de Sousa Araújo",$B:$B,"&lt;&gt;Lorena Dias de Araujo",$B:$B,"&lt;&gt;Lucas Luiz Romero")*(28/1083),IF(C3697="Técnico I",SUMIFS($D:$D,$A:$A,$A3697,$B:$B,"&lt;&gt;Patrícia Karla de Sousa Araújo",$B:$B,"&lt;&gt;Lorena Dias de Araujo",$B:$B,"&lt;&gt;Lucas Luiz Romero")*(23/1083),IF(C3697="JR",SUMIFS($D:$D,$A:$A,$A3697,$B:$B,"&lt;&gt;Patrícia Karla de Sousa Araújo",$B:$B,"&lt;&gt;Lorena Dias de Araujo",$B:$B,"&lt;&gt;Lucas Luiz Romero")*(20/1083),IF(C3697="Estágio",SUMIFS($D:$D,$A:$A,$A3697,$B:$B,"&lt;&gt;Patrícia Karla de Sousa Araújo",$B:$B,"&lt;&gt;Lorena Dias de Araujo",$B:$B,"&lt;&gt;Lucas Luiz Romero")*(10/1083),0)))))),0)</f>
        <v/>
      </c>
      <c r="K3697" s="3">
        <f>I3697-J3697</f>
        <v/>
      </c>
      <c r="L3697" s="3">
        <f>IF(K3697&lt;-5,"CRÍTICO",IF(K3697&lt;0,"ATENÇÃO",IF(K3697&lt;=5,"OPORTUNO","MUITO BOM")))</f>
        <v/>
      </c>
      <c r="M3697" s="3" t="n">
        <v>14</v>
      </c>
      <c r="N3697" s="3" t="n">
        <v>98.81</v>
      </c>
      <c r="O3697" s="12" t="n">
        <v>26.25698324022346</v>
      </c>
    </row>
    <row r="3698">
      <c r="A3698" s="10" t="n">
        <v>46118</v>
      </c>
      <c r="B3698" t="inlineStr">
        <is>
          <t>Jéssica Fé Moura</t>
        </is>
      </c>
      <c r="C3698" s="1" t="inlineStr">
        <is>
          <t>Técnico III</t>
        </is>
      </c>
      <c r="D3698" s="3" t="n">
        <v>0</v>
      </c>
      <c r="E3698" s="3" t="n">
        <v>0</v>
      </c>
      <c r="F3698" s="3" t="n">
        <v>0</v>
      </c>
      <c r="G3698" s="3" t="n">
        <v>0</v>
      </c>
      <c r="H3698" s="3" t="n">
        <v>0</v>
      </c>
      <c r="I3698" s="3" t="n">
        <v>0</v>
      </c>
      <c r="J3698" s="3" t="n">
        <v>0</v>
      </c>
      <c r="K3698" s="3" t="n">
        <v>0</v>
      </c>
      <c r="L3698" s="3">
        <f>IF(K3698&lt;-5,"CRÍTICO",IF(K3698&lt;0,"ATENÇÃO",IF(K3698&lt;=5,"OPORTUNO","MUITO BOM")))</f>
        <v/>
      </c>
      <c r="M3698" s="3" t="n">
        <v>0</v>
      </c>
      <c r="N3698" s="3" t="n">
        <v>0</v>
      </c>
      <c r="O3698" s="12" t="n">
        <v>0</v>
      </c>
    </row>
    <row r="3699">
      <c r="A3699" s="10" t="n">
        <v>46118</v>
      </c>
      <c r="B3699" t="inlineStr">
        <is>
          <t>Karina Gonçalves Martins</t>
        </is>
      </c>
      <c r="C3699" s="1" t="inlineStr">
        <is>
          <t>JR</t>
        </is>
      </c>
      <c r="D3699" s="3" t="n">
        <v>19</v>
      </c>
      <c r="E3699" s="3" t="n">
        <v>17</v>
      </c>
      <c r="F3699" s="3" t="n">
        <v>23.21</v>
      </c>
      <c r="G3699" s="3" t="n">
        <v>0</v>
      </c>
      <c r="H3699" s="3" t="n">
        <v>0</v>
      </c>
      <c r="I3699" s="3">
        <f>E3699+G3699+H3699</f>
        <v/>
      </c>
      <c r="J3699" s="3">
        <f>ROUND(MIN(IF(C3699="Técnico III",35,IF(C3699="Técnico II",28,IF(C3699="Técnico I",23,IF(C3699="JR",20,IF(C3699="Estágio",10,0))))),IF(C3699="Técnico III",SUMIFS($D:$D,$A:$A,$A3699,$B:$B,"&lt;&gt;Patrícia Karla de Sousa Araújo",$B:$B,"&lt;&gt;Lorena Dias de Araujo",$B:$B,"&lt;&gt;Lucas Luiz Romero")*(35/1083),IF(C3699="Técnico II",SUMIFS($D:$D,$A:$A,$A3699,$B:$B,"&lt;&gt;Patrícia Karla de Sousa Araújo",$B:$B,"&lt;&gt;Lorena Dias de Araujo",$B:$B,"&lt;&gt;Lucas Luiz Romero")*(28/1083),IF(C3699="Técnico I",SUMIFS($D:$D,$A:$A,$A3699,$B:$B,"&lt;&gt;Patrícia Karla de Sousa Araújo",$B:$B,"&lt;&gt;Lorena Dias de Araujo",$B:$B,"&lt;&gt;Lucas Luiz Romero")*(23/1083),IF(C3699="JR",SUMIFS($D:$D,$A:$A,$A3699,$B:$B,"&lt;&gt;Patrícia Karla de Sousa Araújo",$B:$B,"&lt;&gt;Lorena Dias de Araujo",$B:$B,"&lt;&gt;Lucas Luiz Romero")*(20/1083),IF(C3699="Estágio",SUMIFS($D:$D,$A:$A,$A3699,$B:$B,"&lt;&gt;Patrícia Karla de Sousa Araújo",$B:$B,"&lt;&gt;Lorena Dias de Araujo",$B:$B,"&lt;&gt;Lucas Luiz Romero")*(10/1083),0)))))),0)</f>
        <v/>
      </c>
      <c r="K3699" s="3">
        <f>I3699-J3699</f>
        <v/>
      </c>
      <c r="L3699" s="3">
        <f>IF(K3699&lt;-5,"CRÍTICO",IF(K3699&lt;0,"ATENÇÃO",IF(K3699&lt;=5,"OPORTUNO","MUITO BOM")))</f>
        <v/>
      </c>
      <c r="M3699" s="3" t="n">
        <v>17</v>
      </c>
      <c r="N3699" s="3" t="n">
        <v>97.17</v>
      </c>
      <c r="O3699" s="12" t="n">
        <v>28.81844380403458</v>
      </c>
    </row>
    <row r="3700">
      <c r="A3700" s="10" t="n">
        <v>46118</v>
      </c>
      <c r="B3700" t="inlineStr">
        <is>
          <t>Kerollen Cristielly de Jesus Siqueira</t>
        </is>
      </c>
      <c r="C3700" s="1" t="inlineStr">
        <is>
          <t>Técnico III</t>
        </is>
      </c>
      <c r="D3700" s="3" t="n">
        <v>11</v>
      </c>
      <c r="E3700" s="3" t="n">
        <v>9</v>
      </c>
      <c r="F3700" s="3" t="n">
        <v>21.4</v>
      </c>
      <c r="G3700" s="3" t="n">
        <v>0</v>
      </c>
      <c r="H3700" s="3" t="n">
        <v>0</v>
      </c>
      <c r="I3700" s="3">
        <f>E3700+G3700+H3700</f>
        <v/>
      </c>
      <c r="J3700" s="3">
        <f>ROUND(MIN(IF(C3700="Técnico III",35,IF(C3700="Técnico II",28,IF(C3700="Técnico I",23,IF(C3700="JR",20,IF(C3700="Estágio",10,0))))),IF(C3700="Técnico III",SUMIFS($D:$D,$A:$A,$A3700,$B:$B,"&lt;&gt;Patrícia Karla de Sousa Araújo",$B:$B,"&lt;&gt;Lorena Dias de Araujo",$B:$B,"&lt;&gt;Lucas Luiz Romero")*(35/1083),IF(C3700="Técnico II",SUMIFS($D:$D,$A:$A,$A3700,$B:$B,"&lt;&gt;Patrícia Karla de Sousa Araújo",$B:$B,"&lt;&gt;Lorena Dias de Araujo",$B:$B,"&lt;&gt;Lucas Luiz Romero")*(28/1083),IF(C3700="Técnico I",SUMIFS($D:$D,$A:$A,$A3700,$B:$B,"&lt;&gt;Patrícia Karla de Sousa Araújo",$B:$B,"&lt;&gt;Lorena Dias de Araujo",$B:$B,"&lt;&gt;Lucas Luiz Romero")*(23/1083),IF(C3700="JR",SUMIFS($D:$D,$A:$A,$A3700,$B:$B,"&lt;&gt;Patrícia Karla de Sousa Araújo",$B:$B,"&lt;&gt;Lorena Dias de Araujo",$B:$B,"&lt;&gt;Lucas Luiz Romero")*(20/1083),IF(C3700="Estágio",SUMIFS($D:$D,$A:$A,$A3700,$B:$B,"&lt;&gt;Patrícia Karla de Sousa Araújo",$B:$B,"&lt;&gt;Lorena Dias de Araujo",$B:$B,"&lt;&gt;Lucas Luiz Romero")*(10/1083),0)))))),0)</f>
        <v/>
      </c>
      <c r="K3700" s="3">
        <f>I3700-J3700</f>
        <v/>
      </c>
      <c r="L3700" s="3">
        <f>IF(K3700&lt;-5,"CRÍTICO",IF(K3700&lt;0,"ATENÇÃO",IF(K3700&lt;=5,"OPORTUNO","MUITO BOM")))</f>
        <v/>
      </c>
      <c r="M3700" s="3" t="n">
        <v>11</v>
      </c>
      <c r="N3700" s="3" t="n">
        <v>96.81</v>
      </c>
      <c r="O3700" s="12" t="n">
        <v>48.01864801864802</v>
      </c>
    </row>
    <row r="3701">
      <c r="A3701" s="10" t="n">
        <v>46118</v>
      </c>
      <c r="B3701" t="inlineStr">
        <is>
          <t>Leandro de Souza Silva</t>
        </is>
      </c>
      <c r="C3701" s="1" t="inlineStr">
        <is>
          <t>JR</t>
        </is>
      </c>
      <c r="D3701" s="3" t="n">
        <v>15</v>
      </c>
      <c r="E3701" s="3" t="n">
        <v>12</v>
      </c>
      <c r="F3701" s="3" t="n">
        <v>29.11</v>
      </c>
      <c r="G3701" s="3" t="n">
        <v>0</v>
      </c>
      <c r="H3701" s="3" t="n">
        <v>0</v>
      </c>
      <c r="I3701" s="3">
        <f>E3701+G3701+H3701</f>
        <v/>
      </c>
      <c r="J3701" s="3">
        <f>ROUND(MIN(IF(C3701="Técnico III",35,IF(C3701="Técnico II",28,IF(C3701="Técnico I",23,IF(C3701="JR",20,IF(C3701="Estágio",10,0))))),IF(C3701="Técnico III",SUMIFS($D:$D,$A:$A,$A3701,$B:$B,"&lt;&gt;Patrícia Karla de Sousa Araújo",$B:$B,"&lt;&gt;Lorena Dias de Araujo",$B:$B,"&lt;&gt;Lucas Luiz Romero")*(35/1083),IF(C3701="Técnico II",SUMIFS($D:$D,$A:$A,$A3701,$B:$B,"&lt;&gt;Patrícia Karla de Sousa Araújo",$B:$B,"&lt;&gt;Lorena Dias de Araujo",$B:$B,"&lt;&gt;Lucas Luiz Romero")*(28/1083),IF(C3701="Técnico I",SUMIFS($D:$D,$A:$A,$A3701,$B:$B,"&lt;&gt;Patrícia Karla de Sousa Araújo",$B:$B,"&lt;&gt;Lorena Dias de Araujo",$B:$B,"&lt;&gt;Lucas Luiz Romero")*(23/1083),IF(C3701="JR",SUMIFS($D:$D,$A:$A,$A3701,$B:$B,"&lt;&gt;Patrícia Karla de Sousa Araújo",$B:$B,"&lt;&gt;Lorena Dias de Araujo",$B:$B,"&lt;&gt;Lucas Luiz Romero")*(20/1083),IF(C3701="Estágio",SUMIFS($D:$D,$A:$A,$A3701,$B:$B,"&lt;&gt;Patrícia Karla de Sousa Araújo",$B:$B,"&lt;&gt;Lorena Dias de Araujo",$B:$B,"&lt;&gt;Lucas Luiz Romero")*(10/1083),0)))))),0)</f>
        <v/>
      </c>
      <c r="K3701" s="3">
        <f>I3701-J3701</f>
        <v/>
      </c>
      <c r="L3701" s="3">
        <f>IF(K3701&lt;-5,"CRÍTICO",IF(K3701&lt;0,"ATENÇÃO",IF(K3701&lt;=5,"OPORTUNO","MUITO BOM")))</f>
        <v/>
      </c>
      <c r="M3701" s="3" t="n">
        <v>12</v>
      </c>
      <c r="N3701" s="3" t="n">
        <v>98.15000000000001</v>
      </c>
      <c r="O3701" s="12" t="n">
        <v>27.1551724137931</v>
      </c>
    </row>
    <row r="3702">
      <c r="A3702" s="10" t="n">
        <v>46118</v>
      </c>
      <c r="B3702" t="inlineStr">
        <is>
          <t>Leandro Oliveira de Sousa</t>
        </is>
      </c>
      <c r="C3702" s="1" t="inlineStr">
        <is>
          <t>Técnico III</t>
        </is>
      </c>
      <c r="D3702" s="3" t="n">
        <v>31</v>
      </c>
      <c r="E3702" s="3" t="n">
        <v>29</v>
      </c>
      <c r="F3702" s="3" t="n">
        <v>16.54</v>
      </c>
      <c r="G3702" s="3" t="n">
        <v>0</v>
      </c>
      <c r="H3702" s="3" t="n">
        <v>0</v>
      </c>
      <c r="I3702" s="3">
        <f>E3702+G3702+H3702</f>
        <v/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/>
      </c>
      <c r="K3702" s="3">
        <f>I3702-J3702</f>
        <v/>
      </c>
      <c r="L3702" s="3">
        <f>IF(K3702&lt;-5,"CRÍTICO",IF(K3702&lt;0,"ATENÇÃO",IF(K3702&lt;=5,"OPORTUNO","MUITO BOM")))</f>
        <v/>
      </c>
      <c r="M3702" s="3" t="n">
        <v>29</v>
      </c>
      <c r="N3702" s="3" t="n">
        <v>99.15000000000001</v>
      </c>
      <c r="O3702" s="12" t="n">
        <v>27.58620689655172</v>
      </c>
    </row>
    <row r="3703">
      <c r="A3703" s="10" t="n">
        <v>46118</v>
      </c>
      <c r="B3703" t="inlineStr">
        <is>
          <t>Lizandra Gomes Duarte</t>
        </is>
      </c>
      <c r="C3703" s="1" t="inlineStr">
        <is>
          <t>Técnico II</t>
        </is>
      </c>
      <c r="D3703" s="3" t="n">
        <v>24</v>
      </c>
      <c r="E3703" s="3" t="n">
        <v>23</v>
      </c>
      <c r="F3703" s="3" t="n">
        <v>22.19</v>
      </c>
      <c r="G3703" s="3" t="n">
        <v>0</v>
      </c>
      <c r="H3703" s="3" t="n">
        <v>0</v>
      </c>
      <c r="I3703" s="3">
        <f>E3703+G3703+H3703</f>
        <v/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/>
      </c>
      <c r="K3703" s="3">
        <f>I3703-J3703</f>
        <v/>
      </c>
      <c r="L3703" s="3">
        <f>IF(K3703&lt;-5,"CRÍTICO",IF(K3703&lt;0,"ATENÇÃO",IF(K3703&lt;=5,"OPORTUNO","MUITO BOM")))</f>
        <v/>
      </c>
      <c r="M3703" s="3" t="n">
        <v>10</v>
      </c>
      <c r="N3703" s="3" t="n">
        <v>99.17</v>
      </c>
      <c r="O3703" s="12" t="n">
        <v>29.75206611570248</v>
      </c>
    </row>
    <row r="3704">
      <c r="A3704" s="10" t="n">
        <v>46118</v>
      </c>
      <c r="B3704" t="inlineStr">
        <is>
          <t>Lorena Dias de Araujo</t>
        </is>
      </c>
      <c r="C3704" s="1" t="inlineStr">
        <is>
          <t>Técnico II</t>
        </is>
      </c>
      <c r="D3704" s="3" t="n">
        <v>36</v>
      </c>
      <c r="E3704" s="3" t="n">
        <v>35</v>
      </c>
      <c r="F3704" s="3" t="n">
        <v>18.25</v>
      </c>
      <c r="G3704" s="3" t="n">
        <v>0</v>
      </c>
      <c r="H3704" s="3" t="n">
        <v>0</v>
      </c>
      <c r="I3704" s="3" t="n">
        <v>0</v>
      </c>
      <c r="J3704" s="3" t="n">
        <v>0</v>
      </c>
      <c r="K3704" s="3" t="n">
        <v>0</v>
      </c>
      <c r="L3704" s="3">
        <f>IF(K3704&lt;-5,"CRÍTICO",IF(K3704&lt;0,"ATENÇÃO",IF(K3704&lt;=5,"OPORTUNO","MUITO BOM")))</f>
        <v/>
      </c>
      <c r="M3704" s="3" t="n">
        <v>31</v>
      </c>
      <c r="N3704" s="3" t="n">
        <v>98.73</v>
      </c>
      <c r="O3704" s="12" t="n">
        <v>28.96174863387978</v>
      </c>
    </row>
    <row r="3705">
      <c r="A3705" s="10" t="n">
        <v>46118</v>
      </c>
      <c r="B3705" t="inlineStr">
        <is>
          <t>Lucas Luiz Romero</t>
        </is>
      </c>
      <c r="C3705" s="1" t="inlineStr">
        <is>
          <t>Técnico III</t>
        </is>
      </c>
      <c r="D3705" s="3" t="n">
        <v>0</v>
      </c>
      <c r="E3705" s="3" t="n">
        <v>0</v>
      </c>
      <c r="F3705" s="3" t="n">
        <v>0</v>
      </c>
      <c r="G3705" s="3" t="n">
        <v>0</v>
      </c>
      <c r="H3705" s="3" t="n">
        <v>0</v>
      </c>
      <c r="I3705" s="3" t="n">
        <v>0</v>
      </c>
      <c r="J3705" s="3" t="n">
        <v>0</v>
      </c>
      <c r="K3705" s="3" t="n">
        <v>0</v>
      </c>
      <c r="L3705" s="3">
        <f>IF(K3705&lt;-5,"CRÍTICO",IF(K3705&lt;0,"ATENÇÃO",IF(K3705&lt;=5,"OPORTUNO","MUITO BOM")))</f>
        <v/>
      </c>
      <c r="M3705" s="3" t="n">
        <v>0</v>
      </c>
      <c r="N3705" s="3" t="n">
        <v>88.68000000000001</v>
      </c>
      <c r="O3705" s="12" t="n">
        <v>22.03389830508474</v>
      </c>
    </row>
    <row r="3706">
      <c r="A3706" s="10" t="n">
        <v>46118</v>
      </c>
      <c r="B3706" t="inlineStr">
        <is>
          <t>Luiz Fernando de Carvalho Junior</t>
        </is>
      </c>
      <c r="C3706" s="1" t="inlineStr">
        <is>
          <t>Técnico I</t>
        </is>
      </c>
      <c r="D3706" s="3" t="n">
        <v>24</v>
      </c>
      <c r="E3706" s="3" t="n">
        <v>23</v>
      </c>
      <c r="F3706" s="3" t="n">
        <v>20.4</v>
      </c>
      <c r="G3706" s="3" t="n">
        <v>0</v>
      </c>
      <c r="H3706" s="3" t="n">
        <v>0</v>
      </c>
      <c r="I3706" s="3">
        <f>E3706+G3706+H3706</f>
        <v/>
      </c>
      <c r="J3706" s="3">
        <f>ROUND(MIN(IF(C3706="Técnico III",35,IF(C3706="Técnico II",28,IF(C3706="Técnico I",23,IF(C3706="JR",20,IF(C3706="Estágio",10,0))))),IF(C3706="Técnico III",SUMIFS($D:$D,$A:$A,$A3706,$B:$B,"&lt;&gt;Patrícia Karla de Sousa Araújo",$B:$B,"&lt;&gt;Lorena Dias de Araujo",$B:$B,"&lt;&gt;Lucas Luiz Romero")*(35/1083),IF(C3706="Técnico II",SUMIFS($D:$D,$A:$A,$A3706,$B:$B,"&lt;&gt;Patrícia Karla de Sousa Araújo",$B:$B,"&lt;&gt;Lorena Dias de Araujo",$B:$B,"&lt;&gt;Lucas Luiz Romero")*(28/1083),IF(C3706="Técnico I",SUMIFS($D:$D,$A:$A,$A3706,$B:$B,"&lt;&gt;Patrícia Karla de Sousa Araújo",$B:$B,"&lt;&gt;Lorena Dias de Araujo",$B:$B,"&lt;&gt;Lucas Luiz Romero")*(23/1083),IF(C3706="JR",SUMIFS($D:$D,$A:$A,$A3706,$B:$B,"&lt;&gt;Patrícia Karla de Sousa Araújo",$B:$B,"&lt;&gt;Lorena Dias de Araujo",$B:$B,"&lt;&gt;Lucas Luiz Romero")*(20/1083),IF(C3706="Estágio",SUMIFS($D:$D,$A:$A,$A3706,$B:$B,"&lt;&gt;Patrícia Karla de Sousa Araújo",$B:$B,"&lt;&gt;Lorena Dias de Araujo",$B:$B,"&lt;&gt;Lucas Luiz Romero")*(10/1083),0)))))),0)</f>
        <v/>
      </c>
      <c r="K3706" s="3">
        <f>I3706-J3706</f>
        <v/>
      </c>
      <c r="L3706" s="3">
        <f>IF(K3706&lt;-5,"CRÍTICO",IF(K3706&lt;0,"ATENÇÃO",IF(K3706&lt;=5,"OPORTUNO","MUITO BOM")))</f>
        <v/>
      </c>
      <c r="M3706" s="3" t="n">
        <v>21</v>
      </c>
      <c r="N3706" s="3" t="n">
        <v>97.37</v>
      </c>
      <c r="O3706" s="12" t="n">
        <v>25.76530612244898</v>
      </c>
    </row>
    <row r="3707">
      <c r="A3707" s="10" t="n">
        <v>46118</v>
      </c>
      <c r="B3707" t="inlineStr">
        <is>
          <t>Maria Eduarda Sousa Costa</t>
        </is>
      </c>
      <c r="C3707" s="1" t="inlineStr">
        <is>
          <t>Estágio</t>
        </is>
      </c>
      <c r="D3707" s="3" t="n">
        <v>11</v>
      </c>
      <c r="E3707" s="3" t="n">
        <v>10</v>
      </c>
      <c r="F3707" s="3" t="n">
        <v>27.37</v>
      </c>
      <c r="G3707" s="3" t="n">
        <v>0</v>
      </c>
      <c r="H3707" s="3" t="n">
        <v>0</v>
      </c>
      <c r="I3707" s="3">
        <f>E3707+G3707+H3707</f>
        <v/>
      </c>
      <c r="J3707" s="3">
        <f>ROUND(MIN(IF(C3707="Técnico III",35,IF(C3707="Técnico II",28,IF(C3707="Técnico I",23,IF(C3707="JR",20,IF(C3707="Estágio",10,0))))),IF(C3707="Técnico III",SUMIFS($D:$D,$A:$A,$A3707,$B:$B,"&lt;&gt;Patrícia Karla de Sousa Araújo",$B:$B,"&lt;&gt;Lorena Dias de Araujo",$B:$B,"&lt;&gt;Lucas Luiz Romero")*(35/1083),IF(C3707="Técnico II",SUMIFS($D:$D,$A:$A,$A3707,$B:$B,"&lt;&gt;Patrícia Karla de Sousa Araújo",$B:$B,"&lt;&gt;Lorena Dias de Araujo",$B:$B,"&lt;&gt;Lucas Luiz Romero")*(28/1083),IF(C3707="Técnico I",SUMIFS($D:$D,$A:$A,$A3707,$B:$B,"&lt;&gt;Patrícia Karla de Sousa Araújo",$B:$B,"&lt;&gt;Lorena Dias de Araujo",$B:$B,"&lt;&gt;Lucas Luiz Romero")*(23/1083),IF(C3707="JR",SUMIFS($D:$D,$A:$A,$A3707,$B:$B,"&lt;&gt;Patrícia Karla de Sousa Araújo",$B:$B,"&lt;&gt;Lorena Dias de Araujo",$B:$B,"&lt;&gt;Lucas Luiz Romero")*(20/1083),IF(C3707="Estágio",SUMIFS($D:$D,$A:$A,$A3707,$B:$B,"&lt;&gt;Patrícia Karla de Sousa Araújo",$B:$B,"&lt;&gt;Lorena Dias de Araujo",$B:$B,"&lt;&gt;Lucas Luiz Romero")*(10/1083),0)))))),0)</f>
        <v/>
      </c>
      <c r="K3707" s="3">
        <f>I3707-J3707</f>
        <v/>
      </c>
      <c r="L3707" s="3">
        <f>IF(K3707&lt;-5,"CRÍTICO",IF(K3707&lt;0,"ATENÇÃO",IF(K3707&lt;=5,"OPORTUNO","MUITO BOM")))</f>
        <v/>
      </c>
      <c r="M3707" s="3" t="n">
        <v>9</v>
      </c>
      <c r="N3707" s="3" t="n">
        <v>100</v>
      </c>
      <c r="O3707" s="12" t="n">
        <v>25</v>
      </c>
    </row>
    <row r="3708">
      <c r="A3708" s="10" t="n">
        <v>46136</v>
      </c>
      <c r="B3708" t="inlineStr">
        <is>
          <t>Matheus Farias De Souza</t>
        </is>
      </c>
      <c r="C3708" s="1" t="inlineStr">
        <is>
          <t>Técnico III</t>
        </is>
      </c>
      <c r="D3708" s="3" t="n">
        <v>13</v>
      </c>
      <c r="E3708" s="3" t="n">
        <v>12</v>
      </c>
      <c r="F3708" s="3" t="n">
        <v>17.18</v>
      </c>
      <c r="G3708" s="3" t="n">
        <v>0</v>
      </c>
      <c r="H3708" s="3" t="n">
        <v>0</v>
      </c>
      <c r="I3708" s="3">
        <f>E3708+G3708+H3708</f>
        <v/>
      </c>
      <c r="J3708" s="3">
        <f>ROUND(MIN(IF(C3708="Técnico III",35,IF(C3708="Técnico II",28,IF(C3708="Técnico I",23,IF(C3708="JR",20,IF(C3708="Estágio",10,0))))),IF(C3708="Técnico III",SUMIFS($D:$D,$A:$A,$A3708,$B:$B,"&lt;&gt;Patrícia Karla de Sousa Araújo",$B:$B,"&lt;&gt;Lorena Dias de Araujo",$B:$B,"&lt;&gt;Lucas Luiz Romero")*(35/1083),IF(C3708="Técnico II",SUMIFS($D:$D,$A:$A,$A3708,$B:$B,"&lt;&gt;Patrícia Karla de Sousa Araújo",$B:$B,"&lt;&gt;Lorena Dias de Araujo",$B:$B,"&lt;&gt;Lucas Luiz Romero")*(28/1083),IF(C3708="Técnico I",SUMIFS($D:$D,$A:$A,$A3708,$B:$B,"&lt;&gt;Patrícia Karla de Sousa Araújo",$B:$B,"&lt;&gt;Lorena Dias de Araujo",$B:$B,"&lt;&gt;Lucas Luiz Romero")*(23/1083),IF(C3708="JR",SUMIFS($D:$D,$A:$A,$A3708,$B:$B,"&lt;&gt;Patrícia Karla de Sousa Araújo",$B:$B,"&lt;&gt;Lorena Dias de Araujo",$B:$B,"&lt;&gt;Lucas Luiz Romero")*(20/1083),IF(C3708="Estágio",SUMIFS($D:$D,$A:$A,$A3708,$B:$B,"&lt;&gt;Patrícia Karla de Sousa Araújo",$B:$B,"&lt;&gt;Lorena Dias de Araujo",$B:$B,"&lt;&gt;Lucas Luiz Romero")*(10/1083),0)))))),0)</f>
        <v/>
      </c>
      <c r="K3708" s="3">
        <f>I3708-J3708</f>
        <v/>
      </c>
      <c r="L3708" s="3">
        <f>IF(K3708&lt;-5,"CRÍTICO",IF(K3708&lt;0,"ATENÇÃO",IF(K3708&lt;=5,"OPORTUNO","MUITO BOM")))</f>
        <v/>
      </c>
      <c r="M3708" s="3" t="n">
        <v>10</v>
      </c>
      <c r="N3708" s="3" t="n">
        <v>100</v>
      </c>
      <c r="O3708" s="12" t="n">
        <v>23.9870340356564</v>
      </c>
    </row>
    <row r="3709">
      <c r="A3709" s="10" t="n">
        <v>46118</v>
      </c>
      <c r="B3709" t="inlineStr">
        <is>
          <t>Maysa Victoria Dias Moura</t>
        </is>
      </c>
      <c r="C3709" s="1" t="inlineStr">
        <is>
          <t>Técnico III</t>
        </is>
      </c>
      <c r="D3709" s="3" t="n">
        <v>27</v>
      </c>
      <c r="E3709" s="3" t="n">
        <v>25</v>
      </c>
      <c r="F3709" s="3" t="n">
        <v>18.48</v>
      </c>
      <c r="G3709" s="3" t="n">
        <v>0</v>
      </c>
      <c r="H3709" s="3" t="n">
        <v>0</v>
      </c>
      <c r="I3709" s="3">
        <f>E3709+G3709+H3709</f>
        <v/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/>
      </c>
      <c r="K3709" s="3">
        <f>I3709-J3709</f>
        <v/>
      </c>
      <c r="L3709" s="3">
        <f>IF(K3709&lt;-5,"CRÍTICO",IF(K3709&lt;0,"ATENÇÃO",IF(K3709&lt;=5,"OPORTUNO","MUITO BOM")))</f>
        <v/>
      </c>
      <c r="M3709" s="3" t="n">
        <v>20</v>
      </c>
      <c r="N3709" s="3" t="n">
        <v>95.48999999999999</v>
      </c>
      <c r="O3709" s="12" t="n">
        <v>28.37022132796781</v>
      </c>
    </row>
    <row r="3710">
      <c r="A3710" s="7" t="n">
        <v>46161</v>
      </c>
      <c r="B3710" s="8" t="inlineStr">
        <is>
          <t>Alisson de Freitas Silva</t>
        </is>
      </c>
      <c r="C3710" s="1" t="inlineStr">
        <is>
          <t>Técnico II</t>
        </is>
      </c>
      <c r="D3710" s="3" t="n">
        <v>38</v>
      </c>
      <c r="E3710" s="3" t="n">
        <v>33</v>
      </c>
      <c r="F3710" s="3" t="n">
        <v>12.17</v>
      </c>
      <c r="G3710" s="3" t="n">
        <v>1</v>
      </c>
      <c r="H3710" s="3" t="n">
        <v>0</v>
      </c>
      <c r="I3710" s="3" t="n">
        <v>34</v>
      </c>
      <c r="J3710" s="3" t="n">
        <v>23</v>
      </c>
      <c r="K3710" s="3" t="n">
        <v>11</v>
      </c>
      <c r="L3710" s="3" t="inlineStr">
        <is>
          <t>EXCELENTE</t>
        </is>
      </c>
      <c r="M3710" s="3" t="n">
        <v>17</v>
      </c>
      <c r="N3710" s="3" t="n">
        <v>99.18000000000001</v>
      </c>
      <c r="O3710" s="12" t="n">
        <v>24.5014245014245</v>
      </c>
    </row>
    <row r="3711">
      <c r="A3711" s="10" t="n">
        <v>46118</v>
      </c>
      <c r="B3711" t="inlineStr">
        <is>
          <t>Milena Sales</t>
        </is>
      </c>
      <c r="C3711" s="1" t="inlineStr">
        <is>
          <t>JR</t>
        </is>
      </c>
      <c r="D3711" s="3" t="n">
        <v>27</v>
      </c>
      <c r="E3711" s="3" t="n">
        <v>23</v>
      </c>
      <c r="F3711" s="3" t="n">
        <v>23.53</v>
      </c>
      <c r="G3711" s="3" t="n">
        <v>0</v>
      </c>
      <c r="H3711" s="3" t="n">
        <v>0</v>
      </c>
      <c r="I3711" s="3">
        <f>E3711+G3711+H3711</f>
        <v/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/>
      </c>
      <c r="K3711" s="3">
        <f>I3711-J3711</f>
        <v/>
      </c>
      <c r="L3711" s="3">
        <f>IF(K3711&lt;-5,"CRÍTICO",IF(K3711&lt;0,"ATENÇÃO",IF(K3711&lt;=5,"OPORTUNO","MUITO BOM")))</f>
        <v/>
      </c>
      <c r="M3711" s="3" t="n">
        <v>16</v>
      </c>
      <c r="N3711" s="3" t="n">
        <v>96.15000000000001</v>
      </c>
      <c r="O3711" s="12" t="n">
        <v>24.04580152671756</v>
      </c>
    </row>
    <row r="3712">
      <c r="A3712" s="10" t="n">
        <v>46118</v>
      </c>
      <c r="B3712" t="inlineStr">
        <is>
          <t>Patrícia Karla de Sousa Araújo</t>
        </is>
      </c>
      <c r="C3712" s="1" t="inlineStr">
        <is>
          <t>Técnico II</t>
        </is>
      </c>
      <c r="D3712" s="3" t="n">
        <v>31</v>
      </c>
      <c r="E3712" s="3" t="n">
        <v>27</v>
      </c>
      <c r="F3712" s="3" t="n">
        <v>20.23</v>
      </c>
      <c r="G3712" s="3" t="n">
        <v>0</v>
      </c>
      <c r="H3712" s="3" t="n">
        <v>0</v>
      </c>
      <c r="I3712" s="3">
        <f>E3712+G3712+H3712</f>
        <v/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/>
      </c>
      <c r="K3712" s="3">
        <f>I3712-J3712</f>
        <v/>
      </c>
      <c r="L3712" s="3">
        <f>IF(K3712&lt;-5,"CRÍTICO",IF(K3712&lt;0,"ATENÇÃO",IF(K3712&lt;=5,"OPORTUNO","MUITO BOM")))</f>
        <v/>
      </c>
      <c r="M3712" s="3" t="n">
        <v>24</v>
      </c>
      <c r="N3712" s="3" t="n">
        <v>99.02</v>
      </c>
      <c r="O3712" s="12" t="n">
        <v>34.7972972972973</v>
      </c>
    </row>
    <row r="3713">
      <c r="A3713" s="10" t="n">
        <v>46118</v>
      </c>
      <c r="B3713" t="inlineStr">
        <is>
          <t>Paulo Ricardo Santos</t>
        </is>
      </c>
      <c r="C3713" s="1" t="inlineStr">
        <is>
          <t>JR</t>
        </is>
      </c>
      <c r="D3713" s="3" t="n">
        <v>21</v>
      </c>
      <c r="E3713" s="3" t="n">
        <v>17</v>
      </c>
      <c r="F3713" s="3" t="n">
        <v>12.21</v>
      </c>
      <c r="G3713" s="3" t="n">
        <v>0</v>
      </c>
      <c r="H3713" s="3" t="n">
        <v>0</v>
      </c>
      <c r="I3713" s="3">
        <f>E3713+G3713+H3713</f>
        <v/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/>
      </c>
      <c r="K3713" s="3">
        <f>I3713-J3713</f>
        <v/>
      </c>
      <c r="L3713" s="3">
        <f>IF(K3713&lt;-5,"CRÍTICO",IF(K3713&lt;0,"ATENÇÃO",IF(K3713&lt;=5,"OPORTUNO","MUITO BOM")))</f>
        <v/>
      </c>
      <c r="M3713" s="3" t="n">
        <v>18</v>
      </c>
      <c r="N3713" s="3" t="n">
        <v>98.84</v>
      </c>
      <c r="O3713" s="12" t="n">
        <v>31.86813186813187</v>
      </c>
    </row>
    <row r="3714">
      <c r="A3714" s="10" t="n">
        <v>46118</v>
      </c>
      <c r="B3714" t="inlineStr">
        <is>
          <t>Pedro Luiz Mota Sousa</t>
        </is>
      </c>
      <c r="C3714" s="1" t="inlineStr">
        <is>
          <t>JR</t>
        </is>
      </c>
      <c r="D3714" s="3" t="n">
        <v>21</v>
      </c>
      <c r="E3714" s="3" t="n">
        <v>20</v>
      </c>
      <c r="F3714" s="3" t="n">
        <v>22.04</v>
      </c>
      <c r="G3714" s="3" t="n">
        <v>0</v>
      </c>
      <c r="H3714" s="3" t="n">
        <v>0</v>
      </c>
      <c r="I3714" s="3">
        <f>E3714+G3714+H3714</f>
        <v/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/>
      </c>
      <c r="K3714" s="3">
        <f>I3714-J3714</f>
        <v/>
      </c>
      <c r="L3714" s="3">
        <f>IF(K3714&lt;-5,"CRÍTICO",IF(K3714&lt;0,"ATENÇÃO",IF(K3714&lt;=5,"OPORTUNO","MUITO BOM")))</f>
        <v/>
      </c>
      <c r="M3714" s="3" t="n">
        <v>21</v>
      </c>
      <c r="N3714" s="3" t="n">
        <v>100</v>
      </c>
      <c r="O3714" s="12" t="n">
        <v>34.66666666666667</v>
      </c>
    </row>
    <row r="3715">
      <c r="A3715" s="7" t="n">
        <v>46161</v>
      </c>
      <c r="B3715" s="8" t="inlineStr">
        <is>
          <t>Brenda de Menezes Silva</t>
        </is>
      </c>
      <c r="C3715" s="1" t="inlineStr">
        <is>
          <t>Técnico II</t>
        </is>
      </c>
      <c r="D3715" s="3" t="n">
        <v>33</v>
      </c>
      <c r="E3715" s="3" t="n">
        <v>31</v>
      </c>
      <c r="F3715" s="3" t="n">
        <v>16.46</v>
      </c>
      <c r="G3715" s="3" t="n">
        <v>3</v>
      </c>
      <c r="H3715" s="3" t="n">
        <v>0</v>
      </c>
      <c r="I3715" s="3" t="n">
        <v>34</v>
      </c>
      <c r="J3715" s="3" t="n">
        <v>23</v>
      </c>
      <c r="K3715" s="3" t="n">
        <v>11</v>
      </c>
      <c r="L3715" s="3" t="inlineStr">
        <is>
          <t>EXCELENTE</t>
        </is>
      </c>
      <c r="M3715" s="3" t="n">
        <v>33</v>
      </c>
      <c r="N3715" s="3" t="n">
        <v>99.34999999999999</v>
      </c>
      <c r="O3715" s="12" t="n">
        <v>19.85294117647059</v>
      </c>
    </row>
    <row r="3716">
      <c r="A3716" s="10" t="n">
        <v>46118</v>
      </c>
      <c r="B3716" t="inlineStr">
        <is>
          <t>Raane Batista Matos</t>
        </is>
      </c>
      <c r="C3716" s="1" t="inlineStr">
        <is>
          <t>Técnico I</t>
        </is>
      </c>
      <c r="D3716" s="3" t="n">
        <v>22</v>
      </c>
      <c r="E3716" s="3" t="n">
        <v>20</v>
      </c>
      <c r="F3716" s="3" t="n">
        <v>15.13</v>
      </c>
      <c r="G3716" s="3" t="n">
        <v>0</v>
      </c>
      <c r="H3716" s="3" t="n">
        <v>0</v>
      </c>
      <c r="I3716" s="3">
        <f>E3716+G3716+H3716</f>
        <v/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/>
      </c>
      <c r="K3716" s="3">
        <f>I3716-J3716</f>
        <v/>
      </c>
      <c r="L3716" s="3">
        <f>IF(K3716&lt;-5,"CRÍTICO",IF(K3716&lt;0,"ATENÇÃO",IF(K3716&lt;=5,"OPORTUNO","MUITO BOM")))</f>
        <v/>
      </c>
      <c r="M3716" s="3" t="n">
        <v>16</v>
      </c>
      <c r="N3716" s="3" t="n">
        <v>98.31999999999999</v>
      </c>
      <c r="O3716" s="12" t="n">
        <v>26.85851318944844</v>
      </c>
    </row>
    <row r="3717">
      <c r="A3717" s="10" t="n">
        <v>46118</v>
      </c>
      <c r="B3717" t="inlineStr">
        <is>
          <t>Rafael Gomes de Morais</t>
        </is>
      </c>
      <c r="C3717" s="1" t="inlineStr">
        <is>
          <t>Técnico III</t>
        </is>
      </c>
      <c r="D3717" s="3" t="n">
        <v>44</v>
      </c>
      <c r="E3717" s="3" t="n">
        <v>37</v>
      </c>
      <c r="F3717" s="3" t="n">
        <v>12</v>
      </c>
      <c r="G3717" s="3" t="n">
        <v>0</v>
      </c>
      <c r="H3717" s="3" t="n">
        <v>0</v>
      </c>
      <c r="I3717" s="3">
        <f>E3717+G3717+H3717</f>
        <v/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/>
      </c>
      <c r="K3717" s="3">
        <f>I3717-J3717</f>
        <v/>
      </c>
      <c r="L3717" s="3">
        <f>IF(K3717&lt;-5,"CRÍTICO",IF(K3717&lt;0,"ATENÇÃO",IF(K3717&lt;=5,"OPORTUNO","MUITO BOM")))</f>
        <v/>
      </c>
      <c r="M3717" s="3" t="n">
        <v>33</v>
      </c>
      <c r="N3717" s="3" t="n">
        <v>100</v>
      </c>
      <c r="O3717" s="12" t="n">
        <v>31.13553113553114</v>
      </c>
    </row>
    <row r="3718">
      <c r="A3718" s="10" t="n">
        <v>46118</v>
      </c>
      <c r="B3718" t="inlineStr">
        <is>
          <t>Sara Maria Monteiro Lopes</t>
        </is>
      </c>
      <c r="C3718" s="1" t="inlineStr">
        <is>
          <t>Técnico I</t>
        </is>
      </c>
      <c r="D3718" s="3" t="n">
        <v>18</v>
      </c>
      <c r="E3718" s="3" t="n">
        <v>17</v>
      </c>
      <c r="F3718" s="3" t="n">
        <v>27.27</v>
      </c>
      <c r="G3718" s="3" t="n">
        <v>0</v>
      </c>
      <c r="H3718" s="3" t="n">
        <v>0</v>
      </c>
      <c r="I3718" s="3">
        <f>E3718+G3718+H3718</f>
        <v/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/>
      </c>
      <c r="K3718" s="3">
        <f>I3718-J3718</f>
        <v/>
      </c>
      <c r="L3718" s="3">
        <f>IF(K3718&lt;-5,"CRÍTICO",IF(K3718&lt;0,"ATENÇÃO",IF(K3718&lt;=5,"OPORTUNO","MUITO BOM")))</f>
        <v/>
      </c>
      <c r="M3718" s="3" t="n">
        <v>14</v>
      </c>
      <c r="N3718" s="3" t="n">
        <v>100</v>
      </c>
      <c r="O3718" s="12" t="n">
        <v>26.36986301369863</v>
      </c>
    </row>
    <row r="3719">
      <c r="A3719" s="10" t="n">
        <v>46118</v>
      </c>
      <c r="B3719" t="inlineStr">
        <is>
          <t>Sarah Steffanie de Lima Borges</t>
        </is>
      </c>
      <c r="C3719" s="1" t="inlineStr">
        <is>
          <t>Técnico III</t>
        </is>
      </c>
      <c r="D3719" s="3" t="n">
        <v>31</v>
      </c>
      <c r="E3719" s="3" t="n">
        <v>28</v>
      </c>
      <c r="F3719" s="3" t="n">
        <v>13.5</v>
      </c>
      <c r="G3719" s="3" t="n">
        <v>0</v>
      </c>
      <c r="H3719" s="3" t="n">
        <v>0</v>
      </c>
      <c r="I3719" s="3">
        <f>E3719+G3719+H3719</f>
        <v/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/>
      </c>
      <c r="K3719" s="3">
        <f>I3719-J3719</f>
        <v/>
      </c>
      <c r="L3719" s="3">
        <f>IF(K3719&lt;-5,"CRÍTICO",IF(K3719&lt;0,"ATENÇÃO",IF(K3719&lt;=5,"OPORTUNO","MUITO BOM")))</f>
        <v/>
      </c>
      <c r="M3719" s="3" t="n">
        <v>24</v>
      </c>
      <c r="N3719" s="3" t="n">
        <v>99.20999999999999</v>
      </c>
      <c r="O3719" s="12" t="n">
        <v>25.18891687657431</v>
      </c>
    </row>
    <row r="3720">
      <c r="A3720" s="10" t="n">
        <v>46119</v>
      </c>
      <c r="B3720" t="inlineStr">
        <is>
          <t>Alisson de Freitas Silva</t>
        </is>
      </c>
      <c r="C3720" s="1" t="inlineStr">
        <is>
          <t>Técnico II</t>
        </is>
      </c>
      <c r="D3720" s="3" t="n">
        <v>12</v>
      </c>
      <c r="E3720" s="3" t="n">
        <v>6</v>
      </c>
      <c r="F3720" s="3" t="n">
        <v>10.34</v>
      </c>
      <c r="G3720" s="3" t="n">
        <v>0</v>
      </c>
      <c r="H3720" s="3" t="n">
        <v>0</v>
      </c>
      <c r="I3720" s="3">
        <f>E3720+G3720+H3720</f>
        <v/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/>
      </c>
      <c r="K3720" s="3">
        <f>I3720-J3720</f>
        <v/>
      </c>
      <c r="L3720" s="3">
        <f>IF(K3720&lt;-5,"CRÍTICO",IF(K3720&lt;0,"ATENÇÃO",IF(K3720&lt;=5,"OPORTUNO","MUITO BOM")))</f>
        <v/>
      </c>
      <c r="M3720" s="3" t="n">
        <v>3</v>
      </c>
      <c r="N3720" s="3" t="n">
        <v>100</v>
      </c>
      <c r="O3720" s="12" t="n">
        <v>32.76450511945392</v>
      </c>
    </row>
    <row r="3721">
      <c r="A3721" s="10" t="n">
        <v>46119</v>
      </c>
      <c r="B3721" t="inlineStr">
        <is>
          <t>Amanda Moura Ferreira</t>
        </is>
      </c>
      <c r="C3721" s="1" t="inlineStr">
        <is>
          <t>Técnico III</t>
        </is>
      </c>
      <c r="D3721" s="3" t="n">
        <v>0</v>
      </c>
      <c r="E3721" s="3" t="n">
        <v>0</v>
      </c>
      <c r="F3721" s="3" t="n">
        <v>0</v>
      </c>
      <c r="G3721" s="3" t="n">
        <v>0</v>
      </c>
      <c r="H3721" s="3" t="n">
        <v>0</v>
      </c>
      <c r="I3721" s="3" t="n">
        <v>0</v>
      </c>
      <c r="J3721" s="3" t="n">
        <v>0</v>
      </c>
      <c r="K3721" s="3" t="n">
        <v>0</v>
      </c>
      <c r="L3721" s="3">
        <f>IF(K3721&lt;-5,"CRÍTICO",IF(K3721&lt;0,"ATENÇÃO",IF(K3721&lt;=5,"OPORTUNO","MUITO BOM")))</f>
        <v/>
      </c>
      <c r="M3721" s="3" t="n">
        <v>28</v>
      </c>
      <c r="N3721" s="3" t="n">
        <v>98.66</v>
      </c>
      <c r="O3721" s="12" t="n">
        <v>35.41666666666667</v>
      </c>
    </row>
    <row r="3722">
      <c r="A3722" s="10" t="n">
        <v>46119</v>
      </c>
      <c r="B3722" t="inlineStr">
        <is>
          <t>Ana Karollyne Souza Faria</t>
        </is>
      </c>
      <c r="C3722" s="1" t="inlineStr">
        <is>
          <t>Técnico I</t>
        </is>
      </c>
      <c r="D3722" s="3" t="n">
        <v>36</v>
      </c>
      <c r="E3722" s="3" t="n">
        <v>33</v>
      </c>
      <c r="F3722" s="3" t="n">
        <v>19.01</v>
      </c>
      <c r="G3722" s="3" t="n">
        <v>0</v>
      </c>
      <c r="H3722" s="3" t="n">
        <v>0</v>
      </c>
      <c r="I3722" s="3">
        <f>E3722+G3722+H3722</f>
        <v/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/>
      </c>
      <c r="K3722" s="3">
        <f>I3722-J3722</f>
        <v/>
      </c>
      <c r="L3722" s="3">
        <f>IF(K3722&lt;-5,"CRÍTICO",IF(K3722&lt;0,"ATENÇÃO",IF(K3722&lt;=5,"OPORTUNO","MUITO BOM")))</f>
        <v/>
      </c>
      <c r="M3722" s="3" t="n">
        <v>34</v>
      </c>
      <c r="N3722" s="3" t="n">
        <v>99.31999999999999</v>
      </c>
      <c r="O3722" s="12" t="n">
        <v>30.6483300589391</v>
      </c>
    </row>
    <row r="3723">
      <c r="A3723" s="10" t="n">
        <v>46119</v>
      </c>
      <c r="B3723" t="inlineStr">
        <is>
          <t>Ana Paula Da Luz Silva Aleixo</t>
        </is>
      </c>
      <c r="C3723" s="1" t="inlineStr">
        <is>
          <t>Técnico III</t>
        </is>
      </c>
      <c r="D3723" s="3" t="n">
        <v>30</v>
      </c>
      <c r="E3723" s="3" t="n">
        <v>28</v>
      </c>
      <c r="F3723" s="3" t="n">
        <v>23.42</v>
      </c>
      <c r="G3723" s="3" t="n">
        <v>0</v>
      </c>
      <c r="H3723" s="3" t="n">
        <v>0</v>
      </c>
      <c r="I3723" s="3">
        <f>E3723+G3723+H3723</f>
        <v/>
      </c>
      <c r="J3723" s="3">
        <f>ROUND(MIN(IF(C3723="Técnico III",35,IF(C3723="Técnico II",28,IF(C3723="Técnico I",23,IF(C3723="JR",20,IF(C3723="Estágio",10,0))))),IF(C3723="Técnico III",SUMIFS($D:$D,$A:$A,$A3723,$B:$B,"&lt;&gt;Patrícia Karla de Sousa Araújo",$B:$B,"&lt;&gt;Lorena Dias de Araujo",$B:$B,"&lt;&gt;Lucas Luiz Romero")*(35/1083),IF(C3723="Técnico II",SUMIFS($D:$D,$A:$A,$A3723,$B:$B,"&lt;&gt;Patrícia Karla de Sousa Araújo",$B:$B,"&lt;&gt;Lorena Dias de Araujo",$B:$B,"&lt;&gt;Lucas Luiz Romero")*(28/1083),IF(C3723="Técnico I",SUMIFS($D:$D,$A:$A,$A3723,$B:$B,"&lt;&gt;Patrícia Karla de Sousa Araújo",$B:$B,"&lt;&gt;Lorena Dias de Araujo",$B:$B,"&lt;&gt;Lucas Luiz Romero")*(23/1083),IF(C3723="JR",SUMIFS($D:$D,$A:$A,$A3723,$B:$B,"&lt;&gt;Patrícia Karla de Sousa Araújo",$B:$B,"&lt;&gt;Lorena Dias de Araujo",$B:$B,"&lt;&gt;Lucas Luiz Romero")*(20/1083),IF(C3723="Estágio",SUMIFS($D:$D,$A:$A,$A3723,$B:$B,"&lt;&gt;Patrícia Karla de Sousa Araújo",$B:$B,"&lt;&gt;Lorena Dias de Araujo",$B:$B,"&lt;&gt;Lucas Luiz Romero")*(10/1083),0)))))),0)</f>
        <v/>
      </c>
      <c r="K3723" s="3">
        <f>I3723-J3723</f>
        <v/>
      </c>
      <c r="L3723" s="3">
        <f>IF(K3723&lt;-5,"CRÍTICO",IF(K3723&lt;0,"ATENÇÃO",IF(K3723&lt;=5,"OPORTUNO","MUITO BOM")))</f>
        <v/>
      </c>
      <c r="M3723" s="3" t="n">
        <v>27</v>
      </c>
      <c r="N3723" s="3" t="n">
        <v>100</v>
      </c>
      <c r="O3723" s="12" t="n">
        <v>27.80373831775701</v>
      </c>
    </row>
    <row r="3724">
      <c r="A3724" s="10" t="n">
        <v>46119</v>
      </c>
      <c r="B3724" t="inlineStr">
        <is>
          <t>Anna Luiza Rezende Tavares</t>
        </is>
      </c>
      <c r="C3724" s="1" t="inlineStr">
        <is>
          <t>Estágio</t>
        </is>
      </c>
      <c r="D3724" s="3" t="n">
        <v>25</v>
      </c>
      <c r="E3724" s="3" t="n">
        <v>23</v>
      </c>
      <c r="F3724" s="3" t="n">
        <v>12.33</v>
      </c>
      <c r="G3724" s="3" t="n">
        <v>0</v>
      </c>
      <c r="H3724" s="3" t="n">
        <v>0</v>
      </c>
      <c r="I3724" s="3">
        <f>E3724+G3724+H3724</f>
        <v/>
      </c>
      <c r="J3724" s="3">
        <f>ROUND(MIN(IF(C3724="Técnico III",35,IF(C3724="Técnico II",28,IF(C3724="Técnico I",23,IF(C3724="JR",20,IF(C3724="Estágio",10,0))))),IF(C3724="Técnico III",SUMIFS($D:$D,$A:$A,$A3724,$B:$B,"&lt;&gt;Patrícia Karla de Sousa Araújo",$B:$B,"&lt;&gt;Lorena Dias de Araujo",$B:$B,"&lt;&gt;Lucas Luiz Romero")*(35/1083),IF(C3724="Técnico II",SUMIFS($D:$D,$A:$A,$A3724,$B:$B,"&lt;&gt;Patrícia Karla de Sousa Araújo",$B:$B,"&lt;&gt;Lorena Dias de Araujo",$B:$B,"&lt;&gt;Lucas Luiz Romero")*(28/1083),IF(C3724="Técnico I",SUMIFS($D:$D,$A:$A,$A3724,$B:$B,"&lt;&gt;Patrícia Karla de Sousa Araújo",$B:$B,"&lt;&gt;Lorena Dias de Araujo",$B:$B,"&lt;&gt;Lucas Luiz Romero")*(23/1083),IF(C3724="JR",SUMIFS($D:$D,$A:$A,$A3724,$B:$B,"&lt;&gt;Patrícia Karla de Sousa Araújo",$B:$B,"&lt;&gt;Lorena Dias de Araujo",$B:$B,"&lt;&gt;Lucas Luiz Romero")*(20/1083),IF(C3724="Estágio",SUMIFS($D:$D,$A:$A,$A3724,$B:$B,"&lt;&gt;Patrícia Karla de Sousa Araújo",$B:$B,"&lt;&gt;Lorena Dias de Araujo",$B:$B,"&lt;&gt;Lucas Luiz Romero")*(10/1083),0)))))),0)</f>
        <v/>
      </c>
      <c r="K3724" s="3">
        <f>I3724-J3724</f>
        <v/>
      </c>
      <c r="L3724" s="3">
        <f>IF(K3724&lt;-5,"CRÍTICO",IF(K3724&lt;0,"ATENÇÃO",IF(K3724&lt;=5,"OPORTUNO","MUITO BOM")))</f>
        <v/>
      </c>
      <c r="M3724" s="3" t="n">
        <v>20</v>
      </c>
      <c r="N3724" s="3" t="n">
        <v>96.73999999999999</v>
      </c>
      <c r="O3724" s="12" t="n">
        <v>28.67647058823529</v>
      </c>
    </row>
    <row r="3725">
      <c r="A3725" s="10" t="n">
        <v>46119</v>
      </c>
      <c r="B3725" t="inlineStr">
        <is>
          <t>Brenda de Menezes Silva</t>
        </is>
      </c>
      <c r="C3725" s="1" t="inlineStr">
        <is>
          <t>Técnico II</t>
        </is>
      </c>
      <c r="D3725" s="3" t="n">
        <v>41</v>
      </c>
      <c r="E3725" s="3" t="n">
        <v>38</v>
      </c>
      <c r="F3725" s="3" t="n">
        <v>19.13</v>
      </c>
      <c r="G3725" s="3" t="n">
        <v>0</v>
      </c>
      <c r="H3725" s="3" t="n">
        <v>0</v>
      </c>
      <c r="I3725" s="3">
        <f>E3725+G3725+H3725</f>
        <v/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/>
      </c>
      <c r="K3725" s="3">
        <f>I3725-J3725</f>
        <v/>
      </c>
      <c r="L3725" s="3">
        <f>IF(K3725&lt;-5,"CRÍTICO",IF(K3725&lt;0,"ATENÇÃO",IF(K3725&lt;=5,"OPORTUNO","MUITO BOM")))</f>
        <v/>
      </c>
      <c r="M3725" s="3" t="n">
        <v>38</v>
      </c>
      <c r="N3725" s="3" t="n">
        <v>98.81999999999999</v>
      </c>
      <c r="O3725" s="12" t="n">
        <v>30.74141048824593</v>
      </c>
    </row>
    <row r="3726">
      <c r="A3726" s="10" t="n">
        <v>46119</v>
      </c>
      <c r="B3726" t="inlineStr">
        <is>
          <t>Carlos Mateus Cassimiro Nunes</t>
        </is>
      </c>
      <c r="C3726" s="1" t="inlineStr">
        <is>
          <t>Técnico II</t>
        </is>
      </c>
      <c r="D3726" s="3" t="n">
        <v>28</v>
      </c>
      <c r="E3726" s="3" t="n">
        <v>28</v>
      </c>
      <c r="F3726" s="3" t="n">
        <v>23.32</v>
      </c>
      <c r="G3726" s="3" t="n">
        <v>0</v>
      </c>
      <c r="H3726" s="3" t="n">
        <v>0</v>
      </c>
      <c r="I3726" s="3">
        <f>E3726+G3726+H3726</f>
        <v/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/>
      </c>
      <c r="K3726" s="3">
        <f>I3726-J3726</f>
        <v/>
      </c>
      <c r="L3726" s="3">
        <f>IF(K3726&lt;-5,"CRÍTICO",IF(K3726&lt;0,"ATENÇÃO",IF(K3726&lt;=5,"OPORTUNO","MUITO BOM")))</f>
        <v/>
      </c>
      <c r="M3726" s="3" t="n">
        <v>30</v>
      </c>
      <c r="N3726" s="3" t="n">
        <v>98.2</v>
      </c>
      <c r="O3726" s="12" t="n">
        <v>27.17086834733893</v>
      </c>
    </row>
    <row r="3727">
      <c r="A3727" s="10" t="n">
        <v>46119</v>
      </c>
      <c r="B3727" t="inlineStr">
        <is>
          <t>Claudio de Sousa Velasco Filho</t>
        </is>
      </c>
      <c r="C3727" s="1" t="inlineStr">
        <is>
          <t>Estágio</t>
        </is>
      </c>
      <c r="D3727" s="3" t="n">
        <v>13</v>
      </c>
      <c r="E3727" s="3" t="n">
        <v>10</v>
      </c>
      <c r="F3727" s="3" t="n">
        <v>17.32</v>
      </c>
      <c r="G3727" s="3" t="n">
        <v>0</v>
      </c>
      <c r="H3727" s="3" t="n">
        <v>0</v>
      </c>
      <c r="I3727" s="3">
        <f>E3727+G3727+H3727</f>
        <v/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/>
      </c>
      <c r="K3727" s="3">
        <f>I3727-J3727</f>
        <v/>
      </c>
      <c r="L3727" s="3">
        <f>IF(K3727&lt;-5,"CRÍTICO",IF(K3727&lt;0,"ATENÇÃO",IF(K3727&lt;=5,"OPORTUNO","MUITO BOM")))</f>
        <v/>
      </c>
      <c r="M3727" s="3" t="n">
        <v>10</v>
      </c>
      <c r="N3727" s="3" t="n">
        <v>100</v>
      </c>
      <c r="O3727" s="12" t="n">
        <v>23.13432835820895</v>
      </c>
    </row>
    <row r="3728">
      <c r="A3728" s="10" t="n">
        <v>46119</v>
      </c>
      <c r="B3728" t="inlineStr">
        <is>
          <t>Clessiane Pereira dos Santos</t>
        </is>
      </c>
      <c r="C3728" s="1" t="inlineStr">
        <is>
          <t>Técnico I</t>
        </is>
      </c>
      <c r="D3728" s="3" t="n">
        <v>26</v>
      </c>
      <c r="E3728" s="3" t="n">
        <v>24</v>
      </c>
      <c r="F3728" s="3" t="n">
        <v>20.11</v>
      </c>
      <c r="G3728" s="3" t="n">
        <v>0</v>
      </c>
      <c r="H3728" s="3" t="n">
        <v>0</v>
      </c>
      <c r="I3728" s="3">
        <f>E3728+G3728+H3728</f>
        <v/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/>
      </c>
      <c r="K3728" s="3">
        <f>I3728-J3728</f>
        <v/>
      </c>
      <c r="L3728" s="3">
        <f>IF(K3728&lt;-5,"CRÍTICO",IF(K3728&lt;0,"ATENÇÃO",IF(K3728&lt;=5,"OPORTUNO","MUITO BOM")))</f>
        <v/>
      </c>
      <c r="M3728" s="3" t="n">
        <v>20</v>
      </c>
      <c r="N3728" s="3" t="n">
        <v>96.3</v>
      </c>
      <c r="O3728" s="12" t="n">
        <v>32.21957040572792</v>
      </c>
    </row>
    <row r="3729">
      <c r="A3729" s="10" t="n">
        <v>46119</v>
      </c>
      <c r="B3729" t="inlineStr">
        <is>
          <t>Cristiane Ramos da Silva Rocha</t>
        </is>
      </c>
      <c r="C3729" s="1" t="inlineStr">
        <is>
          <t>Técnico III</t>
        </is>
      </c>
      <c r="D3729" s="3" t="n">
        <v>46</v>
      </c>
      <c r="E3729" s="3" t="n">
        <v>39</v>
      </c>
      <c r="F3729" s="3" t="n">
        <v>10.37</v>
      </c>
      <c r="G3729" s="3" t="n">
        <v>0</v>
      </c>
      <c r="H3729" s="3" t="n">
        <v>0</v>
      </c>
      <c r="I3729" s="3">
        <f>E3729+G3729+H3729</f>
        <v/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/>
      </c>
      <c r="K3729" s="3">
        <f>I3729-J3729</f>
        <v/>
      </c>
      <c r="L3729" s="3">
        <f>IF(K3729&lt;-5,"CRÍTICO",IF(K3729&lt;0,"ATENÇÃO",IF(K3729&lt;=5,"OPORTUNO","MUITO BOM")))</f>
        <v/>
      </c>
      <c r="M3729" s="3" t="n">
        <v>37</v>
      </c>
      <c r="N3729" s="3" t="n">
        <v>93.75</v>
      </c>
      <c r="O3729" s="12" t="n">
        <v>26.81992337164751</v>
      </c>
    </row>
    <row r="3730">
      <c r="A3730" s="10" t="n">
        <v>46119</v>
      </c>
      <c r="B3730" t="inlineStr">
        <is>
          <t>Damyllis Lorraine de Oliveira Gonçalves</t>
        </is>
      </c>
      <c r="C3730" s="1" t="inlineStr">
        <is>
          <t>Técnico II</t>
        </is>
      </c>
      <c r="D3730" s="3" t="n">
        <v>33</v>
      </c>
      <c r="E3730" s="3" t="n">
        <v>31</v>
      </c>
      <c r="F3730" s="3" t="n">
        <v>15.14</v>
      </c>
      <c r="G3730" s="3" t="n">
        <v>0</v>
      </c>
      <c r="H3730" s="3" t="n">
        <v>0</v>
      </c>
      <c r="I3730" s="3" t="n">
        <v>0</v>
      </c>
      <c r="J3730" s="3" t="n">
        <v>0</v>
      </c>
      <c r="K3730" s="3" t="n">
        <v>0</v>
      </c>
      <c r="L3730" s="3">
        <f>IF(K3730&lt;-5,"CRÍTICO",IF(K3730&lt;0,"ATENÇÃO",IF(K3730&lt;=5,"OPORTUNO","MUITO BOM")))</f>
        <v/>
      </c>
      <c r="M3730" s="3" t="n">
        <v>23</v>
      </c>
      <c r="N3730" s="3" t="n">
        <v>97.86</v>
      </c>
      <c r="O3730" s="12" t="n">
        <v>31.01851851851852</v>
      </c>
    </row>
    <row r="3731">
      <c r="A3731" s="10" t="n">
        <v>46119</v>
      </c>
      <c r="B3731" t="inlineStr">
        <is>
          <t>Daniel Gomes da Silva</t>
        </is>
      </c>
      <c r="C3731" s="1" t="inlineStr">
        <is>
          <t>Técnico I</t>
        </is>
      </c>
      <c r="D3731" s="3" t="n">
        <v>31</v>
      </c>
      <c r="E3731" s="3" t="n">
        <v>28</v>
      </c>
      <c r="F3731" s="3" t="n">
        <v>14.15</v>
      </c>
      <c r="G3731" s="3" t="n">
        <v>0</v>
      </c>
      <c r="H3731" s="3" t="n">
        <v>0</v>
      </c>
      <c r="I3731" s="3">
        <f>E3731+G3731+H3731</f>
        <v/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/>
      </c>
      <c r="K3731" s="3">
        <f>I3731-J3731</f>
        <v/>
      </c>
      <c r="L3731" s="3">
        <f>IF(K3731&lt;-5,"CRÍTICO",IF(K3731&lt;0,"ATENÇÃO",IF(K3731&lt;=5,"OPORTUNO","MUITO BOM")))</f>
        <v/>
      </c>
      <c r="M3731" s="3" t="n">
        <v>23</v>
      </c>
      <c r="N3731" s="3" t="n">
        <v>100</v>
      </c>
      <c r="O3731" s="12" t="n">
        <v>36.59420289855073</v>
      </c>
    </row>
    <row r="3732">
      <c r="A3732" s="10" t="n">
        <v>46119</v>
      </c>
      <c r="B3732" t="inlineStr">
        <is>
          <t>Davylla Rodrigues Freitas Silva</t>
        </is>
      </c>
      <c r="C3732" s="1" t="inlineStr">
        <is>
          <t>Técnico III</t>
        </is>
      </c>
      <c r="D3732" s="3" t="n">
        <v>30</v>
      </c>
      <c r="E3732" s="3" t="n">
        <v>30</v>
      </c>
      <c r="F3732" s="3" t="n">
        <v>20.47</v>
      </c>
      <c r="G3732" s="3" t="n">
        <v>0</v>
      </c>
      <c r="H3732" s="3" t="n">
        <v>0</v>
      </c>
      <c r="I3732" s="3" t="n">
        <v>0</v>
      </c>
      <c r="J3732" s="3" t="n">
        <v>0</v>
      </c>
      <c r="K3732" s="3" t="n">
        <v>0</v>
      </c>
      <c r="L3732" s="3">
        <f>IF(K3732&lt;-5,"CRÍTICO",IF(K3732&lt;0,"ATENÇÃO",IF(K3732&lt;=5,"OPORTUNO","MUITO BOM")))</f>
        <v/>
      </c>
      <c r="M3732" s="3" t="n">
        <v>29</v>
      </c>
      <c r="N3732" s="3" t="n">
        <v>100</v>
      </c>
      <c r="O3732" s="12" t="n">
        <v>38.65384615384615</v>
      </c>
    </row>
    <row r="3733">
      <c r="A3733" s="10" t="n">
        <v>46119</v>
      </c>
      <c r="B3733" t="inlineStr">
        <is>
          <t>Emilly Caylane Costa</t>
        </is>
      </c>
      <c r="C3733" s="1" t="inlineStr">
        <is>
          <t>Estágio</t>
        </is>
      </c>
      <c r="D3733" s="3" t="n">
        <v>5</v>
      </c>
      <c r="E3733" s="3" t="n">
        <v>5</v>
      </c>
      <c r="F3733" s="3" t="n">
        <v>43.39</v>
      </c>
      <c r="G3733" s="3" t="n">
        <v>0</v>
      </c>
      <c r="H3733" s="3" t="n">
        <v>0</v>
      </c>
      <c r="I3733" s="3">
        <f>E3733+G3733+H3733</f>
        <v/>
      </c>
      <c r="J3733" s="3">
        <f>ROUND(MIN(IF(C3733="Técnico III",35,IF(C3733="Técnico II",28,IF(C3733="Técnico I",23,IF(C3733="JR",20,IF(C3733="Estágio",10,0))))),IF(C3733="Técnico III",SUMIFS($D:$D,$A:$A,$A3733,$B:$B,"&lt;&gt;Patrícia Karla de Sousa Araújo",$B:$B,"&lt;&gt;Lorena Dias de Araujo",$B:$B,"&lt;&gt;Lucas Luiz Romero")*(35/1083),IF(C3733="Técnico II",SUMIFS($D:$D,$A:$A,$A3733,$B:$B,"&lt;&gt;Patrícia Karla de Sousa Araújo",$B:$B,"&lt;&gt;Lorena Dias de Araujo",$B:$B,"&lt;&gt;Lucas Luiz Romero")*(28/1083),IF(C3733="Técnico I",SUMIFS($D:$D,$A:$A,$A3733,$B:$B,"&lt;&gt;Patrícia Karla de Sousa Araújo",$B:$B,"&lt;&gt;Lorena Dias de Araujo",$B:$B,"&lt;&gt;Lucas Luiz Romero")*(23/1083),IF(C3733="JR",SUMIFS($D:$D,$A:$A,$A3733,$B:$B,"&lt;&gt;Patrícia Karla de Sousa Araújo",$B:$B,"&lt;&gt;Lorena Dias de Araujo",$B:$B,"&lt;&gt;Lucas Luiz Romero")*(20/1083),IF(C3733="Estágio",SUMIFS($D:$D,$A:$A,$A3733,$B:$B,"&lt;&gt;Patrícia Karla de Sousa Araújo",$B:$B,"&lt;&gt;Lorena Dias de Araujo",$B:$B,"&lt;&gt;Lucas Luiz Romero")*(10/1083),0)))))),0)</f>
        <v/>
      </c>
      <c r="K3733" s="3">
        <f>I3733-J3733</f>
        <v/>
      </c>
      <c r="L3733" s="3">
        <f>IF(K3733&lt;-5,"CRÍTICO",IF(K3733&lt;0,"ATENÇÃO",IF(K3733&lt;=5,"OPORTUNO","MUITO BOM")))</f>
        <v/>
      </c>
      <c r="M3733" s="3" t="n">
        <v>5</v>
      </c>
      <c r="N3733" s="3" t="n">
        <v>100</v>
      </c>
      <c r="O3733" s="12" t="n">
        <v>27.36842105263158</v>
      </c>
    </row>
    <row r="3734">
      <c r="A3734" s="10" t="n">
        <v>46119</v>
      </c>
      <c r="B3734" t="inlineStr">
        <is>
          <t>Emilly Kamilly Medeiros Miranda</t>
        </is>
      </c>
      <c r="C3734" s="1" t="inlineStr">
        <is>
          <t>Técnico II</t>
        </is>
      </c>
      <c r="D3734" s="3" t="n">
        <v>18</v>
      </c>
      <c r="E3734" s="3" t="n">
        <v>18</v>
      </c>
      <c r="F3734" s="3" t="n">
        <v>19.12</v>
      </c>
      <c r="G3734" s="3" t="n">
        <v>0</v>
      </c>
      <c r="H3734" s="3" t="n">
        <v>0</v>
      </c>
      <c r="I3734" s="3">
        <f>E3734+G3734+H3734</f>
        <v/>
      </c>
      <c r="J3734" s="3">
        <f>ROUND(MIN(IF(C3734="Técnico III",35,IF(C3734="Técnico II",28,IF(C3734="Técnico I",23,IF(C3734="JR",20,IF(C3734="Estágio",10,0))))),IF(C3734="Técnico III",SUMIFS($D:$D,$A:$A,$A3734,$B:$B,"&lt;&gt;Patrícia Karla de Sousa Araújo",$B:$B,"&lt;&gt;Lorena Dias de Araujo",$B:$B,"&lt;&gt;Lucas Luiz Romero")*(35/1083),IF(C3734="Técnico II",SUMIFS($D:$D,$A:$A,$A3734,$B:$B,"&lt;&gt;Patrícia Karla de Sousa Araújo",$B:$B,"&lt;&gt;Lorena Dias de Araujo",$B:$B,"&lt;&gt;Lucas Luiz Romero")*(28/1083),IF(C3734="Técnico I",SUMIFS($D:$D,$A:$A,$A3734,$B:$B,"&lt;&gt;Patrícia Karla de Sousa Araújo",$B:$B,"&lt;&gt;Lorena Dias de Araujo",$B:$B,"&lt;&gt;Lucas Luiz Romero")*(23/1083),IF(C3734="JR",SUMIFS($D:$D,$A:$A,$A3734,$B:$B,"&lt;&gt;Patrícia Karla de Sousa Araújo",$B:$B,"&lt;&gt;Lorena Dias de Araujo",$B:$B,"&lt;&gt;Lucas Luiz Romero")*(20/1083),IF(C3734="Estágio",SUMIFS($D:$D,$A:$A,$A3734,$B:$B,"&lt;&gt;Patrícia Karla de Sousa Araújo",$B:$B,"&lt;&gt;Lorena Dias de Araujo",$B:$B,"&lt;&gt;Lucas Luiz Romero")*(10/1083),0)))))),0)</f>
        <v/>
      </c>
      <c r="K3734" s="3">
        <f>I3734-J3734</f>
        <v/>
      </c>
      <c r="L3734" s="3">
        <f>IF(K3734&lt;-5,"CRÍTICO",IF(K3734&lt;0,"ATENÇÃO",IF(K3734&lt;=5,"OPORTUNO","MUITO BOM")))</f>
        <v/>
      </c>
      <c r="M3734" s="3" t="n">
        <v>19</v>
      </c>
      <c r="N3734" s="3" t="n">
        <v>97.83</v>
      </c>
      <c r="O3734" s="12" t="n">
        <v>28.35164835164835</v>
      </c>
    </row>
    <row r="3735">
      <c r="A3735" s="10" t="n">
        <v>46119</v>
      </c>
      <c r="B3735" t="inlineStr">
        <is>
          <t>Francielson de Oliveira</t>
        </is>
      </c>
      <c r="C3735" s="1" t="inlineStr">
        <is>
          <t>Técnico III</t>
        </is>
      </c>
      <c r="D3735" s="3" t="n">
        <v>29</v>
      </c>
      <c r="E3735" s="3" t="n">
        <v>29</v>
      </c>
      <c r="F3735" s="3" t="n">
        <v>16.48</v>
      </c>
      <c r="G3735" s="3" t="n">
        <v>0</v>
      </c>
      <c r="H3735" s="3" t="n">
        <v>0</v>
      </c>
      <c r="I3735" s="3">
        <f>E3735+G3735+H3735</f>
        <v/>
      </c>
      <c r="J3735" s="3">
        <f>ROUND(MIN(IF(C3735="Técnico III",35,IF(C3735="Técnico II",28,IF(C3735="Técnico I",23,IF(C3735="JR",20,IF(C3735="Estágio",10,0))))),IF(C3735="Técnico III",SUMIFS($D:$D,$A:$A,$A3735,$B:$B,"&lt;&gt;Patrícia Karla de Sousa Araújo",$B:$B,"&lt;&gt;Lorena Dias de Araujo",$B:$B,"&lt;&gt;Lucas Luiz Romero")*(35/1083),IF(C3735="Técnico II",SUMIFS($D:$D,$A:$A,$A3735,$B:$B,"&lt;&gt;Patrícia Karla de Sousa Araújo",$B:$B,"&lt;&gt;Lorena Dias de Araujo",$B:$B,"&lt;&gt;Lucas Luiz Romero")*(28/1083),IF(C3735="Técnico I",SUMIFS($D:$D,$A:$A,$A3735,$B:$B,"&lt;&gt;Patrícia Karla de Sousa Araújo",$B:$B,"&lt;&gt;Lorena Dias de Araujo",$B:$B,"&lt;&gt;Lucas Luiz Romero")*(23/1083),IF(C3735="JR",SUMIFS($D:$D,$A:$A,$A3735,$B:$B,"&lt;&gt;Patrícia Karla de Sousa Araújo",$B:$B,"&lt;&gt;Lorena Dias de Araujo",$B:$B,"&lt;&gt;Lucas Luiz Romero")*(20/1083),IF(C3735="Estágio",SUMIFS($D:$D,$A:$A,$A3735,$B:$B,"&lt;&gt;Patrícia Karla de Sousa Araújo",$B:$B,"&lt;&gt;Lorena Dias de Araujo",$B:$B,"&lt;&gt;Lucas Luiz Romero")*(10/1083),0)))))),0)</f>
        <v/>
      </c>
      <c r="K3735" s="3">
        <f>I3735-J3735</f>
        <v/>
      </c>
      <c r="L3735" s="3">
        <f>IF(K3735&lt;-5,"CRÍTICO",IF(K3735&lt;0,"ATENÇÃO",IF(K3735&lt;=5,"OPORTUNO","MUITO BOM")))</f>
        <v/>
      </c>
      <c r="M3735" s="3" t="n">
        <v>29</v>
      </c>
      <c r="N3735" s="3" t="n">
        <v>99.26000000000001</v>
      </c>
      <c r="O3735" s="12" t="n">
        <v>29.76653696498055</v>
      </c>
    </row>
    <row r="3736">
      <c r="A3736" s="10" t="n">
        <v>46119</v>
      </c>
      <c r="B3736" t="inlineStr">
        <is>
          <t>Francilene Ferreira de Jesus</t>
        </is>
      </c>
      <c r="C3736" s="1" t="inlineStr">
        <is>
          <t>Técnico II</t>
        </is>
      </c>
      <c r="D3736" s="3" t="n">
        <v>27</v>
      </c>
      <c r="E3736" s="3" t="n">
        <v>26</v>
      </c>
      <c r="F3736" s="3" t="n">
        <v>18.52</v>
      </c>
      <c r="G3736" s="3" t="n">
        <v>0</v>
      </c>
      <c r="H3736" s="3" t="n">
        <v>0</v>
      </c>
      <c r="I3736" s="3">
        <f>E3736+G3736+H3736</f>
        <v/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/>
      </c>
      <c r="K3736" s="3">
        <f>I3736-J3736</f>
        <v/>
      </c>
      <c r="L3736" s="3">
        <f>IF(K3736&lt;-5,"CRÍTICO",IF(K3736&lt;0,"ATENÇÃO",IF(K3736&lt;=5,"OPORTUNO","MUITO BOM")))</f>
        <v/>
      </c>
      <c r="M3736" s="3" t="n">
        <v>24</v>
      </c>
      <c r="N3736" s="3" t="n">
        <v>99.19</v>
      </c>
      <c r="O3736" s="12" t="n">
        <v>29.46236559139785</v>
      </c>
    </row>
    <row r="3737">
      <c r="A3737" s="5" t="n">
        <v>46154</v>
      </c>
      <c r="B3737" s="6" t="inlineStr">
        <is>
          <t>Michelle G Santos</t>
        </is>
      </c>
      <c r="C3737" s="1" t="inlineStr">
        <is>
          <t>Estágio</t>
        </is>
      </c>
      <c r="D3737" s="3" t="n">
        <v>9</v>
      </c>
      <c r="E3737" s="3" t="n">
        <v>7</v>
      </c>
      <c r="F3737" s="3" t="n">
        <v>29.01</v>
      </c>
      <c r="G3737" s="3" t="n">
        <v>0</v>
      </c>
      <c r="H3737" s="3" t="n">
        <v>0</v>
      </c>
      <c r="I3737" s="3">
        <f>E3737+G3737+H3737</f>
        <v/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/>
      </c>
      <c r="K3737" s="3">
        <f>I3737-J3737</f>
        <v/>
      </c>
      <c r="L3737" s="3">
        <f>IF(K3737&lt;-5,"CRÍTICO",IF(K3737&lt;0,"ATENÇÃO",IF(K3737&lt;=5,"OPORTUNO","MUITO BOM")))</f>
        <v/>
      </c>
      <c r="M3737" s="3" t="n">
        <v>4</v>
      </c>
      <c r="N3737" s="3" t="n">
        <v>100</v>
      </c>
      <c r="O3737" s="12" t="n">
        <v>17.1875</v>
      </c>
    </row>
    <row r="3738">
      <c r="A3738" s="10" t="n">
        <v>46119</v>
      </c>
      <c r="B3738" t="inlineStr">
        <is>
          <t>Isabella Borges de Oliveira</t>
        </is>
      </c>
      <c r="C3738" s="1" t="inlineStr">
        <is>
          <t>Técnico II</t>
        </is>
      </c>
      <c r="D3738" s="3" t="n">
        <v>0</v>
      </c>
      <c r="E3738" s="3" t="n">
        <v>0</v>
      </c>
      <c r="F3738" s="3" t="n">
        <v>0</v>
      </c>
      <c r="G3738" s="3" t="n">
        <v>0</v>
      </c>
      <c r="H3738" s="3" t="n">
        <v>0</v>
      </c>
      <c r="I3738" s="3" t="n">
        <v>0</v>
      </c>
      <c r="J3738" s="3" t="n">
        <v>0</v>
      </c>
      <c r="K3738" s="3" t="n">
        <v>0</v>
      </c>
      <c r="L3738" s="3">
        <f>IF(K3738&lt;-5,"CRÍTICO",IF(K3738&lt;0,"ATENÇÃO",IF(K3738&lt;=5,"OPORTUNO","MUITO BOM")))</f>
        <v/>
      </c>
      <c r="M3738" s="3" t="n">
        <v>0</v>
      </c>
      <c r="N3738" s="3" t="n">
        <v>100</v>
      </c>
      <c r="O3738" s="12" t="n">
        <v>28.92156862745098</v>
      </c>
    </row>
    <row r="3739">
      <c r="A3739" s="10" t="n">
        <v>46119</v>
      </c>
      <c r="B3739" t="inlineStr">
        <is>
          <t>Janaina Lima dos Reis Urany</t>
        </is>
      </c>
      <c r="C3739" s="1" t="inlineStr">
        <is>
          <t>Técnico III</t>
        </is>
      </c>
      <c r="D3739" s="3" t="n">
        <v>46</v>
      </c>
      <c r="E3739" s="3" t="n">
        <v>43</v>
      </c>
      <c r="F3739" s="3" t="n">
        <v>10.53</v>
      </c>
      <c r="G3739" s="3" t="n">
        <v>0</v>
      </c>
      <c r="H3739" s="3" t="n">
        <v>0</v>
      </c>
      <c r="I3739" s="3">
        <f>E3739+G3739+H3739</f>
        <v/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/>
      </c>
      <c r="K3739" s="3">
        <f>I3739-J3739</f>
        <v/>
      </c>
      <c r="L3739" s="3">
        <f>IF(K3739&lt;-5,"CRÍTICO",IF(K3739&lt;0,"ATENÇÃO",IF(K3739&lt;=5,"OPORTUNO","MUITO BOM")))</f>
        <v/>
      </c>
      <c r="M3739" s="3" t="n">
        <v>48</v>
      </c>
      <c r="N3739" s="3" t="n">
        <v>99.56999999999999</v>
      </c>
      <c r="O3739" s="12" t="n">
        <v>30.63583815028902</v>
      </c>
    </row>
    <row r="3740">
      <c r="A3740" s="10" t="n">
        <v>46119</v>
      </c>
      <c r="B3740" t="inlineStr">
        <is>
          <t>Jaqueline Evangelista da Silva Martins</t>
        </is>
      </c>
      <c r="C3740" s="1" t="inlineStr">
        <is>
          <t>Técnico III</t>
        </is>
      </c>
      <c r="D3740" s="3" t="n">
        <v>0</v>
      </c>
      <c r="E3740" s="3" t="n">
        <v>0</v>
      </c>
      <c r="F3740" s="3" t="n">
        <v>0</v>
      </c>
      <c r="G3740" s="3" t="n">
        <v>0</v>
      </c>
      <c r="H3740" s="3" t="n">
        <v>0</v>
      </c>
      <c r="I3740" s="3" t="n">
        <v>0</v>
      </c>
      <c r="J3740" s="3" t="n">
        <v>0</v>
      </c>
      <c r="K3740" s="3" t="n">
        <v>0</v>
      </c>
      <c r="L3740" s="3">
        <f>IF(K3740&lt;-5,"CRÍTICO",IF(K3740&lt;0,"ATENÇÃO",IF(K3740&lt;=5,"OPORTUNO","MUITO BOM")))</f>
        <v/>
      </c>
      <c r="M3740" s="3" t="n">
        <v>0</v>
      </c>
      <c r="N3740" s="3" t="n">
        <v>95.65000000000001</v>
      </c>
      <c r="O3740" s="12" t="n">
        <v>32.43243243243244</v>
      </c>
    </row>
    <row r="3741">
      <c r="A3741" s="10" t="n">
        <v>46119</v>
      </c>
      <c r="B3741" t="inlineStr">
        <is>
          <t>Jessica Faria da Silveira</t>
        </is>
      </c>
      <c r="C3741" s="1" t="inlineStr">
        <is>
          <t>Técnico II</t>
        </is>
      </c>
      <c r="D3741" s="3" t="n">
        <v>27</v>
      </c>
      <c r="E3741" s="3" t="n">
        <v>24</v>
      </c>
      <c r="F3741" s="3" t="n">
        <v>15.58</v>
      </c>
      <c r="G3741" s="3" t="n">
        <v>0</v>
      </c>
      <c r="H3741" s="3" t="n">
        <v>0</v>
      </c>
      <c r="I3741" s="3">
        <f>E3741+G3741+H3741</f>
        <v/>
      </c>
      <c r="J3741" s="3">
        <f>ROUND(MIN(IF(C3741="Técnico III",35,IF(C3741="Técnico II",28,IF(C3741="Técnico I",23,IF(C3741="JR",20,IF(C3741="Estágio",10,0))))),IF(C3741="Técnico III",SUMIFS($D:$D,$A:$A,$A3741,$B:$B,"&lt;&gt;Patrícia Karla de Sousa Araújo",$B:$B,"&lt;&gt;Lorena Dias de Araujo",$B:$B,"&lt;&gt;Lucas Luiz Romero")*(35/1083),IF(C3741="Técnico II",SUMIFS($D:$D,$A:$A,$A3741,$B:$B,"&lt;&gt;Patrícia Karla de Sousa Araújo",$B:$B,"&lt;&gt;Lorena Dias de Araujo",$B:$B,"&lt;&gt;Lucas Luiz Romero")*(28/1083),IF(C3741="Técnico I",SUMIFS($D:$D,$A:$A,$A3741,$B:$B,"&lt;&gt;Patrícia Karla de Sousa Araújo",$B:$B,"&lt;&gt;Lorena Dias de Araujo",$B:$B,"&lt;&gt;Lucas Luiz Romero")*(23/1083),IF(C3741="JR",SUMIFS($D:$D,$A:$A,$A3741,$B:$B,"&lt;&gt;Patrícia Karla de Sousa Araújo",$B:$B,"&lt;&gt;Lorena Dias de Araujo",$B:$B,"&lt;&gt;Lucas Luiz Romero")*(20/1083),IF(C3741="Estágio",SUMIFS($D:$D,$A:$A,$A3741,$B:$B,"&lt;&gt;Patrícia Karla de Sousa Araújo",$B:$B,"&lt;&gt;Lorena Dias de Araujo",$B:$B,"&lt;&gt;Lucas Luiz Romero")*(10/1083),0)))))),0)</f>
        <v/>
      </c>
      <c r="K3741" s="3">
        <f>I3741-J3741</f>
        <v/>
      </c>
      <c r="L3741" s="3">
        <f>IF(K3741&lt;-5,"CRÍTICO",IF(K3741&lt;0,"ATENÇÃO",IF(K3741&lt;=5,"OPORTUNO","MUITO BOM")))</f>
        <v/>
      </c>
      <c r="M3741" s="3" t="n">
        <v>20</v>
      </c>
      <c r="N3741" s="3" t="n">
        <v>98.81</v>
      </c>
      <c r="O3741" s="12" t="n">
        <v>26.25698324022346</v>
      </c>
    </row>
    <row r="3742">
      <c r="A3742" s="10" t="n">
        <v>46119</v>
      </c>
      <c r="B3742" t="inlineStr">
        <is>
          <t>Jéssica Fé Moura</t>
        </is>
      </c>
      <c r="C3742" s="1" t="inlineStr">
        <is>
          <t>Técnico III</t>
        </is>
      </c>
      <c r="D3742" s="3" t="n">
        <v>0</v>
      </c>
      <c r="E3742" s="3" t="n">
        <v>0</v>
      </c>
      <c r="F3742" s="3" t="n">
        <v>0</v>
      </c>
      <c r="G3742" s="3" t="n">
        <v>0</v>
      </c>
      <c r="H3742" s="3" t="n">
        <v>0</v>
      </c>
      <c r="I3742" s="3" t="n">
        <v>0</v>
      </c>
      <c r="J3742" s="3" t="n">
        <v>0</v>
      </c>
      <c r="K3742" s="3" t="n">
        <v>0</v>
      </c>
      <c r="L3742" s="3">
        <f>IF(K3742&lt;-5,"CRÍTICO",IF(K3742&lt;0,"ATENÇÃO",IF(K3742&lt;=5,"OPORTUNO","MUITO BOM")))</f>
        <v/>
      </c>
      <c r="M3742" s="3" t="n">
        <v>0</v>
      </c>
      <c r="N3742" s="3" t="n">
        <v>0</v>
      </c>
      <c r="O3742" s="12" t="n">
        <v>0</v>
      </c>
    </row>
    <row r="3743">
      <c r="A3743" s="10" t="n">
        <v>46119</v>
      </c>
      <c r="B3743" t="inlineStr">
        <is>
          <t>Karina Gonçalves Martins</t>
        </is>
      </c>
      <c r="C3743" s="1" t="inlineStr">
        <is>
          <t>JR</t>
        </is>
      </c>
      <c r="D3743" s="3" t="n">
        <v>24</v>
      </c>
      <c r="E3743" s="3" t="n">
        <v>24</v>
      </c>
      <c r="F3743" s="3" t="n">
        <v>19.19</v>
      </c>
      <c r="G3743" s="3" t="n">
        <v>0</v>
      </c>
      <c r="H3743" s="3" t="n">
        <v>0</v>
      </c>
      <c r="I3743" s="3">
        <f>E3743+G3743+H3743</f>
        <v/>
      </c>
      <c r="J3743" s="3">
        <f>ROUND(MIN(IF(C3743="Técnico III",35,IF(C3743="Técnico II",28,IF(C3743="Técnico I",23,IF(C3743="JR",20,IF(C3743="Estágio",10,0))))),IF(C3743="Técnico III",SUMIFS($D:$D,$A:$A,$A3743,$B:$B,"&lt;&gt;Patrícia Karla de Sousa Araújo",$B:$B,"&lt;&gt;Lorena Dias de Araujo",$B:$B,"&lt;&gt;Lucas Luiz Romero")*(35/1083),IF(C3743="Técnico II",SUMIFS($D:$D,$A:$A,$A3743,$B:$B,"&lt;&gt;Patrícia Karla de Sousa Araújo",$B:$B,"&lt;&gt;Lorena Dias de Araujo",$B:$B,"&lt;&gt;Lucas Luiz Romero")*(28/1083),IF(C3743="Técnico I",SUMIFS($D:$D,$A:$A,$A3743,$B:$B,"&lt;&gt;Patrícia Karla de Sousa Araújo",$B:$B,"&lt;&gt;Lorena Dias de Araujo",$B:$B,"&lt;&gt;Lucas Luiz Romero")*(23/1083),IF(C3743="JR",SUMIFS($D:$D,$A:$A,$A3743,$B:$B,"&lt;&gt;Patrícia Karla de Sousa Araújo",$B:$B,"&lt;&gt;Lorena Dias de Araujo",$B:$B,"&lt;&gt;Lucas Luiz Romero")*(20/1083),IF(C3743="Estágio",SUMIFS($D:$D,$A:$A,$A3743,$B:$B,"&lt;&gt;Patrícia Karla de Sousa Araújo",$B:$B,"&lt;&gt;Lorena Dias de Araujo",$B:$B,"&lt;&gt;Lucas Luiz Romero")*(10/1083),0)))))),0)</f>
        <v/>
      </c>
      <c r="K3743" s="3">
        <f>I3743-J3743</f>
        <v/>
      </c>
      <c r="L3743" s="3">
        <f>IF(K3743&lt;-5,"CRÍTICO",IF(K3743&lt;0,"ATENÇÃO",IF(K3743&lt;=5,"OPORTUNO","MUITO BOM")))</f>
        <v/>
      </c>
      <c r="M3743" s="3" t="n">
        <v>22</v>
      </c>
      <c r="N3743" s="3" t="n">
        <v>97.17</v>
      </c>
      <c r="O3743" s="12" t="n">
        <v>28.81844380403458</v>
      </c>
    </row>
    <row r="3744">
      <c r="A3744" s="10" t="n">
        <v>46119</v>
      </c>
      <c r="B3744" t="inlineStr">
        <is>
          <t>Kerollen Cristielly de Jesus Siqueira</t>
        </is>
      </c>
      <c r="C3744" s="1" t="inlineStr">
        <is>
          <t>Técnico III</t>
        </is>
      </c>
      <c r="D3744" s="3" t="n">
        <v>24</v>
      </c>
      <c r="E3744" s="3" t="n">
        <v>24</v>
      </c>
      <c r="F3744" s="3" t="n">
        <v>19.14</v>
      </c>
      <c r="G3744" s="3" t="n">
        <v>0</v>
      </c>
      <c r="H3744" s="3" t="n">
        <v>0</v>
      </c>
      <c r="I3744" s="3">
        <f>E3744+G3744+H3744</f>
        <v/>
      </c>
      <c r="J3744" s="3">
        <f>ROUND(MIN(IF(C3744="Técnico III",35,IF(C3744="Técnico II",28,IF(C3744="Técnico I",23,IF(C3744="JR",20,IF(C3744="Estágio",10,0))))),IF(C3744="Técnico III",SUMIFS($D:$D,$A:$A,$A3744,$B:$B,"&lt;&gt;Patrícia Karla de Sousa Araújo",$B:$B,"&lt;&gt;Lorena Dias de Araujo",$B:$B,"&lt;&gt;Lucas Luiz Romero")*(35/1083),IF(C3744="Técnico II",SUMIFS($D:$D,$A:$A,$A3744,$B:$B,"&lt;&gt;Patrícia Karla de Sousa Araújo",$B:$B,"&lt;&gt;Lorena Dias de Araujo",$B:$B,"&lt;&gt;Lucas Luiz Romero")*(28/1083),IF(C3744="Técnico I",SUMIFS($D:$D,$A:$A,$A3744,$B:$B,"&lt;&gt;Patrícia Karla de Sousa Araújo",$B:$B,"&lt;&gt;Lorena Dias de Araujo",$B:$B,"&lt;&gt;Lucas Luiz Romero")*(23/1083),IF(C3744="JR",SUMIFS($D:$D,$A:$A,$A3744,$B:$B,"&lt;&gt;Patrícia Karla de Sousa Araújo",$B:$B,"&lt;&gt;Lorena Dias de Araujo",$B:$B,"&lt;&gt;Lucas Luiz Romero")*(20/1083),IF(C3744="Estágio",SUMIFS($D:$D,$A:$A,$A3744,$B:$B,"&lt;&gt;Patrícia Karla de Sousa Araújo",$B:$B,"&lt;&gt;Lorena Dias de Araujo",$B:$B,"&lt;&gt;Lucas Luiz Romero")*(10/1083),0)))))),0)</f>
        <v/>
      </c>
      <c r="K3744" s="3">
        <f>I3744-J3744</f>
        <v/>
      </c>
      <c r="L3744" s="3">
        <f>IF(K3744&lt;-5,"CRÍTICO",IF(K3744&lt;0,"ATENÇÃO",IF(K3744&lt;=5,"OPORTUNO","MUITO BOM")))</f>
        <v/>
      </c>
      <c r="M3744" s="3" t="n">
        <v>23</v>
      </c>
      <c r="N3744" s="3" t="n">
        <v>96.81</v>
      </c>
      <c r="O3744" s="12" t="n">
        <v>48.01864801864802</v>
      </c>
    </row>
    <row r="3745">
      <c r="A3745" s="10" t="n">
        <v>46119</v>
      </c>
      <c r="B3745" t="inlineStr">
        <is>
          <t>Leandro de Souza Silva</t>
        </is>
      </c>
      <c r="C3745" s="1" t="inlineStr">
        <is>
          <t>JR</t>
        </is>
      </c>
      <c r="D3745" s="3" t="n">
        <v>18</v>
      </c>
      <c r="E3745" s="3" t="n">
        <v>16</v>
      </c>
      <c r="F3745" s="3" t="n">
        <v>23.54</v>
      </c>
      <c r="G3745" s="3" t="n">
        <v>0</v>
      </c>
      <c r="H3745" s="3" t="n">
        <v>0</v>
      </c>
      <c r="I3745" s="3">
        <f>E3745+G3745+H3745</f>
        <v/>
      </c>
      <c r="J3745" s="3">
        <f>ROUND(MIN(IF(C3745="Técnico III",35,IF(C3745="Técnico II",28,IF(C3745="Técnico I",23,IF(C3745="JR",20,IF(C3745="Estágio",10,0))))),IF(C3745="Técnico III",SUMIFS($D:$D,$A:$A,$A3745,$B:$B,"&lt;&gt;Patrícia Karla de Sousa Araújo",$B:$B,"&lt;&gt;Lorena Dias de Araujo",$B:$B,"&lt;&gt;Lucas Luiz Romero")*(35/1083),IF(C3745="Técnico II",SUMIFS($D:$D,$A:$A,$A3745,$B:$B,"&lt;&gt;Patrícia Karla de Sousa Araújo",$B:$B,"&lt;&gt;Lorena Dias de Araujo",$B:$B,"&lt;&gt;Lucas Luiz Romero")*(28/1083),IF(C3745="Técnico I",SUMIFS($D:$D,$A:$A,$A3745,$B:$B,"&lt;&gt;Patrícia Karla de Sousa Araújo",$B:$B,"&lt;&gt;Lorena Dias de Araujo",$B:$B,"&lt;&gt;Lucas Luiz Romero")*(23/1083),IF(C3745="JR",SUMIFS($D:$D,$A:$A,$A3745,$B:$B,"&lt;&gt;Patrícia Karla de Sousa Araújo",$B:$B,"&lt;&gt;Lorena Dias de Araujo",$B:$B,"&lt;&gt;Lucas Luiz Romero")*(20/1083),IF(C3745="Estágio",SUMIFS($D:$D,$A:$A,$A3745,$B:$B,"&lt;&gt;Patrícia Karla de Sousa Araújo",$B:$B,"&lt;&gt;Lorena Dias de Araujo",$B:$B,"&lt;&gt;Lucas Luiz Romero")*(10/1083),0)))))),0)</f>
        <v/>
      </c>
      <c r="K3745" s="3">
        <f>I3745-J3745</f>
        <v/>
      </c>
      <c r="L3745" s="3">
        <f>IF(K3745&lt;-5,"CRÍTICO",IF(K3745&lt;0,"ATENÇÃO",IF(K3745&lt;=5,"OPORTUNO","MUITO BOM")))</f>
        <v/>
      </c>
      <c r="M3745" s="3" t="n">
        <v>13</v>
      </c>
      <c r="N3745" s="3" t="n">
        <v>98.15000000000001</v>
      </c>
      <c r="O3745" s="12" t="n">
        <v>27.1551724137931</v>
      </c>
    </row>
    <row r="3746">
      <c r="A3746" s="10" t="n">
        <v>46119</v>
      </c>
      <c r="B3746" t="inlineStr">
        <is>
          <t>Leandro Oliveira de Sousa</t>
        </is>
      </c>
      <c r="C3746" s="1" t="inlineStr">
        <is>
          <t>Técnico III</t>
        </is>
      </c>
      <c r="D3746" s="3" t="n">
        <v>28</v>
      </c>
      <c r="E3746" s="3" t="n">
        <v>25</v>
      </c>
      <c r="F3746" s="3" t="n">
        <v>15.2</v>
      </c>
      <c r="G3746" s="3" t="n">
        <v>0</v>
      </c>
      <c r="H3746" s="3" t="n">
        <v>0</v>
      </c>
      <c r="I3746" s="3">
        <f>E3746+G3746+H3746</f>
        <v/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/>
      </c>
      <c r="K3746" s="3">
        <f>I3746-J3746</f>
        <v/>
      </c>
      <c r="L3746" s="3">
        <f>IF(K3746&lt;-5,"CRÍTICO",IF(K3746&lt;0,"ATENÇÃO",IF(K3746&lt;=5,"OPORTUNO","MUITO BOM")))</f>
        <v/>
      </c>
      <c r="M3746" s="3" t="n">
        <v>25</v>
      </c>
      <c r="N3746" s="3" t="n">
        <v>99.15000000000001</v>
      </c>
      <c r="O3746" s="12" t="n">
        <v>27.58620689655172</v>
      </c>
    </row>
    <row r="3747">
      <c r="A3747" s="10" t="n">
        <v>46119</v>
      </c>
      <c r="B3747" t="inlineStr">
        <is>
          <t>Lizandra Gomes Duarte</t>
        </is>
      </c>
      <c r="C3747" s="1" t="inlineStr">
        <is>
          <t>Técnico II</t>
        </is>
      </c>
      <c r="D3747" s="3" t="n">
        <v>30</v>
      </c>
      <c r="E3747" s="3" t="n">
        <v>29</v>
      </c>
      <c r="F3747" s="3" t="n">
        <v>20.48</v>
      </c>
      <c r="G3747" s="3" t="n">
        <v>0</v>
      </c>
      <c r="H3747" s="3" t="n">
        <v>0</v>
      </c>
      <c r="I3747" s="3">
        <f>E3747+G3747+H3747</f>
        <v/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/>
      </c>
      <c r="K3747" s="3">
        <f>I3747-J3747</f>
        <v/>
      </c>
      <c r="L3747" s="3">
        <f>IF(K3747&lt;-5,"CRÍTICO",IF(K3747&lt;0,"ATENÇÃO",IF(K3747&lt;=5,"OPORTUNO","MUITO BOM")))</f>
        <v/>
      </c>
      <c r="M3747" s="3" t="n">
        <v>26</v>
      </c>
      <c r="N3747" s="3" t="n">
        <v>99.17</v>
      </c>
      <c r="O3747" s="12" t="n">
        <v>29.75206611570248</v>
      </c>
    </row>
    <row r="3748">
      <c r="A3748" s="10" t="n">
        <v>46119</v>
      </c>
      <c r="B3748" t="inlineStr">
        <is>
          <t>Lorena Dias de Araujo</t>
        </is>
      </c>
      <c r="C3748" s="1" t="inlineStr">
        <is>
          <t>Técnico II</t>
        </is>
      </c>
      <c r="D3748" s="3" t="n">
        <v>37</v>
      </c>
      <c r="E3748" s="3" t="n">
        <v>34</v>
      </c>
      <c r="F3748" s="3" t="n">
        <v>16.52</v>
      </c>
      <c r="G3748" s="3" t="n">
        <v>0</v>
      </c>
      <c r="H3748" s="3" t="n">
        <v>0</v>
      </c>
      <c r="I3748" s="3" t="n">
        <v>0</v>
      </c>
      <c r="J3748" s="3" t="n">
        <v>0</v>
      </c>
      <c r="K3748" s="3" t="n">
        <v>0</v>
      </c>
      <c r="L3748" s="3">
        <f>IF(K3748&lt;-5,"CRÍTICO",IF(K3748&lt;0,"ATENÇÃO",IF(K3748&lt;=5,"OPORTUNO","MUITO BOM")))</f>
        <v/>
      </c>
      <c r="M3748" s="3" t="n">
        <v>33</v>
      </c>
      <c r="N3748" s="3" t="n">
        <v>98.73</v>
      </c>
      <c r="O3748" s="12" t="n">
        <v>28.96174863387978</v>
      </c>
    </row>
    <row r="3749">
      <c r="A3749" s="10" t="n">
        <v>46119</v>
      </c>
      <c r="B3749" t="inlineStr">
        <is>
          <t>Lucas Luiz Romero</t>
        </is>
      </c>
      <c r="C3749" s="1" t="inlineStr">
        <is>
          <t>Técnico III</t>
        </is>
      </c>
      <c r="D3749" s="3" t="n">
        <v>35</v>
      </c>
      <c r="E3749" s="3" t="n">
        <v>30</v>
      </c>
      <c r="F3749" s="3" t="n">
        <v>20.04</v>
      </c>
      <c r="G3749" s="3" t="n">
        <v>0</v>
      </c>
      <c r="H3749" s="3" t="n">
        <v>0</v>
      </c>
      <c r="I3749" s="3">
        <f>E3749+G3749+H3749</f>
        <v/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/>
      </c>
      <c r="K3749" s="3">
        <f>I3749-J3749</f>
        <v/>
      </c>
      <c r="L3749" s="3">
        <f>IF(K3749&lt;-5,"CRÍTICO",IF(K3749&lt;0,"ATENÇÃO",IF(K3749&lt;=5,"OPORTUNO","MUITO BOM")))</f>
        <v/>
      </c>
      <c r="M3749" s="3" t="n">
        <v>21</v>
      </c>
      <c r="N3749" s="3" t="n">
        <v>88.68000000000001</v>
      </c>
      <c r="O3749" s="12" t="n">
        <v>22.03389830508474</v>
      </c>
    </row>
    <row r="3750">
      <c r="A3750" s="10" t="n">
        <v>46119</v>
      </c>
      <c r="B3750" t="inlineStr">
        <is>
          <t>Luiz Fernando de Carvalho Junior</t>
        </is>
      </c>
      <c r="C3750" s="1" t="inlineStr">
        <is>
          <t>Técnico I</t>
        </is>
      </c>
      <c r="D3750" s="3" t="n">
        <v>12</v>
      </c>
      <c r="E3750" s="3" t="n">
        <v>12</v>
      </c>
      <c r="F3750" s="3" t="n">
        <v>20.14</v>
      </c>
      <c r="G3750" s="3" t="n">
        <v>0</v>
      </c>
      <c r="H3750" s="3" t="n">
        <v>0</v>
      </c>
      <c r="I3750" s="3">
        <f>E3750+G3750+H3750</f>
        <v/>
      </c>
      <c r="J3750" s="3">
        <f>ROUND(MIN(IF(C3750="Técnico III",35,IF(C3750="Técnico II",28,IF(C3750="Técnico I",23,IF(C3750="JR",20,IF(C3750="Estágio",10,0))))),IF(C3750="Técnico III",SUMIFS($D:$D,$A:$A,$A3750,$B:$B,"&lt;&gt;Patrícia Karla de Sousa Araújo",$B:$B,"&lt;&gt;Lorena Dias de Araujo",$B:$B,"&lt;&gt;Lucas Luiz Romero")*(35/1083),IF(C3750="Técnico II",SUMIFS($D:$D,$A:$A,$A3750,$B:$B,"&lt;&gt;Patrícia Karla de Sousa Araújo",$B:$B,"&lt;&gt;Lorena Dias de Araujo",$B:$B,"&lt;&gt;Lucas Luiz Romero")*(28/1083),IF(C3750="Técnico I",SUMIFS($D:$D,$A:$A,$A3750,$B:$B,"&lt;&gt;Patrícia Karla de Sousa Araújo",$B:$B,"&lt;&gt;Lorena Dias de Araujo",$B:$B,"&lt;&gt;Lucas Luiz Romero")*(23/1083),IF(C3750="JR",SUMIFS($D:$D,$A:$A,$A3750,$B:$B,"&lt;&gt;Patrícia Karla de Sousa Araújo",$B:$B,"&lt;&gt;Lorena Dias de Araujo",$B:$B,"&lt;&gt;Lucas Luiz Romero")*(20/1083),IF(C3750="Estágio",SUMIFS($D:$D,$A:$A,$A3750,$B:$B,"&lt;&gt;Patrícia Karla de Sousa Araújo",$B:$B,"&lt;&gt;Lorena Dias de Araujo",$B:$B,"&lt;&gt;Lucas Luiz Romero")*(10/1083),0)))))),0)</f>
        <v/>
      </c>
      <c r="K3750" s="3">
        <f>I3750-J3750</f>
        <v/>
      </c>
      <c r="L3750" s="3">
        <f>IF(K3750&lt;-5,"CRÍTICO",IF(K3750&lt;0,"ATENÇÃO",IF(K3750&lt;=5,"OPORTUNO","MUITO BOM")))</f>
        <v/>
      </c>
      <c r="M3750" s="3" t="n">
        <v>11</v>
      </c>
      <c r="N3750" s="3" t="n">
        <v>97.37</v>
      </c>
      <c r="O3750" s="12" t="n">
        <v>25.76530612244898</v>
      </c>
    </row>
    <row r="3751">
      <c r="A3751" s="10" t="n">
        <v>46119</v>
      </c>
      <c r="B3751" t="inlineStr">
        <is>
          <t>Maria Eduarda Sousa Costa</t>
        </is>
      </c>
      <c r="C3751" s="1" t="inlineStr">
        <is>
          <t>Estágio</t>
        </is>
      </c>
      <c r="D3751" s="3" t="n">
        <v>11</v>
      </c>
      <c r="E3751" s="3" t="n">
        <v>10</v>
      </c>
      <c r="F3751" s="3" t="n">
        <v>33.31</v>
      </c>
      <c r="G3751" s="3" t="n">
        <v>0</v>
      </c>
      <c r="H3751" s="3" t="n">
        <v>0</v>
      </c>
      <c r="I3751" s="3">
        <f>E3751+G3751+H3751</f>
        <v/>
      </c>
      <c r="J3751" s="3">
        <f>ROUND(MIN(IF(C3751="Técnico III",35,IF(C3751="Técnico II",28,IF(C3751="Técnico I",23,IF(C3751="JR",20,IF(C3751="Estágio",10,0))))),IF(C3751="Técnico III",SUMIFS($D:$D,$A:$A,$A3751,$B:$B,"&lt;&gt;Patrícia Karla de Sousa Araújo",$B:$B,"&lt;&gt;Lorena Dias de Araujo",$B:$B,"&lt;&gt;Lucas Luiz Romero")*(35/1083),IF(C3751="Técnico II",SUMIFS($D:$D,$A:$A,$A3751,$B:$B,"&lt;&gt;Patrícia Karla de Sousa Araújo",$B:$B,"&lt;&gt;Lorena Dias de Araujo",$B:$B,"&lt;&gt;Lucas Luiz Romero")*(28/1083),IF(C3751="Técnico I",SUMIFS($D:$D,$A:$A,$A3751,$B:$B,"&lt;&gt;Patrícia Karla de Sousa Araújo",$B:$B,"&lt;&gt;Lorena Dias de Araujo",$B:$B,"&lt;&gt;Lucas Luiz Romero")*(23/1083),IF(C3751="JR",SUMIFS($D:$D,$A:$A,$A3751,$B:$B,"&lt;&gt;Patrícia Karla de Sousa Araújo",$B:$B,"&lt;&gt;Lorena Dias de Araujo",$B:$B,"&lt;&gt;Lucas Luiz Romero")*(20/1083),IF(C3751="Estágio",SUMIFS($D:$D,$A:$A,$A3751,$B:$B,"&lt;&gt;Patrícia Karla de Sousa Araújo",$B:$B,"&lt;&gt;Lorena Dias de Araujo",$B:$B,"&lt;&gt;Lucas Luiz Romero")*(10/1083),0)))))),0)</f>
        <v/>
      </c>
      <c r="K3751" s="3">
        <f>I3751-J3751</f>
        <v/>
      </c>
      <c r="L3751" s="3">
        <f>IF(K3751&lt;-5,"CRÍTICO",IF(K3751&lt;0,"ATENÇÃO",IF(K3751&lt;=5,"OPORTUNO","MUITO BOM")))</f>
        <v/>
      </c>
      <c r="M3751" s="3" t="n">
        <v>7</v>
      </c>
      <c r="N3751" s="3" t="n">
        <v>100</v>
      </c>
      <c r="O3751" s="12" t="n">
        <v>25</v>
      </c>
    </row>
    <row r="3752">
      <c r="A3752" s="10" t="n">
        <v>46139</v>
      </c>
      <c r="B3752" t="inlineStr">
        <is>
          <t>Matheus Farias De Souza</t>
        </is>
      </c>
      <c r="C3752" s="1" t="inlineStr">
        <is>
          <t>Técnico III</t>
        </is>
      </c>
      <c r="D3752" s="3" t="n">
        <v>14</v>
      </c>
      <c r="E3752" s="3" t="n">
        <v>14</v>
      </c>
      <c r="F3752" s="3" t="n">
        <v>10.57</v>
      </c>
      <c r="G3752" s="3" t="n">
        <v>0</v>
      </c>
      <c r="H3752" s="3" t="n">
        <v>0</v>
      </c>
      <c r="I3752" s="3">
        <f>E3752+G3752+H3752</f>
        <v/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/>
      </c>
      <c r="K3752" s="3">
        <f>I3752-J3752</f>
        <v/>
      </c>
      <c r="L3752" s="3">
        <f>IF(K3752&lt;-5,"CRÍTICO",IF(K3752&lt;0,"ATENÇÃO",IF(K3752&lt;=5,"OPORTUNO","MUITO BOM")))</f>
        <v/>
      </c>
      <c r="M3752" s="3" t="n">
        <v>40</v>
      </c>
      <c r="N3752" s="3" t="n">
        <v>100</v>
      </c>
      <c r="O3752" s="12" t="n">
        <v>23.9870340356564</v>
      </c>
    </row>
    <row r="3753">
      <c r="A3753" s="10" t="n">
        <v>46119</v>
      </c>
      <c r="B3753" t="inlineStr">
        <is>
          <t>Maysa Victoria Dias Moura</t>
        </is>
      </c>
      <c r="C3753" s="1" t="inlineStr">
        <is>
          <t>Técnico III</t>
        </is>
      </c>
      <c r="D3753" s="3" t="n">
        <v>40</v>
      </c>
      <c r="E3753" s="3" t="n">
        <v>35</v>
      </c>
      <c r="F3753" s="3" t="n">
        <v>12.18</v>
      </c>
      <c r="G3753" s="3" t="n">
        <v>0</v>
      </c>
      <c r="H3753" s="3" t="n">
        <v>0</v>
      </c>
      <c r="I3753" s="3">
        <f>E3753+G3753+H3753</f>
        <v/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/>
      </c>
      <c r="K3753" s="3">
        <f>I3753-J3753</f>
        <v/>
      </c>
      <c r="L3753" s="3">
        <f>IF(K3753&lt;-5,"CRÍTICO",IF(K3753&lt;0,"ATENÇÃO",IF(K3753&lt;=5,"OPORTUNO","MUITO BOM")))</f>
        <v/>
      </c>
      <c r="M3753" s="3" t="n">
        <v>27</v>
      </c>
      <c r="N3753" s="3" t="n">
        <v>95.48999999999999</v>
      </c>
      <c r="O3753" s="12" t="n">
        <v>28.37022132796781</v>
      </c>
    </row>
    <row r="3754">
      <c r="A3754" s="5" t="n">
        <v>46155</v>
      </c>
      <c r="B3754" s="6" t="inlineStr">
        <is>
          <t>Michelle G Santos</t>
        </is>
      </c>
      <c r="C3754" s="1" t="inlineStr">
        <is>
          <t>Estágio</t>
        </is>
      </c>
      <c r="D3754" s="3" t="n">
        <v>6</v>
      </c>
      <c r="E3754" s="3" t="n">
        <v>6</v>
      </c>
      <c r="F3754" s="3" t="n">
        <v>29.1</v>
      </c>
      <c r="G3754" s="3" t="n">
        <v>0</v>
      </c>
      <c r="H3754" s="3" t="n">
        <v>0</v>
      </c>
      <c r="I3754" s="3">
        <f>E3754+G3754+H3754</f>
        <v/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/>
      </c>
      <c r="K3754" s="3">
        <f>I3754-J3754</f>
        <v/>
      </c>
      <c r="L3754" s="3">
        <f>IF(K3754&lt;-5,"CRÍTICO",IF(K3754&lt;0,"ATENÇÃO",IF(K3754&lt;=5,"OPORTUNO","MUITO BOM")))</f>
        <v/>
      </c>
      <c r="M3754" s="3" t="n">
        <v>5</v>
      </c>
      <c r="N3754" s="3" t="n">
        <v>100</v>
      </c>
      <c r="O3754" s="12" t="n">
        <v>17.1875</v>
      </c>
    </row>
    <row r="3755">
      <c r="A3755" s="10" t="n">
        <v>46119</v>
      </c>
      <c r="B3755" t="inlineStr">
        <is>
          <t>Milena Sales</t>
        </is>
      </c>
      <c r="C3755" s="1" t="inlineStr">
        <is>
          <t>JR</t>
        </is>
      </c>
      <c r="D3755" s="3" t="n">
        <v>23</v>
      </c>
      <c r="E3755" s="3" t="n">
        <v>19</v>
      </c>
      <c r="F3755" s="3" t="n">
        <v>23.44</v>
      </c>
      <c r="G3755" s="3" t="n">
        <v>0</v>
      </c>
      <c r="H3755" s="3" t="n">
        <v>0</v>
      </c>
      <c r="I3755" s="3">
        <f>E3755+G3755+H3755</f>
        <v/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/>
      </c>
      <c r="K3755" s="3">
        <f>I3755-J3755</f>
        <v/>
      </c>
      <c r="L3755" s="3">
        <f>IF(K3755&lt;-5,"CRÍTICO",IF(K3755&lt;0,"ATENÇÃO",IF(K3755&lt;=5,"OPORTUNO","MUITO BOM")))</f>
        <v/>
      </c>
      <c r="M3755" s="3" t="n">
        <v>12</v>
      </c>
      <c r="N3755" s="3" t="n">
        <v>96.15000000000001</v>
      </c>
      <c r="O3755" s="12" t="n">
        <v>24.04580152671756</v>
      </c>
    </row>
    <row r="3756">
      <c r="A3756" s="10" t="n">
        <v>46119</v>
      </c>
      <c r="B3756" t="inlineStr">
        <is>
          <t>Patrícia Karla de Sousa Araújo</t>
        </is>
      </c>
      <c r="C3756" s="1" t="inlineStr">
        <is>
          <t>Técnico II</t>
        </is>
      </c>
      <c r="D3756" s="3" t="n">
        <v>19</v>
      </c>
      <c r="E3756" s="3" t="n">
        <v>19</v>
      </c>
      <c r="F3756" s="3" t="n">
        <v>23.54</v>
      </c>
      <c r="G3756" s="3" t="n">
        <v>0</v>
      </c>
      <c r="H3756" s="3" t="n">
        <v>0</v>
      </c>
      <c r="I3756" s="3">
        <f>E3756+G3756+H3756</f>
        <v/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/>
      </c>
      <c r="K3756" s="3">
        <f>I3756-J3756</f>
        <v/>
      </c>
      <c r="L3756" s="3">
        <f>IF(K3756&lt;-5,"CRÍTICO",IF(K3756&lt;0,"ATENÇÃO",IF(K3756&lt;=5,"OPORTUNO","MUITO BOM")))</f>
        <v/>
      </c>
      <c r="M3756" s="3" t="n">
        <v>18</v>
      </c>
      <c r="N3756" s="3" t="n">
        <v>99.02</v>
      </c>
      <c r="O3756" s="12" t="n">
        <v>34.7972972972973</v>
      </c>
    </row>
    <row r="3757">
      <c r="A3757" s="10" t="n">
        <v>46119</v>
      </c>
      <c r="B3757" t="inlineStr">
        <is>
          <t>Paulo Ricardo Santos</t>
        </is>
      </c>
      <c r="C3757" s="1" t="inlineStr">
        <is>
          <t>JR</t>
        </is>
      </c>
      <c r="D3757" s="3" t="n">
        <v>16</v>
      </c>
      <c r="E3757" s="3" t="n">
        <v>16</v>
      </c>
      <c r="F3757" s="3" t="n">
        <v>17.36</v>
      </c>
      <c r="G3757" s="3" t="n">
        <v>0</v>
      </c>
      <c r="H3757" s="3" t="n">
        <v>0</v>
      </c>
      <c r="I3757" s="3">
        <f>E3757+G3757+H3757</f>
        <v/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/>
      </c>
      <c r="K3757" s="3">
        <f>I3757-J3757</f>
        <v/>
      </c>
      <c r="L3757" s="3">
        <f>IF(K3757&lt;-5,"CRÍTICO",IF(K3757&lt;0,"ATENÇÃO",IF(K3757&lt;=5,"OPORTUNO","MUITO BOM")))</f>
        <v/>
      </c>
      <c r="M3757" s="3" t="n">
        <v>15</v>
      </c>
      <c r="N3757" s="3" t="n">
        <v>98.84</v>
      </c>
      <c r="O3757" s="12" t="n">
        <v>31.86813186813187</v>
      </c>
    </row>
    <row r="3758">
      <c r="A3758" s="10" t="n">
        <v>46119</v>
      </c>
      <c r="B3758" t="inlineStr">
        <is>
          <t>Pedro Luiz Mota Sousa</t>
        </is>
      </c>
      <c r="C3758" s="1" t="inlineStr">
        <is>
          <t>JR</t>
        </is>
      </c>
      <c r="D3758" s="3" t="n">
        <v>18</v>
      </c>
      <c r="E3758" s="3" t="n">
        <v>16</v>
      </c>
      <c r="F3758" s="3" t="n">
        <v>20.14</v>
      </c>
      <c r="G3758" s="3" t="n">
        <v>0</v>
      </c>
      <c r="H3758" s="3" t="n">
        <v>0</v>
      </c>
      <c r="I3758" s="3">
        <f>E3758+G3758+H3758</f>
        <v/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/>
      </c>
      <c r="K3758" s="3">
        <f>I3758-J3758</f>
        <v/>
      </c>
      <c r="L3758" s="3">
        <f>IF(K3758&lt;-5,"CRÍTICO",IF(K3758&lt;0,"ATENÇÃO",IF(K3758&lt;=5,"OPORTUNO","MUITO BOM")))</f>
        <v/>
      </c>
      <c r="M3758" s="3" t="n">
        <v>13</v>
      </c>
      <c r="N3758" s="3" t="n">
        <v>100</v>
      </c>
      <c r="O3758" s="12" t="n">
        <v>34.66666666666667</v>
      </c>
    </row>
    <row r="3759">
      <c r="A3759" s="7" t="n">
        <v>46161</v>
      </c>
      <c r="B3759" s="8" t="inlineStr">
        <is>
          <t>Carlos Mateus Cassimiro Nunes</t>
        </is>
      </c>
      <c r="C3759" s="1" t="inlineStr">
        <is>
          <t>Técnico II</t>
        </is>
      </c>
      <c r="D3759" s="3" t="n">
        <v>33</v>
      </c>
      <c r="E3759" s="3" t="n">
        <v>32</v>
      </c>
      <c r="F3759" s="3" t="n">
        <v>16.54</v>
      </c>
      <c r="G3759" s="3" t="n">
        <v>2</v>
      </c>
      <c r="H3759" s="3" t="n">
        <v>0</v>
      </c>
      <c r="I3759" s="3" t="n">
        <v>34</v>
      </c>
      <c r="J3759" s="3" t="n">
        <v>23</v>
      </c>
      <c r="K3759" s="3" t="n">
        <v>11</v>
      </c>
      <c r="L3759" s="3" t="inlineStr">
        <is>
          <t>EXCELENTE</t>
        </is>
      </c>
      <c r="M3759" s="3" t="n">
        <v>29</v>
      </c>
      <c r="N3759" s="3" t="n">
        <v>99.06999999999999</v>
      </c>
      <c r="O3759" s="12" t="n">
        <v>20.09803921568627</v>
      </c>
    </row>
    <row r="3760">
      <c r="A3760" s="10" t="n">
        <v>46119</v>
      </c>
      <c r="B3760" t="inlineStr">
        <is>
          <t>Raane Batista Matos</t>
        </is>
      </c>
      <c r="C3760" s="1" t="inlineStr">
        <is>
          <t>Técnico I</t>
        </is>
      </c>
      <c r="D3760" s="3" t="n">
        <v>36</v>
      </c>
      <c r="E3760" s="3" t="n">
        <v>31</v>
      </c>
      <c r="F3760" s="3" t="n">
        <v>13.3</v>
      </c>
      <c r="G3760" s="3" t="n">
        <v>0</v>
      </c>
      <c r="H3760" s="3" t="n">
        <v>0</v>
      </c>
      <c r="I3760" s="3">
        <f>E3760+G3760+H3760</f>
        <v/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/>
      </c>
      <c r="K3760" s="3">
        <f>I3760-J3760</f>
        <v/>
      </c>
      <c r="L3760" s="3">
        <f>IF(K3760&lt;-5,"CRÍTICO",IF(K3760&lt;0,"ATENÇÃO",IF(K3760&lt;=5,"OPORTUNO","MUITO BOM")))</f>
        <v/>
      </c>
      <c r="M3760" s="3" t="n">
        <v>28</v>
      </c>
      <c r="N3760" s="3" t="n">
        <v>98.31999999999999</v>
      </c>
      <c r="O3760" s="12" t="n">
        <v>26.85851318944844</v>
      </c>
    </row>
    <row r="3761">
      <c r="A3761" s="10" t="n">
        <v>46119</v>
      </c>
      <c r="B3761" t="inlineStr">
        <is>
          <t>Rafael Gomes de Morais</t>
        </is>
      </c>
      <c r="C3761" s="1" t="inlineStr">
        <is>
          <t>Técnico III</t>
        </is>
      </c>
      <c r="D3761" s="3" t="n">
        <v>45</v>
      </c>
      <c r="E3761" s="3" t="n">
        <v>39</v>
      </c>
      <c r="F3761" s="3" t="n">
        <v>12.37</v>
      </c>
      <c r="G3761" s="3" t="n">
        <v>0</v>
      </c>
      <c r="H3761" s="3" t="n">
        <v>0</v>
      </c>
      <c r="I3761" s="3">
        <f>E3761+G3761+H3761</f>
        <v/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/>
      </c>
      <c r="K3761" s="3">
        <f>I3761-J3761</f>
        <v/>
      </c>
      <c r="L3761" s="3">
        <f>IF(K3761&lt;-5,"CRÍTICO",IF(K3761&lt;0,"ATENÇÃO",IF(K3761&lt;=5,"OPORTUNO","MUITO BOM")))</f>
        <v/>
      </c>
      <c r="M3761" s="3" t="n">
        <v>31</v>
      </c>
      <c r="N3761" s="3" t="n">
        <v>100</v>
      </c>
      <c r="O3761" s="12" t="n">
        <v>31.13553113553114</v>
      </c>
    </row>
    <row r="3762">
      <c r="A3762" s="10" t="n">
        <v>46119</v>
      </c>
      <c r="B3762" t="inlineStr">
        <is>
          <t>Sara Maria Monteiro Lopes</t>
        </is>
      </c>
      <c r="C3762" s="1" t="inlineStr">
        <is>
          <t>Técnico I</t>
        </is>
      </c>
      <c r="D3762" s="3" t="n">
        <v>21</v>
      </c>
      <c r="E3762" s="3" t="n">
        <v>21</v>
      </c>
      <c r="F3762" s="3" t="n">
        <v>23.42</v>
      </c>
      <c r="G3762" s="3" t="n">
        <v>0</v>
      </c>
      <c r="H3762" s="3" t="n">
        <v>0</v>
      </c>
      <c r="I3762" s="3">
        <f>E3762+G3762+H3762</f>
        <v/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/>
      </c>
      <c r="K3762" s="3">
        <f>I3762-J3762</f>
        <v/>
      </c>
      <c r="L3762" s="3">
        <f>IF(K3762&lt;-5,"CRÍTICO",IF(K3762&lt;0,"ATENÇÃO",IF(K3762&lt;=5,"OPORTUNO","MUITO BOM")))</f>
        <v/>
      </c>
      <c r="M3762" s="3" t="n">
        <v>20</v>
      </c>
      <c r="N3762" s="3" t="n">
        <v>100</v>
      </c>
      <c r="O3762" s="12" t="n">
        <v>26.36986301369863</v>
      </c>
    </row>
    <row r="3763">
      <c r="A3763" s="10" t="n">
        <v>46119</v>
      </c>
      <c r="B3763" t="inlineStr">
        <is>
          <t>Sarah Steffanie de Lima Borges</t>
        </is>
      </c>
      <c r="C3763" s="1" t="inlineStr">
        <is>
          <t>Técnico III</t>
        </is>
      </c>
      <c r="D3763" s="3" t="n">
        <v>31</v>
      </c>
      <c r="E3763" s="3" t="n">
        <v>31</v>
      </c>
      <c r="F3763" s="3" t="n">
        <v>20.04</v>
      </c>
      <c r="G3763" s="3" t="n">
        <v>0</v>
      </c>
      <c r="H3763" s="3" t="n">
        <v>0</v>
      </c>
      <c r="I3763" s="3">
        <f>E3763+G3763+H3763</f>
        <v/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/>
      </c>
      <c r="K3763" s="3">
        <f>I3763-J3763</f>
        <v/>
      </c>
      <c r="L3763" s="3">
        <f>IF(K3763&lt;-5,"CRÍTICO",IF(K3763&lt;0,"ATENÇÃO",IF(K3763&lt;=5,"OPORTUNO","MUITO BOM")))</f>
        <v/>
      </c>
      <c r="M3763" s="3" t="n">
        <v>26</v>
      </c>
      <c r="N3763" s="3" t="n">
        <v>99.20999999999999</v>
      </c>
      <c r="O3763" s="12" t="n">
        <v>25.18891687657431</v>
      </c>
    </row>
    <row r="3764">
      <c r="A3764" s="10" t="n">
        <v>46120</v>
      </c>
      <c r="B3764" t="inlineStr">
        <is>
          <t>Alisson de Freitas Silva</t>
        </is>
      </c>
      <c r="C3764" s="1" t="inlineStr">
        <is>
          <t>Técnico II</t>
        </is>
      </c>
      <c r="D3764" s="3" t="n">
        <v>31</v>
      </c>
      <c r="E3764" s="3" t="n">
        <v>25</v>
      </c>
      <c r="F3764" s="3" t="n">
        <v>10.26</v>
      </c>
      <c r="G3764" s="3" t="n">
        <v>0</v>
      </c>
      <c r="H3764" s="3" t="n">
        <v>0</v>
      </c>
      <c r="I3764" s="3">
        <f>E3764+G3764+H3764</f>
        <v/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/>
      </c>
      <c r="K3764" s="3">
        <f>I3764-J3764</f>
        <v/>
      </c>
      <c r="L3764" s="3">
        <f>IF(K3764&lt;-5,"CRÍTICO",IF(K3764&lt;0,"ATENÇÃO",IF(K3764&lt;=5,"OPORTUNO","MUITO BOM")))</f>
        <v/>
      </c>
      <c r="M3764" s="3" t="n">
        <v>15</v>
      </c>
      <c r="N3764" s="3" t="n">
        <v>100</v>
      </c>
      <c r="O3764" s="12" t="n">
        <v>32.76450511945392</v>
      </c>
    </row>
    <row r="3765">
      <c r="A3765" s="10" t="n">
        <v>46120</v>
      </c>
      <c r="B3765" t="inlineStr">
        <is>
          <t>Amanda Moura Ferreira</t>
        </is>
      </c>
      <c r="C3765" s="1" t="inlineStr">
        <is>
          <t>Técnico III</t>
        </is>
      </c>
      <c r="D3765" s="3" t="n">
        <v>0</v>
      </c>
      <c r="E3765" s="3" t="n">
        <v>0</v>
      </c>
      <c r="F3765" s="3" t="n">
        <v>0</v>
      </c>
      <c r="G3765" s="3" t="n">
        <v>0</v>
      </c>
      <c r="H3765" s="3" t="n">
        <v>0</v>
      </c>
      <c r="I3765" s="3" t="n">
        <v>0</v>
      </c>
      <c r="J3765" s="3" t="n">
        <v>0</v>
      </c>
      <c r="K3765" s="3" t="n">
        <v>0</v>
      </c>
      <c r="L3765" s="3">
        <f>IF(K3765&lt;-5,"CRÍTICO",IF(K3765&lt;0,"ATENÇÃO",IF(K3765&lt;=5,"OPORTUNO","MUITO BOM")))</f>
        <v/>
      </c>
      <c r="M3765" s="3" t="n">
        <v>26</v>
      </c>
      <c r="N3765" s="3" t="n">
        <v>98.66</v>
      </c>
      <c r="O3765" s="12" t="n">
        <v>35.41666666666667</v>
      </c>
    </row>
    <row r="3766">
      <c r="A3766" s="10" t="n">
        <v>46120</v>
      </c>
      <c r="B3766" t="inlineStr">
        <is>
          <t>Ana Karollyne Souza Faria</t>
        </is>
      </c>
      <c r="C3766" s="1" t="inlineStr">
        <is>
          <t>Técnico I</t>
        </is>
      </c>
      <c r="D3766" s="3" t="n">
        <v>35</v>
      </c>
      <c r="E3766" s="3" t="n">
        <v>33</v>
      </c>
      <c r="F3766" s="3" t="n">
        <v>17.16</v>
      </c>
      <c r="G3766" s="3" t="n">
        <v>0</v>
      </c>
      <c r="H3766" s="3" t="n">
        <v>0</v>
      </c>
      <c r="I3766" s="3">
        <f>E3766+G3766+H3766</f>
        <v/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/>
      </c>
      <c r="K3766" s="3">
        <f>I3766-J3766</f>
        <v/>
      </c>
      <c r="L3766" s="3">
        <f>IF(K3766&lt;-5,"CRÍTICO",IF(K3766&lt;0,"ATENÇÃO",IF(K3766&lt;=5,"OPORTUNO","MUITO BOM")))</f>
        <v/>
      </c>
      <c r="M3766" s="3" t="n">
        <v>32</v>
      </c>
      <c r="N3766" s="3" t="n">
        <v>99.31999999999999</v>
      </c>
      <c r="O3766" s="12" t="n">
        <v>30.6483300589391</v>
      </c>
    </row>
    <row r="3767">
      <c r="A3767" s="10" t="n">
        <v>46120</v>
      </c>
      <c r="B3767" t="inlineStr">
        <is>
          <t>Ana Paula Da Luz Silva Aleixo</t>
        </is>
      </c>
      <c r="C3767" s="1" t="inlineStr">
        <is>
          <t>Técnico III</t>
        </is>
      </c>
      <c r="D3767" s="3" t="n">
        <v>37</v>
      </c>
      <c r="E3767" s="3" t="n">
        <v>35</v>
      </c>
      <c r="F3767" s="3" t="n">
        <v>14.11</v>
      </c>
      <c r="G3767" s="3" t="n">
        <v>0</v>
      </c>
      <c r="H3767" s="3" t="n">
        <v>0</v>
      </c>
      <c r="I3767" s="3">
        <f>E3767+G3767+H3767</f>
        <v/>
      </c>
      <c r="J3767" s="3">
        <f>ROUND(MIN(IF(C3767="Técnico III",35,IF(C3767="Técnico II",28,IF(C3767="Técnico I",23,IF(C3767="JR",20,IF(C3767="Estágio",10,0))))),IF(C3767="Técnico III",SUMIFS($D:$D,$A:$A,$A3767,$B:$B,"&lt;&gt;Patrícia Karla de Sousa Araújo",$B:$B,"&lt;&gt;Lorena Dias de Araujo",$B:$B,"&lt;&gt;Lucas Luiz Romero")*(35/1083),IF(C3767="Técnico II",SUMIFS($D:$D,$A:$A,$A3767,$B:$B,"&lt;&gt;Patrícia Karla de Sousa Araújo",$B:$B,"&lt;&gt;Lorena Dias de Araujo",$B:$B,"&lt;&gt;Lucas Luiz Romero")*(28/1083),IF(C3767="Técnico I",SUMIFS($D:$D,$A:$A,$A3767,$B:$B,"&lt;&gt;Patrícia Karla de Sousa Araújo",$B:$B,"&lt;&gt;Lorena Dias de Araujo",$B:$B,"&lt;&gt;Lucas Luiz Romero")*(23/1083),IF(C3767="JR",SUMIFS($D:$D,$A:$A,$A3767,$B:$B,"&lt;&gt;Patrícia Karla de Sousa Araújo",$B:$B,"&lt;&gt;Lorena Dias de Araujo",$B:$B,"&lt;&gt;Lucas Luiz Romero")*(20/1083),IF(C3767="Estágio",SUMIFS($D:$D,$A:$A,$A3767,$B:$B,"&lt;&gt;Patrícia Karla de Sousa Araújo",$B:$B,"&lt;&gt;Lorena Dias de Araujo",$B:$B,"&lt;&gt;Lucas Luiz Romero")*(10/1083),0)))))),0)</f>
        <v/>
      </c>
      <c r="K3767" s="3">
        <f>I3767-J3767</f>
        <v/>
      </c>
      <c r="L3767" s="3">
        <f>IF(K3767&lt;-5,"CRÍTICO",IF(K3767&lt;0,"ATENÇÃO",IF(K3767&lt;=5,"OPORTUNO","MUITO BOM")))</f>
        <v/>
      </c>
      <c r="M3767" s="3" t="n">
        <v>31</v>
      </c>
      <c r="N3767" s="3" t="n">
        <v>100</v>
      </c>
      <c r="O3767" s="12" t="n">
        <v>27.80373831775701</v>
      </c>
    </row>
    <row r="3768">
      <c r="A3768" s="10" t="n">
        <v>46120</v>
      </c>
      <c r="B3768" t="inlineStr">
        <is>
          <t>Anna Luiza Rezende Tavares</t>
        </is>
      </c>
      <c r="C3768" s="1" t="inlineStr">
        <is>
          <t>Estágio</t>
        </is>
      </c>
      <c r="D3768" s="3" t="n">
        <v>15</v>
      </c>
      <c r="E3768" s="3" t="n">
        <v>15</v>
      </c>
      <c r="F3768" s="3" t="n">
        <v>22.09</v>
      </c>
      <c r="G3768" s="3" t="n">
        <v>0</v>
      </c>
      <c r="H3768" s="3" t="n">
        <v>0</v>
      </c>
      <c r="I3768" s="3">
        <f>E3768+G3768+H3768</f>
        <v/>
      </c>
      <c r="J3768" s="3">
        <f>ROUND(MIN(IF(C3768="Técnico III",35,IF(C3768="Técnico II",28,IF(C3768="Técnico I",23,IF(C3768="JR",20,IF(C3768="Estágio",10,0))))),IF(C3768="Técnico III",SUMIFS($D:$D,$A:$A,$A3768,$B:$B,"&lt;&gt;Patrícia Karla de Sousa Araújo",$B:$B,"&lt;&gt;Lorena Dias de Araujo",$B:$B,"&lt;&gt;Lucas Luiz Romero")*(35/1083),IF(C3768="Técnico II",SUMIFS($D:$D,$A:$A,$A3768,$B:$B,"&lt;&gt;Patrícia Karla de Sousa Araújo",$B:$B,"&lt;&gt;Lorena Dias de Araujo",$B:$B,"&lt;&gt;Lucas Luiz Romero")*(28/1083),IF(C3768="Técnico I",SUMIFS($D:$D,$A:$A,$A3768,$B:$B,"&lt;&gt;Patrícia Karla de Sousa Araújo",$B:$B,"&lt;&gt;Lorena Dias de Araujo",$B:$B,"&lt;&gt;Lucas Luiz Romero")*(23/1083),IF(C3768="JR",SUMIFS($D:$D,$A:$A,$A3768,$B:$B,"&lt;&gt;Patrícia Karla de Sousa Araújo",$B:$B,"&lt;&gt;Lorena Dias de Araujo",$B:$B,"&lt;&gt;Lucas Luiz Romero")*(20/1083),IF(C3768="Estágio",SUMIFS($D:$D,$A:$A,$A3768,$B:$B,"&lt;&gt;Patrícia Karla de Sousa Araújo",$B:$B,"&lt;&gt;Lorena Dias de Araujo",$B:$B,"&lt;&gt;Lucas Luiz Romero")*(10/1083),0)))))),0)</f>
        <v/>
      </c>
      <c r="K3768" s="3">
        <f>I3768-J3768</f>
        <v/>
      </c>
      <c r="L3768" s="3">
        <f>IF(K3768&lt;-5,"CRÍTICO",IF(K3768&lt;0,"ATENÇÃO",IF(K3768&lt;=5,"OPORTUNO","MUITO BOM")))</f>
        <v/>
      </c>
      <c r="M3768" s="3" t="n">
        <v>13</v>
      </c>
      <c r="N3768" s="3" t="n">
        <v>96.73999999999999</v>
      </c>
      <c r="O3768" s="12" t="n">
        <v>28.67647058823529</v>
      </c>
    </row>
    <row r="3769">
      <c r="A3769" s="10" t="n">
        <v>46120</v>
      </c>
      <c r="B3769" t="inlineStr">
        <is>
          <t>Brenda de Menezes Silva</t>
        </is>
      </c>
      <c r="C3769" s="1" t="inlineStr">
        <is>
          <t>Técnico II</t>
        </is>
      </c>
      <c r="D3769" s="3" t="n">
        <v>31</v>
      </c>
      <c r="E3769" s="3" t="n">
        <v>27</v>
      </c>
      <c r="F3769" s="3" t="n">
        <v>16.5</v>
      </c>
      <c r="G3769" s="3" t="n">
        <v>0</v>
      </c>
      <c r="H3769" s="3" t="n">
        <v>0</v>
      </c>
      <c r="I3769" s="3">
        <f>E3769+G3769+H3769</f>
        <v/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/>
      </c>
      <c r="K3769" s="3">
        <f>I3769-J3769</f>
        <v/>
      </c>
      <c r="L3769" s="3">
        <f>IF(K3769&lt;-5,"CRÍTICO",IF(K3769&lt;0,"ATENÇÃO",IF(K3769&lt;=5,"OPORTUNO","MUITO BOM")))</f>
        <v/>
      </c>
      <c r="M3769" s="3" t="n">
        <v>29</v>
      </c>
      <c r="N3769" s="3" t="n">
        <v>98.81999999999999</v>
      </c>
      <c r="O3769" s="12" t="n">
        <v>30.74141048824593</v>
      </c>
    </row>
    <row r="3770">
      <c r="A3770" s="10" t="n">
        <v>46120</v>
      </c>
      <c r="B3770" t="inlineStr">
        <is>
          <t>Carlos Mateus Cassimiro Nunes</t>
        </is>
      </c>
      <c r="C3770" s="1" t="inlineStr">
        <is>
          <t>Técnico II</t>
        </is>
      </c>
      <c r="D3770" s="3" t="n">
        <v>14</v>
      </c>
      <c r="E3770" s="3" t="n">
        <v>14</v>
      </c>
      <c r="F3770" s="3" t="n">
        <v>22.27</v>
      </c>
      <c r="G3770" s="3" t="n">
        <v>0</v>
      </c>
      <c r="H3770" s="3" t="n">
        <v>0</v>
      </c>
      <c r="I3770" s="3">
        <f>E3770+G3770+H3770</f>
        <v/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/>
      </c>
      <c r="K3770" s="3">
        <f>I3770-J3770</f>
        <v/>
      </c>
      <c r="L3770" s="3">
        <f>IF(K3770&lt;-5,"CRÍTICO",IF(K3770&lt;0,"ATENÇÃO",IF(K3770&lt;=5,"OPORTUNO","MUITO BOM")))</f>
        <v/>
      </c>
      <c r="M3770" s="3" t="n">
        <v>18</v>
      </c>
      <c r="N3770" s="3" t="n">
        <v>98.2</v>
      </c>
      <c r="O3770" s="12" t="n">
        <v>27.17086834733893</v>
      </c>
    </row>
    <row r="3771">
      <c r="A3771" s="10" t="n">
        <v>46120</v>
      </c>
      <c r="B3771" t="inlineStr">
        <is>
          <t>Claudio de Sousa Velasco Filho</t>
        </is>
      </c>
      <c r="C3771" s="1" t="inlineStr">
        <is>
          <t>Estágio</t>
        </is>
      </c>
      <c r="D3771" s="3" t="n">
        <v>4</v>
      </c>
      <c r="E3771" s="3" t="n">
        <v>4</v>
      </c>
      <c r="F3771" s="3" t="n">
        <v>55.43</v>
      </c>
      <c r="G3771" s="3" t="n">
        <v>0</v>
      </c>
      <c r="H3771" s="3" t="n">
        <v>0</v>
      </c>
      <c r="I3771" s="3">
        <f>E3771+G3771+H3771</f>
        <v/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/>
      </c>
      <c r="K3771" s="3">
        <f>I3771-J3771</f>
        <v/>
      </c>
      <c r="L3771" s="3">
        <f>IF(K3771&lt;-5,"CRÍTICO",IF(K3771&lt;0,"ATENÇÃO",IF(K3771&lt;=5,"OPORTUNO","MUITO BOM")))</f>
        <v/>
      </c>
      <c r="M3771" s="3" t="n">
        <v>4</v>
      </c>
      <c r="N3771" s="3" t="n">
        <v>100</v>
      </c>
      <c r="O3771" s="12" t="n">
        <v>23.13432835820895</v>
      </c>
    </row>
    <row r="3772">
      <c r="A3772" s="10" t="n">
        <v>46120</v>
      </c>
      <c r="B3772" t="inlineStr">
        <is>
          <t>Clessiane Pereira dos Santos</t>
        </is>
      </c>
      <c r="C3772" s="1" t="inlineStr">
        <is>
          <t>Técnico I</t>
        </is>
      </c>
      <c r="D3772" s="3" t="n">
        <v>23</v>
      </c>
      <c r="E3772" s="3" t="n">
        <v>22</v>
      </c>
      <c r="F3772" s="3" t="n">
        <v>15.5</v>
      </c>
      <c r="G3772" s="3" t="n">
        <v>0</v>
      </c>
      <c r="H3772" s="3" t="n">
        <v>0</v>
      </c>
      <c r="I3772" s="3">
        <f>E3772+G3772+H3772</f>
        <v/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/>
      </c>
      <c r="K3772" s="3">
        <f>I3772-J3772</f>
        <v/>
      </c>
      <c r="L3772" s="3">
        <f>IF(K3772&lt;-5,"CRÍTICO",IF(K3772&lt;0,"ATENÇÃO",IF(K3772&lt;=5,"OPORTUNO","MUITO BOM")))</f>
        <v/>
      </c>
      <c r="M3772" s="3" t="n">
        <v>30</v>
      </c>
      <c r="N3772" s="3" t="n">
        <v>96.3</v>
      </c>
      <c r="O3772" s="12" t="n">
        <v>32.21957040572792</v>
      </c>
    </row>
    <row r="3773">
      <c r="A3773" s="10" t="n">
        <v>46120</v>
      </c>
      <c r="B3773" t="inlineStr">
        <is>
          <t>Cristiane Ramos da Silva Rocha</t>
        </is>
      </c>
      <c r="C3773" s="1" t="inlineStr">
        <is>
          <t>Técnico III</t>
        </is>
      </c>
      <c r="D3773" s="3" t="n">
        <v>24</v>
      </c>
      <c r="E3773" s="3" t="n">
        <v>21</v>
      </c>
      <c r="F3773" s="3" t="n">
        <v>11.54</v>
      </c>
      <c r="G3773" s="3" t="n">
        <v>0</v>
      </c>
      <c r="H3773" s="3" t="n">
        <v>0</v>
      </c>
      <c r="I3773" s="3">
        <f>E3773+G3773+H3773</f>
        <v/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/>
      </c>
      <c r="K3773" s="3">
        <f>I3773-J3773</f>
        <v/>
      </c>
      <c r="L3773" s="3">
        <f>IF(K3773&lt;-5,"CRÍTICO",IF(K3773&lt;0,"ATENÇÃO",IF(K3773&lt;=5,"OPORTUNO","MUITO BOM")))</f>
        <v/>
      </c>
      <c r="M3773" s="3" t="n">
        <v>17</v>
      </c>
      <c r="N3773" s="3" t="n">
        <v>93.75</v>
      </c>
      <c r="O3773" s="12" t="n">
        <v>26.81992337164751</v>
      </c>
    </row>
    <row r="3774">
      <c r="A3774" s="10" t="n">
        <v>46120</v>
      </c>
      <c r="B3774" t="inlineStr">
        <is>
          <t>Damyllis Lorraine de Oliveira Gonçalves</t>
        </is>
      </c>
      <c r="C3774" s="1" t="inlineStr">
        <is>
          <t>Técnico II</t>
        </is>
      </c>
      <c r="D3774" s="3" t="n">
        <v>37</v>
      </c>
      <c r="E3774" s="3" t="n">
        <v>33</v>
      </c>
      <c r="F3774" s="3" t="n">
        <v>15.35</v>
      </c>
      <c r="G3774" s="3" t="n">
        <v>0</v>
      </c>
      <c r="H3774" s="3" t="n">
        <v>0</v>
      </c>
      <c r="I3774" s="3" t="n">
        <v>0</v>
      </c>
      <c r="J3774" s="3" t="n">
        <v>0</v>
      </c>
      <c r="K3774" s="3" t="n">
        <v>0</v>
      </c>
      <c r="L3774" s="3">
        <f>IF(K3774&lt;-5,"CRÍTICO",IF(K3774&lt;0,"ATENÇÃO",IF(K3774&lt;=5,"OPORTUNO","MUITO BOM")))</f>
        <v/>
      </c>
      <c r="M3774" s="3" t="n">
        <v>31</v>
      </c>
      <c r="N3774" s="3" t="n">
        <v>97.86</v>
      </c>
      <c r="O3774" s="12" t="n">
        <v>31.01851851851852</v>
      </c>
    </row>
    <row r="3775">
      <c r="A3775" s="10" t="n">
        <v>46120</v>
      </c>
      <c r="B3775" t="inlineStr">
        <is>
          <t>Daniel Gomes da Silva</t>
        </is>
      </c>
      <c r="C3775" s="1" t="inlineStr">
        <is>
          <t>Técnico I</t>
        </is>
      </c>
      <c r="D3775" s="3" t="n">
        <v>30</v>
      </c>
      <c r="E3775" s="3" t="n">
        <v>28</v>
      </c>
      <c r="F3775" s="3" t="n">
        <v>15.05</v>
      </c>
      <c r="G3775" s="3" t="n">
        <v>0</v>
      </c>
      <c r="H3775" s="3" t="n">
        <v>0</v>
      </c>
      <c r="I3775" s="3">
        <f>E3775+G3775+H3775</f>
        <v/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/>
      </c>
      <c r="K3775" s="3">
        <f>I3775-J3775</f>
        <v/>
      </c>
      <c r="L3775" s="3">
        <f>IF(K3775&lt;-5,"CRÍTICO",IF(K3775&lt;0,"ATENÇÃO",IF(K3775&lt;=5,"OPORTUNO","MUITO BOM")))</f>
        <v/>
      </c>
      <c r="M3775" s="3" t="n">
        <v>19</v>
      </c>
      <c r="N3775" s="3" t="n">
        <v>100</v>
      </c>
      <c r="O3775" s="12" t="n">
        <v>36.59420289855073</v>
      </c>
    </row>
    <row r="3776">
      <c r="A3776" s="10" t="n">
        <v>46120</v>
      </c>
      <c r="B3776" t="inlineStr">
        <is>
          <t>Davylla Rodrigues Freitas Silva</t>
        </is>
      </c>
      <c r="C3776" s="1" t="inlineStr">
        <is>
          <t>Técnico III</t>
        </is>
      </c>
      <c r="D3776" s="3" t="n">
        <v>34</v>
      </c>
      <c r="E3776" s="3" t="n">
        <v>34</v>
      </c>
      <c r="F3776" s="3" t="n">
        <v>19.03</v>
      </c>
      <c r="G3776" s="3" t="n">
        <v>0</v>
      </c>
      <c r="H3776" s="3" t="n">
        <v>0</v>
      </c>
      <c r="I3776" s="3" t="n">
        <v>0</v>
      </c>
      <c r="J3776" s="3" t="n">
        <v>0</v>
      </c>
      <c r="K3776" s="3" t="n">
        <v>0</v>
      </c>
      <c r="L3776" s="3">
        <f>IF(K3776&lt;-5,"CRÍTICO",IF(K3776&lt;0,"ATENÇÃO",IF(K3776&lt;=5,"OPORTUNO","MUITO BOM")))</f>
        <v/>
      </c>
      <c r="M3776" s="3" t="n">
        <v>39</v>
      </c>
      <c r="N3776" s="3" t="n">
        <v>100</v>
      </c>
      <c r="O3776" s="12" t="n">
        <v>38.65384615384615</v>
      </c>
    </row>
    <row r="3777">
      <c r="A3777" s="10" t="n">
        <v>46120</v>
      </c>
      <c r="B3777" t="inlineStr">
        <is>
          <t>Emilly Caylane Costa</t>
        </is>
      </c>
      <c r="C3777" s="1" t="inlineStr">
        <is>
          <t>Estágio</t>
        </is>
      </c>
      <c r="D3777" s="3" t="n">
        <v>5</v>
      </c>
      <c r="E3777" s="3" t="n">
        <v>4</v>
      </c>
      <c r="F3777" s="3" t="n">
        <v>23.29</v>
      </c>
      <c r="G3777" s="3" t="n">
        <v>0</v>
      </c>
      <c r="H3777" s="3" t="n">
        <v>0</v>
      </c>
      <c r="I3777" s="3">
        <f>E3777+G3777+H3777</f>
        <v/>
      </c>
      <c r="J3777" s="3">
        <f>ROUND(MIN(IF(C3777="Técnico III",35,IF(C3777="Técnico II",28,IF(C3777="Técnico I",23,IF(C3777="JR",20,IF(C3777="Estágio",10,0))))),IF(C3777="Técnico III",SUMIFS($D:$D,$A:$A,$A3777,$B:$B,"&lt;&gt;Patrícia Karla de Sousa Araújo",$B:$B,"&lt;&gt;Lorena Dias de Araujo",$B:$B,"&lt;&gt;Lucas Luiz Romero")*(35/1083),IF(C3777="Técnico II",SUMIFS($D:$D,$A:$A,$A3777,$B:$B,"&lt;&gt;Patrícia Karla de Sousa Araújo",$B:$B,"&lt;&gt;Lorena Dias de Araujo",$B:$B,"&lt;&gt;Lucas Luiz Romero")*(28/1083),IF(C3777="Técnico I",SUMIFS($D:$D,$A:$A,$A3777,$B:$B,"&lt;&gt;Patrícia Karla de Sousa Araújo",$B:$B,"&lt;&gt;Lorena Dias de Araujo",$B:$B,"&lt;&gt;Lucas Luiz Romero")*(23/1083),IF(C3777="JR",SUMIFS($D:$D,$A:$A,$A3777,$B:$B,"&lt;&gt;Patrícia Karla de Sousa Araújo",$B:$B,"&lt;&gt;Lorena Dias de Araujo",$B:$B,"&lt;&gt;Lucas Luiz Romero")*(20/1083),IF(C3777="Estágio",SUMIFS($D:$D,$A:$A,$A3777,$B:$B,"&lt;&gt;Patrícia Karla de Sousa Araújo",$B:$B,"&lt;&gt;Lorena Dias de Araujo",$B:$B,"&lt;&gt;Lucas Luiz Romero")*(10/1083),0)))))),0)</f>
        <v/>
      </c>
      <c r="K3777" s="3">
        <f>I3777-J3777</f>
        <v/>
      </c>
      <c r="L3777" s="3">
        <f>IF(K3777&lt;-5,"CRÍTICO",IF(K3777&lt;0,"ATENÇÃO",IF(K3777&lt;=5,"OPORTUNO","MUITO BOM")))</f>
        <v/>
      </c>
      <c r="M3777" s="3" t="n">
        <v>2</v>
      </c>
      <c r="N3777" s="3" t="n">
        <v>100</v>
      </c>
      <c r="O3777" s="12" t="n">
        <v>27.36842105263158</v>
      </c>
    </row>
    <row r="3778">
      <c r="A3778" s="10" t="n">
        <v>46120</v>
      </c>
      <c r="B3778" t="inlineStr">
        <is>
          <t>Emilly Kamilly Medeiros Miranda</t>
        </is>
      </c>
      <c r="C3778" s="1" t="inlineStr">
        <is>
          <t>Técnico II</t>
        </is>
      </c>
      <c r="D3778" s="3" t="n">
        <v>29</v>
      </c>
      <c r="E3778" s="3" t="n">
        <v>27</v>
      </c>
      <c r="F3778" s="3" t="n">
        <v>17.09</v>
      </c>
      <c r="G3778" s="3" t="n">
        <v>0</v>
      </c>
      <c r="H3778" s="3" t="n">
        <v>0</v>
      </c>
      <c r="I3778" s="3">
        <f>E3778+G3778+H3778</f>
        <v/>
      </c>
      <c r="J3778" s="3">
        <f>ROUND(MIN(IF(C3778="Técnico III",35,IF(C3778="Técnico II",28,IF(C3778="Técnico I",23,IF(C3778="JR",20,IF(C3778="Estágio",10,0))))),IF(C3778="Técnico III",SUMIFS($D:$D,$A:$A,$A3778,$B:$B,"&lt;&gt;Patrícia Karla de Sousa Araújo",$B:$B,"&lt;&gt;Lorena Dias de Araujo",$B:$B,"&lt;&gt;Lucas Luiz Romero")*(35/1083),IF(C3778="Técnico II",SUMIFS($D:$D,$A:$A,$A3778,$B:$B,"&lt;&gt;Patrícia Karla de Sousa Araújo",$B:$B,"&lt;&gt;Lorena Dias de Araujo",$B:$B,"&lt;&gt;Lucas Luiz Romero")*(28/1083),IF(C3778="Técnico I",SUMIFS($D:$D,$A:$A,$A3778,$B:$B,"&lt;&gt;Patrícia Karla de Sousa Araújo",$B:$B,"&lt;&gt;Lorena Dias de Araujo",$B:$B,"&lt;&gt;Lucas Luiz Romero")*(23/1083),IF(C3778="JR",SUMIFS($D:$D,$A:$A,$A3778,$B:$B,"&lt;&gt;Patrícia Karla de Sousa Araújo",$B:$B,"&lt;&gt;Lorena Dias de Araujo",$B:$B,"&lt;&gt;Lucas Luiz Romero")*(20/1083),IF(C3778="Estágio",SUMIFS($D:$D,$A:$A,$A3778,$B:$B,"&lt;&gt;Patrícia Karla de Sousa Araújo",$B:$B,"&lt;&gt;Lorena Dias de Araujo",$B:$B,"&lt;&gt;Lucas Luiz Romero")*(10/1083),0)))))),0)</f>
        <v/>
      </c>
      <c r="K3778" s="3">
        <f>I3778-J3778</f>
        <v/>
      </c>
      <c r="L3778" s="3">
        <f>IF(K3778&lt;-5,"CRÍTICO",IF(K3778&lt;0,"ATENÇÃO",IF(K3778&lt;=5,"OPORTUNO","MUITO BOM")))</f>
        <v/>
      </c>
      <c r="M3778" s="3" t="n">
        <v>25</v>
      </c>
      <c r="N3778" s="3" t="n">
        <v>97.83</v>
      </c>
      <c r="O3778" s="12" t="n">
        <v>28.35164835164835</v>
      </c>
    </row>
    <row r="3779">
      <c r="A3779" s="10" t="n">
        <v>46120</v>
      </c>
      <c r="B3779" t="inlineStr">
        <is>
          <t>Francielson de Oliveira</t>
        </is>
      </c>
      <c r="C3779" s="1" t="inlineStr">
        <is>
          <t>Técnico III</t>
        </is>
      </c>
      <c r="D3779" s="3" t="n">
        <v>28</v>
      </c>
      <c r="E3779" s="3" t="n">
        <v>26</v>
      </c>
      <c r="F3779" s="3" t="n">
        <v>17.25</v>
      </c>
      <c r="G3779" s="3" t="n">
        <v>0</v>
      </c>
      <c r="H3779" s="3" t="n">
        <v>0</v>
      </c>
      <c r="I3779" s="3">
        <f>E3779+G3779+H3779</f>
        <v/>
      </c>
      <c r="J3779" s="3">
        <f>ROUND(MIN(IF(C3779="Técnico III",35,IF(C3779="Técnico II",28,IF(C3779="Técnico I",23,IF(C3779="JR",20,IF(C3779="Estágio",10,0))))),IF(C3779="Técnico III",SUMIFS($D:$D,$A:$A,$A3779,$B:$B,"&lt;&gt;Patrícia Karla de Sousa Araújo",$B:$B,"&lt;&gt;Lorena Dias de Araujo",$B:$B,"&lt;&gt;Lucas Luiz Romero")*(35/1083),IF(C3779="Técnico II",SUMIFS($D:$D,$A:$A,$A3779,$B:$B,"&lt;&gt;Patrícia Karla de Sousa Araújo",$B:$B,"&lt;&gt;Lorena Dias de Araujo",$B:$B,"&lt;&gt;Lucas Luiz Romero")*(28/1083),IF(C3779="Técnico I",SUMIFS($D:$D,$A:$A,$A3779,$B:$B,"&lt;&gt;Patrícia Karla de Sousa Araújo",$B:$B,"&lt;&gt;Lorena Dias de Araujo",$B:$B,"&lt;&gt;Lucas Luiz Romero")*(23/1083),IF(C3779="JR",SUMIFS($D:$D,$A:$A,$A3779,$B:$B,"&lt;&gt;Patrícia Karla de Sousa Araújo",$B:$B,"&lt;&gt;Lorena Dias de Araujo",$B:$B,"&lt;&gt;Lucas Luiz Romero")*(20/1083),IF(C3779="Estágio",SUMIFS($D:$D,$A:$A,$A3779,$B:$B,"&lt;&gt;Patrícia Karla de Sousa Araújo",$B:$B,"&lt;&gt;Lorena Dias de Araujo",$B:$B,"&lt;&gt;Lucas Luiz Romero")*(10/1083),0)))))),0)</f>
        <v/>
      </c>
      <c r="K3779" s="3">
        <f>I3779-J3779</f>
        <v/>
      </c>
      <c r="L3779" s="3">
        <f>IF(K3779&lt;-5,"CRÍTICO",IF(K3779&lt;0,"ATENÇÃO",IF(K3779&lt;=5,"OPORTUNO","MUITO BOM")))</f>
        <v/>
      </c>
      <c r="M3779" s="3" t="n">
        <v>23</v>
      </c>
      <c r="N3779" s="3" t="n">
        <v>99.26000000000001</v>
      </c>
      <c r="O3779" s="12" t="n">
        <v>29.76653696498055</v>
      </c>
    </row>
    <row r="3780">
      <c r="A3780" s="10" t="n">
        <v>46120</v>
      </c>
      <c r="B3780" t="inlineStr">
        <is>
          <t>Francilene Ferreira de Jesus</t>
        </is>
      </c>
      <c r="C3780" s="1" t="inlineStr">
        <is>
          <t>Técnico II</t>
        </is>
      </c>
      <c r="D3780" s="3" t="n">
        <v>34</v>
      </c>
      <c r="E3780" s="3" t="n">
        <v>33</v>
      </c>
      <c r="F3780" s="3" t="n">
        <v>18.46</v>
      </c>
      <c r="G3780" s="3" t="n">
        <v>0</v>
      </c>
      <c r="H3780" s="3" t="n">
        <v>0</v>
      </c>
      <c r="I3780" s="3">
        <f>E3780+G3780+H3780</f>
        <v/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/>
      </c>
      <c r="K3780" s="3">
        <f>I3780-J3780</f>
        <v/>
      </c>
      <c r="L3780" s="3">
        <f>IF(K3780&lt;-5,"CRÍTICO",IF(K3780&lt;0,"ATENÇÃO",IF(K3780&lt;=5,"OPORTUNO","MUITO BOM")))</f>
        <v/>
      </c>
      <c r="M3780" s="3" t="n">
        <v>28</v>
      </c>
      <c r="N3780" s="3" t="n">
        <v>99.19</v>
      </c>
      <c r="O3780" s="12" t="n">
        <v>29.46236559139785</v>
      </c>
    </row>
    <row r="3781">
      <c r="A3781" s="7" t="n">
        <v>46161</v>
      </c>
      <c r="B3781" s="8" t="inlineStr">
        <is>
          <t>Damyllis Lorraine de Oliveira Gonçalves</t>
        </is>
      </c>
      <c r="C3781" s="1" t="inlineStr">
        <is>
          <t>Técnico II</t>
        </is>
      </c>
      <c r="D3781" s="3" t="n">
        <v>0</v>
      </c>
      <c r="E3781" s="3" t="n">
        <v>0</v>
      </c>
      <c r="F3781" s="3" t="n">
        <v>0</v>
      </c>
      <c r="G3781" s="3" t="n">
        <v>0</v>
      </c>
      <c r="H3781" s="3" t="n">
        <v>0</v>
      </c>
      <c r="I3781" s="3" t="n">
        <v>0</v>
      </c>
      <c r="J3781" s="3" t="n">
        <v>0</v>
      </c>
      <c r="K3781" s="3" t="n">
        <v>0</v>
      </c>
      <c r="L3781" s="3" t="inlineStr">
        <is>
          <t>BOM</t>
        </is>
      </c>
      <c r="M3781" s="3" t="n">
        <v>0</v>
      </c>
      <c r="N3781" s="3" t="n">
        <v>98.81</v>
      </c>
      <c r="O3781" s="12" t="n">
        <v>22.76785714285714</v>
      </c>
    </row>
    <row r="3782">
      <c r="A3782" s="10" t="n">
        <v>46120</v>
      </c>
      <c r="B3782" t="inlineStr">
        <is>
          <t>Isabella Borges de Oliveira</t>
        </is>
      </c>
      <c r="C3782" s="1" t="inlineStr">
        <is>
          <t>Técnico II</t>
        </is>
      </c>
      <c r="D3782" s="3" t="n">
        <v>0</v>
      </c>
      <c r="E3782" s="3" t="n">
        <v>0</v>
      </c>
      <c r="F3782" s="3" t="n">
        <v>0</v>
      </c>
      <c r="G3782" s="3" t="n">
        <v>0</v>
      </c>
      <c r="H3782" s="3" t="n">
        <v>0</v>
      </c>
      <c r="I3782" s="3" t="n">
        <v>0</v>
      </c>
      <c r="J3782" s="3" t="n">
        <v>0</v>
      </c>
      <c r="K3782" s="3" t="n">
        <v>0</v>
      </c>
      <c r="L3782" s="3">
        <f>IF(K3782&lt;-5,"CRÍTICO",IF(K3782&lt;0,"ATENÇÃO",IF(K3782&lt;=5,"OPORTUNO","MUITO BOM")))</f>
        <v/>
      </c>
      <c r="M3782" s="3" t="n">
        <v>0</v>
      </c>
      <c r="N3782" s="3" t="n">
        <v>100</v>
      </c>
      <c r="O3782" s="12" t="n">
        <v>28.92156862745098</v>
      </c>
    </row>
    <row r="3783">
      <c r="A3783" s="10" t="n">
        <v>46120</v>
      </c>
      <c r="B3783" t="inlineStr">
        <is>
          <t>Janaina Lima dos Reis Urany</t>
        </is>
      </c>
      <c r="C3783" s="1" t="inlineStr">
        <is>
          <t>Técnico III</t>
        </is>
      </c>
      <c r="D3783" s="3" t="n">
        <v>40</v>
      </c>
      <c r="E3783" s="3" t="n">
        <v>37</v>
      </c>
      <c r="F3783" s="3" t="n">
        <v>15.28</v>
      </c>
      <c r="G3783" s="3" t="n">
        <v>0</v>
      </c>
      <c r="H3783" s="3" t="n">
        <v>0</v>
      </c>
      <c r="I3783" s="3">
        <f>E3783+G3783+H3783</f>
        <v/>
      </c>
      <c r="J3783" s="3">
        <f>ROUND(MIN(IF(C3783="Técnico III",35,IF(C3783="Técnico II",28,IF(C3783="Técnico I",23,IF(C3783="JR",20,IF(C3783="Estágio",10,0))))),IF(C3783="Técnico III",SUMIFS($D:$D,$A:$A,$A3783,$B:$B,"&lt;&gt;Patrícia Karla de Sousa Araújo",$B:$B,"&lt;&gt;Lorena Dias de Araujo",$B:$B,"&lt;&gt;Lucas Luiz Romero")*(35/1083),IF(C3783="Técnico II",SUMIFS($D:$D,$A:$A,$A3783,$B:$B,"&lt;&gt;Patrícia Karla de Sousa Araújo",$B:$B,"&lt;&gt;Lorena Dias de Araujo",$B:$B,"&lt;&gt;Lucas Luiz Romero")*(28/1083),IF(C3783="Técnico I",SUMIFS($D:$D,$A:$A,$A3783,$B:$B,"&lt;&gt;Patrícia Karla de Sousa Araújo",$B:$B,"&lt;&gt;Lorena Dias de Araujo",$B:$B,"&lt;&gt;Lucas Luiz Romero")*(23/1083),IF(C3783="JR",SUMIFS($D:$D,$A:$A,$A3783,$B:$B,"&lt;&gt;Patrícia Karla de Sousa Araújo",$B:$B,"&lt;&gt;Lorena Dias de Araujo",$B:$B,"&lt;&gt;Lucas Luiz Romero")*(20/1083),IF(C3783="Estágio",SUMIFS($D:$D,$A:$A,$A3783,$B:$B,"&lt;&gt;Patrícia Karla de Sousa Araújo",$B:$B,"&lt;&gt;Lorena Dias de Araujo",$B:$B,"&lt;&gt;Lucas Luiz Romero")*(10/1083),0)))))),0)</f>
        <v/>
      </c>
      <c r="K3783" s="3">
        <f>I3783-J3783</f>
        <v/>
      </c>
      <c r="L3783" s="3">
        <f>IF(K3783&lt;-5,"CRÍTICO",IF(K3783&lt;0,"ATENÇÃO",IF(K3783&lt;=5,"OPORTUNO","MUITO BOM")))</f>
        <v/>
      </c>
      <c r="M3783" s="3" t="n">
        <v>37</v>
      </c>
      <c r="N3783" s="3" t="n">
        <v>99.56999999999999</v>
      </c>
      <c r="O3783" s="12" t="n">
        <v>30.63583815028902</v>
      </c>
    </row>
    <row r="3784">
      <c r="A3784" s="10" t="n">
        <v>46120</v>
      </c>
      <c r="B3784" t="inlineStr">
        <is>
          <t>Jaqueline Evangelista da Silva Martins</t>
        </is>
      </c>
      <c r="C3784" s="1" t="inlineStr">
        <is>
          <t>Técnico III</t>
        </is>
      </c>
      <c r="D3784" s="3" t="n">
        <v>0</v>
      </c>
      <c r="E3784" s="3" t="n">
        <v>0</v>
      </c>
      <c r="F3784" s="3" t="n">
        <v>0</v>
      </c>
      <c r="G3784" s="3" t="n">
        <v>0</v>
      </c>
      <c r="H3784" s="3" t="n">
        <v>0</v>
      </c>
      <c r="I3784" s="3" t="n">
        <v>0</v>
      </c>
      <c r="J3784" s="3" t="n">
        <v>0</v>
      </c>
      <c r="K3784" s="3" t="n">
        <v>0</v>
      </c>
      <c r="L3784" s="3">
        <f>IF(K3784&lt;-5,"CRÍTICO",IF(K3784&lt;0,"ATENÇÃO",IF(K3784&lt;=5,"OPORTUNO","MUITO BOM")))</f>
        <v/>
      </c>
      <c r="M3784" s="3" t="n">
        <v>0</v>
      </c>
      <c r="N3784" s="3" t="n">
        <v>95.65000000000001</v>
      </c>
      <c r="O3784" s="12" t="n">
        <v>32.43243243243244</v>
      </c>
    </row>
    <row r="3785">
      <c r="A3785" s="10" t="n">
        <v>46120</v>
      </c>
      <c r="B3785" t="inlineStr">
        <is>
          <t>Jessica Faria da Silveira</t>
        </is>
      </c>
      <c r="C3785" s="1" t="inlineStr">
        <is>
          <t>Técnico II</t>
        </is>
      </c>
      <c r="D3785" s="3" t="n">
        <v>28</v>
      </c>
      <c r="E3785" s="3" t="n">
        <v>25</v>
      </c>
      <c r="F3785" s="3" t="n">
        <v>18.21</v>
      </c>
      <c r="G3785" s="3" t="n">
        <v>0</v>
      </c>
      <c r="H3785" s="3" t="n">
        <v>0</v>
      </c>
      <c r="I3785" s="3">
        <f>E3785+G3785+H3785</f>
        <v/>
      </c>
      <c r="J3785" s="3">
        <f>ROUND(MIN(IF(C3785="Técnico III",35,IF(C3785="Técnico II",28,IF(C3785="Técnico I",23,IF(C3785="JR",20,IF(C3785="Estágio",10,0))))),IF(C3785="Técnico III",SUMIFS($D:$D,$A:$A,$A3785,$B:$B,"&lt;&gt;Patrícia Karla de Sousa Araújo",$B:$B,"&lt;&gt;Lorena Dias de Araujo",$B:$B,"&lt;&gt;Lucas Luiz Romero")*(35/1083),IF(C3785="Técnico II",SUMIFS($D:$D,$A:$A,$A3785,$B:$B,"&lt;&gt;Patrícia Karla de Sousa Araújo",$B:$B,"&lt;&gt;Lorena Dias de Araujo",$B:$B,"&lt;&gt;Lucas Luiz Romero")*(28/1083),IF(C3785="Técnico I",SUMIFS($D:$D,$A:$A,$A3785,$B:$B,"&lt;&gt;Patrícia Karla de Sousa Araújo",$B:$B,"&lt;&gt;Lorena Dias de Araujo",$B:$B,"&lt;&gt;Lucas Luiz Romero")*(23/1083),IF(C3785="JR",SUMIFS($D:$D,$A:$A,$A3785,$B:$B,"&lt;&gt;Patrícia Karla de Sousa Araújo",$B:$B,"&lt;&gt;Lorena Dias de Araujo",$B:$B,"&lt;&gt;Lucas Luiz Romero")*(20/1083),IF(C3785="Estágio",SUMIFS($D:$D,$A:$A,$A3785,$B:$B,"&lt;&gt;Patrícia Karla de Sousa Araújo",$B:$B,"&lt;&gt;Lorena Dias de Araujo",$B:$B,"&lt;&gt;Lucas Luiz Romero")*(10/1083),0)))))),0)</f>
        <v/>
      </c>
      <c r="K3785" s="3">
        <f>I3785-J3785</f>
        <v/>
      </c>
      <c r="L3785" s="3">
        <f>IF(K3785&lt;-5,"CRÍTICO",IF(K3785&lt;0,"ATENÇÃO",IF(K3785&lt;=5,"OPORTUNO","MUITO BOM")))</f>
        <v/>
      </c>
      <c r="M3785" s="3" t="n">
        <v>24</v>
      </c>
      <c r="N3785" s="3" t="n">
        <v>98.81</v>
      </c>
      <c r="O3785" s="12" t="n">
        <v>26.25698324022346</v>
      </c>
    </row>
    <row r="3786">
      <c r="A3786" s="10" t="n">
        <v>46120</v>
      </c>
      <c r="B3786" t="inlineStr">
        <is>
          <t>Jéssica Fé Moura</t>
        </is>
      </c>
      <c r="C3786" s="1" t="inlineStr">
        <is>
          <t>Técnico III</t>
        </is>
      </c>
      <c r="D3786" s="3" t="n">
        <v>0</v>
      </c>
      <c r="E3786" s="3" t="n">
        <v>0</v>
      </c>
      <c r="F3786" s="3" t="n">
        <v>0</v>
      </c>
      <c r="G3786" s="3" t="n">
        <v>0</v>
      </c>
      <c r="H3786" s="3" t="n">
        <v>0</v>
      </c>
      <c r="I3786" s="3" t="n">
        <v>0</v>
      </c>
      <c r="J3786" s="3" t="n">
        <v>0</v>
      </c>
      <c r="K3786" s="3" t="n">
        <v>0</v>
      </c>
      <c r="L3786" s="3">
        <f>IF(K3786&lt;-5,"CRÍTICO",IF(K3786&lt;0,"ATENÇÃO",IF(K3786&lt;=5,"OPORTUNO","MUITO BOM")))</f>
        <v/>
      </c>
      <c r="M3786" s="3" t="n">
        <v>0</v>
      </c>
      <c r="N3786" s="3" t="n">
        <v>0</v>
      </c>
      <c r="O3786" s="12" t="n">
        <v>0</v>
      </c>
    </row>
    <row r="3787">
      <c r="A3787" s="10" t="n">
        <v>46120</v>
      </c>
      <c r="B3787" t="inlineStr">
        <is>
          <t>Karina Gonçalves Martins</t>
        </is>
      </c>
      <c r="C3787" s="1" t="inlineStr">
        <is>
          <t>JR</t>
        </is>
      </c>
      <c r="D3787" s="3" t="n">
        <v>22</v>
      </c>
      <c r="E3787" s="3" t="n">
        <v>22</v>
      </c>
      <c r="F3787" s="3" t="n">
        <v>15.44</v>
      </c>
      <c r="G3787" s="3" t="n">
        <v>0</v>
      </c>
      <c r="H3787" s="3" t="n">
        <v>0</v>
      </c>
      <c r="I3787" s="3">
        <f>E3787+G3787+H3787</f>
        <v/>
      </c>
      <c r="J3787" s="3">
        <f>ROUND(MIN(IF(C3787="Técnico III",35,IF(C3787="Técnico II",28,IF(C3787="Técnico I",23,IF(C3787="JR",20,IF(C3787="Estágio",10,0))))),IF(C3787="Técnico III",SUMIFS($D:$D,$A:$A,$A3787,$B:$B,"&lt;&gt;Patrícia Karla de Sousa Araújo",$B:$B,"&lt;&gt;Lorena Dias de Araujo",$B:$B,"&lt;&gt;Lucas Luiz Romero")*(35/1083),IF(C3787="Técnico II",SUMIFS($D:$D,$A:$A,$A3787,$B:$B,"&lt;&gt;Patrícia Karla de Sousa Araújo",$B:$B,"&lt;&gt;Lorena Dias de Araujo",$B:$B,"&lt;&gt;Lucas Luiz Romero")*(28/1083),IF(C3787="Técnico I",SUMIFS($D:$D,$A:$A,$A3787,$B:$B,"&lt;&gt;Patrícia Karla de Sousa Araújo",$B:$B,"&lt;&gt;Lorena Dias de Araujo",$B:$B,"&lt;&gt;Lucas Luiz Romero")*(23/1083),IF(C3787="JR",SUMIFS($D:$D,$A:$A,$A3787,$B:$B,"&lt;&gt;Patrícia Karla de Sousa Araújo",$B:$B,"&lt;&gt;Lorena Dias de Araujo",$B:$B,"&lt;&gt;Lucas Luiz Romero")*(20/1083),IF(C3787="Estágio",SUMIFS($D:$D,$A:$A,$A3787,$B:$B,"&lt;&gt;Patrícia Karla de Sousa Araújo",$B:$B,"&lt;&gt;Lorena Dias de Araujo",$B:$B,"&lt;&gt;Lucas Luiz Romero")*(10/1083),0)))))),0)</f>
        <v/>
      </c>
      <c r="K3787" s="3">
        <f>I3787-J3787</f>
        <v/>
      </c>
      <c r="L3787" s="3">
        <f>IF(K3787&lt;-5,"CRÍTICO",IF(K3787&lt;0,"ATENÇÃO",IF(K3787&lt;=5,"OPORTUNO","MUITO BOM")))</f>
        <v/>
      </c>
      <c r="M3787" s="3" t="n">
        <v>14</v>
      </c>
      <c r="N3787" s="3" t="n">
        <v>97.17</v>
      </c>
      <c r="O3787" s="12" t="n">
        <v>28.81844380403458</v>
      </c>
    </row>
    <row r="3788">
      <c r="A3788" s="10" t="n">
        <v>46120</v>
      </c>
      <c r="B3788" t="inlineStr">
        <is>
          <t>Kerollen Cristielly de Jesus Siqueira</t>
        </is>
      </c>
      <c r="C3788" s="1" t="inlineStr">
        <is>
          <t>Técnico III</t>
        </is>
      </c>
      <c r="D3788" s="3" t="n">
        <v>18</v>
      </c>
      <c r="E3788" s="3" t="n">
        <v>17</v>
      </c>
      <c r="F3788" s="3" t="n">
        <v>20.5</v>
      </c>
      <c r="G3788" s="3" t="n">
        <v>0</v>
      </c>
      <c r="H3788" s="3" t="n">
        <v>0</v>
      </c>
      <c r="I3788" s="3">
        <f>E3788+G3788+H3788</f>
        <v/>
      </c>
      <c r="J3788" s="3">
        <f>ROUND(MIN(IF(C3788="Técnico III",35,IF(C3788="Técnico II",28,IF(C3788="Técnico I",23,IF(C3788="JR",20,IF(C3788="Estágio",10,0))))),IF(C3788="Técnico III",SUMIFS($D:$D,$A:$A,$A3788,$B:$B,"&lt;&gt;Patrícia Karla de Sousa Araújo",$B:$B,"&lt;&gt;Lorena Dias de Araujo",$B:$B,"&lt;&gt;Lucas Luiz Romero")*(35/1083),IF(C3788="Técnico II",SUMIFS($D:$D,$A:$A,$A3788,$B:$B,"&lt;&gt;Patrícia Karla de Sousa Araújo",$B:$B,"&lt;&gt;Lorena Dias de Araujo",$B:$B,"&lt;&gt;Lucas Luiz Romero")*(28/1083),IF(C3788="Técnico I",SUMIFS($D:$D,$A:$A,$A3788,$B:$B,"&lt;&gt;Patrícia Karla de Sousa Araújo",$B:$B,"&lt;&gt;Lorena Dias de Araujo",$B:$B,"&lt;&gt;Lucas Luiz Romero")*(23/1083),IF(C3788="JR",SUMIFS($D:$D,$A:$A,$A3788,$B:$B,"&lt;&gt;Patrícia Karla de Sousa Araújo",$B:$B,"&lt;&gt;Lorena Dias de Araujo",$B:$B,"&lt;&gt;Lucas Luiz Romero")*(20/1083),IF(C3788="Estágio",SUMIFS($D:$D,$A:$A,$A3788,$B:$B,"&lt;&gt;Patrícia Karla de Sousa Araújo",$B:$B,"&lt;&gt;Lorena Dias de Araujo",$B:$B,"&lt;&gt;Lucas Luiz Romero")*(10/1083),0)))))),0)</f>
        <v/>
      </c>
      <c r="K3788" s="3">
        <f>I3788-J3788</f>
        <v/>
      </c>
      <c r="L3788" s="3">
        <f>IF(K3788&lt;-5,"CRÍTICO",IF(K3788&lt;0,"ATENÇÃO",IF(K3788&lt;=5,"OPORTUNO","MUITO BOM")))</f>
        <v/>
      </c>
      <c r="M3788" s="3" t="n">
        <v>18</v>
      </c>
      <c r="N3788" s="3" t="n">
        <v>96.81</v>
      </c>
      <c r="O3788" s="12" t="n">
        <v>48.01864801864802</v>
      </c>
    </row>
    <row r="3789">
      <c r="A3789" s="10" t="n">
        <v>46120</v>
      </c>
      <c r="B3789" t="inlineStr">
        <is>
          <t>Leandro de Souza Silva</t>
        </is>
      </c>
      <c r="C3789" s="1" t="inlineStr">
        <is>
          <t>JR</t>
        </is>
      </c>
      <c r="D3789" s="3" t="n">
        <v>20</v>
      </c>
      <c r="E3789" s="3" t="n">
        <v>17</v>
      </c>
      <c r="F3789" s="3" t="n">
        <v>19.13</v>
      </c>
      <c r="G3789" s="3" t="n">
        <v>0</v>
      </c>
      <c r="H3789" s="3" t="n">
        <v>0</v>
      </c>
      <c r="I3789" s="3">
        <f>E3789+G3789+H3789</f>
        <v/>
      </c>
      <c r="J3789" s="3">
        <f>ROUND(MIN(IF(C3789="Técnico III",35,IF(C3789="Técnico II",28,IF(C3789="Técnico I",23,IF(C3789="JR",20,IF(C3789="Estágio",10,0))))),IF(C3789="Técnico III",SUMIFS($D:$D,$A:$A,$A3789,$B:$B,"&lt;&gt;Patrícia Karla de Sousa Araújo",$B:$B,"&lt;&gt;Lorena Dias de Araujo",$B:$B,"&lt;&gt;Lucas Luiz Romero")*(35/1083),IF(C3789="Técnico II",SUMIFS($D:$D,$A:$A,$A3789,$B:$B,"&lt;&gt;Patrícia Karla de Sousa Araújo",$B:$B,"&lt;&gt;Lorena Dias de Araujo",$B:$B,"&lt;&gt;Lucas Luiz Romero")*(28/1083),IF(C3789="Técnico I",SUMIFS($D:$D,$A:$A,$A3789,$B:$B,"&lt;&gt;Patrícia Karla de Sousa Araújo",$B:$B,"&lt;&gt;Lorena Dias de Araujo",$B:$B,"&lt;&gt;Lucas Luiz Romero")*(23/1083),IF(C3789="JR",SUMIFS($D:$D,$A:$A,$A3789,$B:$B,"&lt;&gt;Patrícia Karla de Sousa Araújo",$B:$B,"&lt;&gt;Lorena Dias de Araujo",$B:$B,"&lt;&gt;Lucas Luiz Romero")*(20/1083),IF(C3789="Estágio",SUMIFS($D:$D,$A:$A,$A3789,$B:$B,"&lt;&gt;Patrícia Karla de Sousa Araújo",$B:$B,"&lt;&gt;Lorena Dias de Araujo",$B:$B,"&lt;&gt;Lucas Luiz Romero")*(10/1083),0)))))),0)</f>
        <v/>
      </c>
      <c r="K3789" s="3">
        <f>I3789-J3789</f>
        <v/>
      </c>
      <c r="L3789" s="3">
        <f>IF(K3789&lt;-5,"CRÍTICO",IF(K3789&lt;0,"ATENÇÃO",IF(K3789&lt;=5,"OPORTUNO","MUITO BOM")))</f>
        <v/>
      </c>
      <c r="M3789" s="3" t="n">
        <v>13</v>
      </c>
      <c r="N3789" s="3" t="n">
        <v>98.15000000000001</v>
      </c>
      <c r="O3789" s="12" t="n">
        <v>27.1551724137931</v>
      </c>
    </row>
    <row r="3790">
      <c r="A3790" s="10" t="n">
        <v>46120</v>
      </c>
      <c r="B3790" t="inlineStr">
        <is>
          <t>Leandro Oliveira de Sousa</t>
        </is>
      </c>
      <c r="C3790" s="1" t="inlineStr">
        <is>
          <t>Técnico III</t>
        </is>
      </c>
      <c r="D3790" s="3" t="n">
        <v>30</v>
      </c>
      <c r="E3790" s="3" t="n">
        <v>29</v>
      </c>
      <c r="F3790" s="3" t="n">
        <v>11.46</v>
      </c>
      <c r="G3790" s="3" t="n">
        <v>0</v>
      </c>
      <c r="H3790" s="3" t="n">
        <v>0</v>
      </c>
      <c r="I3790" s="3">
        <f>E3790+G3790+H3790</f>
        <v/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/>
      </c>
      <c r="K3790" s="3">
        <f>I3790-J3790</f>
        <v/>
      </c>
      <c r="L3790" s="3">
        <f>IF(K3790&lt;-5,"CRÍTICO",IF(K3790&lt;0,"ATENÇÃO",IF(K3790&lt;=5,"OPORTUNO","MUITO BOM")))</f>
        <v/>
      </c>
      <c r="M3790" s="3" t="n">
        <v>28</v>
      </c>
      <c r="N3790" s="3" t="n">
        <v>99.15000000000001</v>
      </c>
      <c r="O3790" s="12" t="n">
        <v>27.58620689655172</v>
      </c>
    </row>
    <row r="3791">
      <c r="A3791" s="10" t="n">
        <v>46120</v>
      </c>
      <c r="B3791" t="inlineStr">
        <is>
          <t>Lizandra Gomes Duarte</t>
        </is>
      </c>
      <c r="C3791" s="1" t="inlineStr">
        <is>
          <t>Técnico II</t>
        </is>
      </c>
      <c r="D3791" s="3" t="n">
        <v>26</v>
      </c>
      <c r="E3791" s="3" t="n">
        <v>24</v>
      </c>
      <c r="F3791" s="3" t="n">
        <v>18.36</v>
      </c>
      <c r="G3791" s="3" t="n">
        <v>0</v>
      </c>
      <c r="H3791" s="3" t="n">
        <v>0</v>
      </c>
      <c r="I3791" s="3">
        <f>E3791+G3791+H3791</f>
        <v/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/>
      </c>
      <c r="K3791" s="3">
        <f>I3791-J3791</f>
        <v/>
      </c>
      <c r="L3791" s="3">
        <f>IF(K3791&lt;-5,"CRÍTICO",IF(K3791&lt;0,"ATENÇÃO",IF(K3791&lt;=5,"OPORTUNO","MUITO BOM")))</f>
        <v/>
      </c>
      <c r="M3791" s="3" t="n">
        <v>13</v>
      </c>
      <c r="N3791" s="3" t="n">
        <v>99.17</v>
      </c>
      <c r="O3791" s="12" t="n">
        <v>29.75206611570248</v>
      </c>
    </row>
    <row r="3792">
      <c r="A3792" s="10" t="n">
        <v>46120</v>
      </c>
      <c r="B3792" t="inlineStr">
        <is>
          <t>Lorena Dias de Araujo</t>
        </is>
      </c>
      <c r="C3792" s="1" t="inlineStr">
        <is>
          <t>Técnico II</t>
        </is>
      </c>
      <c r="D3792" s="3" t="n">
        <v>21</v>
      </c>
      <c r="E3792" s="3" t="n">
        <v>20</v>
      </c>
      <c r="F3792" s="3" t="n">
        <v>21.5</v>
      </c>
      <c r="G3792" s="3" t="n">
        <v>0</v>
      </c>
      <c r="H3792" s="3" t="n">
        <v>0</v>
      </c>
      <c r="I3792" s="3" t="n">
        <v>0</v>
      </c>
      <c r="J3792" s="3" t="n">
        <v>0</v>
      </c>
      <c r="K3792" s="3" t="n">
        <v>0</v>
      </c>
      <c r="L3792" s="3">
        <f>IF(K3792&lt;-5,"CRÍTICO",IF(K3792&lt;0,"ATENÇÃO",IF(K3792&lt;=5,"OPORTUNO","MUITO BOM")))</f>
        <v/>
      </c>
      <c r="M3792" s="3" t="n">
        <v>23</v>
      </c>
      <c r="N3792" s="3" t="n">
        <v>98.73</v>
      </c>
      <c r="O3792" s="12" t="n">
        <v>28.96174863387978</v>
      </c>
    </row>
    <row r="3793">
      <c r="A3793" s="10" t="n">
        <v>46120</v>
      </c>
      <c r="B3793" t="inlineStr">
        <is>
          <t>Lucas Luiz Romero</t>
        </is>
      </c>
      <c r="C3793" s="1" t="inlineStr">
        <is>
          <t>Técnico III</t>
        </is>
      </c>
      <c r="D3793" s="3" t="n">
        <v>43</v>
      </c>
      <c r="E3793" s="3" t="n">
        <v>36</v>
      </c>
      <c r="F3793" s="3" t="n">
        <v>13.47</v>
      </c>
      <c r="G3793" s="3" t="n">
        <v>0</v>
      </c>
      <c r="H3793" s="3" t="n">
        <v>0</v>
      </c>
      <c r="I3793" s="3">
        <f>E3793+G3793+H3793</f>
        <v/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/>
      </c>
      <c r="K3793" s="3">
        <f>I3793-J3793</f>
        <v/>
      </c>
      <c r="L3793" s="3">
        <f>IF(K3793&lt;-5,"CRÍTICO",IF(K3793&lt;0,"ATENÇÃO",IF(K3793&lt;=5,"OPORTUNO","MUITO BOM")))</f>
        <v/>
      </c>
      <c r="M3793" s="3" t="n">
        <v>21</v>
      </c>
      <c r="N3793" s="3" t="n">
        <v>88.68000000000001</v>
      </c>
      <c r="O3793" s="12" t="n">
        <v>22.03389830508474</v>
      </c>
    </row>
    <row r="3794">
      <c r="A3794" s="10" t="n">
        <v>46120</v>
      </c>
      <c r="B3794" t="inlineStr">
        <is>
          <t>Luiz Fernando de Carvalho Junior</t>
        </is>
      </c>
      <c r="C3794" s="1" t="inlineStr">
        <is>
          <t>Técnico I</t>
        </is>
      </c>
      <c r="D3794" s="3" t="n">
        <v>32</v>
      </c>
      <c r="E3794" s="3" t="n">
        <v>26</v>
      </c>
      <c r="F3794" s="3" t="n">
        <v>13.59</v>
      </c>
      <c r="G3794" s="3" t="n">
        <v>0</v>
      </c>
      <c r="H3794" s="3" t="n">
        <v>0</v>
      </c>
      <c r="I3794" s="3">
        <f>E3794+G3794+H3794</f>
        <v/>
      </c>
      <c r="J3794" s="3">
        <f>ROUND(MIN(IF(C3794="Técnico III",35,IF(C3794="Técnico II",28,IF(C3794="Técnico I",23,IF(C3794="JR",20,IF(C3794="Estágio",10,0))))),IF(C3794="Técnico III",SUMIFS($D:$D,$A:$A,$A3794,$B:$B,"&lt;&gt;Patrícia Karla de Sousa Araújo",$B:$B,"&lt;&gt;Lorena Dias de Araujo",$B:$B,"&lt;&gt;Lucas Luiz Romero")*(35/1083),IF(C3794="Técnico II",SUMIFS($D:$D,$A:$A,$A3794,$B:$B,"&lt;&gt;Patrícia Karla de Sousa Araújo",$B:$B,"&lt;&gt;Lorena Dias de Araujo",$B:$B,"&lt;&gt;Lucas Luiz Romero")*(28/1083),IF(C3794="Técnico I",SUMIFS($D:$D,$A:$A,$A3794,$B:$B,"&lt;&gt;Patrícia Karla de Sousa Araújo",$B:$B,"&lt;&gt;Lorena Dias de Araujo",$B:$B,"&lt;&gt;Lucas Luiz Romero")*(23/1083),IF(C3794="JR",SUMIFS($D:$D,$A:$A,$A3794,$B:$B,"&lt;&gt;Patrícia Karla de Sousa Araújo",$B:$B,"&lt;&gt;Lorena Dias de Araujo",$B:$B,"&lt;&gt;Lucas Luiz Romero")*(20/1083),IF(C3794="Estágio",SUMIFS($D:$D,$A:$A,$A3794,$B:$B,"&lt;&gt;Patrícia Karla de Sousa Araújo",$B:$B,"&lt;&gt;Lorena Dias de Araujo",$B:$B,"&lt;&gt;Lucas Luiz Romero")*(10/1083),0)))))),0)</f>
        <v/>
      </c>
      <c r="K3794" s="3">
        <f>I3794-J3794</f>
        <v/>
      </c>
      <c r="L3794" s="3">
        <f>IF(K3794&lt;-5,"CRÍTICO",IF(K3794&lt;0,"ATENÇÃO",IF(K3794&lt;=5,"OPORTUNO","MUITO BOM")))</f>
        <v/>
      </c>
      <c r="M3794" s="3" t="n">
        <v>28</v>
      </c>
      <c r="N3794" s="3" t="n">
        <v>97.37</v>
      </c>
      <c r="O3794" s="12" t="n">
        <v>25.76530612244898</v>
      </c>
    </row>
    <row r="3795">
      <c r="A3795" s="10" t="n">
        <v>46120</v>
      </c>
      <c r="B3795" t="inlineStr">
        <is>
          <t>Maria Eduarda Sousa Costa</t>
        </is>
      </c>
      <c r="C3795" s="1" t="inlineStr">
        <is>
          <t>Estágio</t>
        </is>
      </c>
      <c r="D3795" s="3" t="n">
        <v>0</v>
      </c>
      <c r="E3795" s="3" t="n">
        <v>0</v>
      </c>
      <c r="F3795" s="3" t="n">
        <v>0</v>
      </c>
      <c r="G3795" s="3" t="n">
        <v>0</v>
      </c>
      <c r="H3795" s="3" t="n">
        <v>0</v>
      </c>
      <c r="I3795" s="3" t="n">
        <v>0</v>
      </c>
      <c r="J3795" s="3" t="n">
        <v>0</v>
      </c>
      <c r="K3795" s="3" t="n">
        <v>0</v>
      </c>
      <c r="L3795" s="3">
        <f>IF(K3795&lt;-5,"CRÍTICO",IF(K3795&lt;0,"ATENÇÃO",IF(K3795&lt;=5,"OPORTUNO","MUITO BOM")))</f>
        <v/>
      </c>
      <c r="M3795" s="3" t="n">
        <v>0</v>
      </c>
      <c r="N3795" s="3" t="n">
        <v>100</v>
      </c>
      <c r="O3795" s="12" t="n">
        <v>25</v>
      </c>
    </row>
    <row r="3796">
      <c r="A3796" s="10" t="n">
        <v>46140</v>
      </c>
      <c r="B3796" t="inlineStr">
        <is>
          <t>Matheus Farias De Souza</t>
        </is>
      </c>
      <c r="C3796" s="1" t="inlineStr">
        <is>
          <t>Técnico III</t>
        </is>
      </c>
      <c r="D3796" s="3" t="n">
        <v>35</v>
      </c>
      <c r="E3796" s="3" t="n">
        <v>34</v>
      </c>
      <c r="F3796" s="3" t="n">
        <v>15.13</v>
      </c>
      <c r="G3796" s="3" t="n">
        <v>0</v>
      </c>
      <c r="H3796" s="3" t="n">
        <v>0</v>
      </c>
      <c r="I3796" s="3">
        <f>E3796+G3796+H3796</f>
        <v/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/>
      </c>
      <c r="K3796" s="3">
        <f>I3796-J3796</f>
        <v/>
      </c>
      <c r="L3796" s="3">
        <f>IF(K3796&lt;-5,"CRÍTICO",IF(K3796&lt;0,"ATENÇÃO",IF(K3796&lt;=5,"OPORTUNO","MUITO BOM")))</f>
        <v/>
      </c>
      <c r="M3796" s="3" t="n">
        <v>45</v>
      </c>
      <c r="N3796" s="3" t="n">
        <v>100</v>
      </c>
      <c r="O3796" s="12" t="n">
        <v>23.9870340356564</v>
      </c>
    </row>
    <row r="3797">
      <c r="A3797" s="10" t="n">
        <v>46120</v>
      </c>
      <c r="B3797" t="inlineStr">
        <is>
          <t>Maysa Victoria Dias Moura</t>
        </is>
      </c>
      <c r="C3797" s="1" t="inlineStr">
        <is>
          <t>Técnico III</t>
        </is>
      </c>
      <c r="D3797" s="3" t="n">
        <v>40</v>
      </c>
      <c r="E3797" s="3" t="n">
        <v>37</v>
      </c>
      <c r="F3797" s="3" t="n">
        <v>14.15</v>
      </c>
      <c r="G3797" s="3" t="n">
        <v>0</v>
      </c>
      <c r="H3797" s="3" t="n">
        <v>0</v>
      </c>
      <c r="I3797" s="3">
        <f>E3797+G3797+H3797</f>
        <v/>
      </c>
      <c r="J3797" s="3">
        <f>ROUND(MIN(IF(C3797="Técnico III",35,IF(C3797="Técnico II",28,IF(C3797="Técnico I",23,IF(C3797="JR",20,IF(C3797="Estágio",10,0))))),IF(C3797="Técnico III",SUMIFS($D:$D,$A:$A,$A3797,$B:$B,"&lt;&gt;Patrícia Karla de Sousa Araújo",$B:$B,"&lt;&gt;Lorena Dias de Araujo",$B:$B,"&lt;&gt;Lucas Luiz Romero")*(35/1083),IF(C3797="Técnico II",SUMIFS($D:$D,$A:$A,$A3797,$B:$B,"&lt;&gt;Patrícia Karla de Sousa Araújo",$B:$B,"&lt;&gt;Lorena Dias de Araujo",$B:$B,"&lt;&gt;Lucas Luiz Romero")*(28/1083),IF(C3797="Técnico I",SUMIFS($D:$D,$A:$A,$A3797,$B:$B,"&lt;&gt;Patrícia Karla de Sousa Araújo",$B:$B,"&lt;&gt;Lorena Dias de Araujo",$B:$B,"&lt;&gt;Lucas Luiz Romero")*(23/1083),IF(C3797="JR",SUMIFS($D:$D,$A:$A,$A3797,$B:$B,"&lt;&gt;Patrícia Karla de Sousa Araújo",$B:$B,"&lt;&gt;Lorena Dias de Araujo",$B:$B,"&lt;&gt;Lucas Luiz Romero")*(20/1083),IF(C3797="Estágio",SUMIFS($D:$D,$A:$A,$A3797,$B:$B,"&lt;&gt;Patrícia Karla de Sousa Araújo",$B:$B,"&lt;&gt;Lorena Dias de Araujo",$B:$B,"&lt;&gt;Lucas Luiz Romero")*(10/1083),0)))))),0)</f>
        <v/>
      </c>
      <c r="K3797" s="3">
        <f>I3797-J3797</f>
        <v/>
      </c>
      <c r="L3797" s="3">
        <f>IF(K3797&lt;-5,"CRÍTICO",IF(K3797&lt;0,"ATENÇÃO",IF(K3797&lt;=5,"OPORTUNO","MUITO BOM")))</f>
        <v/>
      </c>
      <c r="M3797" s="3" t="n">
        <v>32</v>
      </c>
      <c r="N3797" s="3" t="n">
        <v>95.48999999999999</v>
      </c>
      <c r="O3797" s="12" t="n">
        <v>28.37022132796781</v>
      </c>
    </row>
    <row r="3798">
      <c r="A3798" s="7" t="n">
        <v>46161</v>
      </c>
      <c r="B3798" s="8" t="inlineStr">
        <is>
          <t>Emilly Kamilly Medeiros Miranda</t>
        </is>
      </c>
      <c r="C3798" s="1" t="inlineStr">
        <is>
          <t>Técnico II</t>
        </is>
      </c>
      <c r="D3798" s="3" t="n">
        <v>23</v>
      </c>
      <c r="E3798" s="3" t="n">
        <v>22</v>
      </c>
      <c r="F3798" s="3" t="n">
        <v>13.4</v>
      </c>
      <c r="G3798" s="3" t="n">
        <v>2</v>
      </c>
      <c r="H3798" s="3" t="n">
        <v>0</v>
      </c>
      <c r="I3798" s="3" t="n">
        <v>24</v>
      </c>
      <c r="J3798" s="3" t="n">
        <v>23</v>
      </c>
      <c r="K3798" s="3" t="n">
        <v>1</v>
      </c>
      <c r="L3798" s="3" t="inlineStr">
        <is>
          <t>BOM</t>
        </is>
      </c>
      <c r="M3798" s="3" t="n">
        <v>23</v>
      </c>
      <c r="N3798" s="3" t="n">
        <v>99.01000000000001</v>
      </c>
      <c r="O3798" s="12" t="n">
        <v>17.76649746192894</v>
      </c>
    </row>
    <row r="3799">
      <c r="A3799" s="10" t="n">
        <v>46120</v>
      </c>
      <c r="B3799" t="inlineStr">
        <is>
          <t>Milena Sales</t>
        </is>
      </c>
      <c r="C3799" s="1" t="inlineStr">
        <is>
          <t>JR</t>
        </is>
      </c>
      <c r="D3799" s="3" t="n">
        <v>37</v>
      </c>
      <c r="E3799" s="3" t="n">
        <v>30</v>
      </c>
      <c r="F3799" s="3" t="n">
        <v>15.08</v>
      </c>
      <c r="G3799" s="3" t="n">
        <v>0</v>
      </c>
      <c r="H3799" s="3" t="n">
        <v>0</v>
      </c>
      <c r="I3799" s="3">
        <f>E3799+G3799+H3799</f>
        <v/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/>
      </c>
      <c r="K3799" s="3">
        <f>I3799-J3799</f>
        <v/>
      </c>
      <c r="L3799" s="3">
        <f>IF(K3799&lt;-5,"CRÍTICO",IF(K3799&lt;0,"ATENÇÃO",IF(K3799&lt;=5,"OPORTUNO","MUITO BOM")))</f>
        <v/>
      </c>
      <c r="M3799" s="3" t="n">
        <v>23</v>
      </c>
      <c r="N3799" s="3" t="n">
        <v>96.15000000000001</v>
      </c>
      <c r="O3799" s="12" t="n">
        <v>24.04580152671756</v>
      </c>
    </row>
    <row r="3800">
      <c r="A3800" s="10" t="n">
        <v>46120</v>
      </c>
      <c r="B3800" t="inlineStr">
        <is>
          <t>Patrícia Karla de Sousa Araújo</t>
        </is>
      </c>
      <c r="C3800" s="1" t="inlineStr">
        <is>
          <t>Técnico II</t>
        </is>
      </c>
      <c r="D3800" s="3" t="n">
        <v>8</v>
      </c>
      <c r="E3800" s="3" t="n">
        <v>8</v>
      </c>
      <c r="F3800" s="3" t="n">
        <v>33.5</v>
      </c>
      <c r="G3800" s="3" t="n">
        <v>0</v>
      </c>
      <c r="H3800" s="3" t="n">
        <v>0</v>
      </c>
      <c r="I3800" s="3">
        <f>E3800+G3800+H3800</f>
        <v/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/>
      </c>
      <c r="K3800" s="3">
        <f>I3800-J3800</f>
        <v/>
      </c>
      <c r="L3800" s="3">
        <f>IF(K3800&lt;-5,"CRÍTICO",IF(K3800&lt;0,"ATENÇÃO",IF(K3800&lt;=5,"OPORTUNO","MUITO BOM")))</f>
        <v/>
      </c>
      <c r="M3800" s="3" t="n">
        <v>8</v>
      </c>
      <c r="N3800" s="3" t="n">
        <v>99.02</v>
      </c>
      <c r="O3800" s="12" t="n">
        <v>34.7972972972973</v>
      </c>
    </row>
    <row r="3801">
      <c r="A3801" s="10" t="n">
        <v>46120</v>
      </c>
      <c r="B3801" t="inlineStr">
        <is>
          <t>Paulo Ricardo Santos</t>
        </is>
      </c>
      <c r="C3801" s="1" t="inlineStr">
        <is>
          <t>JR</t>
        </is>
      </c>
      <c r="D3801" s="3" t="n">
        <v>17</v>
      </c>
      <c r="E3801" s="3" t="n">
        <v>17</v>
      </c>
      <c r="F3801" s="3" t="n">
        <v>15.54</v>
      </c>
      <c r="G3801" s="3" t="n">
        <v>0</v>
      </c>
      <c r="H3801" s="3" t="n">
        <v>0</v>
      </c>
      <c r="I3801" s="3">
        <f>E3801+G3801+H3801</f>
        <v/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/>
      </c>
      <c r="K3801" s="3">
        <f>I3801-J3801</f>
        <v/>
      </c>
      <c r="L3801" s="3">
        <f>IF(K3801&lt;-5,"CRÍTICO",IF(K3801&lt;0,"ATENÇÃO",IF(K3801&lt;=5,"OPORTUNO","MUITO BOM")))</f>
        <v/>
      </c>
      <c r="M3801" s="3" t="n">
        <v>13</v>
      </c>
      <c r="N3801" s="3" t="n">
        <v>98.84</v>
      </c>
      <c r="O3801" s="12" t="n">
        <v>31.86813186813187</v>
      </c>
    </row>
    <row r="3802">
      <c r="A3802" s="10" t="n">
        <v>46120</v>
      </c>
      <c r="B3802" t="inlineStr">
        <is>
          <t>Pedro Luiz Mota Sousa</t>
        </is>
      </c>
      <c r="C3802" s="1" t="inlineStr">
        <is>
          <t>JR</t>
        </is>
      </c>
      <c r="D3802" s="3" t="n">
        <v>19</v>
      </c>
      <c r="E3802" s="3" t="n">
        <v>18</v>
      </c>
      <c r="F3802" s="3" t="n">
        <v>19.02</v>
      </c>
      <c r="G3802" s="3" t="n">
        <v>0</v>
      </c>
      <c r="H3802" s="3" t="n">
        <v>0</v>
      </c>
      <c r="I3802" s="3">
        <f>E3802+G3802+H3802</f>
        <v/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/>
      </c>
      <c r="K3802" s="3">
        <f>I3802-J3802</f>
        <v/>
      </c>
      <c r="L3802" s="3">
        <f>IF(K3802&lt;-5,"CRÍTICO",IF(K3802&lt;0,"ATENÇÃO",IF(K3802&lt;=5,"OPORTUNO","MUITO BOM")))</f>
        <v/>
      </c>
      <c r="M3802" s="3" t="n">
        <v>18</v>
      </c>
      <c r="N3802" s="3" t="n">
        <v>100</v>
      </c>
      <c r="O3802" s="12" t="n">
        <v>34.66666666666667</v>
      </c>
    </row>
    <row r="3803">
      <c r="A3803" s="7" t="n">
        <v>46161</v>
      </c>
      <c r="B3803" s="8" t="inlineStr">
        <is>
          <t>Francilene Ferreira de Jesus</t>
        </is>
      </c>
      <c r="C3803" s="1" t="inlineStr">
        <is>
          <t>Técnico II</t>
        </is>
      </c>
      <c r="D3803" s="3" t="n">
        <v>0</v>
      </c>
      <c r="E3803" s="3" t="n">
        <v>0</v>
      </c>
      <c r="F3803" s="3" t="n">
        <v>0</v>
      </c>
      <c r="G3803" s="3" t="n">
        <v>0</v>
      </c>
      <c r="H3803" s="3" t="n">
        <v>0</v>
      </c>
      <c r="I3803" s="3" t="n">
        <v>0</v>
      </c>
      <c r="J3803" s="3" t="n">
        <v>0</v>
      </c>
      <c r="K3803" s="3" t="n">
        <v>0</v>
      </c>
      <c r="L3803" s="3" t="inlineStr">
        <is>
          <t>BOM</t>
        </is>
      </c>
      <c r="M3803" s="3" t="n">
        <v>0</v>
      </c>
      <c r="N3803" s="3" t="n">
        <v>100</v>
      </c>
      <c r="O3803" s="12" t="n">
        <v>17.24137931034483</v>
      </c>
    </row>
    <row r="3804">
      <c r="A3804" s="10" t="n">
        <v>46120</v>
      </c>
      <c r="B3804" t="inlineStr">
        <is>
          <t>Raane Batista Matos</t>
        </is>
      </c>
      <c r="C3804" s="1" t="inlineStr">
        <is>
          <t>Técnico I</t>
        </is>
      </c>
      <c r="D3804" s="3" t="n">
        <v>30</v>
      </c>
      <c r="E3804" s="3" t="n">
        <v>29</v>
      </c>
      <c r="F3804" s="3" t="n">
        <v>10.56</v>
      </c>
      <c r="G3804" s="3" t="n">
        <v>0</v>
      </c>
      <c r="H3804" s="3" t="n">
        <v>0</v>
      </c>
      <c r="I3804" s="3">
        <f>E3804+G3804+H3804</f>
        <v/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/>
      </c>
      <c r="K3804" s="3">
        <f>I3804-J3804</f>
        <v/>
      </c>
      <c r="L3804" s="3">
        <f>IF(K3804&lt;-5,"CRÍTICO",IF(K3804&lt;0,"ATENÇÃO",IF(K3804&lt;=5,"OPORTUNO","MUITO BOM")))</f>
        <v/>
      </c>
      <c r="M3804" s="3" t="n">
        <v>25</v>
      </c>
      <c r="N3804" s="3" t="n">
        <v>98.31999999999999</v>
      </c>
      <c r="O3804" s="12" t="n">
        <v>26.85851318944844</v>
      </c>
    </row>
    <row r="3805">
      <c r="A3805" s="10" t="n">
        <v>46120</v>
      </c>
      <c r="B3805" t="inlineStr">
        <is>
          <t>Rafael Gomes de Morais</t>
        </is>
      </c>
      <c r="C3805" s="1" t="inlineStr">
        <is>
          <t>Técnico III</t>
        </is>
      </c>
      <c r="D3805" s="3" t="n">
        <v>45</v>
      </c>
      <c r="E3805" s="3" t="n">
        <v>39</v>
      </c>
      <c r="F3805" s="3" t="n">
        <v>11.49</v>
      </c>
      <c r="G3805" s="3" t="n">
        <v>0</v>
      </c>
      <c r="H3805" s="3" t="n">
        <v>0</v>
      </c>
      <c r="I3805" s="3">
        <f>E3805+G3805+H3805</f>
        <v/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/>
      </c>
      <c r="K3805" s="3">
        <f>I3805-J3805</f>
        <v/>
      </c>
      <c r="L3805" s="3">
        <f>IF(K3805&lt;-5,"CRÍTICO",IF(K3805&lt;0,"ATENÇÃO",IF(K3805&lt;=5,"OPORTUNO","MUITO BOM")))</f>
        <v/>
      </c>
      <c r="M3805" s="3" t="n">
        <v>30</v>
      </c>
      <c r="N3805" s="3" t="n">
        <v>100</v>
      </c>
      <c r="O3805" s="12" t="n">
        <v>31.13553113553114</v>
      </c>
    </row>
    <row r="3806">
      <c r="A3806" s="10" t="n">
        <v>46120</v>
      </c>
      <c r="B3806" t="inlineStr">
        <is>
          <t>Sara Maria Monteiro Lopes</t>
        </is>
      </c>
      <c r="C3806" s="1" t="inlineStr">
        <is>
          <t>Técnico I</t>
        </is>
      </c>
      <c r="D3806" s="3" t="n">
        <v>24</v>
      </c>
      <c r="E3806" s="3" t="n">
        <v>23</v>
      </c>
      <c r="F3806" s="3" t="n">
        <v>24.07</v>
      </c>
      <c r="G3806" s="3" t="n">
        <v>0</v>
      </c>
      <c r="H3806" s="3" t="n">
        <v>0</v>
      </c>
      <c r="I3806" s="3">
        <f>E3806+G3806+H3806</f>
        <v/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/>
      </c>
      <c r="K3806" s="3">
        <f>I3806-J3806</f>
        <v/>
      </c>
      <c r="L3806" s="3">
        <f>IF(K3806&lt;-5,"CRÍTICO",IF(K3806&lt;0,"ATENÇÃO",IF(K3806&lt;=5,"OPORTUNO","MUITO BOM")))</f>
        <v/>
      </c>
      <c r="M3806" s="3" t="n">
        <v>16</v>
      </c>
      <c r="N3806" s="3" t="n">
        <v>100</v>
      </c>
      <c r="O3806" s="12" t="n">
        <v>26.36986301369863</v>
      </c>
    </row>
    <row r="3807">
      <c r="A3807" s="10" t="n">
        <v>46120</v>
      </c>
      <c r="B3807" t="inlineStr">
        <is>
          <t>Sarah Steffanie de Lima Borges</t>
        </is>
      </c>
      <c r="C3807" s="1" t="inlineStr">
        <is>
          <t>Técnico III</t>
        </is>
      </c>
      <c r="D3807" s="3" t="n">
        <v>26</v>
      </c>
      <c r="E3807" s="3" t="n">
        <v>25</v>
      </c>
      <c r="F3807" s="3" t="n">
        <v>18.42</v>
      </c>
      <c r="G3807" s="3" t="n">
        <v>0</v>
      </c>
      <c r="H3807" s="3" t="n">
        <v>0</v>
      </c>
      <c r="I3807" s="3">
        <f>E3807+G3807+H3807</f>
        <v/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/>
      </c>
      <c r="K3807" s="3">
        <f>I3807-J3807</f>
        <v/>
      </c>
      <c r="L3807" s="3">
        <f>IF(K3807&lt;-5,"CRÍTICO",IF(K3807&lt;0,"ATENÇÃO",IF(K3807&lt;=5,"OPORTUNO","MUITO BOM")))</f>
        <v/>
      </c>
      <c r="M3807" s="3" t="n">
        <v>21</v>
      </c>
      <c r="N3807" s="3" t="n">
        <v>99.20999999999999</v>
      </c>
      <c r="O3807" s="12" t="n">
        <v>25.18891687657431</v>
      </c>
    </row>
    <row r="3808">
      <c r="A3808" s="10" t="n">
        <v>46121</v>
      </c>
      <c r="B3808" t="inlineStr">
        <is>
          <t>Alisson de Freitas Silva</t>
        </is>
      </c>
      <c r="C3808" s="1" t="inlineStr">
        <is>
          <t>Técnico II</t>
        </is>
      </c>
      <c r="D3808" s="3" t="n">
        <v>15</v>
      </c>
      <c r="E3808" s="3" t="n">
        <v>11</v>
      </c>
      <c r="F3808" s="3" t="n">
        <v>15.24</v>
      </c>
      <c r="G3808" s="3" t="n">
        <v>0</v>
      </c>
      <c r="H3808" s="3" t="n">
        <v>0</v>
      </c>
      <c r="I3808" s="3">
        <f>E3808+G3808+H3808</f>
        <v/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/>
      </c>
      <c r="K3808" s="3">
        <f>I3808-J3808</f>
        <v/>
      </c>
      <c r="L3808" s="3">
        <f>IF(K3808&lt;-5,"CRÍTICO",IF(K3808&lt;0,"ATENÇÃO",IF(K3808&lt;=5,"OPORTUNO","MUITO BOM")))</f>
        <v/>
      </c>
      <c r="M3808" s="3" t="n">
        <v>11</v>
      </c>
      <c r="N3808" s="3" t="n">
        <v>100</v>
      </c>
      <c r="O3808" s="12" t="n">
        <v>32.76450511945392</v>
      </c>
    </row>
    <row r="3809">
      <c r="A3809" s="10" t="n">
        <v>46121</v>
      </c>
      <c r="B3809" t="inlineStr">
        <is>
          <t>Amanda Moura Ferreira</t>
        </is>
      </c>
      <c r="C3809" s="1" t="inlineStr">
        <is>
          <t>Técnico III</t>
        </is>
      </c>
      <c r="D3809" s="3" t="n">
        <v>0</v>
      </c>
      <c r="E3809" s="3" t="n">
        <v>0</v>
      </c>
      <c r="F3809" s="3" t="n">
        <v>0</v>
      </c>
      <c r="G3809" s="3" t="n">
        <v>0</v>
      </c>
      <c r="H3809" s="3" t="n">
        <v>0</v>
      </c>
      <c r="I3809" s="3" t="n">
        <v>0</v>
      </c>
      <c r="J3809" s="3" t="n">
        <v>0</v>
      </c>
      <c r="K3809" s="3" t="n">
        <v>0</v>
      </c>
      <c r="L3809" s="3">
        <f>IF(K3809&lt;-5,"CRÍTICO",IF(K3809&lt;0,"ATENÇÃO",IF(K3809&lt;=5,"OPORTUNO","MUITO BOM")))</f>
        <v/>
      </c>
      <c r="M3809" s="3" t="n">
        <v>15</v>
      </c>
      <c r="N3809" s="3" t="n">
        <v>98.66</v>
      </c>
      <c r="O3809" s="12" t="n">
        <v>35.41666666666667</v>
      </c>
    </row>
    <row r="3810">
      <c r="A3810" s="10" t="n">
        <v>46121</v>
      </c>
      <c r="B3810" t="inlineStr">
        <is>
          <t>Ana Karollyne Souza Faria</t>
        </is>
      </c>
      <c r="C3810" s="1" t="inlineStr">
        <is>
          <t>Técnico I</t>
        </is>
      </c>
      <c r="D3810" s="3" t="n">
        <v>24</v>
      </c>
      <c r="E3810" s="3" t="n">
        <v>20</v>
      </c>
      <c r="F3810" s="3" t="n">
        <v>17.11</v>
      </c>
      <c r="G3810" s="3" t="n">
        <v>0</v>
      </c>
      <c r="H3810" s="3" t="n">
        <v>0</v>
      </c>
      <c r="I3810" s="3">
        <f>E3810+G3810+H3810</f>
        <v/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/>
      </c>
      <c r="K3810" s="3">
        <f>I3810-J3810</f>
        <v/>
      </c>
      <c r="L3810" s="3">
        <f>IF(K3810&lt;-5,"CRÍTICO",IF(K3810&lt;0,"ATENÇÃO",IF(K3810&lt;=5,"OPORTUNO","MUITO BOM")))</f>
        <v/>
      </c>
      <c r="M3810" s="3" t="n">
        <v>20</v>
      </c>
      <c r="N3810" s="3" t="n">
        <v>99.31999999999999</v>
      </c>
      <c r="O3810" s="12" t="n">
        <v>30.6483300589391</v>
      </c>
    </row>
    <row r="3811">
      <c r="A3811" s="10" t="n">
        <v>46121</v>
      </c>
      <c r="B3811" t="inlineStr">
        <is>
          <t>Ana Paula Da Luz Silva Aleixo</t>
        </is>
      </c>
      <c r="C3811" s="1" t="inlineStr">
        <is>
          <t>Técnico III</t>
        </is>
      </c>
      <c r="D3811" s="3" t="n">
        <v>23</v>
      </c>
      <c r="E3811" s="3" t="n">
        <v>21</v>
      </c>
      <c r="F3811" s="3" t="n">
        <v>11.42</v>
      </c>
      <c r="G3811" s="3" t="n">
        <v>0</v>
      </c>
      <c r="H3811" s="3" t="n">
        <v>0</v>
      </c>
      <c r="I3811" s="3">
        <f>E3811+G3811+H3811</f>
        <v/>
      </c>
      <c r="J3811" s="3">
        <f>ROUND(MIN(IF(C3811="Técnico III",35,IF(C3811="Técnico II",28,IF(C3811="Técnico I",23,IF(C3811="JR",20,IF(C3811="Estágio",10,0))))),IF(C3811="Técnico III",SUMIFS($D:$D,$A:$A,$A3811,$B:$B,"&lt;&gt;Patrícia Karla de Sousa Araújo",$B:$B,"&lt;&gt;Lorena Dias de Araujo",$B:$B,"&lt;&gt;Lucas Luiz Romero")*(35/1083),IF(C3811="Técnico II",SUMIFS($D:$D,$A:$A,$A3811,$B:$B,"&lt;&gt;Patrícia Karla de Sousa Araújo",$B:$B,"&lt;&gt;Lorena Dias de Araujo",$B:$B,"&lt;&gt;Lucas Luiz Romero")*(28/1083),IF(C3811="Técnico I",SUMIFS($D:$D,$A:$A,$A3811,$B:$B,"&lt;&gt;Patrícia Karla de Sousa Araújo",$B:$B,"&lt;&gt;Lorena Dias de Araujo",$B:$B,"&lt;&gt;Lucas Luiz Romero")*(23/1083),IF(C3811="JR",SUMIFS($D:$D,$A:$A,$A3811,$B:$B,"&lt;&gt;Patrícia Karla de Sousa Araújo",$B:$B,"&lt;&gt;Lorena Dias de Araujo",$B:$B,"&lt;&gt;Lucas Luiz Romero")*(20/1083),IF(C3811="Estágio",SUMIFS($D:$D,$A:$A,$A3811,$B:$B,"&lt;&gt;Patrícia Karla de Sousa Araújo",$B:$B,"&lt;&gt;Lorena Dias de Araujo",$B:$B,"&lt;&gt;Lucas Luiz Romero")*(10/1083),0)))))),0)</f>
        <v/>
      </c>
      <c r="K3811" s="3">
        <f>I3811-J3811</f>
        <v/>
      </c>
      <c r="L3811" s="3">
        <f>IF(K3811&lt;-5,"CRÍTICO",IF(K3811&lt;0,"ATENÇÃO",IF(K3811&lt;=5,"OPORTUNO","MUITO BOM")))</f>
        <v/>
      </c>
      <c r="M3811" s="3" t="n">
        <v>25</v>
      </c>
      <c r="N3811" s="3" t="n">
        <v>100</v>
      </c>
      <c r="O3811" s="12" t="n">
        <v>27.80373831775701</v>
      </c>
    </row>
    <row r="3812">
      <c r="A3812" s="10" t="n">
        <v>46121</v>
      </c>
      <c r="B3812" t="inlineStr">
        <is>
          <t>Anna Luiza Rezende Tavares</t>
        </is>
      </c>
      <c r="C3812" s="1" t="inlineStr">
        <is>
          <t>Estágio</t>
        </is>
      </c>
      <c r="D3812" s="3" t="n">
        <v>17</v>
      </c>
      <c r="E3812" s="3" t="n">
        <v>17</v>
      </c>
      <c r="F3812" s="3" t="n">
        <v>13.5</v>
      </c>
      <c r="G3812" s="3" t="n">
        <v>0</v>
      </c>
      <c r="H3812" s="3" t="n">
        <v>0</v>
      </c>
      <c r="I3812" s="3">
        <f>E3812+G3812+H3812</f>
        <v/>
      </c>
      <c r="J3812" s="3">
        <f>ROUND(MIN(IF(C3812="Técnico III",35,IF(C3812="Técnico II",28,IF(C3812="Técnico I",23,IF(C3812="JR",20,IF(C3812="Estágio",10,0))))),IF(C3812="Técnico III",SUMIFS($D:$D,$A:$A,$A3812,$B:$B,"&lt;&gt;Patrícia Karla de Sousa Araújo",$B:$B,"&lt;&gt;Lorena Dias de Araujo",$B:$B,"&lt;&gt;Lucas Luiz Romero")*(35/1083),IF(C3812="Técnico II",SUMIFS($D:$D,$A:$A,$A3812,$B:$B,"&lt;&gt;Patrícia Karla de Sousa Araújo",$B:$B,"&lt;&gt;Lorena Dias de Araujo",$B:$B,"&lt;&gt;Lucas Luiz Romero")*(28/1083),IF(C3812="Técnico I",SUMIFS($D:$D,$A:$A,$A3812,$B:$B,"&lt;&gt;Patrícia Karla de Sousa Araújo",$B:$B,"&lt;&gt;Lorena Dias de Araujo",$B:$B,"&lt;&gt;Lucas Luiz Romero")*(23/1083),IF(C3812="JR",SUMIFS($D:$D,$A:$A,$A3812,$B:$B,"&lt;&gt;Patrícia Karla de Sousa Araújo",$B:$B,"&lt;&gt;Lorena Dias de Araujo",$B:$B,"&lt;&gt;Lucas Luiz Romero")*(20/1083),IF(C3812="Estágio",SUMIFS($D:$D,$A:$A,$A3812,$B:$B,"&lt;&gt;Patrícia Karla de Sousa Araújo",$B:$B,"&lt;&gt;Lorena Dias de Araujo",$B:$B,"&lt;&gt;Lucas Luiz Romero")*(10/1083),0)))))),0)</f>
        <v/>
      </c>
      <c r="K3812" s="3">
        <f>I3812-J3812</f>
        <v/>
      </c>
      <c r="L3812" s="3">
        <f>IF(K3812&lt;-5,"CRÍTICO",IF(K3812&lt;0,"ATENÇÃO",IF(K3812&lt;=5,"OPORTUNO","MUITO BOM")))</f>
        <v/>
      </c>
      <c r="M3812" s="3" t="n">
        <v>17</v>
      </c>
      <c r="N3812" s="3" t="n">
        <v>96.73999999999999</v>
      </c>
      <c r="O3812" s="12" t="n">
        <v>28.67647058823529</v>
      </c>
    </row>
    <row r="3813">
      <c r="A3813" s="10" t="n">
        <v>46121</v>
      </c>
      <c r="B3813" t="inlineStr">
        <is>
          <t>Brenda de Menezes Silva</t>
        </is>
      </c>
      <c r="C3813" s="1" t="inlineStr">
        <is>
          <t>Técnico II</t>
        </is>
      </c>
      <c r="D3813" s="3" t="n">
        <v>40</v>
      </c>
      <c r="E3813" s="3" t="n">
        <v>34</v>
      </c>
      <c r="F3813" s="3" t="n">
        <v>15.01</v>
      </c>
      <c r="G3813" s="3" t="n">
        <v>0</v>
      </c>
      <c r="H3813" s="3" t="n">
        <v>0</v>
      </c>
      <c r="I3813" s="3">
        <f>E3813+G3813+H3813</f>
        <v/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/>
      </c>
      <c r="K3813" s="3">
        <f>I3813-J3813</f>
        <v/>
      </c>
      <c r="L3813" s="3">
        <f>IF(K3813&lt;-5,"CRÍTICO",IF(K3813&lt;0,"ATENÇÃO",IF(K3813&lt;=5,"OPORTUNO","MUITO BOM")))</f>
        <v/>
      </c>
      <c r="M3813" s="3" t="n">
        <v>32</v>
      </c>
      <c r="N3813" s="3" t="n">
        <v>98.81999999999999</v>
      </c>
      <c r="O3813" s="12" t="n">
        <v>30.74141048824593</v>
      </c>
    </row>
    <row r="3814">
      <c r="A3814" s="10" t="n">
        <v>46121</v>
      </c>
      <c r="B3814" t="inlineStr">
        <is>
          <t>Carlos Mateus Cassimiro Nunes</t>
        </is>
      </c>
      <c r="C3814" s="1" t="inlineStr">
        <is>
          <t>Técnico II</t>
        </is>
      </c>
      <c r="D3814" s="3" t="n">
        <v>20</v>
      </c>
      <c r="E3814" s="3" t="n">
        <v>19</v>
      </c>
      <c r="F3814" s="3" t="n">
        <v>30.22</v>
      </c>
      <c r="G3814" s="3" t="n">
        <v>0</v>
      </c>
      <c r="H3814" s="3" t="n">
        <v>0</v>
      </c>
      <c r="I3814" s="3">
        <f>E3814+G3814+H3814</f>
        <v/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/>
      </c>
      <c r="K3814" s="3">
        <f>I3814-J3814</f>
        <v/>
      </c>
      <c r="L3814" s="3">
        <f>IF(K3814&lt;-5,"CRÍTICO",IF(K3814&lt;0,"ATENÇÃO",IF(K3814&lt;=5,"OPORTUNO","MUITO BOM")))</f>
        <v/>
      </c>
      <c r="M3814" s="3" t="n">
        <v>19</v>
      </c>
      <c r="N3814" s="3" t="n">
        <v>98.2</v>
      </c>
      <c r="O3814" s="12" t="n">
        <v>27.17086834733893</v>
      </c>
    </row>
    <row r="3815">
      <c r="A3815" s="10" t="n">
        <v>46121</v>
      </c>
      <c r="B3815" t="inlineStr">
        <is>
          <t>Claudio de Sousa Velasco Filho</t>
        </is>
      </c>
      <c r="C3815" s="1" t="inlineStr">
        <is>
          <t>Estágio</t>
        </is>
      </c>
      <c r="D3815" s="3" t="n">
        <v>7</v>
      </c>
      <c r="E3815" s="3" t="n">
        <v>6</v>
      </c>
      <c r="F3815" s="3" t="n">
        <v>38.4</v>
      </c>
      <c r="G3815" s="3" t="n">
        <v>0</v>
      </c>
      <c r="H3815" s="3" t="n">
        <v>0</v>
      </c>
      <c r="I3815" s="3">
        <f>E3815+G3815+H3815</f>
        <v/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/>
      </c>
      <c r="K3815" s="3">
        <f>I3815-J3815</f>
        <v/>
      </c>
      <c r="L3815" s="3">
        <f>IF(K3815&lt;-5,"CRÍTICO",IF(K3815&lt;0,"ATENÇÃO",IF(K3815&lt;=5,"OPORTUNO","MUITO BOM")))</f>
        <v/>
      </c>
      <c r="M3815" s="3" t="n">
        <v>6</v>
      </c>
      <c r="N3815" s="3" t="n">
        <v>100</v>
      </c>
      <c r="O3815" s="12" t="n">
        <v>23.13432835820895</v>
      </c>
    </row>
    <row r="3816">
      <c r="A3816" s="10" t="n">
        <v>46121</v>
      </c>
      <c r="B3816" t="inlineStr">
        <is>
          <t>Clessiane Pereira dos Santos</t>
        </is>
      </c>
      <c r="C3816" s="1" t="inlineStr">
        <is>
          <t>Técnico I</t>
        </is>
      </c>
      <c r="D3816" s="3" t="n">
        <v>22</v>
      </c>
      <c r="E3816" s="3" t="n">
        <v>22</v>
      </c>
      <c r="F3816" s="3" t="n">
        <v>21.57</v>
      </c>
      <c r="G3816" s="3" t="n">
        <v>0</v>
      </c>
      <c r="H3816" s="3" t="n">
        <v>0</v>
      </c>
      <c r="I3816" s="3">
        <f>E3816+G3816+H3816</f>
        <v/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/>
      </c>
      <c r="K3816" s="3">
        <f>I3816-J3816</f>
        <v/>
      </c>
      <c r="L3816" s="3">
        <f>IF(K3816&lt;-5,"CRÍTICO",IF(K3816&lt;0,"ATENÇÃO",IF(K3816&lt;=5,"OPORTUNO","MUITO BOM")))</f>
        <v/>
      </c>
      <c r="M3816" s="3" t="n">
        <v>20</v>
      </c>
      <c r="N3816" s="3" t="n">
        <v>96.3</v>
      </c>
      <c r="O3816" s="12" t="n">
        <v>32.21957040572792</v>
      </c>
    </row>
    <row r="3817">
      <c r="A3817" s="10" t="n">
        <v>46121</v>
      </c>
      <c r="B3817" t="inlineStr">
        <is>
          <t>Cristiane Ramos da Silva Rocha</t>
        </is>
      </c>
      <c r="C3817" s="1" t="inlineStr">
        <is>
          <t>Técnico III</t>
        </is>
      </c>
      <c r="D3817" s="3" t="n">
        <v>20</v>
      </c>
      <c r="E3817" s="3" t="n">
        <v>17</v>
      </c>
      <c r="F3817" s="3" t="n">
        <v>12.38</v>
      </c>
      <c r="G3817" s="3" t="n">
        <v>0</v>
      </c>
      <c r="H3817" s="3" t="n">
        <v>0</v>
      </c>
      <c r="I3817" s="3">
        <f>E3817+G3817+H3817</f>
        <v/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/>
      </c>
      <c r="K3817" s="3">
        <f>I3817-J3817</f>
        <v/>
      </c>
      <c r="L3817" s="3">
        <f>IF(K3817&lt;-5,"CRÍTICO",IF(K3817&lt;0,"ATENÇÃO",IF(K3817&lt;=5,"OPORTUNO","MUITO BOM")))</f>
        <v/>
      </c>
      <c r="M3817" s="3" t="n">
        <v>16</v>
      </c>
      <c r="N3817" s="3" t="n">
        <v>93.75</v>
      </c>
      <c r="O3817" s="12" t="n">
        <v>26.81992337164751</v>
      </c>
    </row>
    <row r="3818">
      <c r="A3818" s="10" t="n">
        <v>46121</v>
      </c>
      <c r="B3818" t="inlineStr">
        <is>
          <t>Damyllis Lorraine de Oliveira Gonçalves</t>
        </is>
      </c>
      <c r="C3818" s="1" t="inlineStr">
        <is>
          <t>Técnico II</t>
        </is>
      </c>
      <c r="D3818" s="3" t="n">
        <v>25</v>
      </c>
      <c r="E3818" s="3" t="n">
        <v>20</v>
      </c>
      <c r="F3818" s="3" t="n">
        <v>18.26</v>
      </c>
      <c r="G3818" s="3" t="n">
        <v>0</v>
      </c>
      <c r="H3818" s="3" t="n">
        <v>0</v>
      </c>
      <c r="I3818" s="3" t="n">
        <v>0</v>
      </c>
      <c r="J3818" s="3" t="n">
        <v>0</v>
      </c>
      <c r="K3818" s="3" t="n">
        <v>0</v>
      </c>
      <c r="L3818" s="3">
        <f>IF(K3818&lt;-5,"CRÍTICO",IF(K3818&lt;0,"ATENÇÃO",IF(K3818&lt;=5,"OPORTUNO","MUITO BOM")))</f>
        <v/>
      </c>
      <c r="M3818" s="3" t="n">
        <v>17</v>
      </c>
      <c r="N3818" s="3" t="n">
        <v>97.86</v>
      </c>
      <c r="O3818" s="12" t="n">
        <v>31.01851851851852</v>
      </c>
    </row>
    <row r="3819">
      <c r="A3819" s="10" t="n">
        <v>46121</v>
      </c>
      <c r="B3819" t="inlineStr">
        <is>
          <t>Daniel Gomes da Silva</t>
        </is>
      </c>
      <c r="C3819" s="1" t="inlineStr">
        <is>
          <t>Técnico I</t>
        </is>
      </c>
      <c r="D3819" s="3" t="n">
        <v>23</v>
      </c>
      <c r="E3819" s="3" t="n">
        <v>22</v>
      </c>
      <c r="F3819" s="3" t="n">
        <v>17.2</v>
      </c>
      <c r="G3819" s="3" t="n">
        <v>0</v>
      </c>
      <c r="H3819" s="3" t="n">
        <v>0</v>
      </c>
      <c r="I3819" s="3">
        <f>E3819+G3819+H3819</f>
        <v/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/>
      </c>
      <c r="K3819" s="3">
        <f>I3819-J3819</f>
        <v/>
      </c>
      <c r="L3819" s="3">
        <f>IF(K3819&lt;-5,"CRÍTICO",IF(K3819&lt;0,"ATENÇÃO",IF(K3819&lt;=5,"OPORTUNO","MUITO BOM")))</f>
        <v/>
      </c>
      <c r="M3819" s="3" t="n">
        <v>15</v>
      </c>
      <c r="N3819" s="3" t="n">
        <v>100</v>
      </c>
      <c r="O3819" s="12" t="n">
        <v>36.59420289855073</v>
      </c>
    </row>
    <row r="3820">
      <c r="A3820" s="10" t="n">
        <v>46121</v>
      </c>
      <c r="B3820" t="inlineStr">
        <is>
          <t>Davylla Rodrigues Freitas Silva</t>
        </is>
      </c>
      <c r="C3820" s="1" t="inlineStr">
        <is>
          <t>Técnico III</t>
        </is>
      </c>
      <c r="D3820" s="3" t="n">
        <v>30</v>
      </c>
      <c r="E3820" s="3" t="n">
        <v>29</v>
      </c>
      <c r="F3820" s="3" t="n">
        <v>22.26</v>
      </c>
      <c r="G3820" s="3" t="n">
        <v>0</v>
      </c>
      <c r="H3820" s="3" t="n">
        <v>0</v>
      </c>
      <c r="I3820" s="3" t="n">
        <v>0</v>
      </c>
      <c r="J3820" s="3" t="n">
        <v>0</v>
      </c>
      <c r="K3820" s="3" t="n">
        <v>0</v>
      </c>
      <c r="L3820" s="3">
        <f>IF(K3820&lt;-5,"CRÍTICO",IF(K3820&lt;0,"ATENÇÃO",IF(K3820&lt;=5,"OPORTUNO","MUITO BOM")))</f>
        <v/>
      </c>
      <c r="M3820" s="3" t="n">
        <v>28</v>
      </c>
      <c r="N3820" s="3" t="n">
        <v>100</v>
      </c>
      <c r="O3820" s="12" t="n">
        <v>38.65384615384615</v>
      </c>
    </row>
    <row r="3821">
      <c r="A3821" s="10" t="n">
        <v>46121</v>
      </c>
      <c r="B3821" t="inlineStr">
        <is>
          <t>Emilly Caylane Costa</t>
        </is>
      </c>
      <c r="C3821" s="1" t="inlineStr">
        <is>
          <t>Estágio</t>
        </is>
      </c>
      <c r="D3821" s="3" t="n">
        <v>21</v>
      </c>
      <c r="E3821" s="3" t="n">
        <v>13</v>
      </c>
      <c r="F3821" s="3" t="n">
        <v>9.1</v>
      </c>
      <c r="G3821" s="3" t="n">
        <v>0</v>
      </c>
      <c r="H3821" s="3" t="n">
        <v>0</v>
      </c>
      <c r="I3821" s="3">
        <f>E3821+G3821+H3821</f>
        <v/>
      </c>
      <c r="J3821" s="3">
        <f>ROUND(MIN(IF(C3821="Técnico III",35,IF(C3821="Técnico II",28,IF(C3821="Técnico I",23,IF(C3821="JR",20,IF(C3821="Estágio",10,0))))),IF(C3821="Técnico III",SUMIFS($D:$D,$A:$A,$A3821,$B:$B,"&lt;&gt;Patrícia Karla de Sousa Araújo",$B:$B,"&lt;&gt;Lorena Dias de Araujo",$B:$B,"&lt;&gt;Lucas Luiz Romero")*(35/1083),IF(C3821="Técnico II",SUMIFS($D:$D,$A:$A,$A3821,$B:$B,"&lt;&gt;Patrícia Karla de Sousa Araújo",$B:$B,"&lt;&gt;Lorena Dias de Araujo",$B:$B,"&lt;&gt;Lucas Luiz Romero")*(28/1083),IF(C3821="Técnico I",SUMIFS($D:$D,$A:$A,$A3821,$B:$B,"&lt;&gt;Patrícia Karla de Sousa Araújo",$B:$B,"&lt;&gt;Lorena Dias de Araujo",$B:$B,"&lt;&gt;Lucas Luiz Romero")*(23/1083),IF(C3821="JR",SUMIFS($D:$D,$A:$A,$A3821,$B:$B,"&lt;&gt;Patrícia Karla de Sousa Araújo",$B:$B,"&lt;&gt;Lorena Dias de Araujo",$B:$B,"&lt;&gt;Lucas Luiz Romero")*(20/1083),IF(C3821="Estágio",SUMIFS($D:$D,$A:$A,$A3821,$B:$B,"&lt;&gt;Patrícia Karla de Sousa Araújo",$B:$B,"&lt;&gt;Lorena Dias de Araujo",$B:$B,"&lt;&gt;Lucas Luiz Romero")*(10/1083),0)))))),0)</f>
        <v/>
      </c>
      <c r="K3821" s="3">
        <f>I3821-J3821</f>
        <v/>
      </c>
      <c r="L3821" s="3">
        <f>IF(K3821&lt;-5,"CRÍTICO",IF(K3821&lt;0,"ATENÇÃO",IF(K3821&lt;=5,"OPORTUNO","MUITO BOM")))</f>
        <v/>
      </c>
      <c r="M3821" s="3" t="n">
        <v>5</v>
      </c>
      <c r="N3821" s="3" t="n">
        <v>100</v>
      </c>
      <c r="O3821" s="12" t="n">
        <v>27.36842105263158</v>
      </c>
    </row>
    <row r="3822">
      <c r="A3822" s="10" t="n">
        <v>46121</v>
      </c>
      <c r="B3822" t="inlineStr">
        <is>
          <t>Emilly Kamilly Medeiros Miranda</t>
        </is>
      </c>
      <c r="C3822" s="1" t="inlineStr">
        <is>
          <t>Técnico II</t>
        </is>
      </c>
      <c r="D3822" s="3" t="n">
        <v>23</v>
      </c>
      <c r="E3822" s="3" t="n">
        <v>22</v>
      </c>
      <c r="F3822" s="3" t="n">
        <v>18.38</v>
      </c>
      <c r="G3822" s="3" t="n">
        <v>0</v>
      </c>
      <c r="H3822" s="3" t="n">
        <v>0</v>
      </c>
      <c r="I3822" s="3">
        <f>E3822+G3822+H3822</f>
        <v/>
      </c>
      <c r="J3822" s="3">
        <f>ROUND(MIN(IF(C3822="Técnico III",35,IF(C3822="Técnico II",28,IF(C3822="Técnico I",23,IF(C3822="JR",20,IF(C3822="Estágio",10,0))))),IF(C3822="Técnico III",SUMIFS($D:$D,$A:$A,$A3822,$B:$B,"&lt;&gt;Patrícia Karla de Sousa Araújo",$B:$B,"&lt;&gt;Lorena Dias de Araujo",$B:$B,"&lt;&gt;Lucas Luiz Romero")*(35/1083),IF(C3822="Técnico II",SUMIFS($D:$D,$A:$A,$A3822,$B:$B,"&lt;&gt;Patrícia Karla de Sousa Araújo",$B:$B,"&lt;&gt;Lorena Dias de Araujo",$B:$B,"&lt;&gt;Lucas Luiz Romero")*(28/1083),IF(C3822="Técnico I",SUMIFS($D:$D,$A:$A,$A3822,$B:$B,"&lt;&gt;Patrícia Karla de Sousa Araújo",$B:$B,"&lt;&gt;Lorena Dias de Araujo",$B:$B,"&lt;&gt;Lucas Luiz Romero")*(23/1083),IF(C3822="JR",SUMIFS($D:$D,$A:$A,$A3822,$B:$B,"&lt;&gt;Patrícia Karla de Sousa Araújo",$B:$B,"&lt;&gt;Lorena Dias de Araujo",$B:$B,"&lt;&gt;Lucas Luiz Romero")*(20/1083),IF(C3822="Estágio",SUMIFS($D:$D,$A:$A,$A3822,$B:$B,"&lt;&gt;Patrícia Karla de Sousa Araújo",$B:$B,"&lt;&gt;Lorena Dias de Araujo",$B:$B,"&lt;&gt;Lucas Luiz Romero")*(10/1083),0)))))),0)</f>
        <v/>
      </c>
      <c r="K3822" s="3">
        <f>I3822-J3822</f>
        <v/>
      </c>
      <c r="L3822" s="3">
        <f>IF(K3822&lt;-5,"CRÍTICO",IF(K3822&lt;0,"ATENÇÃO",IF(K3822&lt;=5,"OPORTUNO","MUITO BOM")))</f>
        <v/>
      </c>
      <c r="M3822" s="3" t="n">
        <v>19</v>
      </c>
      <c r="N3822" s="3" t="n">
        <v>97.83</v>
      </c>
      <c r="O3822" s="12" t="n">
        <v>28.35164835164835</v>
      </c>
    </row>
    <row r="3823">
      <c r="A3823" s="10" t="n">
        <v>46121</v>
      </c>
      <c r="B3823" t="inlineStr">
        <is>
          <t>Francielson de Oliveira</t>
        </is>
      </c>
      <c r="C3823" s="1" t="inlineStr">
        <is>
          <t>Técnico III</t>
        </is>
      </c>
      <c r="D3823" s="3" t="n">
        <v>25</v>
      </c>
      <c r="E3823" s="3" t="n">
        <v>22</v>
      </c>
      <c r="F3823" s="3" t="n">
        <v>17.08</v>
      </c>
      <c r="G3823" s="3" t="n">
        <v>0</v>
      </c>
      <c r="H3823" s="3" t="n">
        <v>0</v>
      </c>
      <c r="I3823" s="3">
        <f>E3823+G3823+H3823</f>
        <v/>
      </c>
      <c r="J3823" s="3">
        <f>ROUND(MIN(IF(C3823="Técnico III",35,IF(C3823="Técnico II",28,IF(C3823="Técnico I",23,IF(C3823="JR",20,IF(C3823="Estágio",10,0))))),IF(C3823="Técnico III",SUMIFS($D:$D,$A:$A,$A3823,$B:$B,"&lt;&gt;Patrícia Karla de Sousa Araújo",$B:$B,"&lt;&gt;Lorena Dias de Araujo",$B:$B,"&lt;&gt;Lucas Luiz Romero")*(35/1083),IF(C3823="Técnico II",SUMIFS($D:$D,$A:$A,$A3823,$B:$B,"&lt;&gt;Patrícia Karla de Sousa Araújo",$B:$B,"&lt;&gt;Lorena Dias de Araujo",$B:$B,"&lt;&gt;Lucas Luiz Romero")*(28/1083),IF(C3823="Técnico I",SUMIFS($D:$D,$A:$A,$A3823,$B:$B,"&lt;&gt;Patrícia Karla de Sousa Araújo",$B:$B,"&lt;&gt;Lorena Dias de Araujo",$B:$B,"&lt;&gt;Lucas Luiz Romero")*(23/1083),IF(C3823="JR",SUMIFS($D:$D,$A:$A,$A3823,$B:$B,"&lt;&gt;Patrícia Karla de Sousa Araújo",$B:$B,"&lt;&gt;Lorena Dias de Araujo",$B:$B,"&lt;&gt;Lucas Luiz Romero")*(20/1083),IF(C3823="Estágio",SUMIFS($D:$D,$A:$A,$A3823,$B:$B,"&lt;&gt;Patrícia Karla de Sousa Araújo",$B:$B,"&lt;&gt;Lorena Dias de Araujo",$B:$B,"&lt;&gt;Lucas Luiz Romero")*(10/1083),0)))))),0)</f>
        <v/>
      </c>
      <c r="K3823" s="3">
        <f>I3823-J3823</f>
        <v/>
      </c>
      <c r="L3823" s="3">
        <f>IF(K3823&lt;-5,"CRÍTICO",IF(K3823&lt;0,"ATENÇÃO",IF(K3823&lt;=5,"OPORTUNO","MUITO BOM")))</f>
        <v/>
      </c>
      <c r="M3823" s="3" t="n">
        <v>20</v>
      </c>
      <c r="N3823" s="3" t="n">
        <v>99.26000000000001</v>
      </c>
      <c r="O3823" s="12" t="n">
        <v>29.76653696498055</v>
      </c>
    </row>
    <row r="3824">
      <c r="A3824" s="10" t="n">
        <v>46121</v>
      </c>
      <c r="B3824" t="inlineStr">
        <is>
          <t>Francilene Ferreira de Jesus</t>
        </is>
      </c>
      <c r="C3824" s="1" t="inlineStr">
        <is>
          <t>Técnico II</t>
        </is>
      </c>
      <c r="D3824" s="3" t="n">
        <v>12</v>
      </c>
      <c r="E3824" s="3" t="n">
        <v>12</v>
      </c>
      <c r="F3824" s="3" t="n">
        <v>20.25</v>
      </c>
      <c r="G3824" s="3" t="n">
        <v>0</v>
      </c>
      <c r="H3824" s="3" t="n">
        <v>0</v>
      </c>
      <c r="I3824" s="3">
        <f>E3824+G3824+H3824</f>
        <v/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/>
      </c>
      <c r="K3824" s="3">
        <f>I3824-J3824</f>
        <v/>
      </c>
      <c r="L3824" s="3">
        <f>IF(K3824&lt;-5,"CRÍTICO",IF(K3824&lt;0,"ATENÇÃO",IF(K3824&lt;=5,"OPORTUNO","MUITO BOM")))</f>
        <v/>
      </c>
      <c r="M3824" s="3" t="n">
        <v>17</v>
      </c>
      <c r="N3824" s="3" t="n">
        <v>99.19</v>
      </c>
      <c r="O3824" s="12" t="n">
        <v>29.46236559139785</v>
      </c>
    </row>
    <row r="3825">
      <c r="A3825" s="7" t="n">
        <v>46161</v>
      </c>
      <c r="B3825" s="8" t="inlineStr">
        <is>
          <t>Isabella Borges de Oliveira</t>
        </is>
      </c>
      <c r="C3825" s="1" t="inlineStr">
        <is>
          <t>Técnico II</t>
        </is>
      </c>
      <c r="D3825" s="3" t="n">
        <v>28</v>
      </c>
      <c r="E3825" s="3" t="n">
        <v>25</v>
      </c>
      <c r="F3825" s="3" t="n">
        <v>16.55</v>
      </c>
      <c r="G3825" s="3" t="n">
        <v>0</v>
      </c>
      <c r="H3825" s="3" t="n">
        <v>0</v>
      </c>
      <c r="I3825" s="3" t="n">
        <v>25</v>
      </c>
      <c r="J3825" s="3" t="n">
        <v>23</v>
      </c>
      <c r="K3825" s="3" t="n">
        <v>2</v>
      </c>
      <c r="L3825" s="3" t="inlineStr">
        <is>
          <t>BOM</t>
        </is>
      </c>
      <c r="M3825" s="3" t="n">
        <v>22</v>
      </c>
      <c r="N3825" s="3" t="n">
        <v>98.98</v>
      </c>
      <c r="O3825" s="12" t="n">
        <v>19.35483870967742</v>
      </c>
    </row>
    <row r="3826">
      <c r="A3826" s="10" t="n">
        <v>46121</v>
      </c>
      <c r="B3826" t="inlineStr">
        <is>
          <t>Isabella Borges de Oliveira</t>
        </is>
      </c>
      <c r="C3826" s="1" t="inlineStr">
        <is>
          <t>Técnico II</t>
        </is>
      </c>
      <c r="D3826" s="3" t="n">
        <v>0</v>
      </c>
      <c r="E3826" s="3" t="n">
        <v>0</v>
      </c>
      <c r="F3826" s="3" t="n">
        <v>0</v>
      </c>
      <c r="G3826" s="3" t="n">
        <v>0</v>
      </c>
      <c r="H3826" s="3" t="n">
        <v>0</v>
      </c>
      <c r="I3826" s="3" t="n">
        <v>0</v>
      </c>
      <c r="J3826" s="3" t="n">
        <v>0</v>
      </c>
      <c r="K3826" s="3" t="n">
        <v>0</v>
      </c>
      <c r="L3826" s="3">
        <f>IF(K3826&lt;-5,"CRÍTICO",IF(K3826&lt;0,"ATENÇÃO",IF(K3826&lt;=5,"OPORTUNO","MUITO BOM")))</f>
        <v/>
      </c>
      <c r="M3826" s="3" t="n">
        <v>0</v>
      </c>
      <c r="N3826" s="3" t="n">
        <v>100</v>
      </c>
      <c r="O3826" s="12" t="n">
        <v>28.92156862745098</v>
      </c>
    </row>
    <row r="3827">
      <c r="A3827" s="10" t="n">
        <v>46121</v>
      </c>
      <c r="B3827" t="inlineStr">
        <is>
          <t>Janaina Lima dos Reis Urany</t>
        </is>
      </c>
      <c r="C3827" s="1" t="inlineStr">
        <is>
          <t>Técnico III</t>
        </is>
      </c>
      <c r="D3827" s="3" t="n">
        <v>36</v>
      </c>
      <c r="E3827" s="3" t="n">
        <v>32</v>
      </c>
      <c r="F3827" s="3" t="n">
        <v>15.2</v>
      </c>
      <c r="G3827" s="3" t="n">
        <v>0</v>
      </c>
      <c r="H3827" s="3" t="n">
        <v>0</v>
      </c>
      <c r="I3827" s="3">
        <f>E3827+G3827+H3827</f>
        <v/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/>
      </c>
      <c r="K3827" s="3">
        <f>I3827-J3827</f>
        <v/>
      </c>
      <c r="L3827" s="3">
        <f>IF(K3827&lt;-5,"CRÍTICO",IF(K3827&lt;0,"ATENÇÃO",IF(K3827&lt;=5,"OPORTUNO","MUITO BOM")))</f>
        <v/>
      </c>
      <c r="M3827" s="3" t="n">
        <v>29</v>
      </c>
      <c r="N3827" s="3" t="n">
        <v>99.56999999999999</v>
      </c>
      <c r="O3827" s="12" t="n">
        <v>30.63583815028902</v>
      </c>
    </row>
    <row r="3828">
      <c r="A3828" s="10" t="n">
        <v>46121</v>
      </c>
      <c r="B3828" t="inlineStr">
        <is>
          <t>Jaqueline Evangelista da Silva Martins</t>
        </is>
      </c>
      <c r="C3828" s="1" t="inlineStr">
        <is>
          <t>Técnico III</t>
        </is>
      </c>
      <c r="D3828" s="3" t="n">
        <v>0</v>
      </c>
      <c r="E3828" s="3" t="n">
        <v>0</v>
      </c>
      <c r="F3828" s="3" t="n">
        <v>0</v>
      </c>
      <c r="G3828" s="3" t="n">
        <v>0</v>
      </c>
      <c r="H3828" s="3" t="n">
        <v>0</v>
      </c>
      <c r="I3828" s="3" t="n">
        <v>0</v>
      </c>
      <c r="J3828" s="3" t="n">
        <v>0</v>
      </c>
      <c r="K3828" s="3" t="n">
        <v>0</v>
      </c>
      <c r="L3828" s="3">
        <f>IF(K3828&lt;-5,"CRÍTICO",IF(K3828&lt;0,"ATENÇÃO",IF(K3828&lt;=5,"OPORTUNO","MUITO BOM")))</f>
        <v/>
      </c>
      <c r="M3828" s="3" t="n">
        <v>0</v>
      </c>
      <c r="N3828" s="3" t="n">
        <v>95.65000000000001</v>
      </c>
      <c r="O3828" s="12" t="n">
        <v>32.43243243243244</v>
      </c>
    </row>
    <row r="3829">
      <c r="A3829" s="10" t="n">
        <v>46121</v>
      </c>
      <c r="B3829" t="inlineStr">
        <is>
          <t>Jessica Faria da Silveira</t>
        </is>
      </c>
      <c r="C3829" s="1" t="inlineStr">
        <is>
          <t>Técnico II</t>
        </is>
      </c>
      <c r="D3829" s="3" t="n">
        <v>24</v>
      </c>
      <c r="E3829" s="3" t="n">
        <v>21</v>
      </c>
      <c r="F3829" s="3" t="n">
        <v>22.22</v>
      </c>
      <c r="G3829" s="3" t="n">
        <v>0</v>
      </c>
      <c r="H3829" s="3" t="n">
        <v>0</v>
      </c>
      <c r="I3829" s="3">
        <f>E3829+G3829+H3829</f>
        <v/>
      </c>
      <c r="J3829" s="3">
        <f>ROUND(MIN(IF(C3829="Técnico III",35,IF(C3829="Técnico II",28,IF(C3829="Técnico I",23,IF(C3829="JR",20,IF(C3829="Estágio",10,0))))),IF(C3829="Técnico III",SUMIFS($D:$D,$A:$A,$A3829,$B:$B,"&lt;&gt;Patrícia Karla de Sousa Araújo",$B:$B,"&lt;&gt;Lorena Dias de Araujo",$B:$B,"&lt;&gt;Lucas Luiz Romero")*(35/1083),IF(C3829="Técnico II",SUMIFS($D:$D,$A:$A,$A3829,$B:$B,"&lt;&gt;Patrícia Karla de Sousa Araújo",$B:$B,"&lt;&gt;Lorena Dias de Araujo",$B:$B,"&lt;&gt;Lucas Luiz Romero")*(28/1083),IF(C3829="Técnico I",SUMIFS($D:$D,$A:$A,$A3829,$B:$B,"&lt;&gt;Patrícia Karla de Sousa Araújo",$B:$B,"&lt;&gt;Lorena Dias de Araujo",$B:$B,"&lt;&gt;Lucas Luiz Romero")*(23/1083),IF(C3829="JR",SUMIFS($D:$D,$A:$A,$A3829,$B:$B,"&lt;&gt;Patrícia Karla de Sousa Araújo",$B:$B,"&lt;&gt;Lorena Dias de Araujo",$B:$B,"&lt;&gt;Lucas Luiz Romero")*(20/1083),IF(C3829="Estágio",SUMIFS($D:$D,$A:$A,$A3829,$B:$B,"&lt;&gt;Patrícia Karla de Sousa Araújo",$B:$B,"&lt;&gt;Lorena Dias de Araujo",$B:$B,"&lt;&gt;Lucas Luiz Romero")*(10/1083),0)))))),0)</f>
        <v/>
      </c>
      <c r="K3829" s="3">
        <f>I3829-J3829</f>
        <v/>
      </c>
      <c r="L3829" s="3">
        <f>IF(K3829&lt;-5,"CRÍTICO",IF(K3829&lt;0,"ATENÇÃO",IF(K3829&lt;=5,"OPORTUNO","MUITO BOM")))</f>
        <v/>
      </c>
      <c r="M3829" s="3" t="n">
        <v>19</v>
      </c>
      <c r="N3829" s="3" t="n">
        <v>98.81</v>
      </c>
      <c r="O3829" s="12" t="n">
        <v>26.25698324022346</v>
      </c>
    </row>
    <row r="3830">
      <c r="A3830" s="10" t="n">
        <v>46121</v>
      </c>
      <c r="B3830" t="inlineStr">
        <is>
          <t>Jéssica Fé Moura</t>
        </is>
      </c>
      <c r="C3830" s="1" t="inlineStr">
        <is>
          <t>Técnico III</t>
        </is>
      </c>
      <c r="D3830" s="3" t="n">
        <v>0</v>
      </c>
      <c r="E3830" s="3" t="n">
        <v>0</v>
      </c>
      <c r="F3830" s="3" t="n">
        <v>0</v>
      </c>
      <c r="G3830" s="3" t="n">
        <v>0</v>
      </c>
      <c r="H3830" s="3" t="n">
        <v>0</v>
      </c>
      <c r="I3830" s="3" t="n">
        <v>0</v>
      </c>
      <c r="J3830" s="3" t="n">
        <v>0</v>
      </c>
      <c r="K3830" s="3" t="n">
        <v>0</v>
      </c>
      <c r="L3830" s="3">
        <f>IF(K3830&lt;-5,"CRÍTICO",IF(K3830&lt;0,"ATENÇÃO",IF(K3830&lt;=5,"OPORTUNO","MUITO BOM")))</f>
        <v/>
      </c>
      <c r="M3830" s="3" t="n">
        <v>0</v>
      </c>
      <c r="N3830" s="3" t="n">
        <v>0</v>
      </c>
      <c r="O3830" s="12" t="n">
        <v>0</v>
      </c>
    </row>
    <row r="3831">
      <c r="A3831" s="10" t="n">
        <v>46121</v>
      </c>
      <c r="B3831" t="inlineStr">
        <is>
          <t>Karina Gonçalves Martins</t>
        </is>
      </c>
      <c r="C3831" s="1" t="inlineStr">
        <is>
          <t>JR</t>
        </is>
      </c>
      <c r="D3831" s="3" t="n">
        <v>28</v>
      </c>
      <c r="E3831" s="3" t="n">
        <v>28</v>
      </c>
      <c r="F3831" s="3" t="n">
        <v>17.24</v>
      </c>
      <c r="G3831" s="3" t="n">
        <v>0</v>
      </c>
      <c r="H3831" s="3" t="n">
        <v>0</v>
      </c>
      <c r="I3831" s="3">
        <f>E3831+G3831+H3831</f>
        <v/>
      </c>
      <c r="J3831" s="3">
        <f>ROUND(MIN(IF(C3831="Técnico III",35,IF(C3831="Técnico II",28,IF(C3831="Técnico I",23,IF(C3831="JR",20,IF(C3831="Estágio",10,0))))),IF(C3831="Técnico III",SUMIFS($D:$D,$A:$A,$A3831,$B:$B,"&lt;&gt;Patrícia Karla de Sousa Araújo",$B:$B,"&lt;&gt;Lorena Dias de Araujo",$B:$B,"&lt;&gt;Lucas Luiz Romero")*(35/1083),IF(C3831="Técnico II",SUMIFS($D:$D,$A:$A,$A3831,$B:$B,"&lt;&gt;Patrícia Karla de Sousa Araújo",$B:$B,"&lt;&gt;Lorena Dias de Araujo",$B:$B,"&lt;&gt;Lucas Luiz Romero")*(28/1083),IF(C3831="Técnico I",SUMIFS($D:$D,$A:$A,$A3831,$B:$B,"&lt;&gt;Patrícia Karla de Sousa Araújo",$B:$B,"&lt;&gt;Lorena Dias de Araujo",$B:$B,"&lt;&gt;Lucas Luiz Romero")*(23/1083),IF(C3831="JR",SUMIFS($D:$D,$A:$A,$A3831,$B:$B,"&lt;&gt;Patrícia Karla de Sousa Araújo",$B:$B,"&lt;&gt;Lorena Dias de Araujo",$B:$B,"&lt;&gt;Lucas Luiz Romero")*(20/1083),IF(C3831="Estágio",SUMIFS($D:$D,$A:$A,$A3831,$B:$B,"&lt;&gt;Patrícia Karla de Sousa Araújo",$B:$B,"&lt;&gt;Lorena Dias de Araujo",$B:$B,"&lt;&gt;Lucas Luiz Romero")*(10/1083),0)))))),0)</f>
        <v/>
      </c>
      <c r="K3831" s="3">
        <f>I3831-J3831</f>
        <v/>
      </c>
      <c r="L3831" s="3">
        <f>IF(K3831&lt;-5,"CRÍTICO",IF(K3831&lt;0,"ATENÇÃO",IF(K3831&lt;=5,"OPORTUNO","MUITO BOM")))</f>
        <v/>
      </c>
      <c r="M3831" s="3" t="n">
        <v>24</v>
      </c>
      <c r="N3831" s="3" t="n">
        <v>97.17</v>
      </c>
      <c r="O3831" s="12" t="n">
        <v>28.81844380403458</v>
      </c>
    </row>
    <row r="3832">
      <c r="A3832" s="10" t="n">
        <v>46121</v>
      </c>
      <c r="B3832" t="inlineStr">
        <is>
          <t>Kerollen Cristielly de Jesus Siqueira</t>
        </is>
      </c>
      <c r="C3832" s="1" t="inlineStr">
        <is>
          <t>Técnico III</t>
        </is>
      </c>
      <c r="D3832" s="3" t="n">
        <v>16</v>
      </c>
      <c r="E3832" s="3" t="n">
        <v>15</v>
      </c>
      <c r="F3832" s="3" t="n">
        <v>23.53</v>
      </c>
      <c r="G3832" s="3" t="n">
        <v>0</v>
      </c>
      <c r="H3832" s="3" t="n">
        <v>0</v>
      </c>
      <c r="I3832" s="3">
        <f>E3832+G3832+H3832</f>
        <v/>
      </c>
      <c r="J3832" s="3">
        <f>ROUND(MIN(IF(C3832="Técnico III",35,IF(C3832="Técnico II",28,IF(C3832="Técnico I",23,IF(C3832="JR",20,IF(C3832="Estágio",10,0))))),IF(C3832="Técnico III",SUMIFS($D:$D,$A:$A,$A3832,$B:$B,"&lt;&gt;Patrícia Karla de Sousa Araújo",$B:$B,"&lt;&gt;Lorena Dias de Araujo",$B:$B,"&lt;&gt;Lucas Luiz Romero")*(35/1083),IF(C3832="Técnico II",SUMIFS($D:$D,$A:$A,$A3832,$B:$B,"&lt;&gt;Patrícia Karla de Sousa Araújo",$B:$B,"&lt;&gt;Lorena Dias de Araujo",$B:$B,"&lt;&gt;Lucas Luiz Romero")*(28/1083),IF(C3832="Técnico I",SUMIFS($D:$D,$A:$A,$A3832,$B:$B,"&lt;&gt;Patrícia Karla de Sousa Araújo",$B:$B,"&lt;&gt;Lorena Dias de Araujo",$B:$B,"&lt;&gt;Lucas Luiz Romero")*(23/1083),IF(C3832="JR",SUMIFS($D:$D,$A:$A,$A3832,$B:$B,"&lt;&gt;Patrícia Karla de Sousa Araújo",$B:$B,"&lt;&gt;Lorena Dias de Araujo",$B:$B,"&lt;&gt;Lucas Luiz Romero")*(20/1083),IF(C3832="Estágio",SUMIFS($D:$D,$A:$A,$A3832,$B:$B,"&lt;&gt;Patrícia Karla de Sousa Araújo",$B:$B,"&lt;&gt;Lorena Dias de Araujo",$B:$B,"&lt;&gt;Lucas Luiz Romero")*(10/1083),0)))))),0)</f>
        <v/>
      </c>
      <c r="K3832" s="3">
        <f>I3832-J3832</f>
        <v/>
      </c>
      <c r="L3832" s="3">
        <f>IF(K3832&lt;-5,"CRÍTICO",IF(K3832&lt;0,"ATENÇÃO",IF(K3832&lt;=5,"OPORTUNO","MUITO BOM")))</f>
        <v/>
      </c>
      <c r="M3832" s="3" t="n">
        <v>16</v>
      </c>
      <c r="N3832" s="3" t="n">
        <v>96.81</v>
      </c>
      <c r="O3832" s="12" t="n">
        <v>48.01864801864802</v>
      </c>
    </row>
    <row r="3833">
      <c r="A3833" s="10" t="n">
        <v>46121</v>
      </c>
      <c r="B3833" t="inlineStr">
        <is>
          <t>Leandro de Souza Silva</t>
        </is>
      </c>
      <c r="C3833" s="1" t="inlineStr">
        <is>
          <t>JR</t>
        </is>
      </c>
      <c r="D3833" s="3" t="n">
        <v>16</v>
      </c>
      <c r="E3833" s="3" t="n">
        <v>15</v>
      </c>
      <c r="F3833" s="3" t="n">
        <v>30.05</v>
      </c>
      <c r="G3833" s="3" t="n">
        <v>0</v>
      </c>
      <c r="H3833" s="3" t="n">
        <v>0</v>
      </c>
      <c r="I3833" s="3">
        <f>E3833+G3833+H3833</f>
        <v/>
      </c>
      <c r="J3833" s="3">
        <f>ROUND(MIN(IF(C3833="Técnico III",35,IF(C3833="Técnico II",28,IF(C3833="Técnico I",23,IF(C3833="JR",20,IF(C3833="Estágio",10,0))))),IF(C3833="Técnico III",SUMIFS($D:$D,$A:$A,$A3833,$B:$B,"&lt;&gt;Patrícia Karla de Sousa Araújo",$B:$B,"&lt;&gt;Lorena Dias de Araujo",$B:$B,"&lt;&gt;Lucas Luiz Romero")*(35/1083),IF(C3833="Técnico II",SUMIFS($D:$D,$A:$A,$A3833,$B:$B,"&lt;&gt;Patrícia Karla de Sousa Araújo",$B:$B,"&lt;&gt;Lorena Dias de Araujo",$B:$B,"&lt;&gt;Lucas Luiz Romero")*(28/1083),IF(C3833="Técnico I",SUMIFS($D:$D,$A:$A,$A3833,$B:$B,"&lt;&gt;Patrícia Karla de Sousa Araújo",$B:$B,"&lt;&gt;Lorena Dias de Araujo",$B:$B,"&lt;&gt;Lucas Luiz Romero")*(23/1083),IF(C3833="JR",SUMIFS($D:$D,$A:$A,$A3833,$B:$B,"&lt;&gt;Patrícia Karla de Sousa Araújo",$B:$B,"&lt;&gt;Lorena Dias de Araujo",$B:$B,"&lt;&gt;Lucas Luiz Romero")*(20/1083),IF(C3833="Estágio",SUMIFS($D:$D,$A:$A,$A3833,$B:$B,"&lt;&gt;Patrícia Karla de Sousa Araújo",$B:$B,"&lt;&gt;Lorena Dias de Araujo",$B:$B,"&lt;&gt;Lucas Luiz Romero")*(10/1083),0)))))),0)</f>
        <v/>
      </c>
      <c r="K3833" s="3">
        <f>I3833-J3833</f>
        <v/>
      </c>
      <c r="L3833" s="3">
        <f>IF(K3833&lt;-5,"CRÍTICO",IF(K3833&lt;0,"ATENÇÃO",IF(K3833&lt;=5,"OPORTUNO","MUITO BOM")))</f>
        <v/>
      </c>
      <c r="M3833" s="3" t="n">
        <v>11</v>
      </c>
      <c r="N3833" s="3" t="n">
        <v>98.15000000000001</v>
      </c>
      <c r="O3833" s="12" t="n">
        <v>27.1551724137931</v>
      </c>
    </row>
    <row r="3834">
      <c r="A3834" s="10" t="n">
        <v>46121</v>
      </c>
      <c r="B3834" t="inlineStr">
        <is>
          <t>Leandro Oliveira de Sousa</t>
        </is>
      </c>
      <c r="C3834" s="1" t="inlineStr">
        <is>
          <t>Técnico III</t>
        </is>
      </c>
      <c r="D3834" s="3" t="n">
        <v>12</v>
      </c>
      <c r="E3834" s="3" t="n">
        <v>12</v>
      </c>
      <c r="F3834" s="3" t="n">
        <v>17.27</v>
      </c>
      <c r="G3834" s="3" t="n">
        <v>0</v>
      </c>
      <c r="H3834" s="3" t="n">
        <v>0</v>
      </c>
      <c r="I3834" s="3">
        <f>E3834+G3834+H3834</f>
        <v/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/>
      </c>
      <c r="K3834" s="3">
        <f>I3834-J3834</f>
        <v/>
      </c>
      <c r="L3834" s="3">
        <f>IF(K3834&lt;-5,"CRÍTICO",IF(K3834&lt;0,"ATENÇÃO",IF(K3834&lt;=5,"OPORTUNO","MUITO BOM")))</f>
        <v/>
      </c>
      <c r="M3834" s="3" t="n">
        <v>8</v>
      </c>
      <c r="N3834" s="3" t="n">
        <v>99.15000000000001</v>
      </c>
      <c r="O3834" s="12" t="n">
        <v>27.58620689655172</v>
      </c>
    </row>
    <row r="3835">
      <c r="A3835" s="10" t="n">
        <v>46121</v>
      </c>
      <c r="B3835" t="inlineStr">
        <is>
          <t>Lizandra Gomes Duarte</t>
        </is>
      </c>
      <c r="C3835" s="1" t="inlineStr">
        <is>
          <t>Técnico II</t>
        </is>
      </c>
      <c r="D3835" s="3" t="n">
        <v>21</v>
      </c>
      <c r="E3835" s="3" t="n">
        <v>18</v>
      </c>
      <c r="F3835" s="3" t="n">
        <v>22.11</v>
      </c>
      <c r="G3835" s="3" t="n">
        <v>0</v>
      </c>
      <c r="H3835" s="3" t="n">
        <v>0</v>
      </c>
      <c r="I3835" s="3">
        <f>E3835+G3835+H3835</f>
        <v/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/>
      </c>
      <c r="K3835" s="3">
        <f>I3835-J3835</f>
        <v/>
      </c>
      <c r="L3835" s="3">
        <f>IF(K3835&lt;-5,"CRÍTICO",IF(K3835&lt;0,"ATENÇÃO",IF(K3835&lt;=5,"OPORTUNO","MUITO BOM")))</f>
        <v/>
      </c>
      <c r="M3835" s="3" t="n">
        <v>28</v>
      </c>
      <c r="N3835" s="3" t="n">
        <v>99.17</v>
      </c>
      <c r="O3835" s="12" t="n">
        <v>29.75206611570248</v>
      </c>
    </row>
    <row r="3836">
      <c r="A3836" s="10" t="n">
        <v>46121</v>
      </c>
      <c r="B3836" t="inlineStr">
        <is>
          <t>Lorena Dias de Araujo</t>
        </is>
      </c>
      <c r="C3836" s="1" t="inlineStr">
        <is>
          <t>Técnico II</t>
        </is>
      </c>
      <c r="D3836" s="3" t="n">
        <v>22</v>
      </c>
      <c r="E3836" s="3" t="n">
        <v>21</v>
      </c>
      <c r="F3836" s="3" t="n">
        <v>25.13</v>
      </c>
      <c r="G3836" s="3" t="n">
        <v>0</v>
      </c>
      <c r="H3836" s="3" t="n">
        <v>0</v>
      </c>
      <c r="I3836" s="3" t="n">
        <v>0</v>
      </c>
      <c r="J3836" s="3" t="n">
        <v>0</v>
      </c>
      <c r="K3836" s="3" t="n">
        <v>0</v>
      </c>
      <c r="L3836" s="3">
        <f>IF(K3836&lt;-5,"CRÍTICO",IF(K3836&lt;0,"ATENÇÃO",IF(K3836&lt;=5,"OPORTUNO","MUITO BOM")))</f>
        <v/>
      </c>
      <c r="M3836" s="3" t="n">
        <v>16</v>
      </c>
      <c r="N3836" s="3" t="n">
        <v>98.73</v>
      </c>
      <c r="O3836" s="12" t="n">
        <v>28.96174863387978</v>
      </c>
    </row>
    <row r="3837">
      <c r="A3837" s="10" t="n">
        <v>46121</v>
      </c>
      <c r="B3837" t="inlineStr">
        <is>
          <t>Lucas Luiz Romero</t>
        </is>
      </c>
      <c r="C3837" s="1" t="inlineStr">
        <is>
          <t>Técnico III</t>
        </is>
      </c>
      <c r="D3837" s="3" t="n">
        <v>37</v>
      </c>
      <c r="E3837" s="3" t="n">
        <v>30</v>
      </c>
      <c r="F3837" s="3" t="n">
        <v>15.56</v>
      </c>
      <c r="G3837" s="3" t="n">
        <v>0</v>
      </c>
      <c r="H3837" s="3" t="n">
        <v>0</v>
      </c>
      <c r="I3837" s="3">
        <f>E3837+G3837+H3837</f>
        <v/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/>
      </c>
      <c r="K3837" s="3">
        <f>I3837-J3837</f>
        <v/>
      </c>
      <c r="L3837" s="3">
        <f>IF(K3837&lt;-5,"CRÍTICO",IF(K3837&lt;0,"ATENÇÃO",IF(K3837&lt;=5,"OPORTUNO","MUITO BOM")))</f>
        <v/>
      </c>
      <c r="M3837" s="3" t="n">
        <v>17</v>
      </c>
      <c r="N3837" s="3" t="n">
        <v>88.68000000000001</v>
      </c>
      <c r="O3837" s="12" t="n">
        <v>22.03389830508474</v>
      </c>
    </row>
    <row r="3838">
      <c r="A3838" s="10" t="n">
        <v>46121</v>
      </c>
      <c r="B3838" t="inlineStr">
        <is>
          <t>Luiz Fernando de Carvalho Junior</t>
        </is>
      </c>
      <c r="C3838" s="1" t="inlineStr">
        <is>
          <t>Técnico I</t>
        </is>
      </c>
      <c r="D3838" s="3" t="n">
        <v>27</v>
      </c>
      <c r="E3838" s="3" t="n">
        <v>23</v>
      </c>
      <c r="F3838" s="3" t="n">
        <v>14.04</v>
      </c>
      <c r="G3838" s="3" t="n">
        <v>0</v>
      </c>
      <c r="H3838" s="3" t="n">
        <v>0</v>
      </c>
      <c r="I3838" s="3">
        <f>E3838+G3838+H3838</f>
        <v/>
      </c>
      <c r="J3838" s="3">
        <f>ROUND(MIN(IF(C3838="Técnico III",35,IF(C3838="Técnico II",28,IF(C3838="Técnico I",23,IF(C3838="JR",20,IF(C3838="Estágio",10,0))))),IF(C3838="Técnico III",SUMIFS($D:$D,$A:$A,$A3838,$B:$B,"&lt;&gt;Patrícia Karla de Sousa Araújo",$B:$B,"&lt;&gt;Lorena Dias de Araujo",$B:$B,"&lt;&gt;Lucas Luiz Romero")*(35/1083),IF(C3838="Técnico II",SUMIFS($D:$D,$A:$A,$A3838,$B:$B,"&lt;&gt;Patrícia Karla de Sousa Araújo",$B:$B,"&lt;&gt;Lorena Dias de Araujo",$B:$B,"&lt;&gt;Lucas Luiz Romero")*(28/1083),IF(C3838="Técnico I",SUMIFS($D:$D,$A:$A,$A3838,$B:$B,"&lt;&gt;Patrícia Karla de Sousa Araújo",$B:$B,"&lt;&gt;Lorena Dias de Araujo",$B:$B,"&lt;&gt;Lucas Luiz Romero")*(23/1083),IF(C3838="JR",SUMIFS($D:$D,$A:$A,$A3838,$B:$B,"&lt;&gt;Patrícia Karla de Sousa Araújo",$B:$B,"&lt;&gt;Lorena Dias de Araujo",$B:$B,"&lt;&gt;Lucas Luiz Romero")*(20/1083),IF(C3838="Estágio",SUMIFS($D:$D,$A:$A,$A3838,$B:$B,"&lt;&gt;Patrícia Karla de Sousa Araújo",$B:$B,"&lt;&gt;Lorena Dias de Araujo",$B:$B,"&lt;&gt;Lucas Luiz Romero")*(10/1083),0)))))),0)</f>
        <v/>
      </c>
      <c r="K3838" s="3">
        <f>I3838-J3838</f>
        <v/>
      </c>
      <c r="L3838" s="3">
        <f>IF(K3838&lt;-5,"CRÍTICO",IF(K3838&lt;0,"ATENÇÃO",IF(K3838&lt;=5,"OPORTUNO","MUITO BOM")))</f>
        <v/>
      </c>
      <c r="M3838" s="3" t="n">
        <v>23</v>
      </c>
      <c r="N3838" s="3" t="n">
        <v>97.37</v>
      </c>
      <c r="O3838" s="12" t="n">
        <v>25.76530612244898</v>
      </c>
    </row>
    <row r="3839">
      <c r="A3839" s="10" t="n">
        <v>46121</v>
      </c>
      <c r="B3839" t="inlineStr">
        <is>
          <t>Maria Eduarda Sousa Costa</t>
        </is>
      </c>
      <c r="C3839" s="1" t="inlineStr">
        <is>
          <t>Estágio</t>
        </is>
      </c>
      <c r="D3839" s="3" t="n">
        <v>9</v>
      </c>
      <c r="E3839" s="3" t="n">
        <v>9</v>
      </c>
      <c r="F3839" s="3" t="n">
        <v>43.54</v>
      </c>
      <c r="G3839" s="3" t="n">
        <v>0</v>
      </c>
      <c r="H3839" s="3" t="n">
        <v>0</v>
      </c>
      <c r="I3839" s="3">
        <f>E3839+G3839+H3839</f>
        <v/>
      </c>
      <c r="J3839" s="3">
        <f>ROUND(MIN(IF(C3839="Técnico III",35,IF(C3839="Técnico II",28,IF(C3839="Técnico I",23,IF(C3839="JR",20,IF(C3839="Estágio",10,0))))),IF(C3839="Técnico III",SUMIFS($D:$D,$A:$A,$A3839,$B:$B,"&lt;&gt;Patrícia Karla de Sousa Araújo",$B:$B,"&lt;&gt;Lorena Dias de Araujo",$B:$B,"&lt;&gt;Lucas Luiz Romero")*(35/1083),IF(C3839="Técnico II",SUMIFS($D:$D,$A:$A,$A3839,$B:$B,"&lt;&gt;Patrícia Karla de Sousa Araújo",$B:$B,"&lt;&gt;Lorena Dias de Araujo",$B:$B,"&lt;&gt;Lucas Luiz Romero")*(28/1083),IF(C3839="Técnico I",SUMIFS($D:$D,$A:$A,$A3839,$B:$B,"&lt;&gt;Patrícia Karla de Sousa Araújo",$B:$B,"&lt;&gt;Lorena Dias de Araujo",$B:$B,"&lt;&gt;Lucas Luiz Romero")*(23/1083),IF(C3839="JR",SUMIFS($D:$D,$A:$A,$A3839,$B:$B,"&lt;&gt;Patrícia Karla de Sousa Araújo",$B:$B,"&lt;&gt;Lorena Dias de Araujo",$B:$B,"&lt;&gt;Lucas Luiz Romero")*(20/1083),IF(C3839="Estágio",SUMIFS($D:$D,$A:$A,$A3839,$B:$B,"&lt;&gt;Patrícia Karla de Sousa Araújo",$B:$B,"&lt;&gt;Lorena Dias de Araujo",$B:$B,"&lt;&gt;Lucas Luiz Romero")*(10/1083),0)))))),0)</f>
        <v/>
      </c>
      <c r="K3839" s="3">
        <f>I3839-J3839</f>
        <v/>
      </c>
      <c r="L3839" s="3">
        <f>IF(K3839&lt;-5,"CRÍTICO",IF(K3839&lt;0,"ATENÇÃO",IF(K3839&lt;=5,"OPORTUNO","MUITO BOM")))</f>
        <v/>
      </c>
      <c r="M3839" s="3" t="n">
        <v>6</v>
      </c>
      <c r="N3839" s="3" t="n">
        <v>100</v>
      </c>
      <c r="O3839" s="12" t="n">
        <v>25</v>
      </c>
    </row>
    <row r="3840">
      <c r="A3840" s="10" t="n">
        <v>46141</v>
      </c>
      <c r="B3840" t="inlineStr">
        <is>
          <t>Matheus Farias De Souza</t>
        </is>
      </c>
      <c r="C3840" s="1" t="inlineStr">
        <is>
          <t>Técnico III</t>
        </is>
      </c>
      <c r="D3840" s="3" t="n">
        <v>26</v>
      </c>
      <c r="E3840" s="3" t="n">
        <v>23</v>
      </c>
      <c r="F3840" s="3" t="n">
        <v>11.5</v>
      </c>
      <c r="G3840" s="3" t="n">
        <v>0</v>
      </c>
      <c r="H3840" s="3" t="n">
        <v>0</v>
      </c>
      <c r="I3840" s="3">
        <f>E3840+G3840+H3840</f>
        <v/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/>
      </c>
      <c r="K3840" s="3">
        <f>I3840-J3840</f>
        <v/>
      </c>
      <c r="L3840" s="3">
        <f>IF(K3840&lt;-5,"CRÍTICO",IF(K3840&lt;0,"ATENÇÃO",IF(K3840&lt;=5,"OPORTUNO","MUITO BOM")))</f>
        <v/>
      </c>
      <c r="M3840" s="3" t="n">
        <v>33</v>
      </c>
      <c r="N3840" s="3" t="n">
        <v>100</v>
      </c>
      <c r="O3840" s="12" t="n">
        <v>23.9870340356564</v>
      </c>
    </row>
    <row r="3841">
      <c r="A3841" s="10" t="n">
        <v>46121</v>
      </c>
      <c r="B3841" t="inlineStr">
        <is>
          <t>Maysa Victoria Dias Moura</t>
        </is>
      </c>
      <c r="C3841" s="1" t="inlineStr">
        <is>
          <t>Técnico III</t>
        </is>
      </c>
      <c r="D3841" s="3" t="n">
        <v>30</v>
      </c>
      <c r="E3841" s="3" t="n">
        <v>30</v>
      </c>
      <c r="F3841" s="3" t="n">
        <v>19.03</v>
      </c>
      <c r="G3841" s="3" t="n">
        <v>0</v>
      </c>
      <c r="H3841" s="3" t="n">
        <v>0</v>
      </c>
      <c r="I3841" s="3">
        <f>E3841+G3841+H3841</f>
        <v/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/>
      </c>
      <c r="K3841" s="3">
        <f>I3841-J3841</f>
        <v/>
      </c>
      <c r="L3841" s="3">
        <f>IF(K3841&lt;-5,"CRÍTICO",IF(K3841&lt;0,"ATENÇÃO",IF(K3841&lt;=5,"OPORTUNO","MUITO BOM")))</f>
        <v/>
      </c>
      <c r="M3841" s="3" t="n">
        <v>27</v>
      </c>
      <c r="N3841" s="3" t="n">
        <v>95.48999999999999</v>
      </c>
      <c r="O3841" s="12" t="n">
        <v>28.37022132796781</v>
      </c>
    </row>
    <row r="3842">
      <c r="A3842" s="7" t="n">
        <v>46161</v>
      </c>
      <c r="B3842" s="8" t="inlineStr">
        <is>
          <t>Jessica Faria da Silveira</t>
        </is>
      </c>
      <c r="C3842" s="1" t="inlineStr">
        <is>
          <t>Técnico II</t>
        </is>
      </c>
      <c r="D3842" s="3" t="n">
        <v>24</v>
      </c>
      <c r="E3842" s="3" t="n">
        <v>20</v>
      </c>
      <c r="F3842" s="3" t="n">
        <v>17</v>
      </c>
      <c r="G3842" s="3" t="n">
        <v>2</v>
      </c>
      <c r="H3842" s="3" t="n">
        <v>0</v>
      </c>
      <c r="I3842" s="3" t="n">
        <v>22</v>
      </c>
      <c r="J3842" s="3" t="n">
        <v>23</v>
      </c>
      <c r="K3842" s="3" t="n">
        <v>-1</v>
      </c>
      <c r="L3842" s="3" t="inlineStr">
        <is>
          <t>ATENÇÃO</t>
        </is>
      </c>
      <c r="M3842" s="3" t="n">
        <v>16</v>
      </c>
      <c r="N3842" s="3" t="n">
        <v>98.94</v>
      </c>
      <c r="O3842" s="12" t="n">
        <v>21.2707182320442</v>
      </c>
    </row>
    <row r="3843">
      <c r="A3843" s="10" t="n">
        <v>46121</v>
      </c>
      <c r="B3843" t="inlineStr">
        <is>
          <t>Milena Sales</t>
        </is>
      </c>
      <c r="C3843" s="1" t="inlineStr">
        <is>
          <t>JR</t>
        </is>
      </c>
      <c r="D3843" s="3" t="n">
        <v>17</v>
      </c>
      <c r="E3843" s="3" t="n">
        <v>15</v>
      </c>
      <c r="F3843" s="3" t="n">
        <v>22.32</v>
      </c>
      <c r="G3843" s="3" t="n">
        <v>0</v>
      </c>
      <c r="H3843" s="3" t="n">
        <v>0</v>
      </c>
      <c r="I3843" s="3">
        <f>E3843+G3843+H3843</f>
        <v/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/>
      </c>
      <c r="K3843" s="3">
        <f>I3843-J3843</f>
        <v/>
      </c>
      <c r="L3843" s="3">
        <f>IF(K3843&lt;-5,"CRÍTICO",IF(K3843&lt;0,"ATENÇÃO",IF(K3843&lt;=5,"OPORTUNO","MUITO BOM")))</f>
        <v/>
      </c>
      <c r="M3843" s="3" t="n">
        <v>12</v>
      </c>
      <c r="N3843" s="3" t="n">
        <v>96.15000000000001</v>
      </c>
      <c r="O3843" s="12" t="n">
        <v>24.04580152671756</v>
      </c>
    </row>
    <row r="3844">
      <c r="A3844" s="10" t="n">
        <v>46121</v>
      </c>
      <c r="B3844" t="inlineStr">
        <is>
          <t>Patrícia Karla de Sousa Araújo</t>
        </is>
      </c>
      <c r="C3844" s="1" t="inlineStr">
        <is>
          <t>Técnico II</t>
        </is>
      </c>
      <c r="D3844" s="3" t="n">
        <v>25</v>
      </c>
      <c r="E3844" s="3" t="n">
        <v>25</v>
      </c>
      <c r="F3844" s="3" t="n">
        <v>19.15</v>
      </c>
      <c r="G3844" s="3" t="n">
        <v>0</v>
      </c>
      <c r="H3844" s="3" t="n">
        <v>0</v>
      </c>
      <c r="I3844" s="3">
        <f>E3844+G3844+H3844</f>
        <v/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/>
      </c>
      <c r="K3844" s="3">
        <f>I3844-J3844</f>
        <v/>
      </c>
      <c r="L3844" s="3">
        <f>IF(K3844&lt;-5,"CRÍTICO",IF(K3844&lt;0,"ATENÇÃO",IF(K3844&lt;=5,"OPORTUNO","MUITO BOM")))</f>
        <v/>
      </c>
      <c r="M3844" s="3" t="n">
        <v>22</v>
      </c>
      <c r="N3844" s="3" t="n">
        <v>99.02</v>
      </c>
      <c r="O3844" s="12" t="n">
        <v>34.7972972972973</v>
      </c>
    </row>
    <row r="3845">
      <c r="A3845" s="10" t="n">
        <v>46121</v>
      </c>
      <c r="B3845" t="inlineStr">
        <is>
          <t>Paulo Ricardo Santos</t>
        </is>
      </c>
      <c r="C3845" s="1" t="inlineStr">
        <is>
          <t>JR</t>
        </is>
      </c>
      <c r="D3845" s="3" t="n">
        <v>19</v>
      </c>
      <c r="E3845" s="3" t="n">
        <v>18</v>
      </c>
      <c r="F3845" s="3" t="n">
        <v>18.41</v>
      </c>
      <c r="G3845" s="3" t="n">
        <v>0</v>
      </c>
      <c r="H3845" s="3" t="n">
        <v>0</v>
      </c>
      <c r="I3845" s="3">
        <f>E3845+G3845+H3845</f>
        <v/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/>
      </c>
      <c r="K3845" s="3">
        <f>I3845-J3845</f>
        <v/>
      </c>
      <c r="L3845" s="3">
        <f>IF(K3845&lt;-5,"CRÍTICO",IF(K3845&lt;0,"ATENÇÃO",IF(K3845&lt;=5,"OPORTUNO","MUITO BOM")))</f>
        <v/>
      </c>
      <c r="M3845" s="3" t="n">
        <v>12</v>
      </c>
      <c r="N3845" s="3" t="n">
        <v>98.84</v>
      </c>
      <c r="O3845" s="12" t="n">
        <v>31.86813186813187</v>
      </c>
    </row>
    <row r="3846">
      <c r="A3846" s="10" t="n">
        <v>46121</v>
      </c>
      <c r="B3846" t="inlineStr">
        <is>
          <t>Pedro Luiz Mota Sousa</t>
        </is>
      </c>
      <c r="C3846" s="1" t="inlineStr">
        <is>
          <t>JR</t>
        </is>
      </c>
      <c r="D3846" s="3" t="n">
        <v>21</v>
      </c>
      <c r="E3846" s="3" t="n">
        <v>21</v>
      </c>
      <c r="F3846" s="3" t="n">
        <v>18.48</v>
      </c>
      <c r="G3846" s="3" t="n">
        <v>0</v>
      </c>
      <c r="H3846" s="3" t="n">
        <v>0</v>
      </c>
      <c r="I3846" s="3">
        <f>E3846+G3846+H3846</f>
        <v/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/>
      </c>
      <c r="K3846" s="3">
        <f>I3846-J3846</f>
        <v/>
      </c>
      <c r="L3846" s="3">
        <f>IF(K3846&lt;-5,"CRÍTICO",IF(K3846&lt;0,"ATENÇÃO",IF(K3846&lt;=5,"OPORTUNO","MUITO BOM")))</f>
        <v/>
      </c>
      <c r="M3846" s="3" t="n">
        <v>18</v>
      </c>
      <c r="N3846" s="3" t="n">
        <v>100</v>
      </c>
      <c r="O3846" s="12" t="n">
        <v>34.66666666666667</v>
      </c>
    </row>
    <row r="3847">
      <c r="A3847" s="7" t="n">
        <v>46161</v>
      </c>
      <c r="B3847" s="8" t="inlineStr">
        <is>
          <t>Lizandra Gomes Duarte</t>
        </is>
      </c>
      <c r="C3847" s="1" t="inlineStr">
        <is>
          <t>Técnico II</t>
        </is>
      </c>
      <c r="D3847" s="3" t="n">
        <v>28</v>
      </c>
      <c r="E3847" s="3" t="n">
        <v>25</v>
      </c>
      <c r="F3847" s="3" t="n">
        <v>19.03</v>
      </c>
      <c r="G3847" s="3" t="n">
        <v>3</v>
      </c>
      <c r="H3847" s="3" t="n">
        <v>0</v>
      </c>
      <c r="I3847" s="3" t="n">
        <v>28</v>
      </c>
      <c r="J3847" s="3" t="n">
        <v>23</v>
      </c>
      <c r="K3847" s="3" t="n">
        <v>5</v>
      </c>
      <c r="L3847" s="3" t="inlineStr">
        <is>
          <t>BOM</t>
        </is>
      </c>
      <c r="M3847" s="3" t="n">
        <v>45</v>
      </c>
      <c r="N3847" s="3" t="n">
        <v>99</v>
      </c>
      <c r="O3847" s="12" t="n">
        <v>22.01086956521739</v>
      </c>
    </row>
    <row r="3848">
      <c r="A3848" s="10" t="n">
        <v>46121</v>
      </c>
      <c r="B3848" t="inlineStr">
        <is>
          <t>Raane Batista Matos</t>
        </is>
      </c>
      <c r="C3848" s="1" t="inlineStr">
        <is>
          <t>Técnico I</t>
        </is>
      </c>
      <c r="D3848" s="3" t="n">
        <v>33</v>
      </c>
      <c r="E3848" s="3" t="n">
        <v>31</v>
      </c>
      <c r="F3848" s="3" t="n">
        <v>12.37</v>
      </c>
      <c r="G3848" s="3" t="n">
        <v>0</v>
      </c>
      <c r="H3848" s="3" t="n">
        <v>0</v>
      </c>
      <c r="I3848" s="3">
        <f>E3848+G3848+H3848</f>
        <v/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/>
      </c>
      <c r="K3848" s="3">
        <f>I3848-J3848</f>
        <v/>
      </c>
      <c r="L3848" s="3">
        <f>IF(K3848&lt;-5,"CRÍTICO",IF(K3848&lt;0,"ATENÇÃO",IF(K3848&lt;=5,"OPORTUNO","MUITO BOM")))</f>
        <v/>
      </c>
      <c r="M3848" s="3" t="n">
        <v>24</v>
      </c>
      <c r="N3848" s="3" t="n">
        <v>98.31999999999999</v>
      </c>
      <c r="O3848" s="12" t="n">
        <v>26.85851318944844</v>
      </c>
    </row>
    <row r="3849">
      <c r="A3849" s="10" t="n">
        <v>46121</v>
      </c>
      <c r="B3849" t="inlineStr">
        <is>
          <t>Rafael Gomes de Morais</t>
        </is>
      </c>
      <c r="C3849" s="1" t="inlineStr">
        <is>
          <t>Técnico III</t>
        </is>
      </c>
      <c r="D3849" s="3" t="n">
        <v>35</v>
      </c>
      <c r="E3849" s="3" t="n">
        <v>30</v>
      </c>
      <c r="F3849" s="3" t="n">
        <v>12.16</v>
      </c>
      <c r="G3849" s="3" t="n">
        <v>0</v>
      </c>
      <c r="H3849" s="3" t="n">
        <v>0</v>
      </c>
      <c r="I3849" s="3">
        <f>E3849+G3849+H3849</f>
        <v/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/>
      </c>
      <c r="K3849" s="3">
        <f>I3849-J3849</f>
        <v/>
      </c>
      <c r="L3849" s="3">
        <f>IF(K3849&lt;-5,"CRÍTICO",IF(K3849&lt;0,"ATENÇÃO",IF(K3849&lt;=5,"OPORTUNO","MUITO BOM")))</f>
        <v/>
      </c>
      <c r="M3849" s="3" t="n">
        <v>30</v>
      </c>
      <c r="N3849" s="3" t="n">
        <v>100</v>
      </c>
      <c r="O3849" s="12" t="n">
        <v>31.13553113553114</v>
      </c>
    </row>
    <row r="3850">
      <c r="A3850" s="10" t="n">
        <v>46121</v>
      </c>
      <c r="B3850" t="inlineStr">
        <is>
          <t>Sara Maria Monteiro Lopes</t>
        </is>
      </c>
      <c r="C3850" s="1" t="inlineStr">
        <is>
          <t>Técnico I</t>
        </is>
      </c>
      <c r="D3850" s="3" t="n">
        <v>15</v>
      </c>
      <c r="E3850" s="3" t="n">
        <v>15</v>
      </c>
      <c r="F3850" s="3" t="n">
        <v>29.1</v>
      </c>
      <c r="G3850" s="3" t="n">
        <v>0</v>
      </c>
      <c r="H3850" s="3" t="n">
        <v>0</v>
      </c>
      <c r="I3850" s="3">
        <f>E3850+G3850+H3850</f>
        <v/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/>
      </c>
      <c r="K3850" s="3">
        <f>I3850-J3850</f>
        <v/>
      </c>
      <c r="L3850" s="3">
        <f>IF(K3850&lt;-5,"CRÍTICO",IF(K3850&lt;0,"ATENÇÃO",IF(K3850&lt;=5,"OPORTUNO","MUITO BOM")))</f>
        <v/>
      </c>
      <c r="M3850" s="3" t="n">
        <v>17</v>
      </c>
      <c r="N3850" s="3" t="n">
        <v>100</v>
      </c>
      <c r="O3850" s="12" t="n">
        <v>26.36986301369863</v>
      </c>
    </row>
    <row r="3851">
      <c r="A3851" s="10" t="n">
        <v>46121</v>
      </c>
      <c r="B3851" t="inlineStr">
        <is>
          <t>Sarah Steffanie de Lima Borges</t>
        </is>
      </c>
      <c r="C3851" s="1" t="inlineStr">
        <is>
          <t>Técnico III</t>
        </is>
      </c>
      <c r="D3851" s="3" t="n">
        <v>31</v>
      </c>
      <c r="E3851" s="3" t="n">
        <v>30</v>
      </c>
      <c r="F3851" s="3" t="n">
        <v>18.28</v>
      </c>
      <c r="G3851" s="3" t="n">
        <v>0</v>
      </c>
      <c r="H3851" s="3" t="n">
        <v>0</v>
      </c>
      <c r="I3851" s="3">
        <f>E3851+G3851+H3851</f>
        <v/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/>
      </c>
      <c r="K3851" s="3">
        <f>I3851-J3851</f>
        <v/>
      </c>
      <c r="L3851" s="3">
        <f>IF(K3851&lt;-5,"CRÍTICO",IF(K3851&lt;0,"ATENÇÃO",IF(K3851&lt;=5,"OPORTUNO","MUITO BOM")))</f>
        <v/>
      </c>
      <c r="M3851" s="3" t="n">
        <v>23</v>
      </c>
      <c r="N3851" s="3" t="n">
        <v>99.20999999999999</v>
      </c>
      <c r="O3851" s="12" t="n">
        <v>25.18891687657431</v>
      </c>
    </row>
    <row r="3852">
      <c r="A3852" s="10" t="n">
        <v>46122</v>
      </c>
      <c r="B3852" t="inlineStr">
        <is>
          <t>Alisson de Freitas Silva</t>
        </is>
      </c>
      <c r="C3852" s="1" t="inlineStr">
        <is>
          <t>Técnico II</t>
        </is>
      </c>
      <c r="D3852" s="3" t="n">
        <v>12</v>
      </c>
      <c r="E3852" s="3" t="n">
        <v>8</v>
      </c>
      <c r="F3852" s="3" t="n">
        <v>15.43</v>
      </c>
      <c r="G3852" s="3" t="n">
        <v>0</v>
      </c>
      <c r="H3852" s="3" t="n">
        <v>0</v>
      </c>
      <c r="I3852" s="3">
        <f>E3852+G3852+H3852</f>
        <v/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/>
      </c>
      <c r="K3852" s="3">
        <f>I3852-J3852</f>
        <v/>
      </c>
      <c r="L3852" s="3">
        <f>IF(K3852&lt;-5,"CRÍTICO",IF(K3852&lt;0,"ATENÇÃO",IF(K3852&lt;=5,"OPORTUNO","MUITO BOM")))</f>
        <v/>
      </c>
      <c r="M3852" s="3" t="n">
        <v>10</v>
      </c>
      <c r="N3852" s="3" t="n">
        <v>100</v>
      </c>
      <c r="O3852" s="12" t="n">
        <v>32.76450511945392</v>
      </c>
    </row>
    <row r="3853">
      <c r="A3853" s="10" t="n">
        <v>46122</v>
      </c>
      <c r="B3853" t="inlineStr">
        <is>
          <t>Amanda Moura Ferreira</t>
        </is>
      </c>
      <c r="C3853" s="1" t="inlineStr">
        <is>
          <t>Técnico III</t>
        </is>
      </c>
      <c r="D3853" s="3" t="n">
        <v>0</v>
      </c>
      <c r="E3853" s="3" t="n">
        <v>0</v>
      </c>
      <c r="F3853" s="3" t="n">
        <v>0</v>
      </c>
      <c r="G3853" s="3" t="n">
        <v>0</v>
      </c>
      <c r="H3853" s="3" t="n">
        <v>0</v>
      </c>
      <c r="I3853" s="3" t="n">
        <v>0</v>
      </c>
      <c r="J3853" s="3" t="n">
        <v>0</v>
      </c>
      <c r="K3853" s="3" t="n">
        <v>0</v>
      </c>
      <c r="L3853" s="3">
        <f>IF(K3853&lt;-5,"CRÍTICO",IF(K3853&lt;0,"ATENÇÃO",IF(K3853&lt;=5,"OPORTUNO","MUITO BOM")))</f>
        <v/>
      </c>
      <c r="M3853" s="3" t="n">
        <v>14</v>
      </c>
      <c r="N3853" s="3" t="n">
        <v>98.66</v>
      </c>
      <c r="O3853" s="12" t="n">
        <v>35.41666666666667</v>
      </c>
    </row>
    <row r="3854">
      <c r="A3854" s="10" t="n">
        <v>46122</v>
      </c>
      <c r="B3854" t="inlineStr">
        <is>
          <t>Ana Karollyne Souza Faria</t>
        </is>
      </c>
      <c r="C3854" s="1" t="inlineStr">
        <is>
          <t>Técnico I</t>
        </is>
      </c>
      <c r="D3854" s="3" t="n">
        <v>34</v>
      </c>
      <c r="E3854" s="3" t="n">
        <v>34</v>
      </c>
      <c r="F3854" s="3" t="n">
        <v>18.24</v>
      </c>
      <c r="G3854" s="3" t="n">
        <v>0</v>
      </c>
      <c r="H3854" s="3" t="n">
        <v>0</v>
      </c>
      <c r="I3854" s="3">
        <f>E3854+G3854+H3854</f>
        <v/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/>
      </c>
      <c r="K3854" s="3">
        <f>I3854-J3854</f>
        <v/>
      </c>
      <c r="L3854" s="3">
        <f>IF(K3854&lt;-5,"CRÍTICO",IF(K3854&lt;0,"ATENÇÃO",IF(K3854&lt;=5,"OPORTUNO","MUITO BOM")))</f>
        <v/>
      </c>
      <c r="M3854" s="3" t="n">
        <v>32</v>
      </c>
      <c r="N3854" s="3" t="n">
        <v>99.31999999999999</v>
      </c>
      <c r="O3854" s="12" t="n">
        <v>30.6483300589391</v>
      </c>
    </row>
    <row r="3855">
      <c r="A3855" s="10" t="n">
        <v>46122</v>
      </c>
      <c r="B3855" t="inlineStr">
        <is>
          <t>Ana Paula Da Luz Silva Aleixo</t>
        </is>
      </c>
      <c r="C3855" s="1" t="inlineStr">
        <is>
          <t>Técnico III</t>
        </is>
      </c>
      <c r="D3855" s="3" t="n">
        <v>35</v>
      </c>
      <c r="E3855" s="3" t="n">
        <v>31</v>
      </c>
      <c r="F3855" s="3" t="n">
        <v>14.08</v>
      </c>
      <c r="G3855" s="3" t="n">
        <v>0</v>
      </c>
      <c r="H3855" s="3" t="n">
        <v>0</v>
      </c>
      <c r="I3855" s="3">
        <f>E3855+G3855+H3855</f>
        <v/>
      </c>
      <c r="J3855" s="3">
        <f>ROUND(MIN(IF(C3855="Técnico III",35,IF(C3855="Técnico II",28,IF(C3855="Técnico I",23,IF(C3855="JR",20,IF(C3855="Estágio",10,0))))),IF(C3855="Técnico III",SUMIFS($D:$D,$A:$A,$A3855,$B:$B,"&lt;&gt;Patrícia Karla de Sousa Araújo",$B:$B,"&lt;&gt;Lorena Dias de Araujo",$B:$B,"&lt;&gt;Lucas Luiz Romero")*(35/1083),IF(C3855="Técnico II",SUMIFS($D:$D,$A:$A,$A3855,$B:$B,"&lt;&gt;Patrícia Karla de Sousa Araújo",$B:$B,"&lt;&gt;Lorena Dias de Araujo",$B:$B,"&lt;&gt;Lucas Luiz Romero")*(28/1083),IF(C3855="Técnico I",SUMIFS($D:$D,$A:$A,$A3855,$B:$B,"&lt;&gt;Patrícia Karla de Sousa Araújo",$B:$B,"&lt;&gt;Lorena Dias de Araujo",$B:$B,"&lt;&gt;Lucas Luiz Romero")*(23/1083),IF(C3855="JR",SUMIFS($D:$D,$A:$A,$A3855,$B:$B,"&lt;&gt;Patrícia Karla de Sousa Araújo",$B:$B,"&lt;&gt;Lorena Dias de Araujo",$B:$B,"&lt;&gt;Lucas Luiz Romero")*(20/1083),IF(C3855="Estágio",SUMIFS($D:$D,$A:$A,$A3855,$B:$B,"&lt;&gt;Patrícia Karla de Sousa Araújo",$B:$B,"&lt;&gt;Lorena Dias de Araujo",$B:$B,"&lt;&gt;Lucas Luiz Romero")*(10/1083),0)))))),0)</f>
        <v/>
      </c>
      <c r="K3855" s="3">
        <f>I3855-J3855</f>
        <v/>
      </c>
      <c r="L3855" s="3">
        <f>IF(K3855&lt;-5,"CRÍTICO",IF(K3855&lt;0,"ATENÇÃO",IF(K3855&lt;=5,"OPORTUNO","MUITO BOM")))</f>
        <v/>
      </c>
      <c r="M3855" s="3" t="n">
        <v>30</v>
      </c>
      <c r="N3855" s="3" t="n">
        <v>100</v>
      </c>
      <c r="O3855" s="12" t="n">
        <v>27.80373831775701</v>
      </c>
    </row>
    <row r="3856">
      <c r="A3856" s="10" t="n">
        <v>46122</v>
      </c>
      <c r="B3856" t="inlineStr">
        <is>
          <t>Anna Luiza Rezende Tavares</t>
        </is>
      </c>
      <c r="C3856" s="1" t="inlineStr">
        <is>
          <t>Estágio</t>
        </is>
      </c>
      <c r="D3856" s="3" t="n">
        <v>14</v>
      </c>
      <c r="E3856" s="3" t="n">
        <v>14</v>
      </c>
      <c r="F3856" s="3" t="n">
        <v>18.22</v>
      </c>
      <c r="G3856" s="3" t="n">
        <v>0</v>
      </c>
      <c r="H3856" s="3" t="n">
        <v>0</v>
      </c>
      <c r="I3856" s="3">
        <f>E3856+G3856+H3856</f>
        <v/>
      </c>
      <c r="J3856" s="3">
        <f>ROUND(MIN(IF(C3856="Técnico III",35,IF(C3856="Técnico II",28,IF(C3856="Técnico I",23,IF(C3856="JR",20,IF(C3856="Estágio",10,0))))),IF(C3856="Técnico III",SUMIFS($D:$D,$A:$A,$A3856,$B:$B,"&lt;&gt;Patrícia Karla de Sousa Araújo",$B:$B,"&lt;&gt;Lorena Dias de Araujo",$B:$B,"&lt;&gt;Lucas Luiz Romero")*(35/1083),IF(C3856="Técnico II",SUMIFS($D:$D,$A:$A,$A3856,$B:$B,"&lt;&gt;Patrícia Karla de Sousa Araújo",$B:$B,"&lt;&gt;Lorena Dias de Araujo",$B:$B,"&lt;&gt;Lucas Luiz Romero")*(28/1083),IF(C3856="Técnico I",SUMIFS($D:$D,$A:$A,$A3856,$B:$B,"&lt;&gt;Patrícia Karla de Sousa Araújo",$B:$B,"&lt;&gt;Lorena Dias de Araujo",$B:$B,"&lt;&gt;Lucas Luiz Romero")*(23/1083),IF(C3856="JR",SUMIFS($D:$D,$A:$A,$A3856,$B:$B,"&lt;&gt;Patrícia Karla de Sousa Araújo",$B:$B,"&lt;&gt;Lorena Dias de Araujo",$B:$B,"&lt;&gt;Lucas Luiz Romero")*(20/1083),IF(C3856="Estágio",SUMIFS($D:$D,$A:$A,$A3856,$B:$B,"&lt;&gt;Patrícia Karla de Sousa Araújo",$B:$B,"&lt;&gt;Lorena Dias de Araujo",$B:$B,"&lt;&gt;Lucas Luiz Romero")*(10/1083),0)))))),0)</f>
        <v/>
      </c>
      <c r="K3856" s="3">
        <f>I3856-J3856</f>
        <v/>
      </c>
      <c r="L3856" s="3">
        <f>IF(K3856&lt;-5,"CRÍTICO",IF(K3856&lt;0,"ATENÇÃO",IF(K3856&lt;=5,"OPORTUNO","MUITO BOM")))</f>
        <v/>
      </c>
      <c r="M3856" s="3" t="n">
        <v>12</v>
      </c>
      <c r="N3856" s="3" t="n">
        <v>96.73999999999999</v>
      </c>
      <c r="O3856" s="12" t="n">
        <v>28.67647058823529</v>
      </c>
    </row>
    <row r="3857">
      <c r="A3857" s="10" t="n">
        <v>46122</v>
      </c>
      <c r="B3857" t="inlineStr">
        <is>
          <t>Brenda de Menezes Silva</t>
        </is>
      </c>
      <c r="C3857" s="1" t="inlineStr">
        <is>
          <t>Técnico II</t>
        </is>
      </c>
      <c r="D3857" s="3" t="n">
        <v>33</v>
      </c>
      <c r="E3857" s="3" t="n">
        <v>32</v>
      </c>
      <c r="F3857" s="3" t="n">
        <v>15.01</v>
      </c>
      <c r="G3857" s="3" t="n">
        <v>0</v>
      </c>
      <c r="H3857" s="3" t="n">
        <v>0</v>
      </c>
      <c r="I3857" s="3">
        <f>E3857+G3857+H3857</f>
        <v/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/>
      </c>
      <c r="K3857" s="3">
        <f>I3857-J3857</f>
        <v/>
      </c>
      <c r="L3857" s="3">
        <f>IF(K3857&lt;-5,"CRÍTICO",IF(K3857&lt;0,"ATENÇÃO",IF(K3857&lt;=5,"OPORTUNO","MUITO BOM")))</f>
        <v/>
      </c>
      <c r="M3857" s="3" t="n">
        <v>30</v>
      </c>
      <c r="N3857" s="3" t="n">
        <v>98.81999999999999</v>
      </c>
      <c r="O3857" s="12" t="n">
        <v>30.74141048824593</v>
      </c>
    </row>
    <row r="3858">
      <c r="A3858" s="10" t="n">
        <v>46122</v>
      </c>
      <c r="B3858" t="inlineStr">
        <is>
          <t>Carlos Mateus Cassimiro Nunes</t>
        </is>
      </c>
      <c r="C3858" s="1" t="inlineStr">
        <is>
          <t>Técnico II</t>
        </is>
      </c>
      <c r="D3858" s="3" t="n">
        <v>22</v>
      </c>
      <c r="E3858" s="3" t="n">
        <v>21</v>
      </c>
      <c r="F3858" s="3" t="n">
        <v>22.23</v>
      </c>
      <c r="G3858" s="3" t="n">
        <v>0</v>
      </c>
      <c r="H3858" s="3" t="n">
        <v>0</v>
      </c>
      <c r="I3858" s="3">
        <f>E3858+G3858+H3858</f>
        <v/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/>
      </c>
      <c r="K3858" s="3">
        <f>I3858-J3858</f>
        <v/>
      </c>
      <c r="L3858" s="3">
        <f>IF(K3858&lt;-5,"CRÍTICO",IF(K3858&lt;0,"ATENÇÃO",IF(K3858&lt;=5,"OPORTUNO","MUITO BOM")))</f>
        <v/>
      </c>
      <c r="M3858" s="3" t="n">
        <v>18</v>
      </c>
      <c r="N3858" s="3" t="n">
        <v>98.2</v>
      </c>
      <c r="O3858" s="12" t="n">
        <v>27.17086834733893</v>
      </c>
    </row>
    <row r="3859">
      <c r="A3859" s="10" t="n">
        <v>46122</v>
      </c>
      <c r="B3859" t="inlineStr">
        <is>
          <t>Claudio de Sousa Velasco Filho</t>
        </is>
      </c>
      <c r="C3859" s="1" t="inlineStr">
        <is>
          <t>Estágio</t>
        </is>
      </c>
      <c r="D3859" s="3" t="n">
        <v>6</v>
      </c>
      <c r="E3859" s="3" t="n">
        <v>6</v>
      </c>
      <c r="F3859" s="3" t="n">
        <v>23.44</v>
      </c>
      <c r="G3859" s="3" t="n">
        <v>0</v>
      </c>
      <c r="H3859" s="3" t="n">
        <v>0</v>
      </c>
      <c r="I3859" s="3">
        <f>E3859+G3859+H3859</f>
        <v/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/>
      </c>
      <c r="K3859" s="3">
        <f>I3859-J3859</f>
        <v/>
      </c>
      <c r="L3859" s="3">
        <f>IF(K3859&lt;-5,"CRÍTICO",IF(K3859&lt;0,"ATENÇÃO",IF(K3859&lt;=5,"OPORTUNO","MUITO BOM")))</f>
        <v/>
      </c>
      <c r="M3859" s="3" t="n">
        <v>5</v>
      </c>
      <c r="N3859" s="3" t="n">
        <v>100</v>
      </c>
      <c r="O3859" s="12" t="n">
        <v>23.13432835820895</v>
      </c>
    </row>
    <row r="3860">
      <c r="A3860" s="10" t="n">
        <v>46122</v>
      </c>
      <c r="B3860" t="inlineStr">
        <is>
          <t>Clessiane Pereira dos Santos</t>
        </is>
      </c>
      <c r="C3860" s="1" t="inlineStr">
        <is>
          <t>Técnico I</t>
        </is>
      </c>
      <c r="D3860" s="3" t="n">
        <v>30</v>
      </c>
      <c r="E3860" s="3" t="n">
        <v>30</v>
      </c>
      <c r="F3860" s="3" t="n">
        <v>22.19</v>
      </c>
      <c r="G3860" s="3" t="n">
        <v>0</v>
      </c>
      <c r="H3860" s="3" t="n">
        <v>0</v>
      </c>
      <c r="I3860" s="3">
        <f>E3860+G3860+H3860</f>
        <v/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/>
      </c>
      <c r="K3860" s="3">
        <f>I3860-J3860</f>
        <v/>
      </c>
      <c r="L3860" s="3">
        <f>IF(K3860&lt;-5,"CRÍTICO",IF(K3860&lt;0,"ATENÇÃO",IF(K3860&lt;=5,"OPORTUNO","MUITO BOM")))</f>
        <v/>
      </c>
      <c r="M3860" s="3" t="n">
        <v>29</v>
      </c>
      <c r="N3860" s="3" t="n">
        <v>96.3</v>
      </c>
      <c r="O3860" s="12" t="n">
        <v>32.21957040572792</v>
      </c>
    </row>
    <row r="3861">
      <c r="A3861" s="10" t="n">
        <v>46122</v>
      </c>
      <c r="B3861" t="inlineStr">
        <is>
          <t>Cristiane Ramos da Silva Rocha</t>
        </is>
      </c>
      <c r="C3861" s="1" t="inlineStr">
        <is>
          <t>Técnico III</t>
        </is>
      </c>
      <c r="D3861" s="3" t="n">
        <v>23</v>
      </c>
      <c r="E3861" s="3" t="n">
        <v>21</v>
      </c>
      <c r="F3861" s="3" t="n">
        <v>13.32</v>
      </c>
      <c r="G3861" s="3" t="n">
        <v>0</v>
      </c>
      <c r="H3861" s="3" t="n">
        <v>0</v>
      </c>
      <c r="I3861" s="3">
        <f>E3861+G3861+H3861</f>
        <v/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/>
      </c>
      <c r="K3861" s="3">
        <f>I3861-J3861</f>
        <v/>
      </c>
      <c r="L3861" s="3">
        <f>IF(K3861&lt;-5,"CRÍTICO",IF(K3861&lt;0,"ATENÇÃO",IF(K3861&lt;=5,"OPORTUNO","MUITO BOM")))</f>
        <v/>
      </c>
      <c r="M3861" s="3" t="n">
        <v>20</v>
      </c>
      <c r="N3861" s="3" t="n">
        <v>93.75</v>
      </c>
      <c r="O3861" s="12" t="n">
        <v>26.81992337164751</v>
      </c>
    </row>
    <row r="3862">
      <c r="A3862" s="10" t="n">
        <v>46122</v>
      </c>
      <c r="B3862" t="inlineStr">
        <is>
          <t>Damyllis Lorraine de Oliveira Gonçalves</t>
        </is>
      </c>
      <c r="C3862" s="1" t="inlineStr">
        <is>
          <t>Técnico II</t>
        </is>
      </c>
      <c r="D3862" s="3" t="n">
        <v>31</v>
      </c>
      <c r="E3862" s="3" t="n">
        <v>27</v>
      </c>
      <c r="F3862" s="3" t="n">
        <v>16.5</v>
      </c>
      <c r="G3862" s="3" t="n">
        <v>0</v>
      </c>
      <c r="H3862" s="3" t="n">
        <v>0</v>
      </c>
      <c r="I3862" s="3" t="n">
        <v>0</v>
      </c>
      <c r="J3862" s="3" t="n">
        <v>0</v>
      </c>
      <c r="K3862" s="3" t="n">
        <v>0</v>
      </c>
      <c r="L3862" s="3">
        <f>IF(K3862&lt;-5,"CRÍTICO",IF(K3862&lt;0,"ATENÇÃO",IF(K3862&lt;=5,"OPORTUNO","MUITO BOM")))</f>
        <v/>
      </c>
      <c r="M3862" s="3" t="n">
        <v>28</v>
      </c>
      <c r="N3862" s="3" t="n">
        <v>97.86</v>
      </c>
      <c r="O3862" s="12" t="n">
        <v>31.01851851851852</v>
      </c>
    </row>
    <row r="3863">
      <c r="A3863" s="10" t="n">
        <v>46122</v>
      </c>
      <c r="B3863" t="inlineStr">
        <is>
          <t>Daniel Gomes da Silva</t>
        </is>
      </c>
      <c r="C3863" s="1" t="inlineStr">
        <is>
          <t>Técnico I</t>
        </is>
      </c>
      <c r="D3863" s="3" t="n">
        <v>18</v>
      </c>
      <c r="E3863" s="3" t="n">
        <v>18</v>
      </c>
      <c r="F3863" s="3" t="n">
        <v>17.09</v>
      </c>
      <c r="G3863" s="3" t="n">
        <v>0</v>
      </c>
      <c r="H3863" s="3" t="n">
        <v>0</v>
      </c>
      <c r="I3863" s="3">
        <f>E3863+G3863+H3863</f>
        <v/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/>
      </c>
      <c r="K3863" s="3">
        <f>I3863-J3863</f>
        <v/>
      </c>
      <c r="L3863" s="3">
        <f>IF(K3863&lt;-5,"CRÍTICO",IF(K3863&lt;0,"ATENÇÃO",IF(K3863&lt;=5,"OPORTUNO","MUITO BOM")))</f>
        <v/>
      </c>
      <c r="M3863" s="3" t="n">
        <v>13</v>
      </c>
      <c r="N3863" s="3" t="n">
        <v>100</v>
      </c>
      <c r="O3863" s="12" t="n">
        <v>36.59420289855073</v>
      </c>
    </row>
    <row r="3864">
      <c r="A3864" s="10" t="n">
        <v>46122</v>
      </c>
      <c r="B3864" t="inlineStr">
        <is>
          <t>Davylla Rodrigues Freitas Silva</t>
        </is>
      </c>
      <c r="C3864" s="1" t="inlineStr">
        <is>
          <t>Técnico III</t>
        </is>
      </c>
      <c r="D3864" s="3" t="n">
        <v>26</v>
      </c>
      <c r="E3864" s="3" t="n">
        <v>26</v>
      </c>
      <c r="F3864" s="3" t="n">
        <v>21.59</v>
      </c>
      <c r="G3864" s="3" t="n">
        <v>0</v>
      </c>
      <c r="H3864" s="3" t="n">
        <v>0</v>
      </c>
      <c r="I3864" s="3" t="n">
        <v>0</v>
      </c>
      <c r="J3864" s="3" t="n">
        <v>0</v>
      </c>
      <c r="K3864" s="3" t="n">
        <v>0</v>
      </c>
      <c r="L3864" s="3">
        <f>IF(K3864&lt;-5,"CRÍTICO",IF(K3864&lt;0,"ATENÇÃO",IF(K3864&lt;=5,"OPORTUNO","MUITO BOM")))</f>
        <v/>
      </c>
      <c r="M3864" s="3" t="n">
        <v>27</v>
      </c>
      <c r="N3864" s="3" t="n">
        <v>100</v>
      </c>
      <c r="O3864" s="12" t="n">
        <v>38.65384615384615</v>
      </c>
    </row>
    <row r="3865">
      <c r="A3865" s="10" t="n">
        <v>46122</v>
      </c>
      <c r="B3865" t="inlineStr">
        <is>
          <t>Emilly Caylane Costa</t>
        </is>
      </c>
      <c r="C3865" s="1" t="inlineStr">
        <is>
          <t>Estágio</t>
        </is>
      </c>
      <c r="D3865" s="3" t="n">
        <v>4</v>
      </c>
      <c r="E3865" s="3" t="n">
        <v>4</v>
      </c>
      <c r="F3865" s="3" t="n">
        <v>60.55</v>
      </c>
      <c r="G3865" s="3" t="n">
        <v>0</v>
      </c>
      <c r="H3865" s="3" t="n">
        <v>0</v>
      </c>
      <c r="I3865" s="3">
        <f>E3865+G3865+H3865</f>
        <v/>
      </c>
      <c r="J3865" s="3">
        <f>ROUND(MIN(IF(C3865="Técnico III",35,IF(C3865="Técnico II",28,IF(C3865="Técnico I",23,IF(C3865="JR",20,IF(C3865="Estágio",10,0))))),IF(C3865="Técnico III",SUMIFS($D:$D,$A:$A,$A3865,$B:$B,"&lt;&gt;Patrícia Karla de Sousa Araújo",$B:$B,"&lt;&gt;Lorena Dias de Araujo",$B:$B,"&lt;&gt;Lucas Luiz Romero")*(35/1083),IF(C3865="Técnico II",SUMIFS($D:$D,$A:$A,$A3865,$B:$B,"&lt;&gt;Patrícia Karla de Sousa Araújo",$B:$B,"&lt;&gt;Lorena Dias de Araujo",$B:$B,"&lt;&gt;Lucas Luiz Romero")*(28/1083),IF(C3865="Técnico I",SUMIFS($D:$D,$A:$A,$A3865,$B:$B,"&lt;&gt;Patrícia Karla de Sousa Araújo",$B:$B,"&lt;&gt;Lorena Dias de Araujo",$B:$B,"&lt;&gt;Lucas Luiz Romero")*(23/1083),IF(C3865="JR",SUMIFS($D:$D,$A:$A,$A3865,$B:$B,"&lt;&gt;Patrícia Karla de Sousa Araújo",$B:$B,"&lt;&gt;Lorena Dias de Araujo",$B:$B,"&lt;&gt;Lucas Luiz Romero")*(20/1083),IF(C3865="Estágio",SUMIFS($D:$D,$A:$A,$A3865,$B:$B,"&lt;&gt;Patrícia Karla de Sousa Araújo",$B:$B,"&lt;&gt;Lorena Dias de Araujo",$B:$B,"&lt;&gt;Lucas Luiz Romero")*(10/1083),0)))))),0)</f>
        <v/>
      </c>
      <c r="K3865" s="3">
        <f>I3865-J3865</f>
        <v/>
      </c>
      <c r="L3865" s="3">
        <f>IF(K3865&lt;-5,"CRÍTICO",IF(K3865&lt;0,"ATENÇÃO",IF(K3865&lt;=5,"OPORTUNO","MUITO BOM")))</f>
        <v/>
      </c>
      <c r="M3865" s="3" t="n">
        <v>3</v>
      </c>
      <c r="N3865" s="3" t="n">
        <v>100</v>
      </c>
      <c r="O3865" s="12" t="n">
        <v>27.36842105263158</v>
      </c>
    </row>
    <row r="3866">
      <c r="A3866" s="10" t="n">
        <v>46122</v>
      </c>
      <c r="B3866" t="inlineStr">
        <is>
          <t>Emilly Kamilly Medeiros Miranda</t>
        </is>
      </c>
      <c r="C3866" s="1" t="inlineStr">
        <is>
          <t>Técnico II</t>
        </is>
      </c>
      <c r="D3866" s="3" t="n">
        <v>24</v>
      </c>
      <c r="E3866" s="3" t="n">
        <v>23</v>
      </c>
      <c r="F3866" s="3" t="n">
        <v>20.32</v>
      </c>
      <c r="G3866" s="3" t="n">
        <v>0</v>
      </c>
      <c r="H3866" s="3" t="n">
        <v>0</v>
      </c>
      <c r="I3866" s="3">
        <f>E3866+G3866+H3866</f>
        <v/>
      </c>
      <c r="J3866" s="3">
        <f>ROUND(MIN(IF(C3866="Técnico III",35,IF(C3866="Técnico II",28,IF(C3866="Técnico I",23,IF(C3866="JR",20,IF(C3866="Estágio",10,0))))),IF(C3866="Técnico III",SUMIFS($D:$D,$A:$A,$A3866,$B:$B,"&lt;&gt;Patrícia Karla de Sousa Araújo",$B:$B,"&lt;&gt;Lorena Dias de Araujo",$B:$B,"&lt;&gt;Lucas Luiz Romero")*(35/1083),IF(C3866="Técnico II",SUMIFS($D:$D,$A:$A,$A3866,$B:$B,"&lt;&gt;Patrícia Karla de Sousa Araújo",$B:$B,"&lt;&gt;Lorena Dias de Araujo",$B:$B,"&lt;&gt;Lucas Luiz Romero")*(28/1083),IF(C3866="Técnico I",SUMIFS($D:$D,$A:$A,$A3866,$B:$B,"&lt;&gt;Patrícia Karla de Sousa Araújo",$B:$B,"&lt;&gt;Lorena Dias de Araujo",$B:$B,"&lt;&gt;Lucas Luiz Romero")*(23/1083),IF(C3866="JR",SUMIFS($D:$D,$A:$A,$A3866,$B:$B,"&lt;&gt;Patrícia Karla de Sousa Araújo",$B:$B,"&lt;&gt;Lorena Dias de Araujo",$B:$B,"&lt;&gt;Lucas Luiz Romero")*(20/1083),IF(C3866="Estágio",SUMIFS($D:$D,$A:$A,$A3866,$B:$B,"&lt;&gt;Patrícia Karla de Sousa Araújo",$B:$B,"&lt;&gt;Lorena Dias de Araujo",$B:$B,"&lt;&gt;Lucas Luiz Romero")*(10/1083),0)))))),0)</f>
        <v/>
      </c>
      <c r="K3866" s="3">
        <f>I3866-J3866</f>
        <v/>
      </c>
      <c r="L3866" s="3">
        <f>IF(K3866&lt;-5,"CRÍTICO",IF(K3866&lt;0,"ATENÇÃO",IF(K3866&lt;=5,"OPORTUNO","MUITO BOM")))</f>
        <v/>
      </c>
      <c r="M3866" s="3" t="n">
        <v>22</v>
      </c>
      <c r="N3866" s="3" t="n">
        <v>97.83</v>
      </c>
      <c r="O3866" s="12" t="n">
        <v>28.35164835164835</v>
      </c>
    </row>
    <row r="3867">
      <c r="A3867" s="10" t="n">
        <v>46122</v>
      </c>
      <c r="B3867" t="inlineStr">
        <is>
          <t>Francielson de Oliveira</t>
        </is>
      </c>
      <c r="C3867" s="1" t="inlineStr">
        <is>
          <t>Técnico III</t>
        </is>
      </c>
      <c r="D3867" s="3" t="n">
        <v>32</v>
      </c>
      <c r="E3867" s="3" t="n">
        <v>31</v>
      </c>
      <c r="F3867" s="3" t="n">
        <v>11.47</v>
      </c>
      <c r="G3867" s="3" t="n">
        <v>0</v>
      </c>
      <c r="H3867" s="3" t="n">
        <v>0</v>
      </c>
      <c r="I3867" s="3">
        <f>E3867+G3867+H3867</f>
        <v/>
      </c>
      <c r="J3867" s="3">
        <f>ROUND(MIN(IF(C3867="Técnico III",35,IF(C3867="Técnico II",28,IF(C3867="Técnico I",23,IF(C3867="JR",20,IF(C3867="Estágio",10,0))))),IF(C3867="Técnico III",SUMIFS($D:$D,$A:$A,$A3867,$B:$B,"&lt;&gt;Patrícia Karla de Sousa Araújo",$B:$B,"&lt;&gt;Lorena Dias de Araujo",$B:$B,"&lt;&gt;Lucas Luiz Romero")*(35/1083),IF(C3867="Técnico II",SUMIFS($D:$D,$A:$A,$A3867,$B:$B,"&lt;&gt;Patrícia Karla de Sousa Araújo",$B:$B,"&lt;&gt;Lorena Dias de Araujo",$B:$B,"&lt;&gt;Lucas Luiz Romero")*(28/1083),IF(C3867="Técnico I",SUMIFS($D:$D,$A:$A,$A3867,$B:$B,"&lt;&gt;Patrícia Karla de Sousa Araújo",$B:$B,"&lt;&gt;Lorena Dias de Araujo",$B:$B,"&lt;&gt;Lucas Luiz Romero")*(23/1083),IF(C3867="JR",SUMIFS($D:$D,$A:$A,$A3867,$B:$B,"&lt;&gt;Patrícia Karla de Sousa Araújo",$B:$B,"&lt;&gt;Lorena Dias de Araujo",$B:$B,"&lt;&gt;Lucas Luiz Romero")*(20/1083),IF(C3867="Estágio",SUMIFS($D:$D,$A:$A,$A3867,$B:$B,"&lt;&gt;Patrícia Karla de Sousa Araújo",$B:$B,"&lt;&gt;Lorena Dias de Araujo",$B:$B,"&lt;&gt;Lucas Luiz Romero")*(10/1083),0)))))),0)</f>
        <v/>
      </c>
      <c r="K3867" s="3">
        <f>I3867-J3867</f>
        <v/>
      </c>
      <c r="L3867" s="3">
        <f>IF(K3867&lt;-5,"CRÍTICO",IF(K3867&lt;0,"ATENÇÃO",IF(K3867&lt;=5,"OPORTUNO","MUITO BOM")))</f>
        <v/>
      </c>
      <c r="M3867" s="3" t="n">
        <v>32</v>
      </c>
      <c r="N3867" s="3" t="n">
        <v>99.26000000000001</v>
      </c>
      <c r="O3867" s="12" t="n">
        <v>29.76653696498055</v>
      </c>
    </row>
    <row r="3868">
      <c r="A3868" s="10" t="n">
        <v>46122</v>
      </c>
      <c r="B3868" t="inlineStr">
        <is>
          <t>Francilene Ferreira de Jesus</t>
        </is>
      </c>
      <c r="C3868" s="1" t="inlineStr">
        <is>
          <t>Técnico II</t>
        </is>
      </c>
      <c r="D3868" s="3" t="n">
        <v>21</v>
      </c>
      <c r="E3868" s="3" t="n">
        <v>21</v>
      </c>
      <c r="F3868" s="3" t="n">
        <v>28.27</v>
      </c>
      <c r="G3868" s="3" t="n">
        <v>0</v>
      </c>
      <c r="H3868" s="3" t="n">
        <v>0</v>
      </c>
      <c r="I3868" s="3">
        <f>E3868+G3868+H3868</f>
        <v/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/>
      </c>
      <c r="K3868" s="3">
        <f>I3868-J3868</f>
        <v/>
      </c>
      <c r="L3868" s="3">
        <f>IF(K3868&lt;-5,"CRÍTICO",IF(K3868&lt;0,"ATENÇÃO",IF(K3868&lt;=5,"OPORTUNO","MUITO BOM")))</f>
        <v/>
      </c>
      <c r="M3868" s="3" t="n">
        <v>14</v>
      </c>
      <c r="N3868" s="3" t="n">
        <v>99.19</v>
      </c>
      <c r="O3868" s="12" t="n">
        <v>29.46236559139785</v>
      </c>
    </row>
    <row r="3869">
      <c r="A3869" s="7" t="n">
        <v>46161</v>
      </c>
      <c r="B3869" s="8" t="inlineStr">
        <is>
          <t>Lorena Dias de Araujo</t>
        </is>
      </c>
      <c r="C3869" s="1" t="inlineStr">
        <is>
          <t>Técnico II</t>
        </is>
      </c>
      <c r="D3869" s="3" t="n">
        <v>22</v>
      </c>
      <c r="E3869" s="3" t="n">
        <v>21</v>
      </c>
      <c r="F3869" s="3" t="n">
        <v>24.02</v>
      </c>
      <c r="G3869" s="3" t="n">
        <v>0</v>
      </c>
      <c r="H3869" s="3" t="n">
        <v>0</v>
      </c>
      <c r="I3869" s="3" t="n">
        <v>21</v>
      </c>
      <c r="J3869" s="3" t="n">
        <v>23</v>
      </c>
      <c r="K3869" s="3" t="n">
        <v>-2</v>
      </c>
      <c r="L3869" s="3" t="inlineStr">
        <is>
          <t>ATENÇÃO</t>
        </is>
      </c>
      <c r="M3869" s="3" t="n">
        <v>19</v>
      </c>
      <c r="N3869" s="3" t="n">
        <v>100</v>
      </c>
      <c r="O3869" s="12" t="n">
        <v>25</v>
      </c>
    </row>
    <row r="3870">
      <c r="A3870" s="10" t="n">
        <v>46122</v>
      </c>
      <c r="B3870" t="inlineStr">
        <is>
          <t>Isabella Borges de Oliveira</t>
        </is>
      </c>
      <c r="C3870" s="1" t="inlineStr">
        <is>
          <t>Técnico II</t>
        </is>
      </c>
      <c r="D3870" s="3" t="n">
        <v>0</v>
      </c>
      <c r="E3870" s="3" t="n">
        <v>0</v>
      </c>
      <c r="F3870" s="3" t="n">
        <v>0</v>
      </c>
      <c r="G3870" s="3" t="n">
        <v>0</v>
      </c>
      <c r="H3870" s="3" t="n">
        <v>0</v>
      </c>
      <c r="I3870" s="3" t="n">
        <v>0</v>
      </c>
      <c r="J3870" s="3" t="n">
        <v>0</v>
      </c>
      <c r="K3870" s="3" t="n">
        <v>0</v>
      </c>
      <c r="L3870" s="3">
        <f>IF(K3870&lt;-5,"CRÍTICO",IF(K3870&lt;0,"ATENÇÃO",IF(K3870&lt;=5,"OPORTUNO","MUITO BOM")))</f>
        <v/>
      </c>
      <c r="M3870" s="3" t="n">
        <v>1</v>
      </c>
      <c r="N3870" s="3" t="n">
        <v>100</v>
      </c>
      <c r="O3870" s="12" t="n">
        <v>28.92156862745098</v>
      </c>
    </row>
    <row r="3871">
      <c r="A3871" s="10" t="n">
        <v>46122</v>
      </c>
      <c r="B3871" t="inlineStr">
        <is>
          <t>Janaina Lima dos Reis Urany</t>
        </is>
      </c>
      <c r="C3871" s="1" t="inlineStr">
        <is>
          <t>Técnico III</t>
        </is>
      </c>
      <c r="D3871" s="3" t="n">
        <v>33</v>
      </c>
      <c r="E3871" s="3" t="n">
        <v>32</v>
      </c>
      <c r="F3871" s="3" t="n">
        <v>15.4</v>
      </c>
      <c r="G3871" s="3" t="n">
        <v>0</v>
      </c>
      <c r="H3871" s="3" t="n">
        <v>0</v>
      </c>
      <c r="I3871" s="3">
        <f>E3871+G3871+H3871</f>
        <v/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/>
      </c>
      <c r="K3871" s="3">
        <f>I3871-J3871</f>
        <v/>
      </c>
      <c r="L3871" s="3">
        <f>IF(K3871&lt;-5,"CRÍTICO",IF(K3871&lt;0,"ATENÇÃO",IF(K3871&lt;=5,"OPORTUNO","MUITO BOM")))</f>
        <v/>
      </c>
      <c r="M3871" s="3" t="n">
        <v>31</v>
      </c>
      <c r="N3871" s="3" t="n">
        <v>99.56999999999999</v>
      </c>
      <c r="O3871" s="12" t="n">
        <v>30.63583815028902</v>
      </c>
    </row>
    <row r="3872">
      <c r="A3872" s="10" t="n">
        <v>46122</v>
      </c>
      <c r="B3872" t="inlineStr">
        <is>
          <t>Jaqueline Evangelista da Silva Martins</t>
        </is>
      </c>
      <c r="C3872" s="1" t="inlineStr">
        <is>
          <t>Técnico III</t>
        </is>
      </c>
      <c r="D3872" s="3" t="n">
        <v>0</v>
      </c>
      <c r="E3872" s="3" t="n">
        <v>0</v>
      </c>
      <c r="F3872" s="3" t="n">
        <v>0</v>
      </c>
      <c r="G3872" s="3" t="n">
        <v>0</v>
      </c>
      <c r="H3872" s="3" t="n">
        <v>0</v>
      </c>
      <c r="I3872" s="3" t="n">
        <v>0</v>
      </c>
      <c r="J3872" s="3" t="n">
        <v>0</v>
      </c>
      <c r="K3872" s="3" t="n">
        <v>0</v>
      </c>
      <c r="L3872" s="3">
        <f>IF(K3872&lt;-5,"CRÍTICO",IF(K3872&lt;0,"ATENÇÃO",IF(K3872&lt;=5,"OPORTUNO","MUITO BOM")))</f>
        <v/>
      </c>
      <c r="M3872" s="3" t="n">
        <v>0</v>
      </c>
      <c r="N3872" s="3" t="n">
        <v>95.65000000000001</v>
      </c>
      <c r="O3872" s="12" t="n">
        <v>32.43243243243244</v>
      </c>
    </row>
    <row r="3873">
      <c r="A3873" s="10" t="n">
        <v>46122</v>
      </c>
      <c r="B3873" t="inlineStr">
        <is>
          <t>Jessica Faria da Silveira</t>
        </is>
      </c>
      <c r="C3873" s="1" t="inlineStr">
        <is>
          <t>Técnico II</t>
        </is>
      </c>
      <c r="D3873" s="3" t="n">
        <v>20</v>
      </c>
      <c r="E3873" s="3" t="n">
        <v>17</v>
      </c>
      <c r="F3873" s="3" t="n">
        <v>20</v>
      </c>
      <c r="G3873" s="3" t="n">
        <v>0</v>
      </c>
      <c r="H3873" s="3" t="n">
        <v>0</v>
      </c>
      <c r="I3873" s="3">
        <f>E3873+G3873+H3873</f>
        <v/>
      </c>
      <c r="J3873" s="3">
        <f>ROUND(MIN(IF(C3873="Técnico III",35,IF(C3873="Técnico II",28,IF(C3873="Técnico I",23,IF(C3873="JR",20,IF(C3873="Estágio",10,0))))),IF(C3873="Técnico III",SUMIFS($D:$D,$A:$A,$A3873,$B:$B,"&lt;&gt;Patrícia Karla de Sousa Araújo",$B:$B,"&lt;&gt;Lorena Dias de Araujo",$B:$B,"&lt;&gt;Lucas Luiz Romero")*(35/1083),IF(C3873="Técnico II",SUMIFS($D:$D,$A:$A,$A3873,$B:$B,"&lt;&gt;Patrícia Karla de Sousa Araújo",$B:$B,"&lt;&gt;Lorena Dias de Araujo",$B:$B,"&lt;&gt;Lucas Luiz Romero")*(28/1083),IF(C3873="Técnico I",SUMIFS($D:$D,$A:$A,$A3873,$B:$B,"&lt;&gt;Patrícia Karla de Sousa Araújo",$B:$B,"&lt;&gt;Lorena Dias de Araujo",$B:$B,"&lt;&gt;Lucas Luiz Romero")*(23/1083),IF(C3873="JR",SUMIFS($D:$D,$A:$A,$A3873,$B:$B,"&lt;&gt;Patrícia Karla de Sousa Araújo",$B:$B,"&lt;&gt;Lorena Dias de Araujo",$B:$B,"&lt;&gt;Lucas Luiz Romero")*(20/1083),IF(C3873="Estágio",SUMIFS($D:$D,$A:$A,$A3873,$B:$B,"&lt;&gt;Patrícia Karla de Sousa Araújo",$B:$B,"&lt;&gt;Lorena Dias de Araujo",$B:$B,"&lt;&gt;Lucas Luiz Romero")*(10/1083),0)))))),0)</f>
        <v/>
      </c>
      <c r="K3873" s="3">
        <f>I3873-J3873</f>
        <v/>
      </c>
      <c r="L3873" s="3">
        <f>IF(K3873&lt;-5,"CRÍTICO",IF(K3873&lt;0,"ATENÇÃO",IF(K3873&lt;=5,"OPORTUNO","MUITO BOM")))</f>
        <v/>
      </c>
      <c r="M3873" s="3" t="n">
        <v>16</v>
      </c>
      <c r="N3873" s="3" t="n">
        <v>98.81</v>
      </c>
      <c r="O3873" s="12" t="n">
        <v>26.25698324022346</v>
      </c>
    </row>
    <row r="3874">
      <c r="A3874" s="10" t="n">
        <v>46122</v>
      </c>
      <c r="B3874" t="inlineStr">
        <is>
          <t>Jéssica Fé Moura</t>
        </is>
      </c>
      <c r="C3874" s="1" t="inlineStr">
        <is>
          <t>Técnico III</t>
        </is>
      </c>
      <c r="D3874" s="3" t="n">
        <v>0</v>
      </c>
      <c r="E3874" s="3" t="n">
        <v>0</v>
      </c>
      <c r="F3874" s="3" t="n">
        <v>0</v>
      </c>
      <c r="G3874" s="3" t="n">
        <v>0</v>
      </c>
      <c r="H3874" s="3" t="n">
        <v>0</v>
      </c>
      <c r="I3874" s="3" t="n">
        <v>0</v>
      </c>
      <c r="J3874" s="3" t="n">
        <v>0</v>
      </c>
      <c r="K3874" s="3" t="n">
        <v>0</v>
      </c>
      <c r="L3874" s="3">
        <f>IF(K3874&lt;-5,"CRÍTICO",IF(K3874&lt;0,"ATENÇÃO",IF(K3874&lt;=5,"OPORTUNO","MUITO BOM")))</f>
        <v/>
      </c>
      <c r="M3874" s="3" t="n">
        <v>0</v>
      </c>
      <c r="N3874" s="3" t="n">
        <v>0</v>
      </c>
      <c r="O3874" s="12" t="n">
        <v>0</v>
      </c>
    </row>
    <row r="3875">
      <c r="A3875" s="10" t="n">
        <v>46122</v>
      </c>
      <c r="B3875" t="inlineStr">
        <is>
          <t>Karina Gonçalves Martins</t>
        </is>
      </c>
      <c r="C3875" s="1" t="inlineStr">
        <is>
          <t>JR</t>
        </is>
      </c>
      <c r="D3875" s="3" t="n">
        <v>17</v>
      </c>
      <c r="E3875" s="3" t="n">
        <v>16</v>
      </c>
      <c r="F3875" s="3" t="n">
        <v>22.3</v>
      </c>
      <c r="G3875" s="3" t="n">
        <v>0</v>
      </c>
      <c r="H3875" s="3" t="n">
        <v>0</v>
      </c>
      <c r="I3875" s="3">
        <f>E3875+G3875+H3875</f>
        <v/>
      </c>
      <c r="J3875" s="3">
        <f>ROUND(MIN(IF(C3875="Técnico III",35,IF(C3875="Técnico II",28,IF(C3875="Técnico I",23,IF(C3875="JR",20,IF(C3875="Estágio",10,0))))),IF(C3875="Técnico III",SUMIFS($D:$D,$A:$A,$A3875,$B:$B,"&lt;&gt;Patrícia Karla de Sousa Araújo",$B:$B,"&lt;&gt;Lorena Dias de Araujo",$B:$B,"&lt;&gt;Lucas Luiz Romero")*(35/1083),IF(C3875="Técnico II",SUMIFS($D:$D,$A:$A,$A3875,$B:$B,"&lt;&gt;Patrícia Karla de Sousa Araújo",$B:$B,"&lt;&gt;Lorena Dias de Araujo",$B:$B,"&lt;&gt;Lucas Luiz Romero")*(28/1083),IF(C3875="Técnico I",SUMIFS($D:$D,$A:$A,$A3875,$B:$B,"&lt;&gt;Patrícia Karla de Sousa Araújo",$B:$B,"&lt;&gt;Lorena Dias de Araujo",$B:$B,"&lt;&gt;Lucas Luiz Romero")*(23/1083),IF(C3875="JR",SUMIFS($D:$D,$A:$A,$A3875,$B:$B,"&lt;&gt;Patrícia Karla de Sousa Araújo",$B:$B,"&lt;&gt;Lorena Dias de Araujo",$B:$B,"&lt;&gt;Lucas Luiz Romero")*(20/1083),IF(C3875="Estágio",SUMIFS($D:$D,$A:$A,$A3875,$B:$B,"&lt;&gt;Patrícia Karla de Sousa Araújo",$B:$B,"&lt;&gt;Lorena Dias de Araujo",$B:$B,"&lt;&gt;Lucas Luiz Romero")*(10/1083),0)))))),0)</f>
        <v/>
      </c>
      <c r="K3875" s="3">
        <f>I3875-J3875</f>
        <v/>
      </c>
      <c r="L3875" s="3">
        <f>IF(K3875&lt;-5,"CRÍTICO",IF(K3875&lt;0,"ATENÇÃO",IF(K3875&lt;=5,"OPORTUNO","MUITO BOM")))</f>
        <v/>
      </c>
      <c r="M3875" s="3" t="n">
        <v>15</v>
      </c>
      <c r="N3875" s="3" t="n">
        <v>97.17</v>
      </c>
      <c r="O3875" s="12" t="n">
        <v>28.81844380403458</v>
      </c>
    </row>
    <row r="3876">
      <c r="A3876" s="10" t="n">
        <v>46122</v>
      </c>
      <c r="B3876" t="inlineStr">
        <is>
          <t>Kerollen Cristielly de Jesus Siqueira</t>
        </is>
      </c>
      <c r="C3876" s="1" t="inlineStr">
        <is>
          <t>Técnico III</t>
        </is>
      </c>
      <c r="D3876" s="3" t="n">
        <v>16</v>
      </c>
      <c r="E3876" s="3" t="n">
        <v>15</v>
      </c>
      <c r="F3876" s="3" t="n">
        <v>21.46</v>
      </c>
      <c r="G3876" s="3" t="n">
        <v>0</v>
      </c>
      <c r="H3876" s="3" t="n">
        <v>0</v>
      </c>
      <c r="I3876" s="3">
        <f>E3876+G3876+H3876</f>
        <v/>
      </c>
      <c r="J3876" s="3">
        <f>ROUND(MIN(IF(C3876="Técnico III",35,IF(C3876="Técnico II",28,IF(C3876="Técnico I",23,IF(C3876="JR",20,IF(C3876="Estágio",10,0))))),IF(C3876="Técnico III",SUMIFS($D:$D,$A:$A,$A3876,$B:$B,"&lt;&gt;Patrícia Karla de Sousa Araújo",$B:$B,"&lt;&gt;Lorena Dias de Araujo",$B:$B,"&lt;&gt;Lucas Luiz Romero")*(35/1083),IF(C3876="Técnico II",SUMIFS($D:$D,$A:$A,$A3876,$B:$B,"&lt;&gt;Patrícia Karla de Sousa Araújo",$B:$B,"&lt;&gt;Lorena Dias de Araujo",$B:$B,"&lt;&gt;Lucas Luiz Romero")*(28/1083),IF(C3876="Técnico I",SUMIFS($D:$D,$A:$A,$A3876,$B:$B,"&lt;&gt;Patrícia Karla de Sousa Araújo",$B:$B,"&lt;&gt;Lorena Dias de Araujo",$B:$B,"&lt;&gt;Lucas Luiz Romero")*(23/1083),IF(C3876="JR",SUMIFS($D:$D,$A:$A,$A3876,$B:$B,"&lt;&gt;Patrícia Karla de Sousa Araújo",$B:$B,"&lt;&gt;Lorena Dias de Araujo",$B:$B,"&lt;&gt;Lucas Luiz Romero")*(20/1083),IF(C3876="Estágio",SUMIFS($D:$D,$A:$A,$A3876,$B:$B,"&lt;&gt;Patrícia Karla de Sousa Araújo",$B:$B,"&lt;&gt;Lorena Dias de Araujo",$B:$B,"&lt;&gt;Lucas Luiz Romero")*(10/1083),0)))))),0)</f>
        <v/>
      </c>
      <c r="K3876" s="3">
        <f>I3876-J3876</f>
        <v/>
      </c>
      <c r="L3876" s="3">
        <f>IF(K3876&lt;-5,"CRÍTICO",IF(K3876&lt;0,"ATENÇÃO",IF(K3876&lt;=5,"OPORTUNO","MUITO BOM")))</f>
        <v/>
      </c>
      <c r="M3876" s="3" t="n">
        <v>14</v>
      </c>
      <c r="N3876" s="3" t="n">
        <v>96.81</v>
      </c>
      <c r="O3876" s="12" t="n">
        <v>48.01864801864802</v>
      </c>
    </row>
    <row r="3877">
      <c r="A3877" s="10" t="n">
        <v>46122</v>
      </c>
      <c r="B3877" t="inlineStr">
        <is>
          <t>Leandro de Souza Silva</t>
        </is>
      </c>
      <c r="C3877" s="1" t="inlineStr">
        <is>
          <t>JR</t>
        </is>
      </c>
      <c r="D3877" s="3" t="n">
        <v>12</v>
      </c>
      <c r="E3877" s="3" t="n">
        <v>11</v>
      </c>
      <c r="F3877" s="3" t="n">
        <v>26.5</v>
      </c>
      <c r="G3877" s="3" t="n">
        <v>0</v>
      </c>
      <c r="H3877" s="3" t="n">
        <v>0</v>
      </c>
      <c r="I3877" s="3">
        <f>E3877+G3877+H3877</f>
        <v/>
      </c>
      <c r="J3877" s="3">
        <f>ROUND(MIN(IF(C3877="Técnico III",35,IF(C3877="Técnico II",28,IF(C3877="Técnico I",23,IF(C3877="JR",20,IF(C3877="Estágio",10,0))))),IF(C3877="Técnico III",SUMIFS($D:$D,$A:$A,$A3877,$B:$B,"&lt;&gt;Patrícia Karla de Sousa Araújo",$B:$B,"&lt;&gt;Lorena Dias de Araujo",$B:$B,"&lt;&gt;Lucas Luiz Romero")*(35/1083),IF(C3877="Técnico II",SUMIFS($D:$D,$A:$A,$A3877,$B:$B,"&lt;&gt;Patrícia Karla de Sousa Araújo",$B:$B,"&lt;&gt;Lorena Dias de Araujo",$B:$B,"&lt;&gt;Lucas Luiz Romero")*(28/1083),IF(C3877="Técnico I",SUMIFS($D:$D,$A:$A,$A3877,$B:$B,"&lt;&gt;Patrícia Karla de Sousa Araújo",$B:$B,"&lt;&gt;Lorena Dias de Araujo",$B:$B,"&lt;&gt;Lucas Luiz Romero")*(23/1083),IF(C3877="JR",SUMIFS($D:$D,$A:$A,$A3877,$B:$B,"&lt;&gt;Patrícia Karla de Sousa Araújo",$B:$B,"&lt;&gt;Lorena Dias de Araujo",$B:$B,"&lt;&gt;Lucas Luiz Romero")*(20/1083),IF(C3877="Estágio",SUMIFS($D:$D,$A:$A,$A3877,$B:$B,"&lt;&gt;Patrícia Karla de Sousa Araújo",$B:$B,"&lt;&gt;Lorena Dias de Araujo",$B:$B,"&lt;&gt;Lucas Luiz Romero")*(10/1083),0)))))),0)</f>
        <v/>
      </c>
      <c r="K3877" s="3">
        <f>I3877-J3877</f>
        <v/>
      </c>
      <c r="L3877" s="3">
        <f>IF(K3877&lt;-5,"CRÍTICO",IF(K3877&lt;0,"ATENÇÃO",IF(K3877&lt;=5,"OPORTUNO","MUITO BOM")))</f>
        <v/>
      </c>
      <c r="M3877" s="3" t="n">
        <v>8</v>
      </c>
      <c r="N3877" s="3" t="n">
        <v>98.15000000000001</v>
      </c>
      <c r="O3877" s="12" t="n">
        <v>27.1551724137931</v>
      </c>
    </row>
    <row r="3878">
      <c r="A3878" s="10" t="n">
        <v>46122</v>
      </c>
      <c r="B3878" t="inlineStr">
        <is>
          <t>Leandro Oliveira de Sousa</t>
        </is>
      </c>
      <c r="C3878" s="1" t="inlineStr">
        <is>
          <t>Técnico III</t>
        </is>
      </c>
      <c r="D3878" s="3" t="n">
        <v>27</v>
      </c>
      <c r="E3878" s="3" t="n">
        <v>26</v>
      </c>
      <c r="F3878" s="3" t="n">
        <v>14.11</v>
      </c>
      <c r="G3878" s="3" t="n">
        <v>0</v>
      </c>
      <c r="H3878" s="3" t="n">
        <v>0</v>
      </c>
      <c r="I3878" s="3">
        <f>E3878+G3878+H3878</f>
        <v/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/>
      </c>
      <c r="K3878" s="3">
        <f>I3878-J3878</f>
        <v/>
      </c>
      <c r="L3878" s="3">
        <f>IF(K3878&lt;-5,"CRÍTICO",IF(K3878&lt;0,"ATENÇÃO",IF(K3878&lt;=5,"OPORTUNO","MUITO BOM")))</f>
        <v/>
      </c>
      <c r="M3878" s="3" t="n">
        <v>26</v>
      </c>
      <c r="N3878" s="3" t="n">
        <v>99.15000000000001</v>
      </c>
      <c r="O3878" s="12" t="n">
        <v>27.58620689655172</v>
      </c>
    </row>
    <row r="3879">
      <c r="A3879" s="10" t="n">
        <v>46122</v>
      </c>
      <c r="B3879" t="inlineStr">
        <is>
          <t>Lizandra Gomes Duarte</t>
        </is>
      </c>
      <c r="C3879" s="1" t="inlineStr">
        <is>
          <t>Técnico II</t>
        </is>
      </c>
      <c r="D3879" s="3" t="n">
        <v>24</v>
      </c>
      <c r="E3879" s="3" t="n">
        <v>19</v>
      </c>
      <c r="F3879" s="3" t="n">
        <v>17.28</v>
      </c>
      <c r="G3879" s="3" t="n">
        <v>0</v>
      </c>
      <c r="H3879" s="3" t="n">
        <v>0</v>
      </c>
      <c r="I3879" s="3">
        <f>E3879+G3879+H3879</f>
        <v/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/>
      </c>
      <c r="K3879" s="3">
        <f>I3879-J3879</f>
        <v/>
      </c>
      <c r="L3879" s="3">
        <f>IF(K3879&lt;-5,"CRÍTICO",IF(K3879&lt;0,"ATENÇÃO",IF(K3879&lt;=5,"OPORTUNO","MUITO BOM")))</f>
        <v/>
      </c>
      <c r="M3879" s="3" t="n">
        <v>16</v>
      </c>
      <c r="N3879" s="3" t="n">
        <v>99.17</v>
      </c>
      <c r="O3879" s="12" t="n">
        <v>29.75206611570248</v>
      </c>
    </row>
    <row r="3880">
      <c r="A3880" s="10" t="n">
        <v>46122</v>
      </c>
      <c r="B3880" t="inlineStr">
        <is>
          <t>Lorena Dias de Araujo</t>
        </is>
      </c>
      <c r="C3880" s="1" t="inlineStr">
        <is>
          <t>Técnico II</t>
        </is>
      </c>
      <c r="D3880" s="3" t="n">
        <v>11</v>
      </c>
      <c r="E3880" s="3" t="n">
        <v>10</v>
      </c>
      <c r="F3880" s="3" t="n">
        <v>22.28</v>
      </c>
      <c r="G3880" s="3" t="n">
        <v>0</v>
      </c>
      <c r="H3880" s="3" t="n">
        <v>0</v>
      </c>
      <c r="I3880" s="3" t="n">
        <v>0</v>
      </c>
      <c r="J3880" s="3" t="n">
        <v>0</v>
      </c>
      <c r="K3880" s="3" t="n">
        <v>0</v>
      </c>
      <c r="L3880" s="3">
        <f>IF(K3880&lt;-5,"CRÍTICO",IF(K3880&lt;0,"ATENÇÃO",IF(K3880&lt;=5,"OPORTUNO","MUITO BOM")))</f>
        <v/>
      </c>
      <c r="M3880" s="3" t="n">
        <v>8</v>
      </c>
      <c r="N3880" s="3" t="n">
        <v>98.73</v>
      </c>
      <c r="O3880" s="12" t="n">
        <v>28.96174863387978</v>
      </c>
    </row>
    <row r="3881">
      <c r="A3881" s="10" t="n">
        <v>46122</v>
      </c>
      <c r="B3881" t="inlineStr">
        <is>
          <t>Lucas Luiz Romero</t>
        </is>
      </c>
      <c r="C3881" s="1" t="inlineStr">
        <is>
          <t>Técnico III</t>
        </is>
      </c>
      <c r="D3881" s="3" t="n">
        <v>40</v>
      </c>
      <c r="E3881" s="3" t="n">
        <v>37</v>
      </c>
      <c r="F3881" s="3" t="n">
        <v>12.14</v>
      </c>
      <c r="G3881" s="3" t="n">
        <v>0</v>
      </c>
      <c r="H3881" s="3" t="n">
        <v>0</v>
      </c>
      <c r="I3881" s="3">
        <f>E3881+G3881+H3881</f>
        <v/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/>
      </c>
      <c r="K3881" s="3">
        <f>I3881-J3881</f>
        <v/>
      </c>
      <c r="L3881" s="3">
        <f>IF(K3881&lt;-5,"CRÍTICO",IF(K3881&lt;0,"ATENÇÃO",IF(K3881&lt;=5,"OPORTUNO","MUITO BOM")))</f>
        <v/>
      </c>
      <c r="M3881" s="3" t="n">
        <v>28</v>
      </c>
      <c r="N3881" s="3" t="n">
        <v>88.68000000000001</v>
      </c>
      <c r="O3881" s="12" t="n">
        <v>22.03389830508474</v>
      </c>
    </row>
    <row r="3882">
      <c r="A3882" s="10" t="n">
        <v>46122</v>
      </c>
      <c r="B3882" t="inlineStr">
        <is>
          <t>Luiz Fernando de Carvalho Junior</t>
        </is>
      </c>
      <c r="C3882" s="1" t="inlineStr">
        <is>
          <t>Técnico I</t>
        </is>
      </c>
      <c r="D3882" s="3" t="n">
        <v>19</v>
      </c>
      <c r="E3882" s="3" t="n">
        <v>18</v>
      </c>
      <c r="F3882" s="3" t="n">
        <v>20.5</v>
      </c>
      <c r="G3882" s="3" t="n">
        <v>0</v>
      </c>
      <c r="H3882" s="3" t="n">
        <v>0</v>
      </c>
      <c r="I3882" s="3">
        <f>E3882+G3882+H3882</f>
        <v/>
      </c>
      <c r="J3882" s="3">
        <f>ROUND(MIN(IF(C3882="Técnico III",35,IF(C3882="Técnico II",28,IF(C3882="Técnico I",23,IF(C3882="JR",20,IF(C3882="Estágio",10,0))))),IF(C3882="Técnico III",SUMIFS($D:$D,$A:$A,$A3882,$B:$B,"&lt;&gt;Patrícia Karla de Sousa Araújo",$B:$B,"&lt;&gt;Lorena Dias de Araujo",$B:$B,"&lt;&gt;Lucas Luiz Romero")*(35/1083),IF(C3882="Técnico II",SUMIFS($D:$D,$A:$A,$A3882,$B:$B,"&lt;&gt;Patrícia Karla de Sousa Araújo",$B:$B,"&lt;&gt;Lorena Dias de Araujo",$B:$B,"&lt;&gt;Lucas Luiz Romero")*(28/1083),IF(C3882="Técnico I",SUMIFS($D:$D,$A:$A,$A3882,$B:$B,"&lt;&gt;Patrícia Karla de Sousa Araújo",$B:$B,"&lt;&gt;Lorena Dias de Araujo",$B:$B,"&lt;&gt;Lucas Luiz Romero")*(23/1083),IF(C3882="JR",SUMIFS($D:$D,$A:$A,$A3882,$B:$B,"&lt;&gt;Patrícia Karla de Sousa Araújo",$B:$B,"&lt;&gt;Lorena Dias de Araujo",$B:$B,"&lt;&gt;Lucas Luiz Romero")*(20/1083),IF(C3882="Estágio",SUMIFS($D:$D,$A:$A,$A3882,$B:$B,"&lt;&gt;Patrícia Karla de Sousa Araújo",$B:$B,"&lt;&gt;Lorena Dias de Araujo",$B:$B,"&lt;&gt;Lucas Luiz Romero")*(10/1083),0)))))),0)</f>
        <v/>
      </c>
      <c r="K3882" s="3">
        <f>I3882-J3882</f>
        <v/>
      </c>
      <c r="L3882" s="3">
        <f>IF(K3882&lt;-5,"CRÍTICO",IF(K3882&lt;0,"ATENÇÃO",IF(K3882&lt;=5,"OPORTUNO","MUITO BOM")))</f>
        <v/>
      </c>
      <c r="M3882" s="3" t="n">
        <v>21</v>
      </c>
      <c r="N3882" s="3" t="n">
        <v>97.37</v>
      </c>
      <c r="O3882" s="12" t="n">
        <v>25.76530612244898</v>
      </c>
    </row>
    <row r="3883">
      <c r="A3883" s="10" t="n">
        <v>46122</v>
      </c>
      <c r="B3883" t="inlineStr">
        <is>
          <t>Maria Eduarda Sousa Costa</t>
        </is>
      </c>
      <c r="C3883" s="1" t="inlineStr">
        <is>
          <t>Estágio</t>
        </is>
      </c>
      <c r="D3883" s="3" t="n">
        <v>18</v>
      </c>
      <c r="E3883" s="3" t="n">
        <v>18</v>
      </c>
      <c r="F3883" s="3" t="n">
        <v>25.36</v>
      </c>
      <c r="G3883" s="3" t="n">
        <v>0</v>
      </c>
      <c r="H3883" s="3" t="n">
        <v>0</v>
      </c>
      <c r="I3883" s="3">
        <f>E3883+G3883+H3883</f>
        <v/>
      </c>
      <c r="J3883" s="3">
        <f>ROUND(MIN(IF(C3883="Técnico III",35,IF(C3883="Técnico II",28,IF(C3883="Técnico I",23,IF(C3883="JR",20,IF(C3883="Estágio",10,0))))),IF(C3883="Técnico III",SUMIFS($D:$D,$A:$A,$A3883,$B:$B,"&lt;&gt;Patrícia Karla de Sousa Araújo",$B:$B,"&lt;&gt;Lorena Dias de Araujo",$B:$B,"&lt;&gt;Lucas Luiz Romero")*(35/1083),IF(C3883="Técnico II",SUMIFS($D:$D,$A:$A,$A3883,$B:$B,"&lt;&gt;Patrícia Karla de Sousa Araújo",$B:$B,"&lt;&gt;Lorena Dias de Araujo",$B:$B,"&lt;&gt;Lucas Luiz Romero")*(28/1083),IF(C3883="Técnico I",SUMIFS($D:$D,$A:$A,$A3883,$B:$B,"&lt;&gt;Patrícia Karla de Sousa Araújo",$B:$B,"&lt;&gt;Lorena Dias de Araujo",$B:$B,"&lt;&gt;Lucas Luiz Romero")*(23/1083),IF(C3883="JR",SUMIFS($D:$D,$A:$A,$A3883,$B:$B,"&lt;&gt;Patrícia Karla de Sousa Araújo",$B:$B,"&lt;&gt;Lorena Dias de Araujo",$B:$B,"&lt;&gt;Lucas Luiz Romero")*(20/1083),IF(C3883="Estágio",SUMIFS($D:$D,$A:$A,$A3883,$B:$B,"&lt;&gt;Patrícia Karla de Sousa Araújo",$B:$B,"&lt;&gt;Lorena Dias de Araujo",$B:$B,"&lt;&gt;Lucas Luiz Romero")*(10/1083),0)))))),0)</f>
        <v/>
      </c>
      <c r="K3883" s="3">
        <f>I3883-J3883</f>
        <v/>
      </c>
      <c r="L3883" s="3">
        <f>IF(K3883&lt;-5,"CRÍTICO",IF(K3883&lt;0,"ATENÇÃO",IF(K3883&lt;=5,"OPORTUNO","MUITO BOM")))</f>
        <v/>
      </c>
      <c r="M3883" s="3" t="n">
        <v>15</v>
      </c>
      <c r="N3883" s="3" t="n">
        <v>100</v>
      </c>
      <c r="O3883" s="12" t="n">
        <v>25</v>
      </c>
    </row>
    <row r="3884">
      <c r="A3884" s="10" t="n">
        <v>46142</v>
      </c>
      <c r="B3884" t="inlineStr">
        <is>
          <t>Matheus Farias De Souza</t>
        </is>
      </c>
      <c r="C3884" s="1" t="inlineStr">
        <is>
          <t>Técnico III</t>
        </is>
      </c>
      <c r="D3884" s="3" t="n">
        <v>15</v>
      </c>
      <c r="E3884" s="3" t="n">
        <v>13</v>
      </c>
      <c r="F3884" s="3" t="n">
        <v>11.57</v>
      </c>
      <c r="G3884" s="3" t="n">
        <v>0</v>
      </c>
      <c r="H3884" s="3" t="n">
        <v>0</v>
      </c>
      <c r="I3884" s="3">
        <f>E3884+G3884+H3884</f>
        <v/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/>
      </c>
      <c r="K3884" s="3">
        <f>I3884-J3884</f>
        <v/>
      </c>
      <c r="L3884" s="3">
        <f>IF(K3884&lt;-5,"CRÍTICO",IF(K3884&lt;0,"ATENÇÃO",IF(K3884&lt;=5,"OPORTUNO","MUITO BOM")))</f>
        <v/>
      </c>
      <c r="M3884" s="3" t="n">
        <v>33</v>
      </c>
      <c r="N3884" s="3" t="n">
        <v>100</v>
      </c>
      <c r="O3884" s="12" t="n">
        <v>23.9870340356564</v>
      </c>
    </row>
    <row r="3885">
      <c r="A3885" s="10" t="n">
        <v>46122</v>
      </c>
      <c r="B3885" t="inlineStr">
        <is>
          <t>Maysa Victoria Dias Moura</t>
        </is>
      </c>
      <c r="C3885" s="1" t="inlineStr">
        <is>
          <t>Técnico III</t>
        </is>
      </c>
      <c r="D3885" s="3" t="n">
        <v>26</v>
      </c>
      <c r="E3885" s="3" t="n">
        <v>23</v>
      </c>
      <c r="F3885" s="3" t="n">
        <v>16.52</v>
      </c>
      <c r="G3885" s="3" t="n">
        <v>0</v>
      </c>
      <c r="H3885" s="3" t="n">
        <v>0</v>
      </c>
      <c r="I3885" s="3">
        <f>E3885+G3885+H3885</f>
        <v/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/>
      </c>
      <c r="K3885" s="3">
        <f>I3885-J3885</f>
        <v/>
      </c>
      <c r="L3885" s="3">
        <f>IF(K3885&lt;-5,"CRÍTICO",IF(K3885&lt;0,"ATENÇÃO",IF(K3885&lt;=5,"OPORTUNO","MUITO BOM")))</f>
        <v/>
      </c>
      <c r="M3885" s="3" t="n">
        <v>22</v>
      </c>
      <c r="N3885" s="3" t="n">
        <v>95.48999999999999</v>
      </c>
      <c r="O3885" s="12" t="n">
        <v>28.37022132796781</v>
      </c>
    </row>
    <row r="3886">
      <c r="A3886" s="7" t="n">
        <v>46161</v>
      </c>
      <c r="B3886" s="8" t="inlineStr">
        <is>
          <t>Patrícia Karla de Sousa Araújo</t>
        </is>
      </c>
      <c r="C3886" s="1" t="inlineStr">
        <is>
          <t>Técnico II</t>
        </is>
      </c>
      <c r="D3886" s="3" t="n">
        <v>25</v>
      </c>
      <c r="E3886" s="3" t="n">
        <v>23</v>
      </c>
      <c r="F3886" s="3" t="n">
        <v>17.03</v>
      </c>
      <c r="G3886" s="3" t="n">
        <v>0</v>
      </c>
      <c r="H3886" s="3" t="n">
        <v>0</v>
      </c>
      <c r="I3886" s="3" t="n">
        <v>23</v>
      </c>
      <c r="J3886" s="3" t="n">
        <v>23</v>
      </c>
      <c r="K3886" s="3" t="n">
        <v>0</v>
      </c>
      <c r="L3886" s="3" t="inlineStr">
        <is>
          <t>BOM</t>
        </is>
      </c>
      <c r="M3886" s="3" t="n">
        <v>22</v>
      </c>
      <c r="N3886" s="3" t="n">
        <v>100</v>
      </c>
      <c r="O3886" s="12" t="n">
        <v>20.18348623853211</v>
      </c>
    </row>
    <row r="3887">
      <c r="A3887" s="10" t="n">
        <v>46122</v>
      </c>
      <c r="B3887" t="inlineStr">
        <is>
          <t>Milena Sales</t>
        </is>
      </c>
      <c r="C3887" s="1" t="inlineStr">
        <is>
          <t>JR</t>
        </is>
      </c>
      <c r="D3887" s="3" t="n">
        <v>36</v>
      </c>
      <c r="E3887" s="3" t="n">
        <v>31</v>
      </c>
      <c r="F3887" s="3" t="n">
        <v>15.02</v>
      </c>
      <c r="G3887" s="3" t="n">
        <v>0</v>
      </c>
      <c r="H3887" s="3" t="n">
        <v>0</v>
      </c>
      <c r="I3887" s="3">
        <f>E3887+G3887+H3887</f>
        <v/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/>
      </c>
      <c r="K3887" s="3">
        <f>I3887-J3887</f>
        <v/>
      </c>
      <c r="L3887" s="3">
        <f>IF(K3887&lt;-5,"CRÍTICO",IF(K3887&lt;0,"ATENÇÃO",IF(K3887&lt;=5,"OPORTUNO","MUITO BOM")))</f>
        <v/>
      </c>
      <c r="M3887" s="3" t="n">
        <v>20</v>
      </c>
      <c r="N3887" s="3" t="n">
        <v>96.15000000000001</v>
      </c>
      <c r="O3887" s="12" t="n">
        <v>24.04580152671756</v>
      </c>
    </row>
    <row r="3888">
      <c r="A3888" s="10" t="n">
        <v>46122</v>
      </c>
      <c r="B3888" t="inlineStr">
        <is>
          <t>Patrícia Karla de Sousa Araújo</t>
        </is>
      </c>
      <c r="C3888" s="1" t="inlineStr">
        <is>
          <t>Técnico II</t>
        </is>
      </c>
      <c r="D3888" s="3" t="n">
        <v>19</v>
      </c>
      <c r="E3888" s="3" t="n">
        <v>18</v>
      </c>
      <c r="F3888" s="3" t="n">
        <v>28.28</v>
      </c>
      <c r="G3888" s="3" t="n">
        <v>0</v>
      </c>
      <c r="H3888" s="3" t="n">
        <v>0</v>
      </c>
      <c r="I3888" s="3">
        <f>E3888+G3888+H3888</f>
        <v/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/>
      </c>
      <c r="K3888" s="3">
        <f>I3888-J3888</f>
        <v/>
      </c>
      <c r="L3888" s="3">
        <f>IF(K3888&lt;-5,"CRÍTICO",IF(K3888&lt;0,"ATENÇÃO",IF(K3888&lt;=5,"OPORTUNO","MUITO BOM")))</f>
        <v/>
      </c>
      <c r="M3888" s="3" t="n">
        <v>16</v>
      </c>
      <c r="N3888" s="3" t="n">
        <v>99.02</v>
      </c>
      <c r="O3888" s="12" t="n">
        <v>34.7972972972973</v>
      </c>
    </row>
    <row r="3889">
      <c r="A3889" s="10" t="n">
        <v>46122</v>
      </c>
      <c r="B3889" t="inlineStr">
        <is>
          <t>Paulo Ricardo Santos</t>
        </is>
      </c>
      <c r="C3889" s="1" t="inlineStr">
        <is>
          <t>JR</t>
        </is>
      </c>
      <c r="D3889" s="3" t="n">
        <v>15</v>
      </c>
      <c r="E3889" s="3" t="n">
        <v>12</v>
      </c>
      <c r="F3889" s="3" t="n">
        <v>20.53</v>
      </c>
      <c r="G3889" s="3" t="n">
        <v>0</v>
      </c>
      <c r="H3889" s="3" t="n">
        <v>0</v>
      </c>
      <c r="I3889" s="3">
        <f>E3889+G3889+H3889</f>
        <v/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/>
      </c>
      <c r="K3889" s="3">
        <f>I3889-J3889</f>
        <v/>
      </c>
      <c r="L3889" s="3">
        <f>IF(K3889&lt;-5,"CRÍTICO",IF(K3889&lt;0,"ATENÇÃO",IF(K3889&lt;=5,"OPORTUNO","MUITO BOM")))</f>
        <v/>
      </c>
      <c r="M3889" s="3" t="n">
        <v>11</v>
      </c>
      <c r="N3889" s="3" t="n">
        <v>98.84</v>
      </c>
      <c r="O3889" s="12" t="n">
        <v>31.86813186813187</v>
      </c>
    </row>
    <row r="3890">
      <c r="A3890" s="10" t="n">
        <v>46122</v>
      </c>
      <c r="B3890" t="inlineStr">
        <is>
          <t>Pedro Luiz Mota Sousa</t>
        </is>
      </c>
      <c r="C3890" s="1" t="inlineStr">
        <is>
          <t>JR</t>
        </is>
      </c>
      <c r="D3890" s="3" t="n">
        <v>21</v>
      </c>
      <c r="E3890" s="3" t="n">
        <v>20</v>
      </c>
      <c r="F3890" s="3" t="n">
        <v>14.01</v>
      </c>
      <c r="G3890" s="3" t="n">
        <v>0</v>
      </c>
      <c r="H3890" s="3" t="n">
        <v>0</v>
      </c>
      <c r="I3890" s="3">
        <f>E3890+G3890+H3890</f>
        <v/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/>
      </c>
      <c r="K3890" s="3">
        <f>I3890-J3890</f>
        <v/>
      </c>
      <c r="L3890" s="3">
        <f>IF(K3890&lt;-5,"CRÍTICO",IF(K3890&lt;0,"ATENÇÃO",IF(K3890&lt;=5,"OPORTUNO","MUITO BOM")))</f>
        <v/>
      </c>
      <c r="M3890" s="3" t="n">
        <v>18</v>
      </c>
      <c r="N3890" s="3" t="n">
        <v>100</v>
      </c>
      <c r="O3890" s="12" t="n">
        <v>34.66666666666667</v>
      </c>
    </row>
    <row r="3891">
      <c r="A3891" s="7" t="n">
        <v>46161</v>
      </c>
      <c r="B3891" s="8" t="inlineStr">
        <is>
          <t>Ana Karollyne Souza Faria</t>
        </is>
      </c>
      <c r="C3891" s="1" t="inlineStr">
        <is>
          <t>Técnico I</t>
        </is>
      </c>
      <c r="D3891" s="3" t="n">
        <v>30</v>
      </c>
      <c r="E3891" s="3" t="n">
        <v>29</v>
      </c>
      <c r="F3891" s="3" t="n">
        <v>15.36</v>
      </c>
      <c r="G3891" s="3" t="n">
        <v>1</v>
      </c>
      <c r="H3891" s="3" t="n">
        <v>0</v>
      </c>
      <c r="I3891" s="3" t="n">
        <v>30</v>
      </c>
      <c r="J3891" s="3" t="n">
        <v>19</v>
      </c>
      <c r="K3891" s="3" t="n">
        <v>11</v>
      </c>
      <c r="L3891" s="3" t="inlineStr">
        <is>
          <t>EXCELENTE</t>
        </is>
      </c>
      <c r="M3891" s="3" t="n">
        <v>29</v>
      </c>
      <c r="N3891" s="3" t="n">
        <v>96.25</v>
      </c>
      <c r="O3891" s="12" t="n">
        <v>25.5863539445629</v>
      </c>
    </row>
    <row r="3892">
      <c r="A3892" s="10" t="n">
        <v>46122</v>
      </c>
      <c r="B3892" t="inlineStr">
        <is>
          <t>Raane Batista Matos</t>
        </is>
      </c>
      <c r="C3892" s="1" t="inlineStr">
        <is>
          <t>Técnico I</t>
        </is>
      </c>
      <c r="D3892" s="3" t="n">
        <v>27</v>
      </c>
      <c r="E3892" s="3" t="n">
        <v>25</v>
      </c>
      <c r="F3892" s="3" t="n">
        <v>10.57</v>
      </c>
      <c r="G3892" s="3" t="n">
        <v>0</v>
      </c>
      <c r="H3892" s="3" t="n">
        <v>0</v>
      </c>
      <c r="I3892" s="3">
        <f>E3892+G3892+H3892</f>
        <v/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/>
      </c>
      <c r="K3892" s="3">
        <f>I3892-J3892</f>
        <v/>
      </c>
      <c r="L3892" s="3">
        <f>IF(K3892&lt;-5,"CRÍTICO",IF(K3892&lt;0,"ATENÇÃO",IF(K3892&lt;=5,"OPORTUNO","MUITO BOM")))</f>
        <v/>
      </c>
      <c r="M3892" s="3" t="n">
        <v>19</v>
      </c>
      <c r="N3892" s="3" t="n">
        <v>98.31999999999999</v>
      </c>
      <c r="O3892" s="12" t="n">
        <v>26.85851318944844</v>
      </c>
    </row>
    <row r="3893">
      <c r="A3893" s="10" t="n">
        <v>46122</v>
      </c>
      <c r="B3893" t="inlineStr">
        <is>
          <t>Rafael Gomes de Morais</t>
        </is>
      </c>
      <c r="C3893" s="1" t="inlineStr">
        <is>
          <t>Técnico III</t>
        </is>
      </c>
      <c r="D3893" s="3" t="n">
        <v>37</v>
      </c>
      <c r="E3893" s="3" t="n">
        <v>34</v>
      </c>
      <c r="F3893" s="3" t="n">
        <v>13.45</v>
      </c>
      <c r="G3893" s="3" t="n">
        <v>0</v>
      </c>
      <c r="H3893" s="3" t="n">
        <v>0</v>
      </c>
      <c r="I3893" s="3">
        <f>E3893+G3893+H3893</f>
        <v/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/>
      </c>
      <c r="K3893" s="3">
        <f>I3893-J3893</f>
        <v/>
      </c>
      <c r="L3893" s="3">
        <f>IF(K3893&lt;-5,"CRÍTICO",IF(K3893&lt;0,"ATENÇÃO",IF(K3893&lt;=5,"OPORTUNO","MUITO BOM")))</f>
        <v/>
      </c>
      <c r="M3893" s="3" t="n">
        <v>32</v>
      </c>
      <c r="N3893" s="3" t="n">
        <v>100</v>
      </c>
      <c r="O3893" s="12" t="n">
        <v>31.13553113553114</v>
      </c>
    </row>
    <row r="3894">
      <c r="A3894" s="10" t="n">
        <v>46122</v>
      </c>
      <c r="B3894" t="inlineStr">
        <is>
          <t>Sara Maria Monteiro Lopes</t>
        </is>
      </c>
      <c r="C3894" s="1" t="inlineStr">
        <is>
          <t>Técnico I</t>
        </is>
      </c>
      <c r="D3894" s="3" t="n">
        <v>14</v>
      </c>
      <c r="E3894" s="3" t="n">
        <v>13</v>
      </c>
      <c r="F3894" s="3" t="n">
        <v>38.41</v>
      </c>
      <c r="G3894" s="3" t="n">
        <v>0</v>
      </c>
      <c r="H3894" s="3" t="n">
        <v>0</v>
      </c>
      <c r="I3894" s="3">
        <f>E3894+G3894+H3894</f>
        <v/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/>
      </c>
      <c r="K3894" s="3">
        <f>I3894-J3894</f>
        <v/>
      </c>
      <c r="L3894" s="3">
        <f>IF(K3894&lt;-5,"CRÍTICO",IF(K3894&lt;0,"ATENÇÃO",IF(K3894&lt;=5,"OPORTUNO","MUITO BOM")))</f>
        <v/>
      </c>
      <c r="M3894" s="3" t="n">
        <v>12</v>
      </c>
      <c r="N3894" s="3" t="n">
        <v>100</v>
      </c>
      <c r="O3894" s="12" t="n">
        <v>26.36986301369863</v>
      </c>
    </row>
    <row r="3895">
      <c r="A3895" s="10" t="n">
        <v>46122</v>
      </c>
      <c r="B3895" t="inlineStr">
        <is>
          <t>Sarah Steffanie de Lima Borges</t>
        </is>
      </c>
      <c r="C3895" s="1" t="inlineStr">
        <is>
          <t>Técnico III</t>
        </is>
      </c>
      <c r="D3895" s="3" t="n">
        <v>13</v>
      </c>
      <c r="E3895" s="3" t="n">
        <v>11</v>
      </c>
      <c r="F3895" s="3" t="n">
        <v>12.26</v>
      </c>
      <c r="G3895" s="3" t="n">
        <v>0</v>
      </c>
      <c r="H3895" s="3" t="n">
        <v>0</v>
      </c>
      <c r="I3895" s="3">
        <f>E3895+G3895+H3895</f>
        <v/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/>
      </c>
      <c r="K3895" s="3">
        <f>I3895-J3895</f>
        <v/>
      </c>
      <c r="L3895" s="3">
        <f>IF(K3895&lt;-5,"CRÍTICO",IF(K3895&lt;0,"ATENÇÃO",IF(K3895&lt;=5,"OPORTUNO","MUITO BOM")))</f>
        <v/>
      </c>
      <c r="M3895" s="3" t="n">
        <v>11</v>
      </c>
      <c r="N3895" s="3" t="n">
        <v>99.20999999999999</v>
      </c>
      <c r="O3895" s="12" t="n">
        <v>25.18891687657431</v>
      </c>
    </row>
    <row r="3896">
      <c r="A3896" s="10" t="n">
        <v>46125</v>
      </c>
      <c r="B3896" t="inlineStr">
        <is>
          <t>Alisson de Freitas Silva</t>
        </is>
      </c>
      <c r="C3896" s="1" t="inlineStr">
        <is>
          <t>Técnico II</t>
        </is>
      </c>
      <c r="D3896" s="3" t="n">
        <v>26</v>
      </c>
      <c r="E3896" s="3" t="n">
        <v>15</v>
      </c>
      <c r="F3896" s="3" t="n">
        <v>13.33</v>
      </c>
      <c r="G3896" s="3" t="n">
        <v>0</v>
      </c>
      <c r="H3896" s="3" t="n">
        <v>0</v>
      </c>
      <c r="I3896" s="3">
        <f>E3896+G3896+H3896</f>
        <v/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/>
      </c>
      <c r="K3896" s="3">
        <f>I3896-J3896</f>
        <v/>
      </c>
      <c r="L3896" s="3">
        <f>IF(K3896&lt;-5,"CRÍTICO",IF(K3896&lt;0,"ATENÇÃO",IF(K3896&lt;=5,"OPORTUNO","MUITO BOM")))</f>
        <v/>
      </c>
      <c r="M3896" s="3" t="n">
        <v>9</v>
      </c>
      <c r="N3896" s="3" t="n">
        <v>100</v>
      </c>
      <c r="O3896" s="12" t="n">
        <v>32.76450511945392</v>
      </c>
    </row>
    <row r="3897">
      <c r="A3897" s="10" t="n">
        <v>46125</v>
      </c>
      <c r="B3897" t="inlineStr">
        <is>
          <t>Amanda Moura Ferreira</t>
        </is>
      </c>
      <c r="C3897" s="1" t="inlineStr">
        <is>
          <t>Técnico III</t>
        </is>
      </c>
      <c r="D3897" s="3" t="n">
        <v>0</v>
      </c>
      <c r="E3897" s="3" t="n">
        <v>0</v>
      </c>
      <c r="F3897" s="3" t="n">
        <v>0</v>
      </c>
      <c r="G3897" s="3" t="n">
        <v>0</v>
      </c>
      <c r="H3897" s="3" t="n">
        <v>0</v>
      </c>
      <c r="I3897" s="3" t="n">
        <v>0</v>
      </c>
      <c r="J3897" s="3" t="n">
        <v>0</v>
      </c>
      <c r="K3897" s="3" t="n">
        <v>0</v>
      </c>
      <c r="L3897" s="3">
        <f>IF(K3897&lt;-5,"CRÍTICO",IF(K3897&lt;0,"ATENÇÃO",IF(K3897&lt;=5,"OPORTUNO","MUITO BOM")))</f>
        <v/>
      </c>
      <c r="M3897" s="3" t="n">
        <v>19</v>
      </c>
      <c r="N3897" s="3" t="n">
        <v>98.66</v>
      </c>
      <c r="O3897" s="12" t="n">
        <v>35.41666666666667</v>
      </c>
    </row>
    <row r="3898">
      <c r="A3898" s="10" t="n">
        <v>46125</v>
      </c>
      <c r="B3898" t="inlineStr">
        <is>
          <t>Ana Karollyne Souza Faria</t>
        </is>
      </c>
      <c r="C3898" s="1" t="inlineStr">
        <is>
          <t>Técnico I</t>
        </is>
      </c>
      <c r="D3898" s="3" t="n">
        <v>30</v>
      </c>
      <c r="E3898" s="3" t="n">
        <v>29</v>
      </c>
      <c r="F3898" s="3" t="n">
        <v>23.23</v>
      </c>
      <c r="G3898" s="3" t="n">
        <v>0</v>
      </c>
      <c r="H3898" s="3" t="n">
        <v>0</v>
      </c>
      <c r="I3898" s="3">
        <f>E3898+G3898+H3898</f>
        <v/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/>
      </c>
      <c r="K3898" s="3">
        <f>I3898-J3898</f>
        <v/>
      </c>
      <c r="L3898" s="3">
        <f>IF(K3898&lt;-5,"CRÍTICO",IF(K3898&lt;0,"ATENÇÃO",IF(K3898&lt;=5,"OPORTUNO","MUITO BOM")))</f>
        <v/>
      </c>
      <c r="M3898" s="3" t="n">
        <v>20</v>
      </c>
      <c r="N3898" s="3" t="n">
        <v>99.31999999999999</v>
      </c>
      <c r="O3898" s="12" t="n">
        <v>30.6483300589391</v>
      </c>
    </row>
    <row r="3899">
      <c r="A3899" s="10" t="n">
        <v>46125</v>
      </c>
      <c r="B3899" t="inlineStr">
        <is>
          <t>Ana Paula Da Luz Silva Aleixo</t>
        </is>
      </c>
      <c r="C3899" s="1" t="inlineStr">
        <is>
          <t>Técnico III</t>
        </is>
      </c>
      <c r="D3899" s="3" t="n">
        <v>13</v>
      </c>
      <c r="E3899" s="3" t="n">
        <v>13</v>
      </c>
      <c r="F3899" s="3" t="n">
        <v>12.23</v>
      </c>
      <c r="G3899" s="3" t="n">
        <v>0</v>
      </c>
      <c r="H3899" s="3" t="n">
        <v>0</v>
      </c>
      <c r="I3899" s="3">
        <f>E3899+G3899+H3899</f>
        <v/>
      </c>
      <c r="J3899" s="3">
        <f>ROUND(MIN(IF(C3899="Técnico III",35,IF(C3899="Técnico II",28,IF(C3899="Técnico I",23,IF(C3899="JR",20,IF(C3899="Estágio",10,0))))),IF(C3899="Técnico III",SUMIFS($D:$D,$A:$A,$A3899,$B:$B,"&lt;&gt;Patrícia Karla de Sousa Araújo",$B:$B,"&lt;&gt;Lorena Dias de Araujo",$B:$B,"&lt;&gt;Lucas Luiz Romero")*(35/1083),IF(C3899="Técnico II",SUMIFS($D:$D,$A:$A,$A3899,$B:$B,"&lt;&gt;Patrícia Karla de Sousa Araújo",$B:$B,"&lt;&gt;Lorena Dias de Araujo",$B:$B,"&lt;&gt;Lucas Luiz Romero")*(28/1083),IF(C3899="Técnico I",SUMIFS($D:$D,$A:$A,$A3899,$B:$B,"&lt;&gt;Patrícia Karla de Sousa Araújo",$B:$B,"&lt;&gt;Lorena Dias de Araujo",$B:$B,"&lt;&gt;Lucas Luiz Romero")*(23/1083),IF(C3899="JR",SUMIFS($D:$D,$A:$A,$A3899,$B:$B,"&lt;&gt;Patrícia Karla de Sousa Araújo",$B:$B,"&lt;&gt;Lorena Dias de Araujo",$B:$B,"&lt;&gt;Lucas Luiz Romero")*(20/1083),IF(C3899="Estágio",SUMIFS($D:$D,$A:$A,$A3899,$B:$B,"&lt;&gt;Patrícia Karla de Sousa Araújo",$B:$B,"&lt;&gt;Lorena Dias de Araujo",$B:$B,"&lt;&gt;Lucas Luiz Romero")*(10/1083),0)))))),0)</f>
        <v/>
      </c>
      <c r="K3899" s="3">
        <f>I3899-J3899</f>
        <v/>
      </c>
      <c r="L3899" s="3">
        <f>IF(K3899&lt;-5,"CRÍTICO",IF(K3899&lt;0,"ATENÇÃO",IF(K3899&lt;=5,"OPORTUNO","MUITO BOM")))</f>
        <v/>
      </c>
      <c r="M3899" s="3" t="n">
        <v>14</v>
      </c>
      <c r="N3899" s="3" t="n">
        <v>100</v>
      </c>
      <c r="O3899" s="12" t="n">
        <v>27.80373831775701</v>
      </c>
    </row>
    <row r="3900">
      <c r="A3900" s="10" t="n">
        <v>46125</v>
      </c>
      <c r="B3900" t="inlineStr">
        <is>
          <t>Anna Luiza Rezende Tavares</t>
        </is>
      </c>
      <c r="C3900" s="1" t="inlineStr">
        <is>
          <t>Estágio</t>
        </is>
      </c>
      <c r="D3900" s="3" t="n">
        <v>27</v>
      </c>
      <c r="E3900" s="3" t="n">
        <v>25</v>
      </c>
      <c r="F3900" s="3" t="n">
        <v>17.12</v>
      </c>
      <c r="G3900" s="3" t="n">
        <v>0</v>
      </c>
      <c r="H3900" s="3" t="n">
        <v>0</v>
      </c>
      <c r="I3900" s="3">
        <f>E3900+G3900+H3900</f>
        <v/>
      </c>
      <c r="J3900" s="3">
        <f>ROUND(MIN(IF(C3900="Técnico III",35,IF(C3900="Técnico II",28,IF(C3900="Técnico I",23,IF(C3900="JR",20,IF(C3900="Estágio",10,0))))),IF(C3900="Técnico III",SUMIFS($D:$D,$A:$A,$A3900,$B:$B,"&lt;&gt;Patrícia Karla de Sousa Araújo",$B:$B,"&lt;&gt;Lorena Dias de Araujo",$B:$B,"&lt;&gt;Lucas Luiz Romero")*(35/1083),IF(C3900="Técnico II",SUMIFS($D:$D,$A:$A,$A3900,$B:$B,"&lt;&gt;Patrícia Karla de Sousa Araújo",$B:$B,"&lt;&gt;Lorena Dias de Araujo",$B:$B,"&lt;&gt;Lucas Luiz Romero")*(28/1083),IF(C3900="Técnico I",SUMIFS($D:$D,$A:$A,$A3900,$B:$B,"&lt;&gt;Patrícia Karla de Sousa Araújo",$B:$B,"&lt;&gt;Lorena Dias de Araujo",$B:$B,"&lt;&gt;Lucas Luiz Romero")*(23/1083),IF(C3900="JR",SUMIFS($D:$D,$A:$A,$A3900,$B:$B,"&lt;&gt;Patrícia Karla de Sousa Araújo",$B:$B,"&lt;&gt;Lorena Dias de Araujo",$B:$B,"&lt;&gt;Lucas Luiz Romero")*(20/1083),IF(C3900="Estágio",SUMIFS($D:$D,$A:$A,$A3900,$B:$B,"&lt;&gt;Patrícia Karla de Sousa Araújo",$B:$B,"&lt;&gt;Lorena Dias de Araujo",$B:$B,"&lt;&gt;Lucas Luiz Romero")*(10/1083),0)))))),0)</f>
        <v/>
      </c>
      <c r="K3900" s="3">
        <f>I3900-J3900</f>
        <v/>
      </c>
      <c r="L3900" s="3">
        <f>IF(K3900&lt;-5,"CRÍTICO",IF(K3900&lt;0,"ATENÇÃO",IF(K3900&lt;=5,"OPORTUNO","MUITO BOM")))</f>
        <v/>
      </c>
      <c r="M3900" s="3" t="n">
        <v>22</v>
      </c>
      <c r="N3900" s="3" t="n">
        <v>96.73999999999999</v>
      </c>
      <c r="O3900" s="12" t="n">
        <v>28.67647058823529</v>
      </c>
    </row>
    <row r="3901">
      <c r="A3901" s="10" t="n">
        <v>46125</v>
      </c>
      <c r="B3901" t="inlineStr">
        <is>
          <t>Brenda de Menezes Silva</t>
        </is>
      </c>
      <c r="C3901" s="1" t="inlineStr">
        <is>
          <t>Técnico II</t>
        </is>
      </c>
      <c r="D3901" s="3" t="n">
        <v>28</v>
      </c>
      <c r="E3901" s="3" t="n">
        <v>27</v>
      </c>
      <c r="F3901" s="3" t="n">
        <v>20.17</v>
      </c>
      <c r="G3901" s="3" t="n">
        <v>0</v>
      </c>
      <c r="H3901" s="3" t="n">
        <v>0</v>
      </c>
      <c r="I3901" s="3">
        <f>E3901+G3901+H3901</f>
        <v/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/>
      </c>
      <c r="K3901" s="3">
        <f>I3901-J3901</f>
        <v/>
      </c>
      <c r="L3901" s="3">
        <f>IF(K3901&lt;-5,"CRÍTICO",IF(K3901&lt;0,"ATENÇÃO",IF(K3901&lt;=5,"OPORTUNO","MUITO BOM")))</f>
        <v/>
      </c>
      <c r="M3901" s="3" t="n">
        <v>23</v>
      </c>
      <c r="N3901" s="3" t="n">
        <v>98.81999999999999</v>
      </c>
      <c r="O3901" s="12" t="n">
        <v>30.74141048824593</v>
      </c>
    </row>
    <row r="3902">
      <c r="A3902" s="10" t="n">
        <v>46125</v>
      </c>
      <c r="B3902" t="inlineStr">
        <is>
          <t>Carlos Mateus Cassimiro Nunes</t>
        </is>
      </c>
      <c r="C3902" s="1" t="inlineStr">
        <is>
          <t>Técnico II</t>
        </is>
      </c>
      <c r="D3902" s="3" t="n">
        <v>14</v>
      </c>
      <c r="E3902" s="3" t="n">
        <v>14</v>
      </c>
      <c r="F3902" s="3" t="n">
        <v>24.19</v>
      </c>
      <c r="G3902" s="3" t="n">
        <v>0</v>
      </c>
      <c r="H3902" s="3" t="n">
        <v>0</v>
      </c>
      <c r="I3902" s="3">
        <f>E3902+G3902+H3902</f>
        <v/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/>
      </c>
      <c r="K3902" s="3">
        <f>I3902-J3902</f>
        <v/>
      </c>
      <c r="L3902" s="3">
        <f>IF(K3902&lt;-5,"CRÍTICO",IF(K3902&lt;0,"ATENÇÃO",IF(K3902&lt;=5,"OPORTUNO","MUITO BOM")))</f>
        <v/>
      </c>
      <c r="M3902" s="3" t="n">
        <v>11</v>
      </c>
      <c r="N3902" s="3" t="n">
        <v>98.2</v>
      </c>
      <c r="O3902" s="12" t="n">
        <v>27.17086834733893</v>
      </c>
    </row>
    <row r="3903">
      <c r="A3903" s="10" t="n">
        <v>46125</v>
      </c>
      <c r="B3903" t="inlineStr">
        <is>
          <t>Claudio de Sousa Velasco Filho</t>
        </is>
      </c>
      <c r="C3903" s="1" t="inlineStr">
        <is>
          <t>Estágio</t>
        </is>
      </c>
      <c r="D3903" s="3" t="n">
        <v>12</v>
      </c>
      <c r="E3903" s="3" t="n">
        <v>10</v>
      </c>
      <c r="F3903" s="3" t="n">
        <v>18.34</v>
      </c>
      <c r="G3903" s="3" t="n">
        <v>0</v>
      </c>
      <c r="H3903" s="3" t="n">
        <v>0</v>
      </c>
      <c r="I3903" s="3">
        <f>E3903+G3903+H3903</f>
        <v/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/>
      </c>
      <c r="K3903" s="3">
        <f>I3903-J3903</f>
        <v/>
      </c>
      <c r="L3903" s="3">
        <f>IF(K3903&lt;-5,"CRÍTICO",IF(K3903&lt;0,"ATENÇÃO",IF(K3903&lt;=5,"OPORTUNO","MUITO BOM")))</f>
        <v/>
      </c>
      <c r="M3903" s="3" t="n">
        <v>8</v>
      </c>
      <c r="N3903" s="3" t="n">
        <v>100</v>
      </c>
      <c r="O3903" s="12" t="n">
        <v>23.13432835820895</v>
      </c>
    </row>
    <row r="3904">
      <c r="A3904" s="10" t="n">
        <v>46125</v>
      </c>
      <c r="B3904" t="inlineStr">
        <is>
          <t>Clessiane Pereira dos Santos</t>
        </is>
      </c>
      <c r="C3904" s="1" t="inlineStr">
        <is>
          <t>Técnico I</t>
        </is>
      </c>
      <c r="D3904" s="3" t="n">
        <v>28</v>
      </c>
      <c r="E3904" s="3" t="n">
        <v>28</v>
      </c>
      <c r="F3904" s="3" t="n">
        <v>18.3</v>
      </c>
      <c r="G3904" s="3" t="n">
        <v>0</v>
      </c>
      <c r="H3904" s="3" t="n">
        <v>0</v>
      </c>
      <c r="I3904" s="3">
        <f>E3904+G3904+H3904</f>
        <v/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/>
      </c>
      <c r="K3904" s="3">
        <f>I3904-J3904</f>
        <v/>
      </c>
      <c r="L3904" s="3">
        <f>IF(K3904&lt;-5,"CRÍTICO",IF(K3904&lt;0,"ATENÇÃO",IF(K3904&lt;=5,"OPORTUNO","MUITO BOM")))</f>
        <v/>
      </c>
      <c r="M3904" s="3" t="n">
        <v>24</v>
      </c>
      <c r="N3904" s="3" t="n">
        <v>96.3</v>
      </c>
      <c r="O3904" s="12" t="n">
        <v>32.21957040572792</v>
      </c>
    </row>
    <row r="3905">
      <c r="A3905" s="10" t="n">
        <v>46125</v>
      </c>
      <c r="B3905" t="inlineStr">
        <is>
          <t>Cristiane Ramos da Silva Rocha</t>
        </is>
      </c>
      <c r="C3905" s="1" t="inlineStr">
        <is>
          <t>Técnico III</t>
        </is>
      </c>
      <c r="D3905" s="3" t="n">
        <v>30</v>
      </c>
      <c r="E3905" s="3" t="n">
        <v>28</v>
      </c>
      <c r="F3905" s="3" t="n">
        <v>13.2</v>
      </c>
      <c r="G3905" s="3" t="n">
        <v>0</v>
      </c>
      <c r="H3905" s="3" t="n">
        <v>0</v>
      </c>
      <c r="I3905" s="3">
        <f>E3905+G3905+H3905</f>
        <v/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/>
      </c>
      <c r="K3905" s="3">
        <f>I3905-J3905</f>
        <v/>
      </c>
      <c r="L3905" s="3">
        <f>IF(K3905&lt;-5,"CRÍTICO",IF(K3905&lt;0,"ATENÇÃO",IF(K3905&lt;=5,"OPORTUNO","MUITO BOM")))</f>
        <v/>
      </c>
      <c r="M3905" s="3" t="n">
        <v>29</v>
      </c>
      <c r="N3905" s="3" t="n">
        <v>93.75</v>
      </c>
      <c r="O3905" s="12" t="n">
        <v>26.81992337164751</v>
      </c>
    </row>
    <row r="3906">
      <c r="A3906" s="10" t="n">
        <v>46125</v>
      </c>
      <c r="B3906" t="inlineStr">
        <is>
          <t>Damyllis Lorraine de Oliveira Gonçalves</t>
        </is>
      </c>
      <c r="C3906" s="1" t="inlineStr">
        <is>
          <t>Técnico II</t>
        </is>
      </c>
      <c r="D3906" s="3" t="n">
        <v>22</v>
      </c>
      <c r="E3906" s="3" t="n">
        <v>15</v>
      </c>
      <c r="F3906" s="3" t="n">
        <v>15.01</v>
      </c>
      <c r="G3906" s="3" t="n">
        <v>0</v>
      </c>
      <c r="H3906" s="3" t="n">
        <v>0</v>
      </c>
      <c r="I3906" s="3" t="n">
        <v>0</v>
      </c>
      <c r="J3906" s="3" t="n">
        <v>0</v>
      </c>
      <c r="K3906" s="3" t="n">
        <v>0</v>
      </c>
      <c r="L3906" s="3">
        <f>IF(K3906&lt;-5,"CRÍTICO",IF(K3906&lt;0,"ATENÇÃO",IF(K3906&lt;=5,"OPORTUNO","MUITO BOM")))</f>
        <v/>
      </c>
      <c r="M3906" s="3" t="n">
        <v>17</v>
      </c>
      <c r="N3906" s="3" t="n">
        <v>97.86</v>
      </c>
      <c r="O3906" s="12" t="n">
        <v>31.01851851851852</v>
      </c>
    </row>
    <row r="3907">
      <c r="A3907" s="10" t="n">
        <v>46125</v>
      </c>
      <c r="B3907" t="inlineStr">
        <is>
          <t>Daniel Gomes da Silva</t>
        </is>
      </c>
      <c r="C3907" s="1" t="inlineStr">
        <is>
          <t>Técnico I</t>
        </is>
      </c>
      <c r="D3907" s="3" t="n">
        <v>7</v>
      </c>
      <c r="E3907" s="3" t="n">
        <v>7</v>
      </c>
      <c r="F3907" s="3" t="n">
        <v>15.2</v>
      </c>
      <c r="G3907" s="3" t="n">
        <v>0</v>
      </c>
      <c r="H3907" s="3" t="n">
        <v>0</v>
      </c>
      <c r="I3907" s="3">
        <f>E3907+G3907+H3907</f>
        <v/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/>
      </c>
      <c r="K3907" s="3">
        <f>I3907-J3907</f>
        <v/>
      </c>
      <c r="L3907" s="3">
        <f>IF(K3907&lt;-5,"CRÍTICO",IF(K3907&lt;0,"ATENÇÃO",IF(K3907&lt;=5,"OPORTUNO","MUITO BOM")))</f>
        <v/>
      </c>
      <c r="M3907" s="3" t="n">
        <v>9</v>
      </c>
      <c r="N3907" s="3" t="n">
        <v>100</v>
      </c>
      <c r="O3907" s="12" t="n">
        <v>36.59420289855073</v>
      </c>
    </row>
    <row r="3908">
      <c r="A3908" s="10" t="n">
        <v>46125</v>
      </c>
      <c r="B3908" t="inlineStr">
        <is>
          <t>Davylla Rodrigues Freitas Silva</t>
        </is>
      </c>
      <c r="C3908" s="1" t="inlineStr">
        <is>
          <t>Técnico III</t>
        </is>
      </c>
      <c r="D3908" s="3" t="n">
        <v>25</v>
      </c>
      <c r="E3908" s="3" t="n">
        <v>23</v>
      </c>
      <c r="F3908" s="3" t="n">
        <v>20.4</v>
      </c>
      <c r="G3908" s="3" t="n">
        <v>0</v>
      </c>
      <c r="H3908" s="3" t="n">
        <v>0</v>
      </c>
      <c r="I3908" s="3" t="n">
        <v>0</v>
      </c>
      <c r="J3908" s="3" t="n">
        <v>0</v>
      </c>
      <c r="K3908" s="3" t="n">
        <v>0</v>
      </c>
      <c r="L3908" s="3">
        <f>IF(K3908&lt;-5,"CRÍTICO",IF(K3908&lt;0,"ATENÇÃO",IF(K3908&lt;=5,"OPORTUNO","MUITO BOM")))</f>
        <v/>
      </c>
      <c r="M3908" s="3" t="n">
        <v>24</v>
      </c>
      <c r="N3908" s="3" t="n">
        <v>100</v>
      </c>
      <c r="O3908" s="12" t="n">
        <v>38.65384615384615</v>
      </c>
    </row>
    <row r="3909">
      <c r="A3909" s="10" t="n">
        <v>46125</v>
      </c>
      <c r="B3909" t="inlineStr">
        <is>
          <t>Emilly Caylane Costa</t>
        </is>
      </c>
      <c r="C3909" s="1" t="inlineStr">
        <is>
          <t>Estágio</t>
        </is>
      </c>
      <c r="D3909" s="3" t="n">
        <v>5</v>
      </c>
      <c r="E3909" s="3" t="n">
        <v>4</v>
      </c>
      <c r="F3909" s="3" t="n">
        <v>35.18</v>
      </c>
      <c r="G3909" s="3" t="n">
        <v>0</v>
      </c>
      <c r="H3909" s="3" t="n">
        <v>0</v>
      </c>
      <c r="I3909" s="3">
        <f>E3909+G3909+H3909</f>
        <v/>
      </c>
      <c r="J3909" s="3">
        <f>ROUND(MIN(IF(C3909="Técnico III",35,IF(C3909="Técnico II",28,IF(C3909="Técnico I",23,IF(C3909="JR",20,IF(C3909="Estágio",10,0))))),IF(C3909="Técnico III",SUMIFS($D:$D,$A:$A,$A3909,$B:$B,"&lt;&gt;Patrícia Karla de Sousa Araújo",$B:$B,"&lt;&gt;Lorena Dias de Araujo",$B:$B,"&lt;&gt;Lucas Luiz Romero")*(35/1083),IF(C3909="Técnico II",SUMIFS($D:$D,$A:$A,$A3909,$B:$B,"&lt;&gt;Patrícia Karla de Sousa Araújo",$B:$B,"&lt;&gt;Lorena Dias de Araujo",$B:$B,"&lt;&gt;Lucas Luiz Romero")*(28/1083),IF(C3909="Técnico I",SUMIFS($D:$D,$A:$A,$A3909,$B:$B,"&lt;&gt;Patrícia Karla de Sousa Araújo",$B:$B,"&lt;&gt;Lorena Dias de Araujo",$B:$B,"&lt;&gt;Lucas Luiz Romero")*(23/1083),IF(C3909="JR",SUMIFS($D:$D,$A:$A,$A3909,$B:$B,"&lt;&gt;Patrícia Karla de Sousa Araújo",$B:$B,"&lt;&gt;Lorena Dias de Araujo",$B:$B,"&lt;&gt;Lucas Luiz Romero")*(20/1083),IF(C3909="Estágio",SUMIFS($D:$D,$A:$A,$A3909,$B:$B,"&lt;&gt;Patrícia Karla de Sousa Araújo",$B:$B,"&lt;&gt;Lorena Dias de Araujo",$B:$B,"&lt;&gt;Lucas Luiz Romero")*(10/1083),0)))))),0)</f>
        <v/>
      </c>
      <c r="K3909" s="3">
        <f>I3909-J3909</f>
        <v/>
      </c>
      <c r="L3909" s="3">
        <f>IF(K3909&lt;-5,"CRÍTICO",IF(K3909&lt;0,"ATENÇÃO",IF(K3909&lt;=5,"OPORTUNO","MUITO BOM")))</f>
        <v/>
      </c>
      <c r="M3909" s="3" t="n">
        <v>3</v>
      </c>
      <c r="N3909" s="3" t="n">
        <v>100</v>
      </c>
      <c r="O3909" s="12" t="n">
        <v>27.36842105263158</v>
      </c>
    </row>
    <row r="3910">
      <c r="A3910" s="10" t="n">
        <v>46125</v>
      </c>
      <c r="B3910" t="inlineStr">
        <is>
          <t>Emilly Kamilly Medeiros Miranda</t>
        </is>
      </c>
      <c r="C3910" s="1" t="inlineStr">
        <is>
          <t>Técnico II</t>
        </is>
      </c>
      <c r="D3910" s="3" t="n">
        <v>27</v>
      </c>
      <c r="E3910" s="3" t="n">
        <v>26</v>
      </c>
      <c r="F3910" s="3" t="n">
        <v>15.35</v>
      </c>
      <c r="G3910" s="3" t="n">
        <v>0</v>
      </c>
      <c r="H3910" s="3" t="n">
        <v>0</v>
      </c>
      <c r="I3910" s="3">
        <f>E3910+G3910+H3910</f>
        <v/>
      </c>
      <c r="J3910" s="3">
        <f>ROUND(MIN(IF(C3910="Técnico III",35,IF(C3910="Técnico II",28,IF(C3910="Técnico I",23,IF(C3910="JR",20,IF(C3910="Estágio",10,0))))),IF(C3910="Técnico III",SUMIFS($D:$D,$A:$A,$A3910,$B:$B,"&lt;&gt;Patrícia Karla de Sousa Araújo",$B:$B,"&lt;&gt;Lorena Dias de Araujo",$B:$B,"&lt;&gt;Lucas Luiz Romero")*(35/1083),IF(C3910="Técnico II",SUMIFS($D:$D,$A:$A,$A3910,$B:$B,"&lt;&gt;Patrícia Karla de Sousa Araújo",$B:$B,"&lt;&gt;Lorena Dias de Araujo",$B:$B,"&lt;&gt;Lucas Luiz Romero")*(28/1083),IF(C3910="Técnico I",SUMIFS($D:$D,$A:$A,$A3910,$B:$B,"&lt;&gt;Patrícia Karla de Sousa Araújo",$B:$B,"&lt;&gt;Lorena Dias de Araujo",$B:$B,"&lt;&gt;Lucas Luiz Romero")*(23/1083),IF(C3910="JR",SUMIFS($D:$D,$A:$A,$A3910,$B:$B,"&lt;&gt;Patrícia Karla de Sousa Araújo",$B:$B,"&lt;&gt;Lorena Dias de Araujo",$B:$B,"&lt;&gt;Lucas Luiz Romero")*(20/1083),IF(C3910="Estágio",SUMIFS($D:$D,$A:$A,$A3910,$B:$B,"&lt;&gt;Patrícia Karla de Sousa Araújo",$B:$B,"&lt;&gt;Lorena Dias de Araujo",$B:$B,"&lt;&gt;Lucas Luiz Romero")*(10/1083),0)))))),0)</f>
        <v/>
      </c>
      <c r="K3910" s="3">
        <f>I3910-J3910</f>
        <v/>
      </c>
      <c r="L3910" s="3">
        <f>IF(K3910&lt;-5,"CRÍTICO",IF(K3910&lt;0,"ATENÇÃO",IF(K3910&lt;=5,"OPORTUNO","MUITO BOM")))</f>
        <v/>
      </c>
      <c r="M3910" s="3" t="n">
        <v>23</v>
      </c>
      <c r="N3910" s="3" t="n">
        <v>97.83</v>
      </c>
      <c r="O3910" s="12" t="n">
        <v>28.35164835164835</v>
      </c>
    </row>
    <row r="3911">
      <c r="A3911" s="10" t="n">
        <v>46125</v>
      </c>
      <c r="B3911" t="inlineStr">
        <is>
          <t>Francielson de Oliveira</t>
        </is>
      </c>
      <c r="C3911" s="1" t="inlineStr">
        <is>
          <t>Técnico III</t>
        </is>
      </c>
      <c r="D3911" s="3" t="n">
        <v>28</v>
      </c>
      <c r="E3911" s="3" t="n">
        <v>28</v>
      </c>
      <c r="F3911" s="3" t="n">
        <v>14</v>
      </c>
      <c r="G3911" s="3" t="n">
        <v>0</v>
      </c>
      <c r="H3911" s="3" t="n">
        <v>0</v>
      </c>
      <c r="I3911" s="3">
        <f>E3911+G3911+H3911</f>
        <v/>
      </c>
      <c r="J3911" s="3">
        <f>ROUND(MIN(IF(C3911="Técnico III",35,IF(C3911="Técnico II",28,IF(C3911="Técnico I",23,IF(C3911="JR",20,IF(C3911="Estágio",10,0))))),IF(C3911="Técnico III",SUMIFS($D:$D,$A:$A,$A3911,$B:$B,"&lt;&gt;Patrícia Karla de Sousa Araújo",$B:$B,"&lt;&gt;Lorena Dias de Araujo",$B:$B,"&lt;&gt;Lucas Luiz Romero")*(35/1083),IF(C3911="Técnico II",SUMIFS($D:$D,$A:$A,$A3911,$B:$B,"&lt;&gt;Patrícia Karla de Sousa Araújo",$B:$B,"&lt;&gt;Lorena Dias de Araujo",$B:$B,"&lt;&gt;Lucas Luiz Romero")*(28/1083),IF(C3911="Técnico I",SUMIFS($D:$D,$A:$A,$A3911,$B:$B,"&lt;&gt;Patrícia Karla de Sousa Araújo",$B:$B,"&lt;&gt;Lorena Dias de Araujo",$B:$B,"&lt;&gt;Lucas Luiz Romero")*(23/1083),IF(C3911="JR",SUMIFS($D:$D,$A:$A,$A3911,$B:$B,"&lt;&gt;Patrícia Karla de Sousa Araújo",$B:$B,"&lt;&gt;Lorena Dias de Araujo",$B:$B,"&lt;&gt;Lucas Luiz Romero")*(20/1083),IF(C3911="Estágio",SUMIFS($D:$D,$A:$A,$A3911,$B:$B,"&lt;&gt;Patrícia Karla de Sousa Araújo",$B:$B,"&lt;&gt;Lorena Dias de Araujo",$B:$B,"&lt;&gt;Lucas Luiz Romero")*(10/1083),0)))))),0)</f>
        <v/>
      </c>
      <c r="K3911" s="3">
        <f>I3911-J3911</f>
        <v/>
      </c>
      <c r="L3911" s="3">
        <f>IF(K3911&lt;-5,"CRÍTICO",IF(K3911&lt;0,"ATENÇÃO",IF(K3911&lt;=5,"OPORTUNO","MUITO BOM")))</f>
        <v/>
      </c>
      <c r="M3911" s="3" t="n">
        <v>29</v>
      </c>
      <c r="N3911" s="3" t="n">
        <v>99.26000000000001</v>
      </c>
      <c r="O3911" s="12" t="n">
        <v>29.76653696498055</v>
      </c>
    </row>
    <row r="3912">
      <c r="A3912" s="10" t="n">
        <v>46125</v>
      </c>
      <c r="B3912" t="inlineStr">
        <is>
          <t>Francilene Ferreira de Jesus</t>
        </is>
      </c>
      <c r="C3912" s="1" t="inlineStr">
        <is>
          <t>Técnico II</t>
        </is>
      </c>
      <c r="D3912" s="3" t="n">
        <v>21</v>
      </c>
      <c r="E3912" s="3" t="n">
        <v>18</v>
      </c>
      <c r="F3912" s="3" t="n">
        <v>15.43</v>
      </c>
      <c r="G3912" s="3" t="n">
        <v>0</v>
      </c>
      <c r="H3912" s="3" t="n">
        <v>0</v>
      </c>
      <c r="I3912" s="3">
        <f>E3912+G3912+H3912</f>
        <v/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/>
      </c>
      <c r="K3912" s="3">
        <f>I3912-J3912</f>
        <v/>
      </c>
      <c r="L3912" s="3">
        <f>IF(K3912&lt;-5,"CRÍTICO",IF(K3912&lt;0,"ATENÇÃO",IF(K3912&lt;=5,"OPORTUNO","MUITO BOM")))</f>
        <v/>
      </c>
      <c r="M3912" s="3" t="n">
        <v>15</v>
      </c>
      <c r="N3912" s="3" t="n">
        <v>99.19</v>
      </c>
      <c r="O3912" s="12" t="n">
        <v>29.46236559139785</v>
      </c>
    </row>
    <row r="3913">
      <c r="A3913" s="7" t="n">
        <v>46161</v>
      </c>
      <c r="B3913" s="8" t="inlineStr">
        <is>
          <t>Clessiane Pereira dos Santos</t>
        </is>
      </c>
      <c r="C3913" s="1" t="inlineStr">
        <is>
          <t>Técnico I</t>
        </is>
      </c>
      <c r="D3913" s="3" t="n">
        <v>26</v>
      </c>
      <c r="E3913" s="3" t="n">
        <v>25</v>
      </c>
      <c r="F3913" s="3" t="n">
        <v>15.02</v>
      </c>
      <c r="G3913" s="3" t="n">
        <v>1</v>
      </c>
      <c r="H3913" s="3" t="n">
        <v>0</v>
      </c>
      <c r="I3913" s="3" t="n">
        <v>26</v>
      </c>
      <c r="J3913" s="3" t="n">
        <v>19</v>
      </c>
      <c r="K3913" s="3" t="n">
        <v>7</v>
      </c>
      <c r="L3913" s="3" t="inlineStr">
        <is>
          <t>EXCELENTE</t>
        </is>
      </c>
      <c r="M3913" s="3" t="n">
        <v>19</v>
      </c>
      <c r="N3913" s="3" t="n">
        <v>97.48</v>
      </c>
      <c r="O3913" s="12" t="n">
        <v>22.99465240641711</v>
      </c>
    </row>
    <row r="3914">
      <c r="A3914" s="10" t="n">
        <v>46125</v>
      </c>
      <c r="B3914" t="inlineStr">
        <is>
          <t>Isabella Borges de Oliveira</t>
        </is>
      </c>
      <c r="C3914" s="1" t="inlineStr">
        <is>
          <t>Técnico II</t>
        </is>
      </c>
      <c r="D3914" s="3" t="n">
        <v>0</v>
      </c>
      <c r="E3914" s="3" t="n">
        <v>0</v>
      </c>
      <c r="F3914" s="3" t="n">
        <v>0</v>
      </c>
      <c r="G3914" s="3" t="n">
        <v>0</v>
      </c>
      <c r="H3914" s="3" t="n">
        <v>0</v>
      </c>
      <c r="I3914" s="3" t="n">
        <v>0</v>
      </c>
      <c r="J3914" s="3" t="n">
        <v>0</v>
      </c>
      <c r="K3914" s="3" t="n">
        <v>0</v>
      </c>
      <c r="L3914" s="3">
        <f>IF(K3914&lt;-5,"CRÍTICO",IF(K3914&lt;0,"ATENÇÃO",IF(K3914&lt;=5,"OPORTUNO","MUITO BOM")))</f>
        <v/>
      </c>
      <c r="M3914" s="3" t="n">
        <v>0</v>
      </c>
      <c r="N3914" s="3" t="n">
        <v>100</v>
      </c>
      <c r="O3914" s="12" t="n">
        <v>28.92156862745098</v>
      </c>
    </row>
    <row r="3915">
      <c r="A3915" s="10" t="n">
        <v>46125</v>
      </c>
      <c r="B3915" t="inlineStr">
        <is>
          <t>Janaina Lima dos Reis Urany</t>
        </is>
      </c>
      <c r="C3915" s="1" t="inlineStr">
        <is>
          <t>Técnico III</t>
        </is>
      </c>
      <c r="D3915" s="3" t="n">
        <v>39</v>
      </c>
      <c r="E3915" s="3" t="n">
        <v>35</v>
      </c>
      <c r="F3915" s="3" t="n">
        <v>12.12</v>
      </c>
      <c r="G3915" s="3" t="n">
        <v>0</v>
      </c>
      <c r="H3915" s="3" t="n">
        <v>0</v>
      </c>
      <c r="I3915" s="3">
        <f>E3915+G3915+H3915</f>
        <v/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/>
      </c>
      <c r="K3915" s="3">
        <f>I3915-J3915</f>
        <v/>
      </c>
      <c r="L3915" s="3">
        <f>IF(K3915&lt;-5,"CRÍTICO",IF(K3915&lt;0,"ATENÇÃO",IF(K3915&lt;=5,"OPORTUNO","MUITO BOM")))</f>
        <v/>
      </c>
      <c r="M3915" s="3" t="n">
        <v>37</v>
      </c>
      <c r="N3915" s="3" t="n">
        <v>99.56999999999999</v>
      </c>
      <c r="O3915" s="12" t="n">
        <v>30.63583815028902</v>
      </c>
    </row>
    <row r="3916">
      <c r="A3916" s="10" t="n">
        <v>46125</v>
      </c>
      <c r="B3916" t="inlineStr">
        <is>
          <t>Jaqueline Evangelista da Silva Martins</t>
        </is>
      </c>
      <c r="C3916" s="1" t="inlineStr">
        <is>
          <t>Técnico III</t>
        </is>
      </c>
      <c r="D3916" s="3" t="n">
        <v>0</v>
      </c>
      <c r="E3916" s="3" t="n">
        <v>0</v>
      </c>
      <c r="F3916" s="3" t="n">
        <v>0</v>
      </c>
      <c r="G3916" s="3" t="n">
        <v>0</v>
      </c>
      <c r="H3916" s="3" t="n">
        <v>0</v>
      </c>
      <c r="I3916" s="3" t="n">
        <v>0</v>
      </c>
      <c r="J3916" s="3" t="n">
        <v>0</v>
      </c>
      <c r="K3916" s="3" t="n">
        <v>0</v>
      </c>
      <c r="L3916" s="3">
        <f>IF(K3916&lt;-5,"CRÍTICO",IF(K3916&lt;0,"ATENÇÃO",IF(K3916&lt;=5,"OPORTUNO","MUITO BOM")))</f>
        <v/>
      </c>
      <c r="M3916" s="3" t="n">
        <v>0</v>
      </c>
      <c r="N3916" s="3" t="n">
        <v>95.65000000000001</v>
      </c>
      <c r="O3916" s="12" t="n">
        <v>32.43243243243244</v>
      </c>
    </row>
    <row r="3917">
      <c r="A3917" s="10" t="n">
        <v>46125</v>
      </c>
      <c r="B3917" t="inlineStr">
        <is>
          <t>Jessica Faria da Silveira</t>
        </is>
      </c>
      <c r="C3917" s="1" t="inlineStr">
        <is>
          <t>Técnico II</t>
        </is>
      </c>
      <c r="D3917" s="3" t="n">
        <v>24</v>
      </c>
      <c r="E3917" s="3" t="n">
        <v>22</v>
      </c>
      <c r="F3917" s="3" t="n">
        <v>19.13</v>
      </c>
      <c r="G3917" s="3" t="n">
        <v>0</v>
      </c>
      <c r="H3917" s="3" t="n">
        <v>0</v>
      </c>
      <c r="I3917" s="3">
        <f>E3917+G3917+H3917</f>
        <v/>
      </c>
      <c r="J3917" s="3">
        <f>ROUND(MIN(IF(C3917="Técnico III",35,IF(C3917="Técnico II",28,IF(C3917="Técnico I",23,IF(C3917="JR",20,IF(C3917="Estágio",10,0))))),IF(C3917="Técnico III",SUMIFS($D:$D,$A:$A,$A3917,$B:$B,"&lt;&gt;Patrícia Karla de Sousa Araújo",$B:$B,"&lt;&gt;Lorena Dias de Araujo",$B:$B,"&lt;&gt;Lucas Luiz Romero")*(35/1083),IF(C3917="Técnico II",SUMIFS($D:$D,$A:$A,$A3917,$B:$B,"&lt;&gt;Patrícia Karla de Sousa Araújo",$B:$B,"&lt;&gt;Lorena Dias de Araujo",$B:$B,"&lt;&gt;Lucas Luiz Romero")*(28/1083),IF(C3917="Técnico I",SUMIFS($D:$D,$A:$A,$A3917,$B:$B,"&lt;&gt;Patrícia Karla de Sousa Araújo",$B:$B,"&lt;&gt;Lorena Dias de Araujo",$B:$B,"&lt;&gt;Lucas Luiz Romero")*(23/1083),IF(C3917="JR",SUMIFS($D:$D,$A:$A,$A3917,$B:$B,"&lt;&gt;Patrícia Karla de Sousa Araújo",$B:$B,"&lt;&gt;Lorena Dias de Araujo",$B:$B,"&lt;&gt;Lucas Luiz Romero")*(20/1083),IF(C3917="Estágio",SUMIFS($D:$D,$A:$A,$A3917,$B:$B,"&lt;&gt;Patrícia Karla de Sousa Araújo",$B:$B,"&lt;&gt;Lorena Dias de Araujo",$B:$B,"&lt;&gt;Lucas Luiz Romero")*(10/1083),0)))))),0)</f>
        <v/>
      </c>
      <c r="K3917" s="3">
        <f>I3917-J3917</f>
        <v/>
      </c>
      <c r="L3917" s="3">
        <f>IF(K3917&lt;-5,"CRÍTICO",IF(K3917&lt;0,"ATENÇÃO",IF(K3917&lt;=5,"OPORTUNO","MUITO BOM")))</f>
        <v/>
      </c>
      <c r="M3917" s="3" t="n">
        <v>18</v>
      </c>
      <c r="N3917" s="3" t="n">
        <v>98.81</v>
      </c>
      <c r="O3917" s="12" t="n">
        <v>26.25698324022346</v>
      </c>
    </row>
    <row r="3918">
      <c r="A3918" s="10" t="n">
        <v>46125</v>
      </c>
      <c r="B3918" t="inlineStr">
        <is>
          <t>Jéssica Fé Moura</t>
        </is>
      </c>
      <c r="C3918" s="1" t="inlineStr">
        <is>
          <t>Técnico III</t>
        </is>
      </c>
      <c r="D3918" s="3" t="n">
        <v>0</v>
      </c>
      <c r="E3918" s="3" t="n">
        <v>0</v>
      </c>
      <c r="F3918" s="3" t="n">
        <v>0</v>
      </c>
      <c r="G3918" s="3" t="n">
        <v>0</v>
      </c>
      <c r="H3918" s="3" t="n">
        <v>0</v>
      </c>
      <c r="I3918" s="3" t="n">
        <v>0</v>
      </c>
      <c r="J3918" s="3" t="n">
        <v>0</v>
      </c>
      <c r="K3918" s="3" t="n">
        <v>0</v>
      </c>
      <c r="L3918" s="3">
        <f>IF(K3918&lt;-5,"CRÍTICO",IF(K3918&lt;0,"ATENÇÃO",IF(K3918&lt;=5,"OPORTUNO","MUITO BOM")))</f>
        <v/>
      </c>
      <c r="M3918" s="3" t="n">
        <v>0</v>
      </c>
      <c r="N3918" s="3" t="n">
        <v>0</v>
      </c>
      <c r="O3918" s="12" t="n">
        <v>0</v>
      </c>
    </row>
    <row r="3919">
      <c r="A3919" s="10" t="n">
        <v>46125</v>
      </c>
      <c r="B3919" t="inlineStr">
        <is>
          <t>Karina Gonçalves Martins</t>
        </is>
      </c>
      <c r="C3919" s="1" t="inlineStr">
        <is>
          <t>JR</t>
        </is>
      </c>
      <c r="D3919" s="3" t="n">
        <v>22</v>
      </c>
      <c r="E3919" s="3" t="n">
        <v>21</v>
      </c>
      <c r="F3919" s="3" t="n">
        <v>19.02</v>
      </c>
      <c r="G3919" s="3" t="n">
        <v>0</v>
      </c>
      <c r="H3919" s="3" t="n">
        <v>0</v>
      </c>
      <c r="I3919" s="3">
        <f>E3919+G3919+H3919</f>
        <v/>
      </c>
      <c r="J3919" s="3">
        <f>ROUND(MIN(IF(C3919="Técnico III",35,IF(C3919="Técnico II",28,IF(C3919="Técnico I",23,IF(C3919="JR",20,IF(C3919="Estágio",10,0))))),IF(C3919="Técnico III",SUMIFS($D:$D,$A:$A,$A3919,$B:$B,"&lt;&gt;Patrícia Karla de Sousa Araújo",$B:$B,"&lt;&gt;Lorena Dias de Araujo",$B:$B,"&lt;&gt;Lucas Luiz Romero")*(35/1083),IF(C3919="Técnico II",SUMIFS($D:$D,$A:$A,$A3919,$B:$B,"&lt;&gt;Patrícia Karla de Sousa Araújo",$B:$B,"&lt;&gt;Lorena Dias de Araujo",$B:$B,"&lt;&gt;Lucas Luiz Romero")*(28/1083),IF(C3919="Técnico I",SUMIFS($D:$D,$A:$A,$A3919,$B:$B,"&lt;&gt;Patrícia Karla de Sousa Araújo",$B:$B,"&lt;&gt;Lorena Dias de Araujo",$B:$B,"&lt;&gt;Lucas Luiz Romero")*(23/1083),IF(C3919="JR",SUMIFS($D:$D,$A:$A,$A3919,$B:$B,"&lt;&gt;Patrícia Karla de Sousa Araújo",$B:$B,"&lt;&gt;Lorena Dias de Araujo",$B:$B,"&lt;&gt;Lucas Luiz Romero")*(20/1083),IF(C3919="Estágio",SUMIFS($D:$D,$A:$A,$A3919,$B:$B,"&lt;&gt;Patrícia Karla de Sousa Araújo",$B:$B,"&lt;&gt;Lorena Dias de Araujo",$B:$B,"&lt;&gt;Lucas Luiz Romero")*(10/1083),0)))))),0)</f>
        <v/>
      </c>
      <c r="K3919" s="3">
        <f>I3919-J3919</f>
        <v/>
      </c>
      <c r="L3919" s="3">
        <f>IF(K3919&lt;-5,"CRÍTICO",IF(K3919&lt;0,"ATENÇÃO",IF(K3919&lt;=5,"OPORTUNO","MUITO BOM")))</f>
        <v/>
      </c>
      <c r="M3919" s="3" t="n">
        <v>24</v>
      </c>
      <c r="N3919" s="3" t="n">
        <v>97.17</v>
      </c>
      <c r="O3919" s="12" t="n">
        <v>28.81844380403458</v>
      </c>
    </row>
    <row r="3920">
      <c r="A3920" s="10" t="n">
        <v>46125</v>
      </c>
      <c r="B3920" t="inlineStr">
        <is>
          <t>Kerollen Cristielly de Jesus Siqueira</t>
        </is>
      </c>
      <c r="C3920" s="1" t="inlineStr">
        <is>
          <t>Técnico III</t>
        </is>
      </c>
      <c r="D3920" s="3" t="n">
        <v>15</v>
      </c>
      <c r="E3920" s="3" t="n">
        <v>15</v>
      </c>
      <c r="F3920" s="3" t="n">
        <v>25.06</v>
      </c>
      <c r="G3920" s="3" t="n">
        <v>0</v>
      </c>
      <c r="H3920" s="3" t="n">
        <v>0</v>
      </c>
      <c r="I3920" s="3">
        <f>E3920+G3920+H3920</f>
        <v/>
      </c>
      <c r="J3920" s="3">
        <f>ROUND(MIN(IF(C3920="Técnico III",35,IF(C3920="Técnico II",28,IF(C3920="Técnico I",23,IF(C3920="JR",20,IF(C3920="Estágio",10,0))))),IF(C3920="Técnico III",SUMIFS($D:$D,$A:$A,$A3920,$B:$B,"&lt;&gt;Patrícia Karla de Sousa Araújo",$B:$B,"&lt;&gt;Lorena Dias de Araujo",$B:$B,"&lt;&gt;Lucas Luiz Romero")*(35/1083),IF(C3920="Técnico II",SUMIFS($D:$D,$A:$A,$A3920,$B:$B,"&lt;&gt;Patrícia Karla de Sousa Araújo",$B:$B,"&lt;&gt;Lorena Dias de Araujo",$B:$B,"&lt;&gt;Lucas Luiz Romero")*(28/1083),IF(C3920="Técnico I",SUMIFS($D:$D,$A:$A,$A3920,$B:$B,"&lt;&gt;Patrícia Karla de Sousa Araújo",$B:$B,"&lt;&gt;Lorena Dias de Araujo",$B:$B,"&lt;&gt;Lucas Luiz Romero")*(23/1083),IF(C3920="JR",SUMIFS($D:$D,$A:$A,$A3920,$B:$B,"&lt;&gt;Patrícia Karla de Sousa Araújo",$B:$B,"&lt;&gt;Lorena Dias de Araujo",$B:$B,"&lt;&gt;Lucas Luiz Romero")*(20/1083),IF(C3920="Estágio",SUMIFS($D:$D,$A:$A,$A3920,$B:$B,"&lt;&gt;Patrícia Karla de Sousa Araújo",$B:$B,"&lt;&gt;Lorena Dias de Araujo",$B:$B,"&lt;&gt;Lucas Luiz Romero")*(10/1083),0)))))),0)</f>
        <v/>
      </c>
      <c r="K3920" s="3">
        <f>I3920-J3920</f>
        <v/>
      </c>
      <c r="L3920" s="3">
        <f>IF(K3920&lt;-5,"CRÍTICO",IF(K3920&lt;0,"ATENÇÃO",IF(K3920&lt;=5,"OPORTUNO","MUITO BOM")))</f>
        <v/>
      </c>
      <c r="M3920" s="3" t="n">
        <v>18</v>
      </c>
      <c r="N3920" s="3" t="n">
        <v>96.81</v>
      </c>
      <c r="O3920" s="12" t="n">
        <v>48.01864801864802</v>
      </c>
    </row>
    <row r="3921">
      <c r="A3921" s="10" t="n">
        <v>46125</v>
      </c>
      <c r="B3921" t="inlineStr">
        <is>
          <t>Leandro de Souza Silva</t>
        </is>
      </c>
      <c r="C3921" s="1" t="inlineStr">
        <is>
          <t>JR</t>
        </is>
      </c>
      <c r="D3921" s="3" t="n">
        <v>19</v>
      </c>
      <c r="E3921" s="3" t="n">
        <v>17</v>
      </c>
      <c r="F3921" s="3" t="n">
        <v>20.57</v>
      </c>
      <c r="G3921" s="3" t="n">
        <v>0</v>
      </c>
      <c r="H3921" s="3" t="n">
        <v>0</v>
      </c>
      <c r="I3921" s="3">
        <f>E3921+G3921+H3921</f>
        <v/>
      </c>
      <c r="J3921" s="3">
        <f>ROUND(MIN(IF(C3921="Técnico III",35,IF(C3921="Técnico II",28,IF(C3921="Técnico I",23,IF(C3921="JR",20,IF(C3921="Estágio",10,0))))),IF(C3921="Técnico III",SUMIFS($D:$D,$A:$A,$A3921,$B:$B,"&lt;&gt;Patrícia Karla de Sousa Araújo",$B:$B,"&lt;&gt;Lorena Dias de Araujo",$B:$B,"&lt;&gt;Lucas Luiz Romero")*(35/1083),IF(C3921="Técnico II",SUMIFS($D:$D,$A:$A,$A3921,$B:$B,"&lt;&gt;Patrícia Karla de Sousa Araújo",$B:$B,"&lt;&gt;Lorena Dias de Araujo",$B:$B,"&lt;&gt;Lucas Luiz Romero")*(28/1083),IF(C3921="Técnico I",SUMIFS($D:$D,$A:$A,$A3921,$B:$B,"&lt;&gt;Patrícia Karla de Sousa Araújo",$B:$B,"&lt;&gt;Lorena Dias de Araujo",$B:$B,"&lt;&gt;Lucas Luiz Romero")*(23/1083),IF(C3921="JR",SUMIFS($D:$D,$A:$A,$A3921,$B:$B,"&lt;&gt;Patrícia Karla de Sousa Araújo",$B:$B,"&lt;&gt;Lorena Dias de Araujo",$B:$B,"&lt;&gt;Lucas Luiz Romero")*(20/1083),IF(C3921="Estágio",SUMIFS($D:$D,$A:$A,$A3921,$B:$B,"&lt;&gt;Patrícia Karla de Sousa Araújo",$B:$B,"&lt;&gt;Lorena Dias de Araujo",$B:$B,"&lt;&gt;Lucas Luiz Romero")*(10/1083),0)))))),0)</f>
        <v/>
      </c>
      <c r="K3921" s="3">
        <f>I3921-J3921</f>
        <v/>
      </c>
      <c r="L3921" s="3">
        <f>IF(K3921&lt;-5,"CRÍTICO",IF(K3921&lt;0,"ATENÇÃO",IF(K3921&lt;=5,"OPORTUNO","MUITO BOM")))</f>
        <v/>
      </c>
      <c r="M3921" s="3" t="n">
        <v>14</v>
      </c>
      <c r="N3921" s="3" t="n">
        <v>98.15000000000001</v>
      </c>
      <c r="O3921" s="12" t="n">
        <v>27.1551724137931</v>
      </c>
    </row>
    <row r="3922">
      <c r="A3922" s="10" t="n">
        <v>46125</v>
      </c>
      <c r="B3922" t="inlineStr">
        <is>
          <t>Leandro Oliveira de Sousa</t>
        </is>
      </c>
      <c r="C3922" s="1" t="inlineStr">
        <is>
          <t>Técnico III</t>
        </is>
      </c>
      <c r="D3922" s="3" t="n">
        <v>22</v>
      </c>
      <c r="E3922" s="3" t="n">
        <v>21</v>
      </c>
      <c r="F3922" s="3" t="n">
        <v>25.24</v>
      </c>
      <c r="G3922" s="3" t="n">
        <v>0</v>
      </c>
      <c r="H3922" s="3" t="n">
        <v>0</v>
      </c>
      <c r="I3922" s="3">
        <f>E3922+G3922+H3922</f>
        <v/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/>
      </c>
      <c r="K3922" s="3">
        <f>I3922-J3922</f>
        <v/>
      </c>
      <c r="L3922" s="3">
        <f>IF(K3922&lt;-5,"CRÍTICO",IF(K3922&lt;0,"ATENÇÃO",IF(K3922&lt;=5,"OPORTUNO","MUITO BOM")))</f>
        <v/>
      </c>
      <c r="M3922" s="3" t="n">
        <v>17</v>
      </c>
      <c r="N3922" s="3" t="n">
        <v>99.15000000000001</v>
      </c>
      <c r="O3922" s="12" t="n">
        <v>27.58620689655172</v>
      </c>
    </row>
    <row r="3923">
      <c r="A3923" s="10" t="n">
        <v>46125</v>
      </c>
      <c r="B3923" t="inlineStr">
        <is>
          <t>Lizandra Gomes Duarte</t>
        </is>
      </c>
      <c r="C3923" s="1" t="inlineStr">
        <is>
          <t>Técnico II</t>
        </is>
      </c>
      <c r="D3923" s="3" t="n">
        <v>28</v>
      </c>
      <c r="E3923" s="3" t="n">
        <v>22</v>
      </c>
      <c r="F3923" s="3" t="n">
        <v>20.38</v>
      </c>
      <c r="G3923" s="3" t="n">
        <v>0</v>
      </c>
      <c r="H3923" s="3" t="n">
        <v>0</v>
      </c>
      <c r="I3923" s="3">
        <f>E3923+G3923+H3923</f>
        <v/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/>
      </c>
      <c r="K3923" s="3">
        <f>I3923-J3923</f>
        <v/>
      </c>
      <c r="L3923" s="3">
        <f>IF(K3923&lt;-5,"CRÍTICO",IF(K3923&lt;0,"ATENÇÃO",IF(K3923&lt;=5,"OPORTUNO","MUITO BOM")))</f>
        <v/>
      </c>
      <c r="M3923" s="3" t="n">
        <v>17</v>
      </c>
      <c r="N3923" s="3" t="n">
        <v>99.17</v>
      </c>
      <c r="O3923" s="12" t="n">
        <v>29.75206611570248</v>
      </c>
    </row>
    <row r="3924">
      <c r="A3924" s="10" t="n">
        <v>46125</v>
      </c>
      <c r="B3924" t="inlineStr">
        <is>
          <t>Lorena Dias de Araujo</t>
        </is>
      </c>
      <c r="C3924" s="1" t="inlineStr">
        <is>
          <t>Técnico II</t>
        </is>
      </c>
      <c r="D3924" s="3" t="n">
        <v>0</v>
      </c>
      <c r="E3924" s="3" t="n">
        <v>0</v>
      </c>
      <c r="F3924" s="3" t="n">
        <v>0</v>
      </c>
      <c r="G3924" s="3" t="n">
        <v>0</v>
      </c>
      <c r="H3924" s="3" t="n">
        <v>0</v>
      </c>
      <c r="I3924" s="3" t="n">
        <v>0</v>
      </c>
      <c r="J3924" s="3" t="n">
        <v>0</v>
      </c>
      <c r="K3924" s="3" t="n">
        <v>0</v>
      </c>
      <c r="L3924" s="3">
        <f>IF(K3924&lt;-5,"CRÍTICO",IF(K3924&lt;0,"ATENÇÃO",IF(K3924&lt;=5,"OPORTUNO","MUITO BOM")))</f>
        <v/>
      </c>
      <c r="M3924" s="3" t="n">
        <v>0</v>
      </c>
      <c r="N3924" s="3" t="n">
        <v>98.73</v>
      </c>
      <c r="O3924" s="12" t="n">
        <v>28.96174863387978</v>
      </c>
    </row>
    <row r="3925">
      <c r="A3925" s="10" t="n">
        <v>46125</v>
      </c>
      <c r="B3925" t="inlineStr">
        <is>
          <t>Lucas Luiz Romero</t>
        </is>
      </c>
      <c r="C3925" s="1" t="inlineStr">
        <is>
          <t>Técnico III</t>
        </is>
      </c>
      <c r="D3925" s="3" t="n">
        <v>44</v>
      </c>
      <c r="E3925" s="3" t="n">
        <v>31</v>
      </c>
      <c r="F3925" s="3" t="n">
        <v>10.22</v>
      </c>
      <c r="G3925" s="3" t="n">
        <v>0</v>
      </c>
      <c r="H3925" s="3" t="n">
        <v>0</v>
      </c>
      <c r="I3925" s="3">
        <f>E3925+G3925+H3925</f>
        <v/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/>
      </c>
      <c r="K3925" s="3">
        <f>I3925-J3925</f>
        <v/>
      </c>
      <c r="L3925" s="3">
        <f>IF(K3925&lt;-5,"CRÍTICO",IF(K3925&lt;0,"ATENÇÃO",IF(K3925&lt;=5,"OPORTUNO","MUITO BOM")))</f>
        <v/>
      </c>
      <c r="M3925" s="3" t="n">
        <v>25</v>
      </c>
      <c r="N3925" s="3" t="n">
        <v>88.68000000000001</v>
      </c>
      <c r="O3925" s="12" t="n">
        <v>22.03389830508474</v>
      </c>
    </row>
    <row r="3926">
      <c r="A3926" s="10" t="n">
        <v>46125</v>
      </c>
      <c r="B3926" t="inlineStr">
        <is>
          <t>Luiz Fernando de Carvalho Junior</t>
        </is>
      </c>
      <c r="C3926" s="1" t="inlineStr">
        <is>
          <t>Técnico I</t>
        </is>
      </c>
      <c r="D3926" s="3" t="n">
        <v>26</v>
      </c>
      <c r="E3926" s="3" t="n">
        <v>25</v>
      </c>
      <c r="F3926" s="3" t="n">
        <v>15.12</v>
      </c>
      <c r="G3926" s="3" t="n">
        <v>0</v>
      </c>
      <c r="H3926" s="3" t="n">
        <v>0</v>
      </c>
      <c r="I3926" s="3">
        <f>E3926+G3926+H3926</f>
        <v/>
      </c>
      <c r="J3926" s="3">
        <f>ROUND(MIN(IF(C3926="Técnico III",35,IF(C3926="Técnico II",28,IF(C3926="Técnico I",23,IF(C3926="JR",20,IF(C3926="Estágio",10,0))))),IF(C3926="Técnico III",SUMIFS($D:$D,$A:$A,$A3926,$B:$B,"&lt;&gt;Patrícia Karla de Sousa Araújo",$B:$B,"&lt;&gt;Lorena Dias de Araujo",$B:$B,"&lt;&gt;Lucas Luiz Romero")*(35/1083),IF(C3926="Técnico II",SUMIFS($D:$D,$A:$A,$A3926,$B:$B,"&lt;&gt;Patrícia Karla de Sousa Araújo",$B:$B,"&lt;&gt;Lorena Dias de Araujo",$B:$B,"&lt;&gt;Lucas Luiz Romero")*(28/1083),IF(C3926="Técnico I",SUMIFS($D:$D,$A:$A,$A3926,$B:$B,"&lt;&gt;Patrícia Karla de Sousa Araújo",$B:$B,"&lt;&gt;Lorena Dias de Araujo",$B:$B,"&lt;&gt;Lucas Luiz Romero")*(23/1083),IF(C3926="JR",SUMIFS($D:$D,$A:$A,$A3926,$B:$B,"&lt;&gt;Patrícia Karla de Sousa Araújo",$B:$B,"&lt;&gt;Lorena Dias de Araujo",$B:$B,"&lt;&gt;Lucas Luiz Romero")*(20/1083),IF(C3926="Estágio",SUMIFS($D:$D,$A:$A,$A3926,$B:$B,"&lt;&gt;Patrícia Karla de Sousa Araújo",$B:$B,"&lt;&gt;Lorena Dias de Araujo",$B:$B,"&lt;&gt;Lucas Luiz Romero")*(10/1083),0)))))),0)</f>
        <v/>
      </c>
      <c r="K3926" s="3">
        <f>I3926-J3926</f>
        <v/>
      </c>
      <c r="L3926" s="3">
        <f>IF(K3926&lt;-5,"CRÍTICO",IF(K3926&lt;0,"ATENÇÃO",IF(K3926&lt;=5,"OPORTUNO","MUITO BOM")))</f>
        <v/>
      </c>
      <c r="M3926" s="3" t="n">
        <v>24</v>
      </c>
      <c r="N3926" s="3" t="n">
        <v>97.37</v>
      </c>
      <c r="O3926" s="12" t="n">
        <v>25.76530612244898</v>
      </c>
    </row>
    <row r="3927">
      <c r="A3927" s="10" t="n">
        <v>46125</v>
      </c>
      <c r="B3927" t="inlineStr">
        <is>
          <t>Maria Eduarda Sousa Costa</t>
        </is>
      </c>
      <c r="C3927" s="1" t="inlineStr">
        <is>
          <t>Estágio</t>
        </is>
      </c>
      <c r="D3927" s="3" t="n">
        <v>0</v>
      </c>
      <c r="E3927" s="3" t="n">
        <v>0</v>
      </c>
      <c r="F3927" s="3" t="n">
        <v>0</v>
      </c>
      <c r="G3927" s="3" t="n">
        <v>0</v>
      </c>
      <c r="H3927" s="3" t="n">
        <v>0</v>
      </c>
      <c r="I3927" s="3" t="n">
        <v>0</v>
      </c>
      <c r="J3927" s="3" t="n">
        <v>0</v>
      </c>
      <c r="K3927" s="3" t="n">
        <v>0</v>
      </c>
      <c r="L3927" s="3">
        <f>IF(K3927&lt;-5,"CRÍTICO",IF(K3927&lt;0,"ATENÇÃO",IF(K3927&lt;=5,"OPORTUNO","MUITO BOM")))</f>
        <v/>
      </c>
      <c r="M3927" s="3" t="n">
        <v>0</v>
      </c>
      <c r="N3927" s="3" t="n">
        <v>100</v>
      </c>
      <c r="O3927" s="12" t="n">
        <v>25</v>
      </c>
    </row>
    <row r="3928">
      <c r="A3928" s="7" t="n">
        <v>46161</v>
      </c>
      <c r="B3928" s="8" t="inlineStr">
        <is>
          <t>Daniel Gomes da Silva</t>
        </is>
      </c>
      <c r="C3928" s="1" t="inlineStr">
        <is>
          <t>Técnico I</t>
        </is>
      </c>
      <c r="D3928" s="3" t="n">
        <v>21</v>
      </c>
      <c r="E3928" s="3" t="n">
        <v>20</v>
      </c>
      <c r="F3928" s="3" t="n">
        <v>12.3</v>
      </c>
      <c r="G3928" s="3" t="n">
        <v>1</v>
      </c>
      <c r="H3928" s="3" t="n">
        <v>0</v>
      </c>
      <c r="I3928" s="3" t="n">
        <v>21</v>
      </c>
      <c r="J3928" s="3" t="n">
        <v>19</v>
      </c>
      <c r="K3928" s="3" t="n">
        <v>2</v>
      </c>
      <c r="L3928" s="3" t="inlineStr">
        <is>
          <t>BOM</t>
        </is>
      </c>
      <c r="M3928" s="3" t="n">
        <v>15</v>
      </c>
      <c r="N3928" s="3" t="n">
        <v>100</v>
      </c>
      <c r="O3928" s="12" t="n">
        <v>20.78853046594982</v>
      </c>
    </row>
    <row r="3929">
      <c r="A3929" s="10" t="n">
        <v>46125</v>
      </c>
      <c r="B3929" t="inlineStr">
        <is>
          <t>Maysa Victoria Dias Moura</t>
        </is>
      </c>
      <c r="C3929" s="1" t="inlineStr">
        <is>
          <t>Técnico III</t>
        </is>
      </c>
      <c r="D3929" s="3" t="n">
        <v>34</v>
      </c>
      <c r="E3929" s="3" t="n">
        <v>29</v>
      </c>
      <c r="F3929" s="3" t="n">
        <v>11.43</v>
      </c>
      <c r="G3929" s="3" t="n">
        <v>0</v>
      </c>
      <c r="H3929" s="3" t="n">
        <v>0</v>
      </c>
      <c r="I3929" s="3">
        <f>E3929+G3929+H3929</f>
        <v/>
      </c>
      <c r="J3929" s="3">
        <f>ROUND(MIN(IF(C3929="Técnico III",35,IF(C3929="Técnico II",28,IF(C3929="Técnico I",23,IF(C3929="JR",20,IF(C3929="Estágio",10,0))))),IF(C3929="Técnico III",SUMIFS($D:$D,$A:$A,$A3929,$B:$B,"&lt;&gt;Patrícia Karla de Sousa Araújo",$B:$B,"&lt;&gt;Lorena Dias de Araujo",$B:$B,"&lt;&gt;Lucas Luiz Romero")*(35/1083),IF(C3929="Técnico II",SUMIFS($D:$D,$A:$A,$A3929,$B:$B,"&lt;&gt;Patrícia Karla de Sousa Araújo",$B:$B,"&lt;&gt;Lorena Dias de Araujo",$B:$B,"&lt;&gt;Lucas Luiz Romero")*(28/1083),IF(C3929="Técnico I",SUMIFS($D:$D,$A:$A,$A3929,$B:$B,"&lt;&gt;Patrícia Karla de Sousa Araújo",$B:$B,"&lt;&gt;Lorena Dias de Araujo",$B:$B,"&lt;&gt;Lucas Luiz Romero")*(23/1083),IF(C3929="JR",SUMIFS($D:$D,$A:$A,$A3929,$B:$B,"&lt;&gt;Patrícia Karla de Sousa Araújo",$B:$B,"&lt;&gt;Lorena Dias de Araujo",$B:$B,"&lt;&gt;Lucas Luiz Romero")*(20/1083),IF(C3929="Estágio",SUMIFS($D:$D,$A:$A,$A3929,$B:$B,"&lt;&gt;Patrícia Karla de Sousa Araújo",$B:$B,"&lt;&gt;Lorena Dias de Araujo",$B:$B,"&lt;&gt;Lucas Luiz Romero")*(10/1083),0)))))),0)</f>
        <v/>
      </c>
      <c r="K3929" s="3">
        <f>I3929-J3929</f>
        <v/>
      </c>
      <c r="L3929" s="3">
        <f>IF(K3929&lt;-5,"CRÍTICO",IF(K3929&lt;0,"ATENÇÃO",IF(K3929&lt;=5,"OPORTUNO","MUITO BOM")))</f>
        <v/>
      </c>
      <c r="M3929" s="3" t="n">
        <v>29</v>
      </c>
      <c r="N3929" s="3" t="n">
        <v>95.48999999999999</v>
      </c>
      <c r="O3929" s="12" t="n">
        <v>28.37022132796781</v>
      </c>
    </row>
    <row r="3930">
      <c r="A3930" s="7" t="n">
        <v>46161</v>
      </c>
      <c r="B3930" s="8" t="inlineStr">
        <is>
          <t>Luiz Fernando de Carvalho Junior</t>
        </is>
      </c>
      <c r="C3930" s="1" t="inlineStr">
        <is>
          <t>Técnico I</t>
        </is>
      </c>
      <c r="D3930" s="3" t="n">
        <v>18</v>
      </c>
      <c r="E3930" s="3" t="n">
        <v>17</v>
      </c>
      <c r="F3930" s="3" t="n">
        <v>25.09</v>
      </c>
      <c r="G3930" s="3" t="n">
        <v>2</v>
      </c>
      <c r="H3930" s="3" t="n">
        <v>0</v>
      </c>
      <c r="I3930" s="3" t="n">
        <v>19</v>
      </c>
      <c r="J3930" s="3" t="n">
        <v>19</v>
      </c>
      <c r="K3930" s="3" t="n">
        <v>0</v>
      </c>
      <c r="L3930" s="3" t="inlineStr">
        <is>
          <t>BOM</t>
        </is>
      </c>
      <c r="M3930" s="3" t="n">
        <v>18</v>
      </c>
      <c r="N3930" s="3" t="n">
        <v>94.55</v>
      </c>
      <c r="O3930" s="12" t="n">
        <v>23.45013477088949</v>
      </c>
    </row>
    <row r="3931">
      <c r="A3931" s="10" t="n">
        <v>46125</v>
      </c>
      <c r="B3931" t="inlineStr">
        <is>
          <t>Milena Sales</t>
        </is>
      </c>
      <c r="C3931" s="1" t="inlineStr">
        <is>
          <t>JR</t>
        </is>
      </c>
      <c r="D3931" s="3" t="n">
        <v>25</v>
      </c>
      <c r="E3931" s="3" t="n">
        <v>22</v>
      </c>
      <c r="F3931" s="3" t="n">
        <v>22.22</v>
      </c>
      <c r="G3931" s="3" t="n">
        <v>0</v>
      </c>
      <c r="H3931" s="3" t="n">
        <v>0</v>
      </c>
      <c r="I3931" s="3">
        <f>E3931+G3931+H3931</f>
        <v/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/>
      </c>
      <c r="K3931" s="3">
        <f>I3931-J3931</f>
        <v/>
      </c>
      <c r="L3931" s="3">
        <f>IF(K3931&lt;-5,"CRÍTICO",IF(K3931&lt;0,"ATENÇÃO",IF(K3931&lt;=5,"OPORTUNO","MUITO BOM")))</f>
        <v/>
      </c>
      <c r="M3931" s="3" t="n">
        <v>17</v>
      </c>
      <c r="N3931" s="3" t="n">
        <v>96.15000000000001</v>
      </c>
      <c r="O3931" s="12" t="n">
        <v>24.04580152671756</v>
      </c>
    </row>
    <row r="3932">
      <c r="A3932" s="10" t="n">
        <v>46125</v>
      </c>
      <c r="B3932" t="inlineStr">
        <is>
          <t>Patrícia Karla de Sousa Araújo</t>
        </is>
      </c>
      <c r="C3932" s="1" t="inlineStr">
        <is>
          <t>Técnico II</t>
        </is>
      </c>
      <c r="D3932" s="3" t="n">
        <v>20</v>
      </c>
      <c r="E3932" s="3" t="n">
        <v>19</v>
      </c>
      <c r="F3932" s="3" t="n">
        <v>15.27</v>
      </c>
      <c r="G3932" s="3" t="n">
        <v>0</v>
      </c>
      <c r="H3932" s="3" t="n">
        <v>0</v>
      </c>
      <c r="I3932" s="3">
        <f>E3932+G3932+H3932</f>
        <v/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/>
      </c>
      <c r="K3932" s="3">
        <f>I3932-J3932</f>
        <v/>
      </c>
      <c r="L3932" s="3">
        <f>IF(K3932&lt;-5,"CRÍTICO",IF(K3932&lt;0,"ATENÇÃO",IF(K3932&lt;=5,"OPORTUNO","MUITO BOM")))</f>
        <v/>
      </c>
      <c r="M3932" s="3" t="n">
        <v>20</v>
      </c>
      <c r="N3932" s="3" t="n">
        <v>99.02</v>
      </c>
      <c r="O3932" s="12" t="n">
        <v>34.7972972972973</v>
      </c>
    </row>
    <row r="3933">
      <c r="A3933" s="10" t="n">
        <v>46125</v>
      </c>
      <c r="B3933" t="inlineStr">
        <is>
          <t>Paulo Ricardo Santos</t>
        </is>
      </c>
      <c r="C3933" s="1" t="inlineStr">
        <is>
          <t>JR</t>
        </is>
      </c>
      <c r="D3933" s="3" t="n">
        <v>18</v>
      </c>
      <c r="E3933" s="3" t="n">
        <v>17</v>
      </c>
      <c r="F3933" s="3" t="n">
        <v>17.03</v>
      </c>
      <c r="G3933" s="3" t="n">
        <v>0</v>
      </c>
      <c r="H3933" s="3" t="n">
        <v>0</v>
      </c>
      <c r="I3933" s="3">
        <f>E3933+G3933+H3933</f>
        <v/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/>
      </c>
      <c r="K3933" s="3">
        <f>I3933-J3933</f>
        <v/>
      </c>
      <c r="L3933" s="3">
        <f>IF(K3933&lt;-5,"CRÍTICO",IF(K3933&lt;0,"ATENÇÃO",IF(K3933&lt;=5,"OPORTUNO","MUITO BOM")))</f>
        <v/>
      </c>
      <c r="M3933" s="3" t="n">
        <v>13</v>
      </c>
      <c r="N3933" s="3" t="n">
        <v>98.84</v>
      </c>
      <c r="O3933" s="12" t="n">
        <v>31.86813186813187</v>
      </c>
    </row>
    <row r="3934">
      <c r="A3934" s="10" t="n">
        <v>46125</v>
      </c>
      <c r="B3934" t="inlineStr">
        <is>
          <t>Pedro Luiz Mota Sousa</t>
        </is>
      </c>
      <c r="C3934" s="1" t="inlineStr">
        <is>
          <t>JR</t>
        </is>
      </c>
      <c r="D3934" s="3" t="n">
        <v>23</v>
      </c>
      <c r="E3934" s="3" t="n">
        <v>22</v>
      </c>
      <c r="F3934" s="3" t="n">
        <v>15.45</v>
      </c>
      <c r="G3934" s="3" t="n">
        <v>0</v>
      </c>
      <c r="H3934" s="3" t="n">
        <v>0</v>
      </c>
      <c r="I3934" s="3">
        <f>E3934+G3934+H3934</f>
        <v/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/>
      </c>
      <c r="K3934" s="3">
        <f>I3934-J3934</f>
        <v/>
      </c>
      <c r="L3934" s="3">
        <f>IF(K3934&lt;-5,"CRÍTICO",IF(K3934&lt;0,"ATENÇÃO",IF(K3934&lt;=5,"OPORTUNO","MUITO BOM")))</f>
        <v/>
      </c>
      <c r="M3934" s="3" t="n">
        <v>18</v>
      </c>
      <c r="N3934" s="3" t="n">
        <v>100</v>
      </c>
      <c r="O3934" s="12" t="n">
        <v>34.66666666666667</v>
      </c>
    </row>
    <row r="3935">
      <c r="A3935" s="7" t="n">
        <v>46161</v>
      </c>
      <c r="B3935" s="8" t="inlineStr">
        <is>
          <t>Raane Batista Matos</t>
        </is>
      </c>
      <c r="C3935" s="1" t="inlineStr">
        <is>
          <t>Técnico I</t>
        </is>
      </c>
      <c r="D3935" s="3" t="n">
        <v>35</v>
      </c>
      <c r="E3935" s="3" t="n">
        <v>31</v>
      </c>
      <c r="F3935" s="3" t="n">
        <v>13.24</v>
      </c>
      <c r="G3935" s="3" t="n">
        <v>2</v>
      </c>
      <c r="H3935" s="3" t="n">
        <v>0</v>
      </c>
      <c r="I3935" s="3" t="n">
        <v>33</v>
      </c>
      <c r="J3935" s="3" t="n">
        <v>19</v>
      </c>
      <c r="K3935" s="3" t="n">
        <v>14</v>
      </c>
      <c r="L3935" s="3" t="inlineStr">
        <is>
          <t>EXCELENTE</t>
        </is>
      </c>
      <c r="M3935" s="3" t="n">
        <v>26</v>
      </c>
      <c r="N3935" s="3" t="n">
        <v>98</v>
      </c>
      <c r="O3935" s="12" t="n">
        <v>20.73490813648294</v>
      </c>
    </row>
    <row r="3936">
      <c r="A3936" s="10" t="n">
        <v>46125</v>
      </c>
      <c r="B3936" t="inlineStr">
        <is>
          <t>Raane Batista Matos</t>
        </is>
      </c>
      <c r="C3936" s="1" t="inlineStr">
        <is>
          <t>Técnico I</t>
        </is>
      </c>
      <c r="D3936" s="3" t="n">
        <v>22</v>
      </c>
      <c r="E3936" s="3" t="n">
        <v>20</v>
      </c>
      <c r="F3936" s="3" t="n">
        <v>12.14</v>
      </c>
      <c r="G3936" s="3" t="n">
        <v>0</v>
      </c>
      <c r="H3936" s="3" t="n">
        <v>0</v>
      </c>
      <c r="I3936" s="3">
        <f>E3936+G3936+H3936</f>
        <v/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/>
      </c>
      <c r="K3936" s="3">
        <f>I3936-J3936</f>
        <v/>
      </c>
      <c r="L3936" s="3">
        <f>IF(K3936&lt;-5,"CRÍTICO",IF(K3936&lt;0,"ATENÇÃO",IF(K3936&lt;=5,"OPORTUNO","MUITO BOM")))</f>
        <v/>
      </c>
      <c r="M3936" s="3" t="n">
        <v>18</v>
      </c>
      <c r="N3936" s="3" t="n">
        <v>98.31999999999999</v>
      </c>
      <c r="O3936" s="12" t="n">
        <v>26.85851318944844</v>
      </c>
    </row>
    <row r="3937">
      <c r="A3937" s="10" t="n">
        <v>46125</v>
      </c>
      <c r="B3937" t="inlineStr">
        <is>
          <t>Rafael Gomes de Morais</t>
        </is>
      </c>
      <c r="C3937" s="1" t="inlineStr">
        <is>
          <t>Técnico III</t>
        </is>
      </c>
      <c r="D3937" s="3" t="n">
        <v>28</v>
      </c>
      <c r="E3937" s="3" t="n">
        <v>25</v>
      </c>
      <c r="F3937" s="3" t="n">
        <v>17.16</v>
      </c>
      <c r="G3937" s="3" t="n">
        <v>0</v>
      </c>
      <c r="H3937" s="3" t="n">
        <v>0</v>
      </c>
      <c r="I3937" s="3">
        <f>E3937+G3937+H3937</f>
        <v/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/>
      </c>
      <c r="K3937" s="3">
        <f>I3937-J3937</f>
        <v/>
      </c>
      <c r="L3937" s="3">
        <f>IF(K3937&lt;-5,"CRÍTICO",IF(K3937&lt;0,"ATENÇÃO",IF(K3937&lt;=5,"OPORTUNO","MUITO BOM")))</f>
        <v/>
      </c>
      <c r="M3937" s="3" t="n">
        <v>16</v>
      </c>
      <c r="N3937" s="3" t="n">
        <v>100</v>
      </c>
      <c r="O3937" s="12" t="n">
        <v>31.13553113553114</v>
      </c>
    </row>
    <row r="3938">
      <c r="A3938" s="10" t="n">
        <v>46125</v>
      </c>
      <c r="B3938" t="inlineStr">
        <is>
          <t>Sara Maria Monteiro Lopes</t>
        </is>
      </c>
      <c r="C3938" s="1" t="inlineStr">
        <is>
          <t>Técnico I</t>
        </is>
      </c>
      <c r="D3938" s="3" t="n">
        <v>13</v>
      </c>
      <c r="E3938" s="3" t="n">
        <v>13</v>
      </c>
      <c r="F3938" s="3" t="n">
        <v>38.44</v>
      </c>
      <c r="G3938" s="3" t="n">
        <v>0</v>
      </c>
      <c r="H3938" s="3" t="n">
        <v>0</v>
      </c>
      <c r="I3938" s="3">
        <f>E3938+G3938+H3938</f>
        <v/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/>
      </c>
      <c r="K3938" s="3">
        <f>I3938-J3938</f>
        <v/>
      </c>
      <c r="L3938" s="3">
        <f>IF(K3938&lt;-5,"CRÍTICO",IF(K3938&lt;0,"ATENÇÃO",IF(K3938&lt;=5,"OPORTUNO","MUITO BOM")))</f>
        <v/>
      </c>
      <c r="M3938" s="3" t="n">
        <v>12</v>
      </c>
      <c r="N3938" s="3" t="n">
        <v>100</v>
      </c>
      <c r="O3938" s="12" t="n">
        <v>26.36986301369863</v>
      </c>
    </row>
    <row r="3939">
      <c r="A3939" s="10" t="n">
        <v>46125</v>
      </c>
      <c r="B3939" t="inlineStr">
        <is>
          <t>Sarah Steffanie de Lima Borges</t>
        </is>
      </c>
      <c r="C3939" s="1" t="inlineStr">
        <is>
          <t>Técnico III</t>
        </is>
      </c>
      <c r="D3939" s="3" t="n">
        <v>20</v>
      </c>
      <c r="E3939" s="3" t="n">
        <v>20</v>
      </c>
      <c r="F3939" s="3" t="n">
        <v>23.5</v>
      </c>
      <c r="G3939" s="3" t="n">
        <v>0</v>
      </c>
      <c r="H3939" s="3" t="n">
        <v>0</v>
      </c>
      <c r="I3939" s="3">
        <f>E3939+G3939+H3939</f>
        <v/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/>
      </c>
      <c r="K3939" s="3">
        <f>I3939-J3939</f>
        <v/>
      </c>
      <c r="L3939" s="3">
        <f>IF(K3939&lt;-5,"CRÍTICO",IF(K3939&lt;0,"ATENÇÃO",IF(K3939&lt;=5,"OPORTUNO","MUITO BOM")))</f>
        <v/>
      </c>
      <c r="M3939" s="3" t="n">
        <v>18</v>
      </c>
      <c r="N3939" s="3" t="n">
        <v>99.20999999999999</v>
      </c>
      <c r="O3939" s="12" t="n">
        <v>25.18891687657431</v>
      </c>
    </row>
    <row r="3940">
      <c r="A3940" s="10" t="n">
        <v>46126</v>
      </c>
      <c r="B3940" t="inlineStr">
        <is>
          <t>Alisson de Freitas Silva</t>
        </is>
      </c>
      <c r="C3940" s="1" t="inlineStr">
        <is>
          <t>Técnico II</t>
        </is>
      </c>
      <c r="D3940" s="3" t="n">
        <v>17</v>
      </c>
      <c r="E3940" s="3" t="n">
        <v>12</v>
      </c>
      <c r="F3940" s="3" t="n">
        <v>14.1</v>
      </c>
      <c r="G3940" s="3" t="n">
        <v>0</v>
      </c>
      <c r="H3940" s="3" t="n">
        <v>0</v>
      </c>
      <c r="I3940" s="3">
        <f>E3940+G3940+H3940</f>
        <v/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/>
      </c>
      <c r="K3940" s="3">
        <f>I3940-J3940</f>
        <v/>
      </c>
      <c r="L3940" s="3">
        <f>IF(K3940&lt;-5,"CRÍTICO",IF(K3940&lt;0,"ATENÇÃO",IF(K3940&lt;=5,"OPORTUNO","MUITO BOM")))</f>
        <v/>
      </c>
      <c r="M3940" s="3" t="n">
        <v>8</v>
      </c>
      <c r="N3940" s="3" t="n">
        <v>100</v>
      </c>
      <c r="O3940" s="12" t="n">
        <v>32.76450511945392</v>
      </c>
    </row>
    <row r="3941">
      <c r="A3941" s="10" t="n">
        <v>46126</v>
      </c>
      <c r="B3941" t="inlineStr">
        <is>
          <t>Amanda Moura Ferreira</t>
        </is>
      </c>
      <c r="C3941" s="1" t="inlineStr">
        <is>
          <t>Técnico III</t>
        </is>
      </c>
      <c r="D3941" s="3" t="n">
        <v>0</v>
      </c>
      <c r="E3941" s="3" t="n">
        <v>0</v>
      </c>
      <c r="F3941" s="3" t="n">
        <v>0</v>
      </c>
      <c r="G3941" s="3" t="n">
        <v>0</v>
      </c>
      <c r="H3941" s="3" t="n">
        <v>0</v>
      </c>
      <c r="I3941" s="3" t="n">
        <v>0</v>
      </c>
      <c r="J3941" s="3" t="n">
        <v>0</v>
      </c>
      <c r="K3941" s="3" t="n">
        <v>0</v>
      </c>
      <c r="L3941" s="3">
        <f>IF(K3941&lt;-5,"CRÍTICO",IF(K3941&lt;0,"ATENÇÃO",IF(K3941&lt;=5,"OPORTUNO","MUITO BOM")))</f>
        <v/>
      </c>
      <c r="M3941" s="3" t="n">
        <v>19</v>
      </c>
      <c r="N3941" s="3" t="n">
        <v>98.66</v>
      </c>
      <c r="O3941" s="12" t="n">
        <v>35.41666666666667</v>
      </c>
    </row>
    <row r="3942">
      <c r="A3942" s="10" t="n">
        <v>46126</v>
      </c>
      <c r="B3942" t="inlineStr">
        <is>
          <t>Ana Karollyne Souza Faria</t>
        </is>
      </c>
      <c r="C3942" s="1" t="inlineStr">
        <is>
          <t>Técnico I</t>
        </is>
      </c>
      <c r="D3942" s="3" t="n">
        <v>18</v>
      </c>
      <c r="E3942" s="3" t="n">
        <v>15</v>
      </c>
      <c r="F3942" s="3" t="n">
        <v>20.59</v>
      </c>
      <c r="G3942" s="3" t="n">
        <v>0</v>
      </c>
      <c r="H3942" s="3" t="n">
        <v>0</v>
      </c>
      <c r="I3942" s="3">
        <f>E3942+G3942+H3942</f>
        <v/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/>
      </c>
      <c r="K3942" s="3">
        <f>I3942-J3942</f>
        <v/>
      </c>
      <c r="L3942" s="3">
        <f>IF(K3942&lt;-5,"CRÍTICO",IF(K3942&lt;0,"ATENÇÃO",IF(K3942&lt;=5,"OPORTUNO","MUITO BOM")))</f>
        <v/>
      </c>
      <c r="M3942" s="3" t="n">
        <v>19</v>
      </c>
      <c r="N3942" s="3" t="n">
        <v>99.31999999999999</v>
      </c>
      <c r="O3942" s="12" t="n">
        <v>30.6483300589391</v>
      </c>
    </row>
    <row r="3943">
      <c r="A3943" s="10" t="n">
        <v>46126</v>
      </c>
      <c r="B3943" t="inlineStr">
        <is>
          <t>Ana Paula Da Luz Silva Aleixo</t>
        </is>
      </c>
      <c r="C3943" s="1" t="inlineStr">
        <is>
          <t>Técnico III</t>
        </is>
      </c>
      <c r="D3943" s="3" t="n">
        <v>36</v>
      </c>
      <c r="E3943" s="3" t="n">
        <v>34</v>
      </c>
      <c r="F3943" s="3" t="n">
        <v>17.19</v>
      </c>
      <c r="G3943" s="3" t="n">
        <v>0</v>
      </c>
      <c r="H3943" s="3" t="n">
        <v>0</v>
      </c>
      <c r="I3943" s="3">
        <f>E3943+G3943+H3943</f>
        <v/>
      </c>
      <c r="J3943" s="3">
        <f>ROUND(MIN(IF(C3943="Técnico III",35,IF(C3943="Técnico II",28,IF(C3943="Técnico I",23,IF(C3943="JR",20,IF(C3943="Estágio",10,0))))),IF(C3943="Técnico III",SUMIFS($D:$D,$A:$A,$A3943,$B:$B,"&lt;&gt;Patrícia Karla de Sousa Araújo",$B:$B,"&lt;&gt;Lorena Dias de Araujo",$B:$B,"&lt;&gt;Lucas Luiz Romero")*(35/1083),IF(C3943="Técnico II",SUMIFS($D:$D,$A:$A,$A3943,$B:$B,"&lt;&gt;Patrícia Karla de Sousa Araújo",$B:$B,"&lt;&gt;Lorena Dias de Araujo",$B:$B,"&lt;&gt;Lucas Luiz Romero")*(28/1083),IF(C3943="Técnico I",SUMIFS($D:$D,$A:$A,$A3943,$B:$B,"&lt;&gt;Patrícia Karla de Sousa Araújo",$B:$B,"&lt;&gt;Lorena Dias de Araujo",$B:$B,"&lt;&gt;Lucas Luiz Romero")*(23/1083),IF(C3943="JR",SUMIFS($D:$D,$A:$A,$A3943,$B:$B,"&lt;&gt;Patrícia Karla de Sousa Araújo",$B:$B,"&lt;&gt;Lorena Dias de Araujo",$B:$B,"&lt;&gt;Lucas Luiz Romero")*(20/1083),IF(C3943="Estágio",SUMIFS($D:$D,$A:$A,$A3943,$B:$B,"&lt;&gt;Patrícia Karla de Sousa Araújo",$B:$B,"&lt;&gt;Lorena Dias de Araujo",$B:$B,"&lt;&gt;Lucas Luiz Romero")*(10/1083),0)))))),0)</f>
        <v/>
      </c>
      <c r="K3943" s="3">
        <f>I3943-J3943</f>
        <v/>
      </c>
      <c r="L3943" s="3">
        <f>IF(K3943&lt;-5,"CRÍTICO",IF(K3943&lt;0,"ATENÇÃO",IF(K3943&lt;=5,"OPORTUNO","MUITO BOM")))</f>
        <v/>
      </c>
      <c r="M3943" s="3" t="n">
        <v>30</v>
      </c>
      <c r="N3943" s="3" t="n">
        <v>100</v>
      </c>
      <c r="O3943" s="12" t="n">
        <v>27.80373831775701</v>
      </c>
    </row>
    <row r="3944">
      <c r="A3944" s="10" t="n">
        <v>46126</v>
      </c>
      <c r="B3944" t="inlineStr">
        <is>
          <t>Anna Luiza Rezende Tavares</t>
        </is>
      </c>
      <c r="C3944" s="1" t="inlineStr">
        <is>
          <t>Estágio</t>
        </is>
      </c>
      <c r="D3944" s="3" t="n">
        <v>34</v>
      </c>
      <c r="E3944" s="3" t="n">
        <v>32</v>
      </c>
      <c r="F3944" s="3" t="n">
        <v>17.26</v>
      </c>
      <c r="G3944" s="3" t="n">
        <v>0</v>
      </c>
      <c r="H3944" s="3" t="n">
        <v>0</v>
      </c>
      <c r="I3944" s="3">
        <f>E3944+G3944+H3944</f>
        <v/>
      </c>
      <c r="J3944" s="3">
        <f>ROUND(MIN(IF(C3944="Técnico III",35,IF(C3944="Técnico II",28,IF(C3944="Técnico I",23,IF(C3944="JR",20,IF(C3944="Estágio",10,0))))),IF(C3944="Técnico III",SUMIFS($D:$D,$A:$A,$A3944,$B:$B,"&lt;&gt;Patrícia Karla de Sousa Araújo",$B:$B,"&lt;&gt;Lorena Dias de Araujo",$B:$B,"&lt;&gt;Lucas Luiz Romero")*(35/1083),IF(C3944="Técnico II",SUMIFS($D:$D,$A:$A,$A3944,$B:$B,"&lt;&gt;Patrícia Karla de Sousa Araújo",$B:$B,"&lt;&gt;Lorena Dias de Araujo",$B:$B,"&lt;&gt;Lucas Luiz Romero")*(28/1083),IF(C3944="Técnico I",SUMIFS($D:$D,$A:$A,$A3944,$B:$B,"&lt;&gt;Patrícia Karla de Sousa Araújo",$B:$B,"&lt;&gt;Lorena Dias de Araujo",$B:$B,"&lt;&gt;Lucas Luiz Romero")*(23/1083),IF(C3944="JR",SUMIFS($D:$D,$A:$A,$A3944,$B:$B,"&lt;&gt;Patrícia Karla de Sousa Araújo",$B:$B,"&lt;&gt;Lorena Dias de Araujo",$B:$B,"&lt;&gt;Lucas Luiz Romero")*(20/1083),IF(C3944="Estágio",SUMIFS($D:$D,$A:$A,$A3944,$B:$B,"&lt;&gt;Patrícia Karla de Sousa Araújo",$B:$B,"&lt;&gt;Lorena Dias de Araujo",$B:$B,"&lt;&gt;Lucas Luiz Romero")*(10/1083),0)))))),0)</f>
        <v/>
      </c>
      <c r="K3944" s="3">
        <f>I3944-J3944</f>
        <v/>
      </c>
      <c r="L3944" s="3">
        <f>IF(K3944&lt;-5,"CRÍTICO",IF(K3944&lt;0,"ATENÇÃO",IF(K3944&lt;=5,"OPORTUNO","MUITO BOM")))</f>
        <v/>
      </c>
      <c r="M3944" s="3" t="n">
        <v>30</v>
      </c>
      <c r="N3944" s="3" t="n">
        <v>96.73999999999999</v>
      </c>
      <c r="O3944" s="12" t="n">
        <v>28.67647058823529</v>
      </c>
    </row>
    <row r="3945">
      <c r="A3945" s="10" t="n">
        <v>46126</v>
      </c>
      <c r="B3945" t="inlineStr">
        <is>
          <t>Brenda de Menezes Silva</t>
        </is>
      </c>
      <c r="C3945" s="1" t="inlineStr">
        <is>
          <t>Técnico II</t>
        </is>
      </c>
      <c r="D3945" s="3" t="n">
        <v>31</v>
      </c>
      <c r="E3945" s="3" t="n">
        <v>31</v>
      </c>
      <c r="F3945" s="3" t="n">
        <v>13.59</v>
      </c>
      <c r="G3945" s="3" t="n">
        <v>0</v>
      </c>
      <c r="H3945" s="3" t="n">
        <v>0</v>
      </c>
      <c r="I3945" s="3">
        <f>E3945+G3945+H3945</f>
        <v/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/>
      </c>
      <c r="K3945" s="3">
        <f>I3945-J3945</f>
        <v/>
      </c>
      <c r="L3945" s="3">
        <f>IF(K3945&lt;-5,"CRÍTICO",IF(K3945&lt;0,"ATENÇÃO",IF(K3945&lt;=5,"OPORTUNO","MUITO BOM")))</f>
        <v/>
      </c>
      <c r="M3945" s="3" t="n">
        <v>35</v>
      </c>
      <c r="N3945" s="3" t="n">
        <v>98.81999999999999</v>
      </c>
      <c r="O3945" s="12" t="n">
        <v>30.74141048824593</v>
      </c>
    </row>
    <row r="3946">
      <c r="A3946" s="10" t="n">
        <v>46126</v>
      </c>
      <c r="B3946" t="inlineStr">
        <is>
          <t>Carlos Mateus Cassimiro Nunes</t>
        </is>
      </c>
      <c r="C3946" s="1" t="inlineStr">
        <is>
          <t>Técnico II</t>
        </is>
      </c>
      <c r="D3946" s="3" t="n">
        <v>17</v>
      </c>
      <c r="E3946" s="3" t="n">
        <v>16</v>
      </c>
      <c r="F3946" s="3" t="n">
        <v>30.14</v>
      </c>
      <c r="G3946" s="3" t="n">
        <v>0</v>
      </c>
      <c r="H3946" s="3" t="n">
        <v>0</v>
      </c>
      <c r="I3946" s="3">
        <f>E3946+G3946+H3946</f>
        <v/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/>
      </c>
      <c r="K3946" s="3">
        <f>I3946-J3946</f>
        <v/>
      </c>
      <c r="L3946" s="3">
        <f>IF(K3946&lt;-5,"CRÍTICO",IF(K3946&lt;0,"ATENÇÃO",IF(K3946&lt;=5,"OPORTUNO","MUITO BOM")))</f>
        <v/>
      </c>
      <c r="M3946" s="3" t="n">
        <v>17</v>
      </c>
      <c r="N3946" s="3" t="n">
        <v>98.2</v>
      </c>
      <c r="O3946" s="12" t="n">
        <v>27.17086834733893</v>
      </c>
    </row>
    <row r="3947">
      <c r="A3947" s="10" t="n">
        <v>46126</v>
      </c>
      <c r="B3947" t="inlineStr">
        <is>
          <t>Claudio de Sousa Velasco Filho</t>
        </is>
      </c>
      <c r="C3947" s="1" t="inlineStr">
        <is>
          <t>Estágio</t>
        </is>
      </c>
      <c r="D3947" s="3" t="n">
        <v>9</v>
      </c>
      <c r="E3947" s="3" t="n">
        <v>6</v>
      </c>
      <c r="F3947" s="3" t="n">
        <v>30.39</v>
      </c>
      <c r="G3947" s="3" t="n">
        <v>0</v>
      </c>
      <c r="H3947" s="3" t="n">
        <v>0</v>
      </c>
      <c r="I3947" s="3">
        <f>E3947+G3947+H3947</f>
        <v/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/>
      </c>
      <c r="K3947" s="3">
        <f>I3947-J3947</f>
        <v/>
      </c>
      <c r="L3947" s="3">
        <f>IF(K3947&lt;-5,"CRÍTICO",IF(K3947&lt;0,"ATENÇÃO",IF(K3947&lt;=5,"OPORTUNO","MUITO BOM")))</f>
        <v/>
      </c>
      <c r="M3947" s="3" t="n">
        <v>5</v>
      </c>
      <c r="N3947" s="3" t="n">
        <v>100</v>
      </c>
      <c r="O3947" s="12" t="n">
        <v>23.13432835820895</v>
      </c>
    </row>
    <row r="3948">
      <c r="A3948" s="10" t="n">
        <v>46126</v>
      </c>
      <c r="B3948" t="inlineStr">
        <is>
          <t>Clessiane Pereira dos Santos</t>
        </is>
      </c>
      <c r="C3948" s="1" t="inlineStr">
        <is>
          <t>Técnico I</t>
        </is>
      </c>
      <c r="D3948" s="3" t="n">
        <v>26</v>
      </c>
      <c r="E3948" s="3" t="n">
        <v>25</v>
      </c>
      <c r="F3948" s="3" t="n">
        <v>18.5</v>
      </c>
      <c r="G3948" s="3" t="n">
        <v>0</v>
      </c>
      <c r="H3948" s="3" t="n">
        <v>0</v>
      </c>
      <c r="I3948" s="3">
        <f>E3948+G3948+H3948</f>
        <v/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/>
      </c>
      <c r="K3948" s="3">
        <f>I3948-J3948</f>
        <v/>
      </c>
      <c r="L3948" s="3">
        <f>IF(K3948&lt;-5,"CRÍTICO",IF(K3948&lt;0,"ATENÇÃO",IF(K3948&lt;=5,"OPORTUNO","MUITO BOM")))</f>
        <v/>
      </c>
      <c r="M3948" s="3" t="n">
        <v>23</v>
      </c>
      <c r="N3948" s="3" t="n">
        <v>96.3</v>
      </c>
      <c r="O3948" s="12" t="n">
        <v>32.21957040572792</v>
      </c>
    </row>
    <row r="3949">
      <c r="A3949" s="10" t="n">
        <v>46126</v>
      </c>
      <c r="B3949" t="inlineStr">
        <is>
          <t>Cristiane Ramos da Silva Rocha</t>
        </is>
      </c>
      <c r="C3949" s="1" t="inlineStr">
        <is>
          <t>Técnico III</t>
        </is>
      </c>
      <c r="D3949" s="3" t="n">
        <v>42</v>
      </c>
      <c r="E3949" s="3" t="n">
        <v>38</v>
      </c>
      <c r="F3949" s="3" t="n">
        <v>9.140000000000001</v>
      </c>
      <c r="G3949" s="3" t="n">
        <v>0</v>
      </c>
      <c r="H3949" s="3" t="n">
        <v>0</v>
      </c>
      <c r="I3949" s="3">
        <f>E3949+G3949+H3949</f>
        <v/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/>
      </c>
      <c r="K3949" s="3">
        <f>I3949-J3949</f>
        <v/>
      </c>
      <c r="L3949" s="3">
        <f>IF(K3949&lt;-5,"CRÍTICO",IF(K3949&lt;0,"ATENÇÃO",IF(K3949&lt;=5,"OPORTUNO","MUITO BOM")))</f>
        <v/>
      </c>
      <c r="M3949" s="3" t="n">
        <v>36</v>
      </c>
      <c r="N3949" s="3" t="n">
        <v>93.75</v>
      </c>
      <c r="O3949" s="12" t="n">
        <v>26.81992337164751</v>
      </c>
    </row>
    <row r="3950">
      <c r="A3950" s="10" t="n">
        <v>46126</v>
      </c>
      <c r="B3950" t="inlineStr">
        <is>
          <t>Damyllis Lorraine de Oliveira Gonçalves</t>
        </is>
      </c>
      <c r="C3950" s="1" t="inlineStr">
        <is>
          <t>Técnico II</t>
        </is>
      </c>
      <c r="D3950" s="3" t="n">
        <v>25</v>
      </c>
      <c r="E3950" s="3" t="n">
        <v>22</v>
      </c>
      <c r="F3950" s="3" t="n">
        <v>23.3</v>
      </c>
      <c r="G3950" s="3" t="n">
        <v>0</v>
      </c>
      <c r="H3950" s="3" t="n">
        <v>0</v>
      </c>
      <c r="I3950" s="3" t="n">
        <v>0</v>
      </c>
      <c r="J3950" s="3" t="n">
        <v>0</v>
      </c>
      <c r="K3950" s="3" t="n">
        <v>0</v>
      </c>
      <c r="L3950" s="3">
        <f>IF(K3950&lt;-5,"CRÍTICO",IF(K3950&lt;0,"ATENÇÃO",IF(K3950&lt;=5,"OPORTUNO","MUITO BOM")))</f>
        <v/>
      </c>
      <c r="M3950" s="3" t="n">
        <v>20</v>
      </c>
      <c r="N3950" s="3" t="n">
        <v>97.86</v>
      </c>
      <c r="O3950" s="12" t="n">
        <v>31.01851851851852</v>
      </c>
    </row>
    <row r="3951">
      <c r="A3951" s="10" t="n">
        <v>46126</v>
      </c>
      <c r="B3951" t="inlineStr">
        <is>
          <t>Daniel Gomes da Silva</t>
        </is>
      </c>
      <c r="C3951" s="1" t="inlineStr">
        <is>
          <t>Técnico I</t>
        </is>
      </c>
      <c r="D3951" s="3" t="n">
        <v>19</v>
      </c>
      <c r="E3951" s="3" t="n">
        <v>17</v>
      </c>
      <c r="F3951" s="3" t="n">
        <v>18.44</v>
      </c>
      <c r="G3951" s="3" t="n">
        <v>0</v>
      </c>
      <c r="H3951" s="3" t="n">
        <v>0</v>
      </c>
      <c r="I3951" s="3">
        <f>E3951+G3951+H3951</f>
        <v/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/>
      </c>
      <c r="K3951" s="3">
        <f>I3951-J3951</f>
        <v/>
      </c>
      <c r="L3951" s="3">
        <f>IF(K3951&lt;-5,"CRÍTICO",IF(K3951&lt;0,"ATENÇÃO",IF(K3951&lt;=5,"OPORTUNO","MUITO BOM")))</f>
        <v/>
      </c>
      <c r="M3951" s="3" t="n">
        <v>15</v>
      </c>
      <c r="N3951" s="3" t="n">
        <v>100</v>
      </c>
      <c r="O3951" s="12" t="n">
        <v>36.59420289855073</v>
      </c>
    </row>
    <row r="3952">
      <c r="A3952" s="10" t="n">
        <v>46126</v>
      </c>
      <c r="B3952" t="inlineStr">
        <is>
          <t>Davylla Rodrigues Freitas Silva</t>
        </is>
      </c>
      <c r="C3952" s="1" t="inlineStr">
        <is>
          <t>Técnico III</t>
        </is>
      </c>
      <c r="D3952" s="3" t="n">
        <v>23</v>
      </c>
      <c r="E3952" s="3" t="n">
        <v>22</v>
      </c>
      <c r="F3952" s="3" t="n">
        <v>27.14</v>
      </c>
      <c r="G3952" s="3" t="n">
        <v>0</v>
      </c>
      <c r="H3952" s="3" t="n">
        <v>0</v>
      </c>
      <c r="I3952" s="3" t="n">
        <v>0</v>
      </c>
      <c r="J3952" s="3" t="n">
        <v>0</v>
      </c>
      <c r="K3952" s="3" t="n">
        <v>0</v>
      </c>
      <c r="L3952" s="3">
        <f>IF(K3952&lt;-5,"CRÍTICO",IF(K3952&lt;0,"ATENÇÃO",IF(K3952&lt;=5,"OPORTUNO","MUITO BOM")))</f>
        <v/>
      </c>
      <c r="M3952" s="3" t="n">
        <v>23</v>
      </c>
      <c r="N3952" s="3" t="n">
        <v>100</v>
      </c>
      <c r="O3952" s="12" t="n">
        <v>38.65384615384615</v>
      </c>
    </row>
    <row r="3953">
      <c r="A3953" s="10" t="n">
        <v>46126</v>
      </c>
      <c r="B3953" t="inlineStr">
        <is>
          <t>Emilly Caylane Costa</t>
        </is>
      </c>
      <c r="C3953" s="1" t="inlineStr">
        <is>
          <t>Estágio</t>
        </is>
      </c>
      <c r="D3953" s="3" t="n">
        <v>14</v>
      </c>
      <c r="E3953" s="3" t="n">
        <v>10</v>
      </c>
      <c r="F3953" s="3" t="n">
        <v>20.44</v>
      </c>
      <c r="G3953" s="3" t="n">
        <v>0</v>
      </c>
      <c r="H3953" s="3" t="n">
        <v>0</v>
      </c>
      <c r="I3953" s="3">
        <f>E3953+G3953+H3953</f>
        <v/>
      </c>
      <c r="J3953" s="3">
        <f>ROUND(MIN(IF(C3953="Técnico III",35,IF(C3953="Técnico II",28,IF(C3953="Técnico I",23,IF(C3953="JR",20,IF(C3953="Estágio",10,0))))),IF(C3953="Técnico III",SUMIFS($D:$D,$A:$A,$A3953,$B:$B,"&lt;&gt;Patrícia Karla de Sousa Araújo",$B:$B,"&lt;&gt;Lorena Dias de Araujo",$B:$B,"&lt;&gt;Lucas Luiz Romero")*(35/1083),IF(C3953="Técnico II",SUMIFS($D:$D,$A:$A,$A3953,$B:$B,"&lt;&gt;Patrícia Karla de Sousa Araújo",$B:$B,"&lt;&gt;Lorena Dias de Araujo",$B:$B,"&lt;&gt;Lucas Luiz Romero")*(28/1083),IF(C3953="Técnico I",SUMIFS($D:$D,$A:$A,$A3953,$B:$B,"&lt;&gt;Patrícia Karla de Sousa Araújo",$B:$B,"&lt;&gt;Lorena Dias de Araujo",$B:$B,"&lt;&gt;Lucas Luiz Romero")*(23/1083),IF(C3953="JR",SUMIFS($D:$D,$A:$A,$A3953,$B:$B,"&lt;&gt;Patrícia Karla de Sousa Araújo",$B:$B,"&lt;&gt;Lorena Dias de Araujo",$B:$B,"&lt;&gt;Lucas Luiz Romero")*(20/1083),IF(C3953="Estágio",SUMIFS($D:$D,$A:$A,$A3953,$B:$B,"&lt;&gt;Patrícia Karla de Sousa Araújo",$B:$B,"&lt;&gt;Lorena Dias de Araujo",$B:$B,"&lt;&gt;Lucas Luiz Romero")*(10/1083),0)))))),0)</f>
        <v/>
      </c>
      <c r="K3953" s="3">
        <f>I3953-J3953</f>
        <v/>
      </c>
      <c r="L3953" s="3">
        <f>IF(K3953&lt;-5,"CRÍTICO",IF(K3953&lt;0,"ATENÇÃO",IF(K3953&lt;=5,"OPORTUNO","MUITO BOM")))</f>
        <v/>
      </c>
      <c r="M3953" s="3" t="n">
        <v>6</v>
      </c>
      <c r="N3953" s="3" t="n">
        <v>100</v>
      </c>
      <c r="O3953" s="12" t="n">
        <v>27.36842105263158</v>
      </c>
    </row>
    <row r="3954">
      <c r="A3954" s="10" t="n">
        <v>46126</v>
      </c>
      <c r="B3954" t="inlineStr">
        <is>
          <t>Emilly Kamilly Medeiros Miranda</t>
        </is>
      </c>
      <c r="C3954" s="1" t="inlineStr">
        <is>
          <t>Técnico II</t>
        </is>
      </c>
      <c r="D3954" s="3" t="n">
        <v>19</v>
      </c>
      <c r="E3954" s="3" t="n">
        <v>18</v>
      </c>
      <c r="F3954" s="3" t="n">
        <v>23.37</v>
      </c>
      <c r="G3954" s="3" t="n">
        <v>0</v>
      </c>
      <c r="H3954" s="3" t="n">
        <v>0</v>
      </c>
      <c r="I3954" s="3">
        <f>E3954+G3954+H3954</f>
        <v/>
      </c>
      <c r="J3954" s="3">
        <f>ROUND(MIN(IF(C3954="Técnico III",35,IF(C3954="Técnico II",28,IF(C3954="Técnico I",23,IF(C3954="JR",20,IF(C3954="Estágio",10,0))))),IF(C3954="Técnico III",SUMIFS($D:$D,$A:$A,$A3954,$B:$B,"&lt;&gt;Patrícia Karla de Sousa Araújo",$B:$B,"&lt;&gt;Lorena Dias de Araujo",$B:$B,"&lt;&gt;Lucas Luiz Romero")*(35/1083),IF(C3954="Técnico II",SUMIFS($D:$D,$A:$A,$A3954,$B:$B,"&lt;&gt;Patrícia Karla de Sousa Araújo",$B:$B,"&lt;&gt;Lorena Dias de Araujo",$B:$B,"&lt;&gt;Lucas Luiz Romero")*(28/1083),IF(C3954="Técnico I",SUMIFS($D:$D,$A:$A,$A3954,$B:$B,"&lt;&gt;Patrícia Karla de Sousa Araújo",$B:$B,"&lt;&gt;Lorena Dias de Araujo",$B:$B,"&lt;&gt;Lucas Luiz Romero")*(23/1083),IF(C3954="JR",SUMIFS($D:$D,$A:$A,$A3954,$B:$B,"&lt;&gt;Patrícia Karla de Sousa Araújo",$B:$B,"&lt;&gt;Lorena Dias de Araujo",$B:$B,"&lt;&gt;Lucas Luiz Romero")*(20/1083),IF(C3954="Estágio",SUMIFS($D:$D,$A:$A,$A3954,$B:$B,"&lt;&gt;Patrícia Karla de Sousa Araújo",$B:$B,"&lt;&gt;Lorena Dias de Araujo",$B:$B,"&lt;&gt;Lucas Luiz Romero")*(10/1083),0)))))),0)</f>
        <v/>
      </c>
      <c r="K3954" s="3">
        <f>I3954-J3954</f>
        <v/>
      </c>
      <c r="L3954" s="3">
        <f>IF(K3954&lt;-5,"CRÍTICO",IF(K3954&lt;0,"ATENÇÃO",IF(K3954&lt;=5,"OPORTUNO","MUITO BOM")))</f>
        <v/>
      </c>
      <c r="M3954" s="3" t="n">
        <v>16</v>
      </c>
      <c r="N3954" s="3" t="n">
        <v>97.83</v>
      </c>
      <c r="O3954" s="12" t="n">
        <v>28.35164835164835</v>
      </c>
    </row>
    <row r="3955">
      <c r="A3955" s="10" t="n">
        <v>46126</v>
      </c>
      <c r="B3955" t="inlineStr">
        <is>
          <t>Francielson de Oliveira</t>
        </is>
      </c>
      <c r="C3955" s="1" t="inlineStr">
        <is>
          <t>Técnico III</t>
        </is>
      </c>
      <c r="D3955" s="3" t="n">
        <v>32</v>
      </c>
      <c r="E3955" s="3" t="n">
        <v>31</v>
      </c>
      <c r="F3955" s="3" t="n">
        <v>15.08</v>
      </c>
      <c r="G3955" s="3" t="n">
        <v>0</v>
      </c>
      <c r="H3955" s="3" t="n">
        <v>0</v>
      </c>
      <c r="I3955" s="3">
        <f>E3955+G3955+H3955</f>
        <v/>
      </c>
      <c r="J3955" s="3">
        <f>ROUND(MIN(IF(C3955="Técnico III",35,IF(C3955="Técnico II",28,IF(C3955="Técnico I",23,IF(C3955="JR",20,IF(C3955="Estágio",10,0))))),IF(C3955="Técnico III",SUMIFS($D:$D,$A:$A,$A3955,$B:$B,"&lt;&gt;Patrícia Karla de Sousa Araújo",$B:$B,"&lt;&gt;Lorena Dias de Araujo",$B:$B,"&lt;&gt;Lucas Luiz Romero")*(35/1083),IF(C3955="Técnico II",SUMIFS($D:$D,$A:$A,$A3955,$B:$B,"&lt;&gt;Patrícia Karla de Sousa Araújo",$B:$B,"&lt;&gt;Lorena Dias de Araujo",$B:$B,"&lt;&gt;Lucas Luiz Romero")*(28/1083),IF(C3955="Técnico I",SUMIFS($D:$D,$A:$A,$A3955,$B:$B,"&lt;&gt;Patrícia Karla de Sousa Araújo",$B:$B,"&lt;&gt;Lorena Dias de Araujo",$B:$B,"&lt;&gt;Lucas Luiz Romero")*(23/1083),IF(C3955="JR",SUMIFS($D:$D,$A:$A,$A3955,$B:$B,"&lt;&gt;Patrícia Karla de Sousa Araújo",$B:$B,"&lt;&gt;Lorena Dias de Araujo",$B:$B,"&lt;&gt;Lucas Luiz Romero")*(20/1083),IF(C3955="Estágio",SUMIFS($D:$D,$A:$A,$A3955,$B:$B,"&lt;&gt;Patrícia Karla de Sousa Araújo",$B:$B,"&lt;&gt;Lorena Dias de Araujo",$B:$B,"&lt;&gt;Lucas Luiz Romero")*(10/1083),0)))))),0)</f>
        <v/>
      </c>
      <c r="K3955" s="3">
        <f>I3955-J3955</f>
        <v/>
      </c>
      <c r="L3955" s="3">
        <f>IF(K3955&lt;-5,"CRÍTICO",IF(K3955&lt;0,"ATENÇÃO",IF(K3955&lt;=5,"OPORTUNO","MUITO BOM")))</f>
        <v/>
      </c>
      <c r="M3955" s="3" t="n">
        <v>31</v>
      </c>
      <c r="N3955" s="3" t="n">
        <v>99.26000000000001</v>
      </c>
      <c r="O3955" s="12" t="n">
        <v>29.76653696498055</v>
      </c>
    </row>
    <row r="3956">
      <c r="A3956" s="10" t="n">
        <v>46126</v>
      </c>
      <c r="B3956" t="inlineStr">
        <is>
          <t>Francilene Ferreira de Jesus</t>
        </is>
      </c>
      <c r="C3956" s="1" t="inlineStr">
        <is>
          <t>Técnico II</t>
        </is>
      </c>
      <c r="D3956" s="3" t="n">
        <v>34</v>
      </c>
      <c r="E3956" s="3" t="n">
        <v>31</v>
      </c>
      <c r="F3956" s="3" t="n">
        <v>19.12</v>
      </c>
      <c r="G3956" s="3" t="n">
        <v>0</v>
      </c>
      <c r="H3956" s="3" t="n">
        <v>0</v>
      </c>
      <c r="I3956" s="3">
        <f>E3956+G3956+H3956</f>
        <v/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/>
      </c>
      <c r="K3956" s="3">
        <f>I3956-J3956</f>
        <v/>
      </c>
      <c r="L3956" s="3">
        <f>IF(K3956&lt;-5,"CRÍTICO",IF(K3956&lt;0,"ATENÇÃO",IF(K3956&lt;=5,"OPORTUNO","MUITO BOM")))</f>
        <v/>
      </c>
      <c r="M3956" s="3" t="n">
        <v>27</v>
      </c>
      <c r="N3956" s="3" t="n">
        <v>99.19</v>
      </c>
      <c r="O3956" s="12" t="n">
        <v>29.46236559139785</v>
      </c>
    </row>
    <row r="3957">
      <c r="A3957" s="7" t="n">
        <v>46161</v>
      </c>
      <c r="B3957" s="8" t="inlineStr">
        <is>
          <t>Sara Maria Monteiro Lopes</t>
        </is>
      </c>
      <c r="C3957" s="1" t="inlineStr">
        <is>
          <t>Técnico I</t>
        </is>
      </c>
      <c r="D3957" s="3" t="n">
        <v>18</v>
      </c>
      <c r="E3957" s="3" t="n">
        <v>18</v>
      </c>
      <c r="F3957" s="3" t="n">
        <v>25.39</v>
      </c>
      <c r="G3957" s="3" t="n">
        <v>0</v>
      </c>
      <c r="H3957" s="3" t="n">
        <v>0</v>
      </c>
      <c r="I3957" s="3" t="n">
        <v>18</v>
      </c>
      <c r="J3957" s="3" t="n">
        <v>19</v>
      </c>
      <c r="K3957" s="3" t="n">
        <v>-1</v>
      </c>
      <c r="L3957" s="3" t="inlineStr">
        <is>
          <t>ATENÇÃO</t>
        </is>
      </c>
      <c r="M3957" s="3" t="n">
        <v>17</v>
      </c>
      <c r="N3957" s="3" t="n">
        <v>100</v>
      </c>
      <c r="O3957" s="12" t="n">
        <v>18</v>
      </c>
    </row>
    <row r="3958">
      <c r="A3958" s="10" t="n">
        <v>46126</v>
      </c>
      <c r="B3958" t="inlineStr">
        <is>
          <t>Isabella Borges de Oliveira</t>
        </is>
      </c>
      <c r="C3958" s="1" t="inlineStr">
        <is>
          <t>Técnico II</t>
        </is>
      </c>
      <c r="D3958" s="3" t="n">
        <v>0</v>
      </c>
      <c r="E3958" s="3" t="n">
        <v>0</v>
      </c>
      <c r="F3958" s="3" t="n">
        <v>0</v>
      </c>
      <c r="G3958" s="3" t="n">
        <v>0</v>
      </c>
      <c r="H3958" s="3" t="n">
        <v>0</v>
      </c>
      <c r="I3958" s="3" t="n">
        <v>0</v>
      </c>
      <c r="J3958" s="3" t="n">
        <v>0</v>
      </c>
      <c r="K3958" s="3" t="n">
        <v>0</v>
      </c>
      <c r="L3958" s="3">
        <f>IF(K3958&lt;-5,"CRÍTICO",IF(K3958&lt;0,"ATENÇÃO",IF(K3958&lt;=5,"OPORTUNO","MUITO BOM")))</f>
        <v/>
      </c>
      <c r="M3958" s="3" t="n">
        <v>0</v>
      </c>
      <c r="N3958" s="3" t="n">
        <v>100</v>
      </c>
      <c r="O3958" s="12" t="n">
        <v>28.92156862745098</v>
      </c>
    </row>
    <row r="3959">
      <c r="A3959" s="10" t="n">
        <v>46126</v>
      </c>
      <c r="B3959" t="inlineStr">
        <is>
          <t>Janaina Lima dos Reis Urany</t>
        </is>
      </c>
      <c r="C3959" s="1" t="inlineStr">
        <is>
          <t>Técnico III</t>
        </is>
      </c>
      <c r="D3959" s="3" t="n">
        <v>34</v>
      </c>
      <c r="E3959" s="3" t="n">
        <v>30</v>
      </c>
      <c r="F3959" s="3" t="n">
        <v>17.31</v>
      </c>
      <c r="G3959" s="3" t="n">
        <v>0</v>
      </c>
      <c r="H3959" s="3" t="n">
        <v>0</v>
      </c>
      <c r="I3959" s="3">
        <f>E3959+G3959+H3959</f>
        <v/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/>
      </c>
      <c r="K3959" s="3">
        <f>I3959-J3959</f>
        <v/>
      </c>
      <c r="L3959" s="3">
        <f>IF(K3959&lt;-5,"CRÍTICO",IF(K3959&lt;0,"ATENÇÃO",IF(K3959&lt;=5,"OPORTUNO","MUITO BOM")))</f>
        <v/>
      </c>
      <c r="M3959" s="3" t="n">
        <v>33</v>
      </c>
      <c r="N3959" s="3" t="n">
        <v>99.56999999999999</v>
      </c>
      <c r="O3959" s="12" t="n">
        <v>30.63583815028902</v>
      </c>
    </row>
    <row r="3960">
      <c r="A3960" s="10" t="n">
        <v>46126</v>
      </c>
      <c r="B3960" t="inlineStr">
        <is>
          <t>Jaqueline Evangelista da Silva Martins</t>
        </is>
      </c>
      <c r="C3960" s="1" t="inlineStr">
        <is>
          <t>Técnico III</t>
        </is>
      </c>
      <c r="D3960" s="3" t="n">
        <v>0</v>
      </c>
      <c r="E3960" s="3" t="n">
        <v>0</v>
      </c>
      <c r="F3960" s="3" t="n">
        <v>0</v>
      </c>
      <c r="G3960" s="3" t="n">
        <v>0</v>
      </c>
      <c r="H3960" s="3" t="n">
        <v>0</v>
      </c>
      <c r="I3960" s="3" t="n">
        <v>0</v>
      </c>
      <c r="J3960" s="3" t="n">
        <v>0</v>
      </c>
      <c r="K3960" s="3" t="n">
        <v>0</v>
      </c>
      <c r="L3960" s="3">
        <f>IF(K3960&lt;-5,"CRÍTICO",IF(K3960&lt;0,"ATENÇÃO",IF(K3960&lt;=5,"OPORTUNO","MUITO BOM")))</f>
        <v/>
      </c>
      <c r="M3960" s="3" t="n">
        <v>0</v>
      </c>
      <c r="N3960" s="3" t="n">
        <v>95.65000000000001</v>
      </c>
      <c r="O3960" s="12" t="n">
        <v>32.43243243243244</v>
      </c>
    </row>
    <row r="3961">
      <c r="A3961" s="10" t="n">
        <v>46126</v>
      </c>
      <c r="B3961" t="inlineStr">
        <is>
          <t>Jessica Faria da Silveira</t>
        </is>
      </c>
      <c r="C3961" s="1" t="inlineStr">
        <is>
          <t>Técnico II</t>
        </is>
      </c>
      <c r="D3961" s="3" t="n">
        <v>19</v>
      </c>
      <c r="E3961" s="3" t="n">
        <v>12</v>
      </c>
      <c r="F3961" s="3" t="n">
        <v>15.44</v>
      </c>
      <c r="G3961" s="3" t="n">
        <v>0</v>
      </c>
      <c r="H3961" s="3" t="n">
        <v>0</v>
      </c>
      <c r="I3961" s="3">
        <f>E3961+G3961+H3961</f>
        <v/>
      </c>
      <c r="J3961" s="3">
        <f>ROUND(MIN(IF(C3961="Técnico III",35,IF(C3961="Técnico II",28,IF(C3961="Técnico I",23,IF(C3961="JR",20,IF(C3961="Estágio",10,0))))),IF(C3961="Técnico III",SUMIFS($D:$D,$A:$A,$A3961,$B:$B,"&lt;&gt;Patrícia Karla de Sousa Araújo",$B:$B,"&lt;&gt;Lorena Dias de Araujo",$B:$B,"&lt;&gt;Lucas Luiz Romero")*(35/1083),IF(C3961="Técnico II",SUMIFS($D:$D,$A:$A,$A3961,$B:$B,"&lt;&gt;Patrícia Karla de Sousa Araújo",$B:$B,"&lt;&gt;Lorena Dias de Araujo",$B:$B,"&lt;&gt;Lucas Luiz Romero")*(28/1083),IF(C3961="Técnico I",SUMIFS($D:$D,$A:$A,$A3961,$B:$B,"&lt;&gt;Patrícia Karla de Sousa Araújo",$B:$B,"&lt;&gt;Lorena Dias de Araujo",$B:$B,"&lt;&gt;Lucas Luiz Romero")*(23/1083),IF(C3961="JR",SUMIFS($D:$D,$A:$A,$A3961,$B:$B,"&lt;&gt;Patrícia Karla de Sousa Araújo",$B:$B,"&lt;&gt;Lorena Dias de Araujo",$B:$B,"&lt;&gt;Lucas Luiz Romero")*(20/1083),IF(C3961="Estágio",SUMIFS($D:$D,$A:$A,$A3961,$B:$B,"&lt;&gt;Patrícia Karla de Sousa Araújo",$B:$B,"&lt;&gt;Lorena Dias de Araujo",$B:$B,"&lt;&gt;Lucas Luiz Romero")*(10/1083),0)))))),0)</f>
        <v/>
      </c>
      <c r="K3961" s="3">
        <f>I3961-J3961</f>
        <v/>
      </c>
      <c r="L3961" s="3">
        <f>IF(K3961&lt;-5,"CRÍTICO",IF(K3961&lt;0,"ATENÇÃO",IF(K3961&lt;=5,"OPORTUNO","MUITO BOM")))</f>
        <v/>
      </c>
      <c r="M3961" s="3" t="n">
        <v>10</v>
      </c>
      <c r="N3961" s="3" t="n">
        <v>98.81</v>
      </c>
      <c r="O3961" s="12" t="n">
        <v>26.25698324022346</v>
      </c>
    </row>
    <row r="3962">
      <c r="A3962" s="10" t="n">
        <v>46126</v>
      </c>
      <c r="B3962" t="inlineStr">
        <is>
          <t>Jéssica Fé Moura</t>
        </is>
      </c>
      <c r="C3962" s="1" t="inlineStr">
        <is>
          <t>Técnico III</t>
        </is>
      </c>
      <c r="D3962" s="3" t="n">
        <v>0</v>
      </c>
      <c r="E3962" s="3" t="n">
        <v>0</v>
      </c>
      <c r="F3962" s="3" t="n">
        <v>0</v>
      </c>
      <c r="G3962" s="3" t="n">
        <v>0</v>
      </c>
      <c r="H3962" s="3" t="n">
        <v>0</v>
      </c>
      <c r="I3962" s="3" t="n">
        <v>0</v>
      </c>
      <c r="J3962" s="3" t="n">
        <v>0</v>
      </c>
      <c r="K3962" s="3" t="n">
        <v>0</v>
      </c>
      <c r="L3962" s="3">
        <f>IF(K3962&lt;-5,"CRÍTICO",IF(K3962&lt;0,"ATENÇÃO",IF(K3962&lt;=5,"OPORTUNO","MUITO BOM")))</f>
        <v/>
      </c>
      <c r="M3962" s="3" t="n">
        <v>0</v>
      </c>
      <c r="N3962" s="3" t="n">
        <v>0</v>
      </c>
      <c r="O3962" s="12" t="n">
        <v>0</v>
      </c>
    </row>
    <row r="3963">
      <c r="A3963" s="10" t="n">
        <v>46126</v>
      </c>
      <c r="B3963" t="inlineStr">
        <is>
          <t>Karina Gonçalves Martins</t>
        </is>
      </c>
      <c r="C3963" s="1" t="inlineStr">
        <is>
          <t>JR</t>
        </is>
      </c>
      <c r="D3963" s="3" t="n">
        <v>27</v>
      </c>
      <c r="E3963" s="3" t="n">
        <v>25</v>
      </c>
      <c r="F3963" s="3" t="n">
        <v>20.45</v>
      </c>
      <c r="G3963" s="3" t="n">
        <v>0</v>
      </c>
      <c r="H3963" s="3" t="n">
        <v>0</v>
      </c>
      <c r="I3963" s="3">
        <f>E3963+G3963+H3963</f>
        <v/>
      </c>
      <c r="J3963" s="3">
        <f>ROUND(MIN(IF(C3963="Técnico III",35,IF(C3963="Técnico II",28,IF(C3963="Técnico I",23,IF(C3963="JR",20,IF(C3963="Estágio",10,0))))),IF(C3963="Técnico III",SUMIFS($D:$D,$A:$A,$A3963,$B:$B,"&lt;&gt;Patrícia Karla de Sousa Araújo",$B:$B,"&lt;&gt;Lorena Dias de Araujo",$B:$B,"&lt;&gt;Lucas Luiz Romero")*(35/1083),IF(C3963="Técnico II",SUMIFS($D:$D,$A:$A,$A3963,$B:$B,"&lt;&gt;Patrícia Karla de Sousa Araújo",$B:$B,"&lt;&gt;Lorena Dias de Araujo",$B:$B,"&lt;&gt;Lucas Luiz Romero")*(28/1083),IF(C3963="Técnico I",SUMIFS($D:$D,$A:$A,$A3963,$B:$B,"&lt;&gt;Patrícia Karla de Sousa Araújo",$B:$B,"&lt;&gt;Lorena Dias de Araujo",$B:$B,"&lt;&gt;Lucas Luiz Romero")*(23/1083),IF(C3963="JR",SUMIFS($D:$D,$A:$A,$A3963,$B:$B,"&lt;&gt;Patrícia Karla de Sousa Araújo",$B:$B,"&lt;&gt;Lorena Dias de Araujo",$B:$B,"&lt;&gt;Lucas Luiz Romero")*(20/1083),IF(C3963="Estágio",SUMIFS($D:$D,$A:$A,$A3963,$B:$B,"&lt;&gt;Patrícia Karla de Sousa Araújo",$B:$B,"&lt;&gt;Lorena Dias de Araujo",$B:$B,"&lt;&gt;Lucas Luiz Romero")*(10/1083),0)))))),0)</f>
        <v/>
      </c>
      <c r="K3963" s="3">
        <f>I3963-J3963</f>
        <v/>
      </c>
      <c r="L3963" s="3">
        <f>IF(K3963&lt;-5,"CRÍTICO",IF(K3963&lt;0,"ATENÇÃO",IF(K3963&lt;=5,"OPORTUNO","MUITO BOM")))</f>
        <v/>
      </c>
      <c r="M3963" s="3" t="n">
        <v>21</v>
      </c>
      <c r="N3963" s="3" t="n">
        <v>97.17</v>
      </c>
      <c r="O3963" s="12" t="n">
        <v>28.81844380403458</v>
      </c>
    </row>
    <row r="3964">
      <c r="A3964" s="10" t="n">
        <v>46126</v>
      </c>
      <c r="B3964" t="inlineStr">
        <is>
          <t>Kerollen Cristielly de Jesus Siqueira</t>
        </is>
      </c>
      <c r="C3964" s="1" t="inlineStr">
        <is>
          <t>Técnico III</t>
        </is>
      </c>
      <c r="D3964" s="3" t="n">
        <v>23</v>
      </c>
      <c r="E3964" s="3" t="n">
        <v>22</v>
      </c>
      <c r="F3964" s="3" t="n">
        <v>18.55</v>
      </c>
      <c r="G3964" s="3" t="n">
        <v>0</v>
      </c>
      <c r="H3964" s="3" t="n">
        <v>0</v>
      </c>
      <c r="I3964" s="3">
        <f>E3964+G3964+H3964</f>
        <v/>
      </c>
      <c r="J3964" s="3">
        <f>ROUND(MIN(IF(C3964="Técnico III",35,IF(C3964="Técnico II",28,IF(C3964="Técnico I",23,IF(C3964="JR",20,IF(C3964="Estágio",10,0))))),IF(C3964="Técnico III",SUMIFS($D:$D,$A:$A,$A3964,$B:$B,"&lt;&gt;Patrícia Karla de Sousa Araújo",$B:$B,"&lt;&gt;Lorena Dias de Araujo",$B:$B,"&lt;&gt;Lucas Luiz Romero")*(35/1083),IF(C3964="Técnico II",SUMIFS($D:$D,$A:$A,$A3964,$B:$B,"&lt;&gt;Patrícia Karla de Sousa Araújo",$B:$B,"&lt;&gt;Lorena Dias de Araujo",$B:$B,"&lt;&gt;Lucas Luiz Romero")*(28/1083),IF(C3964="Técnico I",SUMIFS($D:$D,$A:$A,$A3964,$B:$B,"&lt;&gt;Patrícia Karla de Sousa Araújo",$B:$B,"&lt;&gt;Lorena Dias de Araujo",$B:$B,"&lt;&gt;Lucas Luiz Romero")*(23/1083),IF(C3964="JR",SUMIFS($D:$D,$A:$A,$A3964,$B:$B,"&lt;&gt;Patrícia Karla de Sousa Araújo",$B:$B,"&lt;&gt;Lorena Dias de Araujo",$B:$B,"&lt;&gt;Lucas Luiz Romero")*(20/1083),IF(C3964="Estágio",SUMIFS($D:$D,$A:$A,$A3964,$B:$B,"&lt;&gt;Patrícia Karla de Sousa Araújo",$B:$B,"&lt;&gt;Lorena Dias de Araujo",$B:$B,"&lt;&gt;Lucas Luiz Romero")*(10/1083),0)))))),0)</f>
        <v/>
      </c>
      <c r="K3964" s="3">
        <f>I3964-J3964</f>
        <v/>
      </c>
      <c r="L3964" s="3">
        <f>IF(K3964&lt;-5,"CRÍTICO",IF(K3964&lt;0,"ATENÇÃO",IF(K3964&lt;=5,"OPORTUNO","MUITO BOM")))</f>
        <v/>
      </c>
      <c r="M3964" s="3" t="n">
        <v>23</v>
      </c>
      <c r="N3964" s="3" t="n">
        <v>96.81</v>
      </c>
      <c r="O3964" s="12" t="n">
        <v>48.01864801864802</v>
      </c>
    </row>
    <row r="3965">
      <c r="A3965" s="10" t="n">
        <v>46126</v>
      </c>
      <c r="B3965" t="inlineStr">
        <is>
          <t>Leandro de Souza Silva</t>
        </is>
      </c>
      <c r="C3965" s="1" t="inlineStr">
        <is>
          <t>JR</t>
        </is>
      </c>
      <c r="D3965" s="3" t="n">
        <v>18</v>
      </c>
      <c r="E3965" s="3" t="n">
        <v>15</v>
      </c>
      <c r="F3965" s="3" t="n">
        <v>17.37</v>
      </c>
      <c r="G3965" s="3" t="n">
        <v>0</v>
      </c>
      <c r="H3965" s="3" t="n">
        <v>0</v>
      </c>
      <c r="I3965" s="3">
        <f>E3965+G3965+H3965</f>
        <v/>
      </c>
      <c r="J3965" s="3">
        <f>ROUND(MIN(IF(C3965="Técnico III",35,IF(C3965="Técnico II",28,IF(C3965="Técnico I",23,IF(C3965="JR",20,IF(C3965="Estágio",10,0))))),IF(C3965="Técnico III",SUMIFS($D:$D,$A:$A,$A3965,$B:$B,"&lt;&gt;Patrícia Karla de Sousa Araújo",$B:$B,"&lt;&gt;Lorena Dias de Araujo",$B:$B,"&lt;&gt;Lucas Luiz Romero")*(35/1083),IF(C3965="Técnico II",SUMIFS($D:$D,$A:$A,$A3965,$B:$B,"&lt;&gt;Patrícia Karla de Sousa Araújo",$B:$B,"&lt;&gt;Lorena Dias de Araujo",$B:$B,"&lt;&gt;Lucas Luiz Romero")*(28/1083),IF(C3965="Técnico I",SUMIFS($D:$D,$A:$A,$A3965,$B:$B,"&lt;&gt;Patrícia Karla de Sousa Araújo",$B:$B,"&lt;&gt;Lorena Dias de Araujo",$B:$B,"&lt;&gt;Lucas Luiz Romero")*(23/1083),IF(C3965="JR",SUMIFS($D:$D,$A:$A,$A3965,$B:$B,"&lt;&gt;Patrícia Karla de Sousa Araújo",$B:$B,"&lt;&gt;Lorena Dias de Araujo",$B:$B,"&lt;&gt;Lucas Luiz Romero")*(20/1083),IF(C3965="Estágio",SUMIFS($D:$D,$A:$A,$A3965,$B:$B,"&lt;&gt;Patrícia Karla de Sousa Araújo",$B:$B,"&lt;&gt;Lorena Dias de Araujo",$B:$B,"&lt;&gt;Lucas Luiz Romero")*(10/1083),0)))))),0)</f>
        <v/>
      </c>
      <c r="K3965" s="3">
        <f>I3965-J3965</f>
        <v/>
      </c>
      <c r="L3965" s="3">
        <f>IF(K3965&lt;-5,"CRÍTICO",IF(K3965&lt;0,"ATENÇÃO",IF(K3965&lt;=5,"OPORTUNO","MUITO BOM")))</f>
        <v/>
      </c>
      <c r="M3965" s="3" t="n">
        <v>10</v>
      </c>
      <c r="N3965" s="3" t="n">
        <v>98.15000000000001</v>
      </c>
      <c r="O3965" s="12" t="n">
        <v>27.1551724137931</v>
      </c>
    </row>
    <row r="3966">
      <c r="A3966" s="10" t="n">
        <v>46126</v>
      </c>
      <c r="B3966" t="inlineStr">
        <is>
          <t>Leandro Oliveira de Sousa</t>
        </is>
      </c>
      <c r="C3966" s="1" t="inlineStr">
        <is>
          <t>Técnico III</t>
        </is>
      </c>
      <c r="D3966" s="3" t="n">
        <v>29</v>
      </c>
      <c r="E3966" s="3" t="n">
        <v>28</v>
      </c>
      <c r="F3966" s="3" t="n">
        <v>17</v>
      </c>
      <c r="G3966" s="3" t="n">
        <v>0</v>
      </c>
      <c r="H3966" s="3" t="n">
        <v>0</v>
      </c>
      <c r="I3966" s="3">
        <f>E3966+G3966+H3966</f>
        <v/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/>
      </c>
      <c r="K3966" s="3">
        <f>I3966-J3966</f>
        <v/>
      </c>
      <c r="L3966" s="3">
        <f>IF(K3966&lt;-5,"CRÍTICO",IF(K3966&lt;0,"ATENÇÃO",IF(K3966&lt;=5,"OPORTUNO","MUITO BOM")))</f>
        <v/>
      </c>
      <c r="M3966" s="3" t="n">
        <v>25</v>
      </c>
      <c r="N3966" s="3" t="n">
        <v>99.15000000000001</v>
      </c>
      <c r="O3966" s="12" t="n">
        <v>27.58620689655172</v>
      </c>
    </row>
    <row r="3967">
      <c r="A3967" s="10" t="n">
        <v>46126</v>
      </c>
      <c r="B3967" t="inlineStr">
        <is>
          <t>Lizandra Gomes Duarte</t>
        </is>
      </c>
      <c r="C3967" s="1" t="inlineStr">
        <is>
          <t>Técnico II</t>
        </is>
      </c>
      <c r="D3967" s="3" t="n">
        <v>40</v>
      </c>
      <c r="E3967" s="3" t="n">
        <v>30</v>
      </c>
      <c r="F3967" s="3" t="n">
        <v>13.23</v>
      </c>
      <c r="G3967" s="3" t="n">
        <v>0</v>
      </c>
      <c r="H3967" s="3" t="n">
        <v>0</v>
      </c>
      <c r="I3967" s="3">
        <f>E3967+G3967+H3967</f>
        <v/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/>
      </c>
      <c r="K3967" s="3">
        <f>I3967-J3967</f>
        <v/>
      </c>
      <c r="L3967" s="3">
        <f>IF(K3967&lt;-5,"CRÍTICO",IF(K3967&lt;0,"ATENÇÃO",IF(K3967&lt;=5,"OPORTUNO","MUITO BOM")))</f>
        <v/>
      </c>
      <c r="M3967" s="3" t="n">
        <v>16</v>
      </c>
      <c r="N3967" s="3" t="n">
        <v>99.17</v>
      </c>
      <c r="O3967" s="12" t="n">
        <v>29.75206611570248</v>
      </c>
    </row>
    <row r="3968">
      <c r="A3968" s="10" t="n">
        <v>46126</v>
      </c>
      <c r="B3968" t="inlineStr">
        <is>
          <t>Lorena Dias de Araujo</t>
        </is>
      </c>
      <c r="C3968" s="1" t="inlineStr">
        <is>
          <t>Técnico II</t>
        </is>
      </c>
      <c r="D3968" s="3" t="n">
        <v>0</v>
      </c>
      <c r="E3968" s="3" t="n">
        <v>0</v>
      </c>
      <c r="F3968" s="3" t="n">
        <v>0</v>
      </c>
      <c r="G3968" s="3" t="n">
        <v>0</v>
      </c>
      <c r="H3968" s="3" t="n">
        <v>0</v>
      </c>
      <c r="I3968" s="3" t="n">
        <v>0</v>
      </c>
      <c r="J3968" s="3" t="n">
        <v>0</v>
      </c>
      <c r="K3968" s="3" t="n">
        <v>0</v>
      </c>
      <c r="L3968" s="3">
        <f>IF(K3968&lt;-5,"CRÍTICO",IF(K3968&lt;0,"ATENÇÃO",IF(K3968&lt;=5,"OPORTUNO","MUITO BOM")))</f>
        <v/>
      </c>
      <c r="M3968" s="3" t="n">
        <v>0</v>
      </c>
      <c r="N3968" s="3" t="n">
        <v>98.73</v>
      </c>
      <c r="O3968" s="12" t="n">
        <v>28.96174863387978</v>
      </c>
    </row>
    <row r="3969">
      <c r="A3969" s="10" t="n">
        <v>46126</v>
      </c>
      <c r="B3969" t="inlineStr">
        <is>
          <t>Lucas Luiz Romero</t>
        </is>
      </c>
      <c r="C3969" s="1" t="inlineStr">
        <is>
          <t>Técnico III</t>
        </is>
      </c>
      <c r="D3969" s="3" t="n">
        <v>36</v>
      </c>
      <c r="E3969" s="3" t="n">
        <v>25</v>
      </c>
      <c r="F3969" s="3" t="n">
        <v>15.12</v>
      </c>
      <c r="G3969" s="3" t="n">
        <v>0</v>
      </c>
      <c r="H3969" s="3" t="n">
        <v>0</v>
      </c>
      <c r="I3969" s="3">
        <f>E3969+G3969+H3969</f>
        <v/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/>
      </c>
      <c r="K3969" s="3">
        <f>I3969-J3969</f>
        <v/>
      </c>
      <c r="L3969" s="3">
        <f>IF(K3969&lt;-5,"CRÍTICO",IF(K3969&lt;0,"ATENÇÃO",IF(K3969&lt;=5,"OPORTUNO","MUITO BOM")))</f>
        <v/>
      </c>
      <c r="M3969" s="3" t="n">
        <v>20</v>
      </c>
      <c r="N3969" s="3" t="n">
        <v>88.68000000000001</v>
      </c>
      <c r="O3969" s="12" t="n">
        <v>22.03389830508474</v>
      </c>
    </row>
    <row r="3970">
      <c r="A3970" s="10" t="n">
        <v>46126</v>
      </c>
      <c r="B3970" t="inlineStr">
        <is>
          <t>Luiz Fernando de Carvalho Junior</t>
        </is>
      </c>
      <c r="C3970" s="1" t="inlineStr">
        <is>
          <t>Técnico I</t>
        </is>
      </c>
      <c r="D3970" s="3" t="n">
        <v>24</v>
      </c>
      <c r="E3970" s="3" t="n">
        <v>20</v>
      </c>
      <c r="F3970" s="3" t="n">
        <v>20.34</v>
      </c>
      <c r="G3970" s="3" t="n">
        <v>0</v>
      </c>
      <c r="H3970" s="3" t="n">
        <v>0</v>
      </c>
      <c r="I3970" s="3">
        <f>E3970+G3970+H3970</f>
        <v/>
      </c>
      <c r="J3970" s="3">
        <f>ROUND(MIN(IF(C3970="Técnico III",35,IF(C3970="Técnico II",28,IF(C3970="Técnico I",23,IF(C3970="JR",20,IF(C3970="Estágio",10,0))))),IF(C3970="Técnico III",SUMIFS($D:$D,$A:$A,$A3970,$B:$B,"&lt;&gt;Patrícia Karla de Sousa Araújo",$B:$B,"&lt;&gt;Lorena Dias de Araujo",$B:$B,"&lt;&gt;Lucas Luiz Romero")*(35/1083),IF(C3970="Técnico II",SUMIFS($D:$D,$A:$A,$A3970,$B:$B,"&lt;&gt;Patrícia Karla de Sousa Araújo",$B:$B,"&lt;&gt;Lorena Dias de Araujo",$B:$B,"&lt;&gt;Lucas Luiz Romero")*(28/1083),IF(C3970="Técnico I",SUMIFS($D:$D,$A:$A,$A3970,$B:$B,"&lt;&gt;Patrícia Karla de Sousa Araújo",$B:$B,"&lt;&gt;Lorena Dias de Araujo",$B:$B,"&lt;&gt;Lucas Luiz Romero")*(23/1083),IF(C3970="JR",SUMIFS($D:$D,$A:$A,$A3970,$B:$B,"&lt;&gt;Patrícia Karla de Sousa Araújo",$B:$B,"&lt;&gt;Lorena Dias de Araujo",$B:$B,"&lt;&gt;Lucas Luiz Romero")*(20/1083),IF(C3970="Estágio",SUMIFS($D:$D,$A:$A,$A3970,$B:$B,"&lt;&gt;Patrícia Karla de Sousa Araújo",$B:$B,"&lt;&gt;Lorena Dias de Araujo",$B:$B,"&lt;&gt;Lucas Luiz Romero")*(10/1083),0)))))),0)</f>
        <v/>
      </c>
      <c r="K3970" s="3">
        <f>I3970-J3970</f>
        <v/>
      </c>
      <c r="L3970" s="3">
        <f>IF(K3970&lt;-5,"CRÍTICO",IF(K3970&lt;0,"ATENÇÃO",IF(K3970&lt;=5,"OPORTUNO","MUITO BOM")))</f>
        <v/>
      </c>
      <c r="M3970" s="3" t="n">
        <v>18</v>
      </c>
      <c r="N3970" s="3" t="n">
        <v>97.37</v>
      </c>
      <c r="O3970" s="12" t="n">
        <v>25.76530612244898</v>
      </c>
    </row>
    <row r="3971">
      <c r="A3971" s="10" t="n">
        <v>46126</v>
      </c>
      <c r="B3971" t="inlineStr">
        <is>
          <t>Maria Eduarda Sousa Costa</t>
        </is>
      </c>
      <c r="C3971" s="1" t="inlineStr">
        <is>
          <t>Estágio</t>
        </is>
      </c>
      <c r="D3971" s="3" t="n">
        <v>11</v>
      </c>
      <c r="E3971" s="3" t="n">
        <v>10</v>
      </c>
      <c r="F3971" s="3" t="n">
        <v>32.28</v>
      </c>
      <c r="G3971" s="3" t="n">
        <v>0</v>
      </c>
      <c r="H3971" s="3" t="n">
        <v>0</v>
      </c>
      <c r="I3971" s="3">
        <f>E3971+G3971+H3971</f>
        <v/>
      </c>
      <c r="J3971" s="3">
        <f>ROUND(MIN(IF(C3971="Técnico III",35,IF(C3971="Técnico II",28,IF(C3971="Técnico I",23,IF(C3971="JR",20,IF(C3971="Estágio",10,0))))),IF(C3971="Técnico III",SUMIFS($D:$D,$A:$A,$A3971,$B:$B,"&lt;&gt;Patrícia Karla de Sousa Araújo",$B:$B,"&lt;&gt;Lorena Dias de Araujo",$B:$B,"&lt;&gt;Lucas Luiz Romero")*(35/1083),IF(C3971="Técnico II",SUMIFS($D:$D,$A:$A,$A3971,$B:$B,"&lt;&gt;Patrícia Karla de Sousa Araújo",$B:$B,"&lt;&gt;Lorena Dias de Araujo",$B:$B,"&lt;&gt;Lucas Luiz Romero")*(28/1083),IF(C3971="Técnico I",SUMIFS($D:$D,$A:$A,$A3971,$B:$B,"&lt;&gt;Patrícia Karla de Sousa Araújo",$B:$B,"&lt;&gt;Lorena Dias de Araujo",$B:$B,"&lt;&gt;Lucas Luiz Romero")*(23/1083),IF(C3971="JR",SUMIFS($D:$D,$A:$A,$A3971,$B:$B,"&lt;&gt;Patrícia Karla de Sousa Araújo",$B:$B,"&lt;&gt;Lorena Dias de Araujo",$B:$B,"&lt;&gt;Lucas Luiz Romero")*(20/1083),IF(C3971="Estágio",SUMIFS($D:$D,$A:$A,$A3971,$B:$B,"&lt;&gt;Patrícia Karla de Sousa Araújo",$B:$B,"&lt;&gt;Lorena Dias de Araujo",$B:$B,"&lt;&gt;Lucas Luiz Romero")*(10/1083),0)))))),0)</f>
        <v/>
      </c>
      <c r="K3971" s="3">
        <f>I3971-J3971</f>
        <v/>
      </c>
      <c r="L3971" s="3">
        <f>IF(K3971&lt;-5,"CRÍTICO",IF(K3971&lt;0,"ATENÇÃO",IF(K3971&lt;=5,"OPORTUNO","MUITO BOM")))</f>
        <v/>
      </c>
      <c r="M3971" s="3" t="n">
        <v>7</v>
      </c>
      <c r="N3971" s="3" t="n">
        <v>100</v>
      </c>
      <c r="O3971" s="12" t="n">
        <v>25</v>
      </c>
    </row>
    <row r="3972">
      <c r="A3972" s="7" t="n">
        <v>46161</v>
      </c>
      <c r="B3972" s="8" t="inlineStr">
        <is>
          <t>Gabriel Gomes de Andrade</t>
        </is>
      </c>
      <c r="C3972" s="1" t="inlineStr">
        <is>
          <t>Técnico I</t>
        </is>
      </c>
      <c r="D3972" s="3" t="n">
        <v>19</v>
      </c>
      <c r="E3972" s="3" t="n">
        <v>18</v>
      </c>
      <c r="F3972" s="3" t="n">
        <v>21.58</v>
      </c>
      <c r="G3972" s="3" t="n">
        <v>3</v>
      </c>
      <c r="H3972" s="3" t="n">
        <v>3</v>
      </c>
      <c r="I3972" s="3" t="n">
        <v>24</v>
      </c>
      <c r="J3972" s="3" t="n">
        <v>19</v>
      </c>
      <c r="K3972" s="3" t="n">
        <v>5</v>
      </c>
      <c r="L3972" s="3" t="inlineStr">
        <is>
          <t>BOM</t>
        </is>
      </c>
      <c r="M3972" s="3" t="n">
        <v>20</v>
      </c>
      <c r="N3972" s="3" t="n">
        <v>99.06</v>
      </c>
      <c r="O3972" s="12" t="n">
        <v>19.41747572815534</v>
      </c>
    </row>
    <row r="3973">
      <c r="A3973" s="10" t="n">
        <v>46126</v>
      </c>
      <c r="B3973" t="inlineStr">
        <is>
          <t>Maysa Victoria Dias Moura</t>
        </is>
      </c>
      <c r="C3973" s="1" t="inlineStr">
        <is>
          <t>Técnico III</t>
        </is>
      </c>
      <c r="D3973" s="3" t="n">
        <v>39</v>
      </c>
      <c r="E3973" s="3" t="n">
        <v>37</v>
      </c>
      <c r="F3973" s="3" t="n">
        <v>12.02</v>
      </c>
      <c r="G3973" s="3" t="n">
        <v>0</v>
      </c>
      <c r="H3973" s="3" t="n">
        <v>0</v>
      </c>
      <c r="I3973" s="3">
        <f>E3973+G3973+H3973</f>
        <v/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/>
      </c>
      <c r="K3973" s="3">
        <f>I3973-J3973</f>
        <v/>
      </c>
      <c r="L3973" s="3">
        <f>IF(K3973&lt;-5,"CRÍTICO",IF(K3973&lt;0,"ATENÇÃO",IF(K3973&lt;=5,"OPORTUNO","MUITO BOM")))</f>
        <v/>
      </c>
      <c r="M3973" s="3" t="n">
        <v>3</v>
      </c>
      <c r="N3973" s="3" t="n">
        <v>95.48999999999999</v>
      </c>
      <c r="O3973" s="12" t="n">
        <v>28.37022132796781</v>
      </c>
    </row>
    <row r="3974">
      <c r="A3974" s="7" t="n">
        <v>46161</v>
      </c>
      <c r="B3974" s="8" t="inlineStr">
        <is>
          <t>Matheus Farias De Souza</t>
        </is>
      </c>
      <c r="C3974" s="1" t="inlineStr">
        <is>
          <t>Técnico III</t>
        </is>
      </c>
      <c r="D3974" s="3" t="n">
        <v>0</v>
      </c>
      <c r="E3974" s="3" t="n">
        <v>0</v>
      </c>
      <c r="F3974" s="3" t="n">
        <v>0</v>
      </c>
      <c r="G3974" s="3" t="n">
        <v>0</v>
      </c>
      <c r="H3974" s="3" t="n">
        <v>33</v>
      </c>
      <c r="I3974" s="3" t="n">
        <v>33</v>
      </c>
      <c r="J3974" s="3" t="n">
        <v>29</v>
      </c>
      <c r="K3974" s="3" t="n">
        <v>4</v>
      </c>
      <c r="L3974" s="3" t="inlineStr">
        <is>
          <t>BOM</t>
        </is>
      </c>
      <c r="M3974" s="3" t="n">
        <v>14</v>
      </c>
      <c r="N3974" s="3" t="n">
        <v>98.39</v>
      </c>
      <c r="O3974" s="12" t="n">
        <v>8.799999999999999</v>
      </c>
    </row>
    <row r="3975">
      <c r="A3975" s="10" t="n">
        <v>46126</v>
      </c>
      <c r="B3975" t="inlineStr">
        <is>
          <t>Milena Sales</t>
        </is>
      </c>
      <c r="C3975" s="1" t="inlineStr">
        <is>
          <t>JR</t>
        </is>
      </c>
      <c r="D3975" s="3" t="n">
        <v>39</v>
      </c>
      <c r="E3975" s="3" t="n">
        <v>35</v>
      </c>
      <c r="F3975" s="3" t="n">
        <v>13.33</v>
      </c>
      <c r="G3975" s="3" t="n">
        <v>0</v>
      </c>
      <c r="H3975" s="3" t="n">
        <v>0</v>
      </c>
      <c r="I3975" s="3">
        <f>E3975+G3975+H3975</f>
        <v/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/>
      </c>
      <c r="K3975" s="3">
        <f>I3975-J3975</f>
        <v/>
      </c>
      <c r="L3975" s="3">
        <f>IF(K3975&lt;-5,"CRÍTICO",IF(K3975&lt;0,"ATENÇÃO",IF(K3975&lt;=5,"OPORTUNO","MUITO BOM")))</f>
        <v/>
      </c>
      <c r="M3975" s="3" t="n">
        <v>20</v>
      </c>
      <c r="N3975" s="3" t="n">
        <v>96.15000000000001</v>
      </c>
      <c r="O3975" s="12" t="n">
        <v>24.04580152671756</v>
      </c>
    </row>
    <row r="3976">
      <c r="A3976" s="10" t="n">
        <v>46126</v>
      </c>
      <c r="B3976" t="inlineStr">
        <is>
          <t>Patrícia Karla de Sousa Araújo</t>
        </is>
      </c>
      <c r="C3976" s="1" t="inlineStr">
        <is>
          <t>Técnico II</t>
        </is>
      </c>
      <c r="D3976" s="3" t="n">
        <v>32</v>
      </c>
      <c r="E3976" s="3" t="n">
        <v>30</v>
      </c>
      <c r="F3976" s="3" t="n">
        <v>16.52</v>
      </c>
      <c r="G3976" s="3" t="n">
        <v>0</v>
      </c>
      <c r="H3976" s="3" t="n">
        <v>0</v>
      </c>
      <c r="I3976" s="3">
        <f>E3976+G3976+H3976</f>
        <v/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/>
      </c>
      <c r="K3976" s="3">
        <f>I3976-J3976</f>
        <v/>
      </c>
      <c r="L3976" s="3">
        <f>IF(K3976&lt;-5,"CRÍTICO",IF(K3976&lt;0,"ATENÇÃO",IF(K3976&lt;=5,"OPORTUNO","MUITO BOM")))</f>
        <v/>
      </c>
      <c r="M3976" s="3" t="n">
        <v>22</v>
      </c>
      <c r="N3976" s="3" t="n">
        <v>99.02</v>
      </c>
      <c r="O3976" s="12" t="n">
        <v>34.7972972972973</v>
      </c>
    </row>
    <row r="3977">
      <c r="A3977" s="10" t="n">
        <v>46126</v>
      </c>
      <c r="B3977" t="inlineStr">
        <is>
          <t>Paulo Ricardo Santos</t>
        </is>
      </c>
      <c r="C3977" s="1" t="inlineStr">
        <is>
          <t>JR</t>
        </is>
      </c>
      <c r="D3977" s="3" t="n">
        <v>24</v>
      </c>
      <c r="E3977" s="3" t="n">
        <v>24</v>
      </c>
      <c r="F3977" s="3" t="n">
        <v>15.58</v>
      </c>
      <c r="G3977" s="3" t="n">
        <v>0</v>
      </c>
      <c r="H3977" s="3" t="n">
        <v>0</v>
      </c>
      <c r="I3977" s="3">
        <f>E3977+G3977+H3977</f>
        <v/>
      </c>
      <c r="J3977" s="3">
        <f>ROUND(MIN(IF(C3977="Técnico III",35,IF(C3977="Técnico II",28,IF(C3977="Técnico I",23,IF(C3977="JR",20,IF(C3977="Estágio",10,0))))),IF(C3977="Técnico III",SUMIFS($D:$D,$A:$A,$A3977,$B:$B,"&lt;&gt;Patrícia Karla de Sousa Araújo",$B:$B,"&lt;&gt;Lorena Dias de Araujo",$B:$B,"&lt;&gt;Lucas Luiz Romero")*(35/1083),IF(C3977="Técnico II",SUMIFS($D:$D,$A:$A,$A3977,$B:$B,"&lt;&gt;Patrícia Karla de Sousa Araújo",$B:$B,"&lt;&gt;Lorena Dias de Araujo",$B:$B,"&lt;&gt;Lucas Luiz Romero")*(28/1083),IF(C3977="Técnico I",SUMIFS($D:$D,$A:$A,$A3977,$B:$B,"&lt;&gt;Patrícia Karla de Sousa Araújo",$B:$B,"&lt;&gt;Lorena Dias de Araujo",$B:$B,"&lt;&gt;Lucas Luiz Romero")*(23/1083),IF(C3977="JR",SUMIFS($D:$D,$A:$A,$A3977,$B:$B,"&lt;&gt;Patrícia Karla de Sousa Araújo",$B:$B,"&lt;&gt;Lorena Dias de Araujo",$B:$B,"&lt;&gt;Lucas Luiz Romero")*(20/1083),IF(C3977="Estágio",SUMIFS($D:$D,$A:$A,$A3977,$B:$B,"&lt;&gt;Patrícia Karla de Sousa Araújo",$B:$B,"&lt;&gt;Lorena Dias de Araujo",$B:$B,"&lt;&gt;Lucas Luiz Romero")*(10/1083),0)))))),0)</f>
        <v/>
      </c>
      <c r="K3977" s="3">
        <f>I3977-J3977</f>
        <v/>
      </c>
      <c r="L3977" s="3">
        <f>IF(K3977&lt;-5,"CRÍTICO",IF(K3977&lt;0,"ATENÇÃO",IF(K3977&lt;=5,"OPORTUNO","MUITO BOM")))</f>
        <v/>
      </c>
      <c r="M3977" s="3" t="n">
        <v>19</v>
      </c>
      <c r="N3977" s="3" t="n">
        <v>98.84</v>
      </c>
      <c r="O3977" s="12" t="n">
        <v>31.86813186813187</v>
      </c>
    </row>
    <row r="3978">
      <c r="A3978" s="10" t="n">
        <v>46126</v>
      </c>
      <c r="B3978" t="inlineStr">
        <is>
          <t>Pedro Luiz Mota Sousa</t>
        </is>
      </c>
      <c r="C3978" s="1" t="inlineStr">
        <is>
          <t>JR</t>
        </is>
      </c>
      <c r="D3978" s="3" t="n">
        <v>19</v>
      </c>
      <c r="E3978" s="3" t="n">
        <v>19</v>
      </c>
      <c r="F3978" s="3" t="n">
        <v>18.56</v>
      </c>
      <c r="G3978" s="3" t="n">
        <v>0</v>
      </c>
      <c r="H3978" s="3" t="n">
        <v>0</v>
      </c>
      <c r="I3978" s="3">
        <f>E3978+G3978+H3978</f>
        <v/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/>
      </c>
      <c r="K3978" s="3">
        <f>I3978-J3978</f>
        <v/>
      </c>
      <c r="L3978" s="3">
        <f>IF(K3978&lt;-5,"CRÍTICO",IF(K3978&lt;0,"ATENÇÃO",IF(K3978&lt;=5,"OPORTUNO","MUITO BOM")))</f>
        <v/>
      </c>
      <c r="M3978" s="3" t="n">
        <v>15</v>
      </c>
      <c r="N3978" s="3" t="n">
        <v>100</v>
      </c>
      <c r="O3978" s="12" t="n">
        <v>34.66666666666667</v>
      </c>
    </row>
    <row r="3979">
      <c r="A3979" s="5" t="n">
        <v>46156</v>
      </c>
      <c r="B3979" s="6" t="inlineStr">
        <is>
          <t>Michelle G Santos</t>
        </is>
      </c>
      <c r="C3979" s="1" t="inlineStr">
        <is>
          <t>Estágio</t>
        </is>
      </c>
      <c r="D3979" s="3" t="n">
        <v>4</v>
      </c>
      <c r="E3979" s="3" t="n">
        <v>4</v>
      </c>
      <c r="F3979" s="3" t="n">
        <v>54.06</v>
      </c>
      <c r="G3979" s="3" t="n">
        <v>0</v>
      </c>
      <c r="H3979" s="3" t="n">
        <v>0</v>
      </c>
      <c r="I3979" s="3">
        <f>E3979+G3979+H3979</f>
        <v/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/>
      </c>
      <c r="K3979" s="3">
        <f>I3979-J3979</f>
        <v/>
      </c>
      <c r="L3979" s="3">
        <f>IF(K3979&lt;-5,"CRÍTICO",IF(K3979&lt;0,"ATENÇÃO",IF(K3979&lt;=5,"OPORTUNO","MUITO BOM")))</f>
        <v/>
      </c>
      <c r="M3979" s="3" t="n">
        <v>3</v>
      </c>
      <c r="N3979" s="3" t="n">
        <v>100</v>
      </c>
      <c r="O3979" s="12" t="n">
        <v>17.1875</v>
      </c>
    </row>
    <row r="3980">
      <c r="A3980" s="10" t="n">
        <v>46126</v>
      </c>
      <c r="B3980" t="inlineStr">
        <is>
          <t>Raane Batista Matos</t>
        </is>
      </c>
      <c r="C3980" s="1" t="inlineStr">
        <is>
          <t>Técnico I</t>
        </is>
      </c>
      <c r="D3980" s="3" t="n">
        <v>30</v>
      </c>
      <c r="E3980" s="3" t="n">
        <v>29</v>
      </c>
      <c r="F3980" s="3" t="n">
        <v>15.13</v>
      </c>
      <c r="G3980" s="3" t="n">
        <v>0</v>
      </c>
      <c r="H3980" s="3" t="n">
        <v>0</v>
      </c>
      <c r="I3980" s="3">
        <f>E3980+G3980+H3980</f>
        <v/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/>
      </c>
      <c r="K3980" s="3">
        <f>I3980-J3980</f>
        <v/>
      </c>
      <c r="L3980" s="3">
        <f>IF(K3980&lt;-5,"CRÍTICO",IF(K3980&lt;0,"ATENÇÃO",IF(K3980&lt;=5,"OPORTUNO","MUITO BOM")))</f>
        <v/>
      </c>
      <c r="M3980" s="3" t="n">
        <v>26</v>
      </c>
      <c r="N3980" s="3" t="n">
        <v>98.31999999999999</v>
      </c>
      <c r="O3980" s="12" t="n">
        <v>26.85851318944844</v>
      </c>
    </row>
    <row r="3981">
      <c r="A3981" s="10" t="n">
        <v>46126</v>
      </c>
      <c r="B3981" t="inlineStr">
        <is>
          <t>Rafael Gomes de Morais</t>
        </is>
      </c>
      <c r="C3981" s="1" t="inlineStr">
        <is>
          <t>Técnico III</t>
        </is>
      </c>
      <c r="D3981" s="3" t="n">
        <v>43</v>
      </c>
      <c r="E3981" s="3" t="n">
        <v>36</v>
      </c>
      <c r="F3981" s="3" t="n">
        <v>12.13</v>
      </c>
      <c r="G3981" s="3" t="n">
        <v>0</v>
      </c>
      <c r="H3981" s="3" t="n">
        <v>0</v>
      </c>
      <c r="I3981" s="3">
        <f>E3981+G3981+H3981</f>
        <v/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/>
      </c>
      <c r="K3981" s="3">
        <f>I3981-J3981</f>
        <v/>
      </c>
      <c r="L3981" s="3">
        <f>IF(K3981&lt;-5,"CRÍTICO",IF(K3981&lt;0,"ATENÇÃO",IF(K3981&lt;=5,"OPORTUNO","MUITO BOM")))</f>
        <v/>
      </c>
      <c r="M3981" s="3" t="n">
        <v>29</v>
      </c>
      <c r="N3981" s="3" t="n">
        <v>100</v>
      </c>
      <c r="O3981" s="12" t="n">
        <v>31.13553113553114</v>
      </c>
    </row>
    <row r="3982">
      <c r="A3982" s="10" t="n">
        <v>46126</v>
      </c>
      <c r="B3982" t="inlineStr">
        <is>
          <t>Sara Maria Monteiro Lopes</t>
        </is>
      </c>
      <c r="C3982" s="1" t="inlineStr">
        <is>
          <t>Técnico I</t>
        </is>
      </c>
      <c r="D3982" s="3" t="n">
        <v>20</v>
      </c>
      <c r="E3982" s="3" t="n">
        <v>19</v>
      </c>
      <c r="F3982" s="3" t="n">
        <v>30.37</v>
      </c>
      <c r="G3982" s="3" t="n">
        <v>0</v>
      </c>
      <c r="H3982" s="3" t="n">
        <v>0</v>
      </c>
      <c r="I3982" s="3">
        <f>E3982+G3982+H3982</f>
        <v/>
      </c>
      <c r="J3982" s="3">
        <f>ROUND(MIN(IF(C3982="Técnico III",35,IF(C3982="Técnico II",28,IF(C3982="Técnico I",23,IF(C3982="JR",20,IF(C3982="Estágio",10,0))))),IF(C3982="Técnico III",SUMIFS($D:$D,$A:$A,$A3982,$B:$B,"&lt;&gt;Patrícia Karla de Sousa Araújo",$B:$B,"&lt;&gt;Lorena Dias de Araujo",$B:$B,"&lt;&gt;Lucas Luiz Romero")*(35/1083),IF(C3982="Técnico II",SUMIFS($D:$D,$A:$A,$A3982,$B:$B,"&lt;&gt;Patrícia Karla de Sousa Araújo",$B:$B,"&lt;&gt;Lorena Dias de Araujo",$B:$B,"&lt;&gt;Lucas Luiz Romero")*(28/1083),IF(C3982="Técnico I",SUMIFS($D:$D,$A:$A,$A3982,$B:$B,"&lt;&gt;Patrícia Karla de Sousa Araújo",$B:$B,"&lt;&gt;Lorena Dias de Araujo",$B:$B,"&lt;&gt;Lucas Luiz Romero")*(23/1083),IF(C3982="JR",SUMIFS($D:$D,$A:$A,$A3982,$B:$B,"&lt;&gt;Patrícia Karla de Sousa Araújo",$B:$B,"&lt;&gt;Lorena Dias de Araujo",$B:$B,"&lt;&gt;Lucas Luiz Romero")*(20/1083),IF(C3982="Estágio",SUMIFS($D:$D,$A:$A,$A3982,$B:$B,"&lt;&gt;Patrícia Karla de Sousa Araújo",$B:$B,"&lt;&gt;Lorena Dias de Araujo",$B:$B,"&lt;&gt;Lucas Luiz Romero")*(10/1083),0)))))),0)</f>
        <v/>
      </c>
      <c r="K3982" s="3">
        <f>I3982-J3982</f>
        <v/>
      </c>
      <c r="L3982" s="3">
        <f>IF(K3982&lt;-5,"CRÍTICO",IF(K3982&lt;0,"ATENÇÃO",IF(K3982&lt;=5,"OPORTUNO","MUITO BOM")))</f>
        <v/>
      </c>
      <c r="M3982" s="3" t="n">
        <v>17</v>
      </c>
      <c r="N3982" s="3" t="n">
        <v>100</v>
      </c>
      <c r="O3982" s="12" t="n">
        <v>26.36986301369863</v>
      </c>
    </row>
    <row r="3983">
      <c r="A3983" s="10" t="n">
        <v>46126</v>
      </c>
      <c r="B3983" t="inlineStr">
        <is>
          <t>Sarah Steffanie de Lima Borges</t>
        </is>
      </c>
      <c r="C3983" s="1" t="inlineStr">
        <is>
          <t>Técnico III</t>
        </is>
      </c>
      <c r="D3983" s="3" t="n">
        <v>24</v>
      </c>
      <c r="E3983" s="3" t="n">
        <v>22</v>
      </c>
      <c r="F3983" s="3" t="n">
        <v>15.09</v>
      </c>
      <c r="G3983" s="3" t="n">
        <v>0</v>
      </c>
      <c r="H3983" s="3" t="n">
        <v>0</v>
      </c>
      <c r="I3983" s="3">
        <f>E3983+G3983+H3983</f>
        <v/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/>
      </c>
      <c r="K3983" s="3">
        <f>I3983-J3983</f>
        <v/>
      </c>
      <c r="L3983" s="3">
        <f>IF(K3983&lt;-5,"CRÍTICO",IF(K3983&lt;0,"ATENÇÃO",IF(K3983&lt;=5,"OPORTUNO","MUITO BOM")))</f>
        <v/>
      </c>
      <c r="M3983" s="3" t="n">
        <v>21</v>
      </c>
      <c r="N3983" s="3" t="n">
        <v>99.20999999999999</v>
      </c>
      <c r="O3983" s="12" t="n">
        <v>25.18891687657431</v>
      </c>
    </row>
    <row r="3984">
      <c r="A3984" s="10" t="n">
        <v>46127</v>
      </c>
      <c r="B3984" t="inlineStr">
        <is>
          <t>Alisson de Freitas Silva</t>
        </is>
      </c>
      <c r="C3984" s="1" t="inlineStr">
        <is>
          <t>Técnico II</t>
        </is>
      </c>
      <c r="D3984" s="3" t="n">
        <v>31</v>
      </c>
      <c r="E3984" s="3" t="n">
        <v>26</v>
      </c>
      <c r="F3984" s="3" t="n">
        <v>15.24</v>
      </c>
      <c r="G3984" s="3" t="n">
        <v>0</v>
      </c>
      <c r="H3984" s="3" t="n">
        <v>0</v>
      </c>
      <c r="I3984" s="3">
        <f>E3984+G3984+H3984</f>
        <v/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/>
      </c>
      <c r="K3984" s="3">
        <f>I3984-J3984</f>
        <v/>
      </c>
      <c r="L3984" s="3">
        <f>IF(K3984&lt;-5,"CRÍTICO",IF(K3984&lt;0,"ATENÇÃO",IF(K3984&lt;=5,"OPORTUNO","MUITO BOM")))</f>
        <v/>
      </c>
      <c r="M3984" s="3" t="n">
        <v>12</v>
      </c>
      <c r="N3984" s="3" t="n">
        <v>100</v>
      </c>
      <c r="O3984" s="12" t="n">
        <v>32.76450511945392</v>
      </c>
    </row>
    <row r="3985">
      <c r="A3985" s="10" t="n">
        <v>46127</v>
      </c>
      <c r="B3985" t="inlineStr">
        <is>
          <t>Amanda Moura Ferreira</t>
        </is>
      </c>
      <c r="C3985" s="1" t="inlineStr">
        <is>
          <t>Técnico III</t>
        </is>
      </c>
      <c r="D3985" s="3" t="n">
        <v>0</v>
      </c>
      <c r="E3985" s="3" t="n">
        <v>0</v>
      </c>
      <c r="F3985" s="3" t="n">
        <v>0</v>
      </c>
      <c r="G3985" s="3" t="n">
        <v>0</v>
      </c>
      <c r="H3985" s="3" t="n">
        <v>0</v>
      </c>
      <c r="I3985" s="3" t="n">
        <v>0</v>
      </c>
      <c r="J3985" s="3" t="n">
        <v>0</v>
      </c>
      <c r="K3985" s="3" t="n">
        <v>0</v>
      </c>
      <c r="L3985" s="3">
        <f>IF(K3985&lt;-5,"CRÍTICO",IF(K3985&lt;0,"ATENÇÃO",IF(K3985&lt;=5,"OPORTUNO","MUITO BOM")))</f>
        <v/>
      </c>
      <c r="M3985" s="3" t="n">
        <v>30</v>
      </c>
      <c r="N3985" s="3" t="n">
        <v>98.66</v>
      </c>
      <c r="O3985" s="12" t="n">
        <v>35.41666666666667</v>
      </c>
    </row>
    <row r="3986">
      <c r="A3986" s="10" t="n">
        <v>46127</v>
      </c>
      <c r="B3986" t="inlineStr">
        <is>
          <t>Ana Karollyne Souza Faria</t>
        </is>
      </c>
      <c r="C3986" s="1" t="inlineStr">
        <is>
          <t>Técnico I</t>
        </is>
      </c>
      <c r="D3986" s="3" t="n">
        <v>34</v>
      </c>
      <c r="E3986" s="3" t="n">
        <v>31</v>
      </c>
      <c r="F3986" s="3" t="n">
        <v>17.05</v>
      </c>
      <c r="G3986" s="3" t="n">
        <v>0</v>
      </c>
      <c r="H3986" s="3" t="n">
        <v>0</v>
      </c>
      <c r="I3986" s="3">
        <f>E3986+G3986+H3986</f>
        <v/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/>
      </c>
      <c r="K3986" s="3">
        <f>I3986-J3986</f>
        <v/>
      </c>
      <c r="L3986" s="3">
        <f>IF(K3986&lt;-5,"CRÍTICO",IF(K3986&lt;0,"ATENÇÃO",IF(K3986&lt;=5,"OPORTUNO","MUITO BOM")))</f>
        <v/>
      </c>
      <c r="M3986" s="3" t="n">
        <v>32</v>
      </c>
      <c r="N3986" s="3" t="n">
        <v>99.31999999999999</v>
      </c>
      <c r="O3986" s="12" t="n">
        <v>30.6483300589391</v>
      </c>
    </row>
    <row r="3987">
      <c r="A3987" s="10" t="n">
        <v>46127</v>
      </c>
      <c r="B3987" t="inlineStr">
        <is>
          <t>Ana Paula Da Luz Silva Aleixo</t>
        </is>
      </c>
      <c r="C3987" s="1" t="inlineStr">
        <is>
          <t>Técnico III</t>
        </is>
      </c>
      <c r="D3987" s="3" t="n">
        <v>34</v>
      </c>
      <c r="E3987" s="3" t="n">
        <v>32</v>
      </c>
      <c r="F3987" s="3" t="n">
        <v>15.01</v>
      </c>
      <c r="G3987" s="3" t="n">
        <v>0</v>
      </c>
      <c r="H3987" s="3" t="n">
        <v>0</v>
      </c>
      <c r="I3987" s="3">
        <f>E3987+G3987+H3987</f>
        <v/>
      </c>
      <c r="J3987" s="3">
        <f>ROUND(MIN(IF(C3987="Técnico III",35,IF(C3987="Técnico II",28,IF(C3987="Técnico I",23,IF(C3987="JR",20,IF(C3987="Estágio",10,0))))),IF(C3987="Técnico III",SUMIFS($D:$D,$A:$A,$A3987,$B:$B,"&lt;&gt;Patrícia Karla de Sousa Araújo",$B:$B,"&lt;&gt;Lorena Dias de Araujo",$B:$B,"&lt;&gt;Lucas Luiz Romero")*(35/1083),IF(C3987="Técnico II",SUMIFS($D:$D,$A:$A,$A3987,$B:$B,"&lt;&gt;Patrícia Karla de Sousa Araújo",$B:$B,"&lt;&gt;Lorena Dias de Araujo",$B:$B,"&lt;&gt;Lucas Luiz Romero")*(28/1083),IF(C3987="Técnico I",SUMIFS($D:$D,$A:$A,$A3987,$B:$B,"&lt;&gt;Patrícia Karla de Sousa Araújo",$B:$B,"&lt;&gt;Lorena Dias de Araujo",$B:$B,"&lt;&gt;Lucas Luiz Romero")*(23/1083),IF(C3987="JR",SUMIFS($D:$D,$A:$A,$A3987,$B:$B,"&lt;&gt;Patrícia Karla de Sousa Araújo",$B:$B,"&lt;&gt;Lorena Dias de Araujo",$B:$B,"&lt;&gt;Lucas Luiz Romero")*(20/1083),IF(C3987="Estágio",SUMIFS($D:$D,$A:$A,$A3987,$B:$B,"&lt;&gt;Patrícia Karla de Sousa Araújo",$B:$B,"&lt;&gt;Lorena Dias de Araujo",$B:$B,"&lt;&gt;Lucas Luiz Romero")*(10/1083),0)))))),0)</f>
        <v/>
      </c>
      <c r="K3987" s="3">
        <f>I3987-J3987</f>
        <v/>
      </c>
      <c r="L3987" s="3">
        <f>IF(K3987&lt;-5,"CRÍTICO",IF(K3987&lt;0,"ATENÇÃO",IF(K3987&lt;=5,"OPORTUNO","MUITO BOM")))</f>
        <v/>
      </c>
      <c r="M3987" s="3" t="n">
        <v>29</v>
      </c>
      <c r="N3987" s="3" t="n">
        <v>100</v>
      </c>
      <c r="O3987" s="12" t="n">
        <v>27.80373831775701</v>
      </c>
    </row>
    <row r="3988">
      <c r="A3988" s="10" t="n">
        <v>46127</v>
      </c>
      <c r="B3988" t="inlineStr">
        <is>
          <t>Anna Luiza Rezende Tavares</t>
        </is>
      </c>
      <c r="C3988" s="1" t="inlineStr">
        <is>
          <t>Estágio</t>
        </is>
      </c>
      <c r="D3988" s="3" t="n">
        <v>34</v>
      </c>
      <c r="E3988" s="3" t="n">
        <v>32</v>
      </c>
      <c r="F3988" s="3" t="n">
        <v>15.51</v>
      </c>
      <c r="G3988" s="3" t="n">
        <v>0</v>
      </c>
      <c r="H3988" s="3" t="n">
        <v>0</v>
      </c>
      <c r="I3988" s="3">
        <f>E3988+G3988+H3988</f>
        <v/>
      </c>
      <c r="J3988" s="3">
        <f>ROUND(MIN(IF(C3988="Técnico III",35,IF(C3988="Técnico II",28,IF(C3988="Técnico I",23,IF(C3988="JR",20,IF(C3988="Estágio",10,0))))),IF(C3988="Técnico III",SUMIFS($D:$D,$A:$A,$A3988,$B:$B,"&lt;&gt;Patrícia Karla de Sousa Araújo",$B:$B,"&lt;&gt;Lorena Dias de Araujo",$B:$B,"&lt;&gt;Lucas Luiz Romero")*(35/1083),IF(C3988="Técnico II",SUMIFS($D:$D,$A:$A,$A3988,$B:$B,"&lt;&gt;Patrícia Karla de Sousa Araújo",$B:$B,"&lt;&gt;Lorena Dias de Araujo",$B:$B,"&lt;&gt;Lucas Luiz Romero")*(28/1083),IF(C3988="Técnico I",SUMIFS($D:$D,$A:$A,$A3988,$B:$B,"&lt;&gt;Patrícia Karla de Sousa Araújo",$B:$B,"&lt;&gt;Lorena Dias de Araujo",$B:$B,"&lt;&gt;Lucas Luiz Romero")*(23/1083),IF(C3988="JR",SUMIFS($D:$D,$A:$A,$A3988,$B:$B,"&lt;&gt;Patrícia Karla de Sousa Araújo",$B:$B,"&lt;&gt;Lorena Dias de Araujo",$B:$B,"&lt;&gt;Lucas Luiz Romero")*(20/1083),IF(C3988="Estágio",SUMIFS($D:$D,$A:$A,$A3988,$B:$B,"&lt;&gt;Patrícia Karla de Sousa Araújo",$B:$B,"&lt;&gt;Lorena Dias de Araujo",$B:$B,"&lt;&gt;Lucas Luiz Romero")*(10/1083),0)))))),0)</f>
        <v/>
      </c>
      <c r="K3988" s="3">
        <f>I3988-J3988</f>
        <v/>
      </c>
      <c r="L3988" s="3">
        <f>IF(K3988&lt;-5,"CRÍTICO",IF(K3988&lt;0,"ATENÇÃO",IF(K3988&lt;=5,"OPORTUNO","MUITO BOM")))</f>
        <v/>
      </c>
      <c r="M3988" s="3" t="n">
        <v>30</v>
      </c>
      <c r="N3988" s="3" t="n">
        <v>96.73999999999999</v>
      </c>
      <c r="O3988" s="12" t="n">
        <v>28.67647058823529</v>
      </c>
    </row>
    <row r="3989">
      <c r="A3989" s="10" t="n">
        <v>46127</v>
      </c>
      <c r="B3989" t="inlineStr">
        <is>
          <t>Brenda de Menezes Silva</t>
        </is>
      </c>
      <c r="C3989" s="1" t="inlineStr">
        <is>
          <t>Técnico II</t>
        </is>
      </c>
      <c r="D3989" s="3" t="n">
        <v>39</v>
      </c>
      <c r="E3989" s="3" t="n">
        <v>36</v>
      </c>
      <c r="F3989" s="3" t="n">
        <v>15.53</v>
      </c>
      <c r="G3989" s="3" t="n">
        <v>0</v>
      </c>
      <c r="H3989" s="3" t="n">
        <v>0</v>
      </c>
      <c r="I3989" s="3">
        <f>E3989+G3989+H3989</f>
        <v/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/>
      </c>
      <c r="K3989" s="3">
        <f>I3989-J3989</f>
        <v/>
      </c>
      <c r="L3989" s="3">
        <f>IF(K3989&lt;-5,"CRÍTICO",IF(K3989&lt;0,"ATENÇÃO",IF(K3989&lt;=5,"OPORTUNO","MUITO BOM")))</f>
        <v/>
      </c>
      <c r="M3989" s="3" t="n">
        <v>37</v>
      </c>
      <c r="N3989" s="3" t="n">
        <v>98.81999999999999</v>
      </c>
      <c r="O3989" s="12" t="n">
        <v>30.74141048824593</v>
      </c>
    </row>
    <row r="3990">
      <c r="A3990" s="10" t="n">
        <v>46127</v>
      </c>
      <c r="B3990" t="inlineStr">
        <is>
          <t>Carlos Mateus Cassimiro Nunes</t>
        </is>
      </c>
      <c r="C3990" s="1" t="inlineStr">
        <is>
          <t>Técnico II</t>
        </is>
      </c>
      <c r="D3990" s="3" t="n">
        <v>20</v>
      </c>
      <c r="E3990" s="3" t="n">
        <v>20</v>
      </c>
      <c r="F3990" s="3" t="n">
        <v>34.04</v>
      </c>
      <c r="G3990" s="3" t="n">
        <v>0</v>
      </c>
      <c r="H3990" s="3" t="n">
        <v>0</v>
      </c>
      <c r="I3990" s="3">
        <f>E3990+G3990+H3990</f>
        <v/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/>
      </c>
      <c r="K3990" s="3">
        <f>I3990-J3990</f>
        <v/>
      </c>
      <c r="L3990" s="3">
        <f>IF(K3990&lt;-5,"CRÍTICO",IF(K3990&lt;0,"ATENÇÃO",IF(K3990&lt;=5,"OPORTUNO","MUITO BOM")))</f>
        <v/>
      </c>
      <c r="M3990" s="3" t="n">
        <v>17</v>
      </c>
      <c r="N3990" s="3" t="n">
        <v>98.2</v>
      </c>
      <c r="O3990" s="12" t="n">
        <v>27.17086834733893</v>
      </c>
    </row>
    <row r="3991">
      <c r="A3991" s="10" t="n">
        <v>46127</v>
      </c>
      <c r="B3991" t="inlineStr">
        <is>
          <t>Claudio de Sousa Velasco Filho</t>
        </is>
      </c>
      <c r="C3991" s="1" t="inlineStr">
        <is>
          <t>Estágio</t>
        </is>
      </c>
      <c r="D3991" s="3" t="n">
        <v>10</v>
      </c>
      <c r="E3991" s="3" t="n">
        <v>8</v>
      </c>
      <c r="F3991" s="3" t="n">
        <v>17.12</v>
      </c>
      <c r="G3991" s="3" t="n">
        <v>0</v>
      </c>
      <c r="H3991" s="3" t="n">
        <v>0</v>
      </c>
      <c r="I3991" s="3">
        <f>E3991+G3991+H3991</f>
        <v/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/>
      </c>
      <c r="K3991" s="3">
        <f>I3991-J3991</f>
        <v/>
      </c>
      <c r="L3991" s="3">
        <f>IF(K3991&lt;-5,"CRÍTICO",IF(K3991&lt;0,"ATENÇÃO",IF(K3991&lt;=5,"OPORTUNO","MUITO BOM")))</f>
        <v/>
      </c>
      <c r="M3991" s="3" t="n">
        <v>6</v>
      </c>
      <c r="N3991" s="3" t="n">
        <v>100</v>
      </c>
      <c r="O3991" s="12" t="n">
        <v>23.13432835820895</v>
      </c>
    </row>
    <row r="3992">
      <c r="A3992" s="10" t="n">
        <v>46127</v>
      </c>
      <c r="B3992" t="inlineStr">
        <is>
          <t>Clessiane Pereira dos Santos</t>
        </is>
      </c>
      <c r="C3992" s="1" t="inlineStr">
        <is>
          <t>Técnico I</t>
        </is>
      </c>
      <c r="D3992" s="3" t="n">
        <v>27</v>
      </c>
      <c r="E3992" s="3" t="n">
        <v>22</v>
      </c>
      <c r="F3992" s="3" t="n">
        <v>14.14</v>
      </c>
      <c r="G3992" s="3" t="n">
        <v>0</v>
      </c>
      <c r="H3992" s="3" t="n">
        <v>0</v>
      </c>
      <c r="I3992" s="3">
        <f>E3992+G3992+H3992</f>
        <v/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/>
      </c>
      <c r="K3992" s="3">
        <f>I3992-J3992</f>
        <v/>
      </c>
      <c r="L3992" s="3">
        <f>IF(K3992&lt;-5,"CRÍTICO",IF(K3992&lt;0,"ATENÇÃO",IF(K3992&lt;=5,"OPORTUNO","MUITO BOM")))</f>
        <v/>
      </c>
      <c r="M3992" s="3" t="n">
        <v>24</v>
      </c>
      <c r="N3992" s="3" t="n">
        <v>96.3</v>
      </c>
      <c r="O3992" s="12" t="n">
        <v>32.21957040572792</v>
      </c>
    </row>
    <row r="3993">
      <c r="A3993" s="10" t="n">
        <v>46127</v>
      </c>
      <c r="B3993" t="inlineStr">
        <is>
          <t>Cristiane Ramos da Silva Rocha</t>
        </is>
      </c>
      <c r="C3993" s="1" t="inlineStr">
        <is>
          <t>Técnico III</t>
        </is>
      </c>
      <c r="D3993" s="3" t="n">
        <v>46</v>
      </c>
      <c r="E3993" s="3" t="n">
        <v>41</v>
      </c>
      <c r="F3993" s="3" t="n">
        <v>10.2</v>
      </c>
      <c r="G3993" s="3" t="n">
        <v>0</v>
      </c>
      <c r="H3993" s="3" t="n">
        <v>0</v>
      </c>
      <c r="I3993" s="3">
        <f>E3993+G3993+H3993</f>
        <v/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/>
      </c>
      <c r="K3993" s="3">
        <f>I3993-J3993</f>
        <v/>
      </c>
      <c r="L3993" s="3">
        <f>IF(K3993&lt;-5,"CRÍTICO",IF(K3993&lt;0,"ATENÇÃO",IF(K3993&lt;=5,"OPORTUNO","MUITO BOM")))</f>
        <v/>
      </c>
      <c r="M3993" s="3" t="n">
        <v>39</v>
      </c>
      <c r="N3993" s="3" t="n">
        <v>93.75</v>
      </c>
      <c r="O3993" s="12" t="n">
        <v>26.81992337164751</v>
      </c>
    </row>
    <row r="3994">
      <c r="A3994" s="10" t="n">
        <v>46127</v>
      </c>
      <c r="B3994" t="inlineStr">
        <is>
          <t>Damyllis Lorraine de Oliveira Gonçalves</t>
        </is>
      </c>
      <c r="C3994" s="1" t="inlineStr">
        <is>
          <t>Técnico II</t>
        </is>
      </c>
      <c r="D3994" s="3" t="n">
        <v>26</v>
      </c>
      <c r="E3994" s="3" t="n">
        <v>23</v>
      </c>
      <c r="F3994" s="3" t="n">
        <v>17.08</v>
      </c>
      <c r="G3994" s="3" t="n">
        <v>0</v>
      </c>
      <c r="H3994" s="3" t="n">
        <v>0</v>
      </c>
      <c r="I3994" s="3" t="n">
        <v>0</v>
      </c>
      <c r="J3994" s="3" t="n">
        <v>0</v>
      </c>
      <c r="K3994" s="3" t="n">
        <v>0</v>
      </c>
      <c r="L3994" s="3">
        <f>IF(K3994&lt;-5,"CRÍTICO",IF(K3994&lt;0,"ATENÇÃO",IF(K3994&lt;=5,"OPORTUNO","MUITO BOM")))</f>
        <v/>
      </c>
      <c r="M3994" s="3" t="n">
        <v>23</v>
      </c>
      <c r="N3994" s="3" t="n">
        <v>97.86</v>
      </c>
      <c r="O3994" s="12" t="n">
        <v>31.01851851851852</v>
      </c>
    </row>
    <row r="3995">
      <c r="A3995" s="10" t="n">
        <v>46127</v>
      </c>
      <c r="B3995" t="inlineStr">
        <is>
          <t>Daniel Gomes da Silva</t>
        </is>
      </c>
      <c r="C3995" s="1" t="inlineStr">
        <is>
          <t>Técnico I</t>
        </is>
      </c>
      <c r="D3995" s="3" t="n">
        <v>28</v>
      </c>
      <c r="E3995" s="3" t="n">
        <v>28</v>
      </c>
      <c r="F3995" s="3" t="n">
        <v>15.24</v>
      </c>
      <c r="G3995" s="3" t="n">
        <v>0</v>
      </c>
      <c r="H3995" s="3" t="n">
        <v>0</v>
      </c>
      <c r="I3995" s="3">
        <f>E3995+G3995+H3995</f>
        <v/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/>
      </c>
      <c r="K3995" s="3">
        <f>I3995-J3995</f>
        <v/>
      </c>
      <c r="L3995" s="3">
        <f>IF(K3995&lt;-5,"CRÍTICO",IF(K3995&lt;0,"ATENÇÃO",IF(K3995&lt;=5,"OPORTUNO","MUITO BOM")))</f>
        <v/>
      </c>
      <c r="M3995" s="3" t="n">
        <v>16</v>
      </c>
      <c r="N3995" s="3" t="n">
        <v>100</v>
      </c>
      <c r="O3995" s="12" t="n">
        <v>36.59420289855073</v>
      </c>
    </row>
    <row r="3996">
      <c r="A3996" s="10" t="n">
        <v>46127</v>
      </c>
      <c r="B3996" t="inlineStr">
        <is>
          <t>Davylla Rodrigues Freitas Silva</t>
        </is>
      </c>
      <c r="C3996" s="1" t="inlineStr">
        <is>
          <t>Técnico III</t>
        </is>
      </c>
      <c r="D3996" s="3" t="n">
        <v>34</v>
      </c>
      <c r="E3996" s="3" t="n">
        <v>34</v>
      </c>
      <c r="F3996" s="3" t="n">
        <v>17.25</v>
      </c>
      <c r="G3996" s="3" t="n">
        <v>0</v>
      </c>
      <c r="H3996" s="3" t="n">
        <v>0</v>
      </c>
      <c r="I3996" s="3" t="n">
        <v>0</v>
      </c>
      <c r="J3996" s="3" t="n">
        <v>0</v>
      </c>
      <c r="K3996" s="3" t="n">
        <v>0</v>
      </c>
      <c r="L3996" s="3">
        <f>IF(K3996&lt;-5,"CRÍTICO",IF(K3996&lt;0,"ATENÇÃO",IF(K3996&lt;=5,"OPORTUNO","MUITO BOM")))</f>
        <v/>
      </c>
      <c r="M3996" s="3" t="n">
        <v>32</v>
      </c>
      <c r="N3996" s="3" t="n">
        <v>100</v>
      </c>
      <c r="O3996" s="12" t="n">
        <v>38.65384615384615</v>
      </c>
    </row>
    <row r="3997">
      <c r="A3997" s="10" t="n">
        <v>46127</v>
      </c>
      <c r="B3997" t="inlineStr">
        <is>
          <t>Emilly Caylane Costa</t>
        </is>
      </c>
      <c r="C3997" s="1" t="inlineStr">
        <is>
          <t>Estágio</t>
        </is>
      </c>
      <c r="D3997" s="3" t="n">
        <v>8</v>
      </c>
      <c r="E3997" s="3" t="n">
        <v>8</v>
      </c>
      <c r="F3997" s="3" t="n">
        <v>48.21</v>
      </c>
      <c r="G3997" s="3" t="n">
        <v>0</v>
      </c>
      <c r="H3997" s="3" t="n">
        <v>0</v>
      </c>
      <c r="I3997" s="3">
        <f>E3997+G3997+H3997</f>
        <v/>
      </c>
      <c r="J3997" s="3">
        <f>ROUND(MIN(IF(C3997="Técnico III",35,IF(C3997="Técnico II",28,IF(C3997="Técnico I",23,IF(C3997="JR",20,IF(C3997="Estágio",10,0))))),IF(C3997="Técnico III",SUMIFS($D:$D,$A:$A,$A3997,$B:$B,"&lt;&gt;Patrícia Karla de Sousa Araújo",$B:$B,"&lt;&gt;Lorena Dias de Araujo",$B:$B,"&lt;&gt;Lucas Luiz Romero")*(35/1083),IF(C3997="Técnico II",SUMIFS($D:$D,$A:$A,$A3997,$B:$B,"&lt;&gt;Patrícia Karla de Sousa Araújo",$B:$B,"&lt;&gt;Lorena Dias de Araujo",$B:$B,"&lt;&gt;Lucas Luiz Romero")*(28/1083),IF(C3997="Técnico I",SUMIFS($D:$D,$A:$A,$A3997,$B:$B,"&lt;&gt;Patrícia Karla de Sousa Araújo",$B:$B,"&lt;&gt;Lorena Dias de Araujo",$B:$B,"&lt;&gt;Lucas Luiz Romero")*(23/1083),IF(C3997="JR",SUMIFS($D:$D,$A:$A,$A3997,$B:$B,"&lt;&gt;Patrícia Karla de Sousa Araújo",$B:$B,"&lt;&gt;Lorena Dias de Araujo",$B:$B,"&lt;&gt;Lucas Luiz Romero")*(20/1083),IF(C3997="Estágio",SUMIFS($D:$D,$A:$A,$A3997,$B:$B,"&lt;&gt;Patrícia Karla de Sousa Araújo",$B:$B,"&lt;&gt;Lorena Dias de Araujo",$B:$B,"&lt;&gt;Lucas Luiz Romero")*(10/1083),0)))))),0)</f>
        <v/>
      </c>
      <c r="K3997" s="3">
        <f>I3997-J3997</f>
        <v/>
      </c>
      <c r="L3997" s="3">
        <f>IF(K3997&lt;-5,"CRÍTICO",IF(K3997&lt;0,"ATENÇÃO",IF(K3997&lt;=5,"OPORTUNO","MUITO BOM")))</f>
        <v/>
      </c>
      <c r="M3997" s="3" t="n">
        <v>6</v>
      </c>
      <c r="N3997" s="3" t="n">
        <v>100</v>
      </c>
      <c r="O3997" s="12" t="n">
        <v>27.36842105263158</v>
      </c>
    </row>
    <row r="3998">
      <c r="A3998" s="10" t="n">
        <v>46127</v>
      </c>
      <c r="B3998" t="inlineStr">
        <is>
          <t>Emilly Kamilly Medeiros Miranda</t>
        </is>
      </c>
      <c r="C3998" s="1" t="inlineStr">
        <is>
          <t>Técnico II</t>
        </is>
      </c>
      <c r="D3998" s="3" t="n">
        <v>24</v>
      </c>
      <c r="E3998" s="3" t="n">
        <v>24</v>
      </c>
      <c r="F3998" s="3" t="n">
        <v>20.2</v>
      </c>
      <c r="G3998" s="3" t="n">
        <v>0</v>
      </c>
      <c r="H3998" s="3" t="n">
        <v>0</v>
      </c>
      <c r="I3998" s="3">
        <f>E3998+G3998+H3998</f>
        <v/>
      </c>
      <c r="J3998" s="3">
        <f>ROUND(MIN(IF(C3998="Técnico III",35,IF(C3998="Técnico II",28,IF(C3998="Técnico I",23,IF(C3998="JR",20,IF(C3998="Estágio",10,0))))),IF(C3998="Técnico III",SUMIFS($D:$D,$A:$A,$A3998,$B:$B,"&lt;&gt;Patrícia Karla de Sousa Araújo",$B:$B,"&lt;&gt;Lorena Dias de Araujo",$B:$B,"&lt;&gt;Lucas Luiz Romero")*(35/1083),IF(C3998="Técnico II",SUMIFS($D:$D,$A:$A,$A3998,$B:$B,"&lt;&gt;Patrícia Karla de Sousa Araújo",$B:$B,"&lt;&gt;Lorena Dias de Araujo",$B:$B,"&lt;&gt;Lucas Luiz Romero")*(28/1083),IF(C3998="Técnico I",SUMIFS($D:$D,$A:$A,$A3998,$B:$B,"&lt;&gt;Patrícia Karla de Sousa Araújo",$B:$B,"&lt;&gt;Lorena Dias de Araujo",$B:$B,"&lt;&gt;Lucas Luiz Romero")*(23/1083),IF(C3998="JR",SUMIFS($D:$D,$A:$A,$A3998,$B:$B,"&lt;&gt;Patrícia Karla de Sousa Araújo",$B:$B,"&lt;&gt;Lorena Dias de Araujo",$B:$B,"&lt;&gt;Lucas Luiz Romero")*(20/1083),IF(C3998="Estágio",SUMIFS($D:$D,$A:$A,$A3998,$B:$B,"&lt;&gt;Patrícia Karla de Sousa Araújo",$B:$B,"&lt;&gt;Lorena Dias de Araujo",$B:$B,"&lt;&gt;Lucas Luiz Romero")*(10/1083),0)))))),0)</f>
        <v/>
      </c>
      <c r="K3998" s="3">
        <f>I3998-J3998</f>
        <v/>
      </c>
      <c r="L3998" s="3">
        <f>IF(K3998&lt;-5,"CRÍTICO",IF(K3998&lt;0,"ATENÇÃO",IF(K3998&lt;=5,"OPORTUNO","MUITO BOM")))</f>
        <v/>
      </c>
      <c r="M3998" s="3" t="n">
        <v>20</v>
      </c>
      <c r="N3998" s="3" t="n">
        <v>97.83</v>
      </c>
      <c r="O3998" s="12" t="n">
        <v>28.35164835164835</v>
      </c>
    </row>
    <row r="3999">
      <c r="A3999" s="10" t="n">
        <v>46127</v>
      </c>
      <c r="B3999" t="inlineStr">
        <is>
          <t>Francielson de Oliveira</t>
        </is>
      </c>
      <c r="C3999" s="1" t="inlineStr">
        <is>
          <t>Técnico III</t>
        </is>
      </c>
      <c r="D3999" s="3" t="n">
        <v>28</v>
      </c>
      <c r="E3999" s="3" t="n">
        <v>27</v>
      </c>
      <c r="F3999" s="3" t="n">
        <v>15.54</v>
      </c>
      <c r="G3999" s="3" t="n">
        <v>0</v>
      </c>
      <c r="H3999" s="3" t="n">
        <v>0</v>
      </c>
      <c r="I3999" s="3">
        <f>E3999+G3999+H3999</f>
        <v/>
      </c>
      <c r="J3999" s="3">
        <f>ROUND(MIN(IF(C3999="Técnico III",35,IF(C3999="Técnico II",28,IF(C3999="Técnico I",23,IF(C3999="JR",20,IF(C3999="Estágio",10,0))))),IF(C3999="Técnico III",SUMIFS($D:$D,$A:$A,$A3999,$B:$B,"&lt;&gt;Patrícia Karla de Sousa Araújo",$B:$B,"&lt;&gt;Lorena Dias de Araujo",$B:$B,"&lt;&gt;Lucas Luiz Romero")*(35/1083),IF(C3999="Técnico II",SUMIFS($D:$D,$A:$A,$A3999,$B:$B,"&lt;&gt;Patrícia Karla de Sousa Araújo",$B:$B,"&lt;&gt;Lorena Dias de Araujo",$B:$B,"&lt;&gt;Lucas Luiz Romero")*(28/1083),IF(C3999="Técnico I",SUMIFS($D:$D,$A:$A,$A3999,$B:$B,"&lt;&gt;Patrícia Karla de Sousa Araújo",$B:$B,"&lt;&gt;Lorena Dias de Araujo",$B:$B,"&lt;&gt;Lucas Luiz Romero")*(23/1083),IF(C3999="JR",SUMIFS($D:$D,$A:$A,$A3999,$B:$B,"&lt;&gt;Patrícia Karla de Sousa Araújo",$B:$B,"&lt;&gt;Lorena Dias de Araujo",$B:$B,"&lt;&gt;Lucas Luiz Romero")*(20/1083),IF(C3999="Estágio",SUMIFS($D:$D,$A:$A,$A3999,$B:$B,"&lt;&gt;Patrícia Karla de Sousa Araújo",$B:$B,"&lt;&gt;Lorena Dias de Araujo",$B:$B,"&lt;&gt;Lucas Luiz Romero")*(10/1083),0)))))),0)</f>
        <v/>
      </c>
      <c r="K3999" s="3">
        <f>I3999-J3999</f>
        <v/>
      </c>
      <c r="L3999" s="3">
        <f>IF(K3999&lt;-5,"CRÍTICO",IF(K3999&lt;0,"ATENÇÃO",IF(K3999&lt;=5,"OPORTUNO","MUITO BOM")))</f>
        <v/>
      </c>
      <c r="M3999" s="3" t="n">
        <v>28</v>
      </c>
      <c r="N3999" s="3" t="n">
        <v>99.26000000000001</v>
      </c>
      <c r="O3999" s="12" t="n">
        <v>29.76653696498055</v>
      </c>
    </row>
    <row r="4000">
      <c r="A4000" s="10" t="n">
        <v>46127</v>
      </c>
      <c r="B4000" t="inlineStr">
        <is>
          <t>Francilene Ferreira de Jesus</t>
        </is>
      </c>
      <c r="C4000" s="1" t="inlineStr">
        <is>
          <t>Técnico II</t>
        </is>
      </c>
      <c r="D4000" s="3" t="n">
        <v>28</v>
      </c>
      <c r="E4000" s="3" t="n">
        <v>26</v>
      </c>
      <c r="F4000" s="3" t="n">
        <v>22.11</v>
      </c>
      <c r="G4000" s="3" t="n">
        <v>0</v>
      </c>
      <c r="H4000" s="3" t="n">
        <v>0</v>
      </c>
      <c r="I4000" s="3">
        <f>E4000+G4000+H4000</f>
        <v/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/>
      </c>
      <c r="K4000" s="3">
        <f>I4000-J4000</f>
        <v/>
      </c>
      <c r="L4000" s="3">
        <f>IF(K4000&lt;-5,"CRÍTICO",IF(K4000&lt;0,"ATENÇÃO",IF(K4000&lt;=5,"OPORTUNO","MUITO BOM")))</f>
        <v/>
      </c>
      <c r="M4000" s="3" t="n">
        <v>27</v>
      </c>
      <c r="N4000" s="3" t="n">
        <v>99.19</v>
      </c>
      <c r="O4000" s="12" t="n">
        <v>29.46236559139785</v>
      </c>
    </row>
    <row r="4001">
      <c r="A4001" s="5" t="n">
        <v>46157</v>
      </c>
      <c r="B4001" s="6" t="inlineStr">
        <is>
          <t>Michelle G Santos</t>
        </is>
      </c>
      <c r="C4001" s="1" t="inlineStr">
        <is>
          <t>Estágio</t>
        </is>
      </c>
      <c r="D4001" s="3" t="n">
        <v>9</v>
      </c>
      <c r="E4001" s="3" t="n">
        <v>8</v>
      </c>
      <c r="F4001" s="3" t="n">
        <v>39.06</v>
      </c>
      <c r="G4001" s="3" t="n">
        <v>0</v>
      </c>
      <c r="H4001" s="3" t="n">
        <v>0</v>
      </c>
      <c r="I4001" s="3">
        <f>E4001+G4001+H4001</f>
        <v/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/>
      </c>
      <c r="K4001" s="3">
        <f>I4001-J4001</f>
        <v/>
      </c>
      <c r="L4001" s="3">
        <f>IF(K4001&lt;-5,"CRÍTICO",IF(K4001&lt;0,"ATENÇÃO",IF(K4001&lt;=5,"OPORTUNO","MUITO BOM")))</f>
        <v/>
      </c>
      <c r="M4001" s="3" t="n">
        <v>7</v>
      </c>
      <c r="N4001" s="3" t="n">
        <v>100</v>
      </c>
      <c r="O4001" s="12" t="n">
        <v>17.1875</v>
      </c>
    </row>
    <row r="4002">
      <c r="A4002" s="10" t="n">
        <v>46127</v>
      </c>
      <c r="B4002" t="inlineStr">
        <is>
          <t>Isabella Borges de Oliveira</t>
        </is>
      </c>
      <c r="C4002" s="1" t="inlineStr">
        <is>
          <t>Técnico II</t>
        </is>
      </c>
      <c r="D4002" s="3" t="n">
        <v>0</v>
      </c>
      <c r="E4002" s="3" t="n">
        <v>0</v>
      </c>
      <c r="F4002" s="3" t="n">
        <v>0</v>
      </c>
      <c r="G4002" s="3" t="n">
        <v>0</v>
      </c>
      <c r="H4002" s="3" t="n">
        <v>0</v>
      </c>
      <c r="I4002" s="3" t="n">
        <v>0</v>
      </c>
      <c r="J4002" s="3" t="n">
        <v>0</v>
      </c>
      <c r="K4002" s="3" t="n">
        <v>0</v>
      </c>
      <c r="L4002" s="3">
        <f>IF(K4002&lt;-5,"CRÍTICO",IF(K4002&lt;0,"ATENÇÃO",IF(K4002&lt;=5,"OPORTUNO","MUITO BOM")))</f>
        <v/>
      </c>
      <c r="M4002" s="3" t="n">
        <v>0</v>
      </c>
      <c r="N4002" s="3" t="n">
        <v>100</v>
      </c>
      <c r="O4002" s="12" t="n">
        <v>28.92156862745098</v>
      </c>
    </row>
    <row r="4003">
      <c r="A4003" s="10" t="n">
        <v>46127</v>
      </c>
      <c r="B4003" t="inlineStr">
        <is>
          <t>Janaina Lima dos Reis Urany</t>
        </is>
      </c>
      <c r="C4003" s="1" t="inlineStr">
        <is>
          <t>Técnico III</t>
        </is>
      </c>
      <c r="D4003" s="3" t="n">
        <v>42</v>
      </c>
      <c r="E4003" s="3" t="n">
        <v>42</v>
      </c>
      <c r="F4003" s="3" t="n">
        <v>13.59</v>
      </c>
      <c r="G4003" s="3" t="n">
        <v>0</v>
      </c>
      <c r="H4003" s="3" t="n">
        <v>0</v>
      </c>
      <c r="I4003" s="3">
        <f>E4003+G4003+H4003</f>
        <v/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/>
      </c>
      <c r="K4003" s="3">
        <f>I4003-J4003</f>
        <v/>
      </c>
      <c r="L4003" s="3">
        <f>IF(K4003&lt;-5,"CRÍTICO",IF(K4003&lt;0,"ATENÇÃO",IF(K4003&lt;=5,"OPORTUNO","MUITO BOM")))</f>
        <v/>
      </c>
      <c r="M4003" s="3" t="n">
        <v>37</v>
      </c>
      <c r="N4003" s="3" t="n">
        <v>99.56999999999999</v>
      </c>
      <c r="O4003" s="12" t="n">
        <v>30.63583815028902</v>
      </c>
    </row>
    <row r="4004">
      <c r="A4004" s="10" t="n">
        <v>46127</v>
      </c>
      <c r="B4004" t="inlineStr">
        <is>
          <t>Jaqueline Evangelista da Silva Martins</t>
        </is>
      </c>
      <c r="C4004" s="1" t="inlineStr">
        <is>
          <t>Técnico III</t>
        </is>
      </c>
      <c r="D4004" s="3" t="n">
        <v>0</v>
      </c>
      <c r="E4004" s="3" t="n">
        <v>0</v>
      </c>
      <c r="F4004" s="3" t="n">
        <v>0</v>
      </c>
      <c r="G4004" s="3" t="n">
        <v>0</v>
      </c>
      <c r="H4004" s="3" t="n">
        <v>0</v>
      </c>
      <c r="I4004" s="3" t="n">
        <v>0</v>
      </c>
      <c r="J4004" s="3" t="n">
        <v>0</v>
      </c>
      <c r="K4004" s="3" t="n">
        <v>0</v>
      </c>
      <c r="L4004" s="3">
        <f>IF(K4004&lt;-5,"CRÍTICO",IF(K4004&lt;0,"ATENÇÃO",IF(K4004&lt;=5,"OPORTUNO","MUITO BOM")))</f>
        <v/>
      </c>
      <c r="M4004" s="3" t="n">
        <v>0</v>
      </c>
      <c r="N4004" s="3" t="n">
        <v>95.65000000000001</v>
      </c>
      <c r="O4004" s="12" t="n">
        <v>32.43243243243244</v>
      </c>
    </row>
    <row r="4005">
      <c r="A4005" s="10" t="n">
        <v>46127</v>
      </c>
      <c r="B4005" t="inlineStr">
        <is>
          <t>Jessica Faria da Silveira</t>
        </is>
      </c>
      <c r="C4005" s="1" t="inlineStr">
        <is>
          <t>Técnico II</t>
        </is>
      </c>
      <c r="D4005" s="3" t="n">
        <v>27</v>
      </c>
      <c r="E4005" s="3" t="n">
        <v>24</v>
      </c>
      <c r="F4005" s="3" t="n">
        <v>19.04</v>
      </c>
      <c r="G4005" s="3" t="n">
        <v>0</v>
      </c>
      <c r="H4005" s="3" t="n">
        <v>0</v>
      </c>
      <c r="I4005" s="3">
        <f>E4005+G4005+H4005</f>
        <v/>
      </c>
      <c r="J4005" s="3">
        <f>ROUND(MIN(IF(C4005="Técnico III",35,IF(C4005="Técnico II",28,IF(C4005="Técnico I",23,IF(C4005="JR",20,IF(C4005="Estágio",10,0))))),IF(C4005="Técnico III",SUMIFS($D:$D,$A:$A,$A4005,$B:$B,"&lt;&gt;Patrícia Karla de Sousa Araújo",$B:$B,"&lt;&gt;Lorena Dias de Araujo",$B:$B,"&lt;&gt;Lucas Luiz Romero")*(35/1083),IF(C4005="Técnico II",SUMIFS($D:$D,$A:$A,$A4005,$B:$B,"&lt;&gt;Patrícia Karla de Sousa Araújo",$B:$B,"&lt;&gt;Lorena Dias de Araujo",$B:$B,"&lt;&gt;Lucas Luiz Romero")*(28/1083),IF(C4005="Técnico I",SUMIFS($D:$D,$A:$A,$A4005,$B:$B,"&lt;&gt;Patrícia Karla de Sousa Araújo",$B:$B,"&lt;&gt;Lorena Dias de Araujo",$B:$B,"&lt;&gt;Lucas Luiz Romero")*(23/1083),IF(C4005="JR",SUMIFS($D:$D,$A:$A,$A4005,$B:$B,"&lt;&gt;Patrícia Karla de Sousa Araújo",$B:$B,"&lt;&gt;Lorena Dias de Araujo",$B:$B,"&lt;&gt;Lucas Luiz Romero")*(20/1083),IF(C4005="Estágio",SUMIFS($D:$D,$A:$A,$A4005,$B:$B,"&lt;&gt;Patrícia Karla de Sousa Araújo",$B:$B,"&lt;&gt;Lorena Dias de Araujo",$B:$B,"&lt;&gt;Lucas Luiz Romero")*(10/1083),0)))))),0)</f>
        <v/>
      </c>
      <c r="K4005" s="3">
        <f>I4005-J4005</f>
        <v/>
      </c>
      <c r="L4005" s="3">
        <f>IF(K4005&lt;-5,"CRÍTICO",IF(K4005&lt;0,"ATENÇÃO",IF(K4005&lt;=5,"OPORTUNO","MUITO BOM")))</f>
        <v/>
      </c>
      <c r="M4005" s="3" t="n">
        <v>23</v>
      </c>
      <c r="N4005" s="3" t="n">
        <v>98.81</v>
      </c>
      <c r="O4005" s="12" t="n">
        <v>26.25698324022346</v>
      </c>
    </row>
    <row r="4006">
      <c r="A4006" s="10" t="n">
        <v>46127</v>
      </c>
      <c r="B4006" t="inlineStr">
        <is>
          <t>Jéssica Fé Moura</t>
        </is>
      </c>
      <c r="C4006" s="1" t="inlineStr">
        <is>
          <t>Técnico III</t>
        </is>
      </c>
      <c r="D4006" s="3" t="n">
        <v>0</v>
      </c>
      <c r="E4006" s="3" t="n">
        <v>0</v>
      </c>
      <c r="F4006" s="3" t="n">
        <v>0</v>
      </c>
      <c r="G4006" s="3" t="n">
        <v>0</v>
      </c>
      <c r="H4006" s="3" t="n">
        <v>0</v>
      </c>
      <c r="I4006" s="3" t="n">
        <v>0</v>
      </c>
      <c r="J4006" s="3" t="n">
        <v>0</v>
      </c>
      <c r="K4006" s="3" t="n">
        <v>0</v>
      </c>
      <c r="L4006" s="3">
        <f>IF(K4006&lt;-5,"CRÍTICO",IF(K4006&lt;0,"ATENÇÃO",IF(K4006&lt;=5,"OPORTUNO","MUITO BOM")))</f>
        <v/>
      </c>
      <c r="M4006" s="3" t="n">
        <v>0</v>
      </c>
      <c r="N4006" s="3" t="n">
        <v>0</v>
      </c>
      <c r="O4006" s="12" t="n">
        <v>0</v>
      </c>
    </row>
    <row r="4007">
      <c r="A4007" s="10" t="n">
        <v>46127</v>
      </c>
      <c r="B4007" t="inlineStr">
        <is>
          <t>Karina Gonçalves Martins</t>
        </is>
      </c>
      <c r="C4007" s="1" t="inlineStr">
        <is>
          <t>JR</t>
        </is>
      </c>
      <c r="D4007" s="3" t="n">
        <v>26</v>
      </c>
      <c r="E4007" s="3" t="n">
        <v>21</v>
      </c>
      <c r="F4007" s="3" t="n">
        <v>21.48</v>
      </c>
      <c r="G4007" s="3" t="n">
        <v>0</v>
      </c>
      <c r="H4007" s="3" t="n">
        <v>0</v>
      </c>
      <c r="I4007" s="3">
        <f>E4007+G4007+H4007</f>
        <v/>
      </c>
      <c r="J4007" s="3">
        <f>ROUND(MIN(IF(C4007="Técnico III",35,IF(C4007="Técnico II",28,IF(C4007="Técnico I",23,IF(C4007="JR",20,IF(C4007="Estágio",10,0))))),IF(C4007="Técnico III",SUMIFS($D:$D,$A:$A,$A4007,$B:$B,"&lt;&gt;Patrícia Karla de Sousa Araújo",$B:$B,"&lt;&gt;Lorena Dias de Araujo",$B:$B,"&lt;&gt;Lucas Luiz Romero")*(35/1083),IF(C4007="Técnico II",SUMIFS($D:$D,$A:$A,$A4007,$B:$B,"&lt;&gt;Patrícia Karla de Sousa Araújo",$B:$B,"&lt;&gt;Lorena Dias de Araujo",$B:$B,"&lt;&gt;Lucas Luiz Romero")*(28/1083),IF(C4007="Técnico I",SUMIFS($D:$D,$A:$A,$A4007,$B:$B,"&lt;&gt;Patrícia Karla de Sousa Araújo",$B:$B,"&lt;&gt;Lorena Dias de Araujo",$B:$B,"&lt;&gt;Lucas Luiz Romero")*(23/1083),IF(C4007="JR",SUMIFS($D:$D,$A:$A,$A4007,$B:$B,"&lt;&gt;Patrícia Karla de Sousa Araújo",$B:$B,"&lt;&gt;Lorena Dias de Araujo",$B:$B,"&lt;&gt;Lucas Luiz Romero")*(20/1083),IF(C4007="Estágio",SUMIFS($D:$D,$A:$A,$A4007,$B:$B,"&lt;&gt;Patrícia Karla de Sousa Araújo",$B:$B,"&lt;&gt;Lorena Dias de Araujo",$B:$B,"&lt;&gt;Lucas Luiz Romero")*(10/1083),0)))))),0)</f>
        <v/>
      </c>
      <c r="K4007" s="3">
        <f>I4007-J4007</f>
        <v/>
      </c>
      <c r="L4007" s="3">
        <f>IF(K4007&lt;-5,"CRÍTICO",IF(K4007&lt;0,"ATENÇÃO",IF(K4007&lt;=5,"OPORTUNO","MUITO BOM")))</f>
        <v/>
      </c>
      <c r="M4007" s="3" t="n">
        <v>23</v>
      </c>
      <c r="N4007" s="3" t="n">
        <v>97.17</v>
      </c>
      <c r="O4007" s="12" t="n">
        <v>28.81844380403458</v>
      </c>
    </row>
    <row r="4008">
      <c r="A4008" s="10" t="n">
        <v>46127</v>
      </c>
      <c r="B4008" t="inlineStr">
        <is>
          <t>Kerollen Cristielly de Jesus Siqueira</t>
        </is>
      </c>
      <c r="C4008" s="1" t="inlineStr">
        <is>
          <t>Técnico III</t>
        </is>
      </c>
      <c r="D4008" s="3" t="n">
        <v>0</v>
      </c>
      <c r="E4008" s="3" t="n">
        <v>0</v>
      </c>
      <c r="F4008" s="3" t="n">
        <v>0</v>
      </c>
      <c r="G4008" s="3" t="n">
        <v>0</v>
      </c>
      <c r="H4008" s="3" t="n">
        <v>0</v>
      </c>
      <c r="I4008" s="3" t="n">
        <v>0</v>
      </c>
      <c r="J4008" s="3" t="n">
        <v>0</v>
      </c>
      <c r="K4008" s="3" t="n">
        <v>0</v>
      </c>
      <c r="L4008" s="3">
        <f>IF(K4008&lt;-5,"CRÍTICO",IF(K4008&lt;0,"ATENÇÃO",IF(K4008&lt;=5,"OPORTUNO","MUITO BOM")))</f>
        <v/>
      </c>
      <c r="M4008" s="3" t="n">
        <v>44</v>
      </c>
      <c r="N4008" s="3" t="n">
        <v>96.81</v>
      </c>
      <c r="O4008" s="12" t="n">
        <v>48.01864801864802</v>
      </c>
    </row>
    <row r="4009">
      <c r="A4009" s="10" t="n">
        <v>46127</v>
      </c>
      <c r="B4009" t="inlineStr">
        <is>
          <t>Leandro de Souza Silva</t>
        </is>
      </c>
      <c r="C4009" s="1" t="inlineStr">
        <is>
          <t>JR</t>
        </is>
      </c>
      <c r="D4009" s="3" t="n">
        <v>14</v>
      </c>
      <c r="E4009" s="3" t="n">
        <v>13</v>
      </c>
      <c r="F4009" s="3" t="n">
        <v>33.31</v>
      </c>
      <c r="G4009" s="3" t="n">
        <v>0</v>
      </c>
      <c r="H4009" s="3" t="n">
        <v>0</v>
      </c>
      <c r="I4009" s="3">
        <f>E4009+G4009+H4009</f>
        <v/>
      </c>
      <c r="J4009" s="3">
        <f>ROUND(MIN(IF(C4009="Técnico III",35,IF(C4009="Técnico II",28,IF(C4009="Técnico I",23,IF(C4009="JR",20,IF(C4009="Estágio",10,0))))),IF(C4009="Técnico III",SUMIFS($D:$D,$A:$A,$A4009,$B:$B,"&lt;&gt;Patrícia Karla de Sousa Araújo",$B:$B,"&lt;&gt;Lorena Dias de Araujo",$B:$B,"&lt;&gt;Lucas Luiz Romero")*(35/1083),IF(C4009="Técnico II",SUMIFS($D:$D,$A:$A,$A4009,$B:$B,"&lt;&gt;Patrícia Karla de Sousa Araújo",$B:$B,"&lt;&gt;Lorena Dias de Araujo",$B:$B,"&lt;&gt;Lucas Luiz Romero")*(28/1083),IF(C4009="Técnico I",SUMIFS($D:$D,$A:$A,$A4009,$B:$B,"&lt;&gt;Patrícia Karla de Sousa Araújo",$B:$B,"&lt;&gt;Lorena Dias de Araujo",$B:$B,"&lt;&gt;Lucas Luiz Romero")*(23/1083),IF(C4009="JR",SUMIFS($D:$D,$A:$A,$A4009,$B:$B,"&lt;&gt;Patrícia Karla de Sousa Araújo",$B:$B,"&lt;&gt;Lorena Dias de Araujo",$B:$B,"&lt;&gt;Lucas Luiz Romero")*(20/1083),IF(C4009="Estágio",SUMIFS($D:$D,$A:$A,$A4009,$B:$B,"&lt;&gt;Patrícia Karla de Sousa Araújo",$B:$B,"&lt;&gt;Lorena Dias de Araujo",$B:$B,"&lt;&gt;Lucas Luiz Romero")*(10/1083),0)))))),0)</f>
        <v/>
      </c>
      <c r="K4009" s="3">
        <f>I4009-J4009</f>
        <v/>
      </c>
      <c r="L4009" s="3">
        <f>IF(K4009&lt;-5,"CRÍTICO",IF(K4009&lt;0,"ATENÇÃO",IF(K4009&lt;=5,"OPORTUNO","MUITO BOM")))</f>
        <v/>
      </c>
      <c r="M4009" s="3" t="n">
        <v>12</v>
      </c>
      <c r="N4009" s="3" t="n">
        <v>98.15000000000001</v>
      </c>
      <c r="O4009" s="12" t="n">
        <v>27.1551724137931</v>
      </c>
    </row>
    <row r="4010">
      <c r="A4010" s="10" t="n">
        <v>46127</v>
      </c>
      <c r="B4010" t="inlineStr">
        <is>
          <t>Leandro Oliveira de Sousa</t>
        </is>
      </c>
      <c r="C4010" s="1" t="inlineStr">
        <is>
          <t>Técnico III</t>
        </is>
      </c>
      <c r="D4010" s="3" t="n">
        <v>28</v>
      </c>
      <c r="E4010" s="3" t="n">
        <v>28</v>
      </c>
      <c r="F4010" s="3" t="n">
        <v>18.45</v>
      </c>
      <c r="G4010" s="3" t="n">
        <v>0</v>
      </c>
      <c r="H4010" s="3" t="n">
        <v>0</v>
      </c>
      <c r="I4010" s="3">
        <f>E4010+G4010+H4010</f>
        <v/>
      </c>
      <c r="J4010" s="3">
        <f>ROUND(MIN(IF(C4010="Técnico III",35,IF(C4010="Técnico II",28,IF(C4010="Técnico I",23,IF(C4010="JR",20,IF(C4010="Estágio",10,0))))),IF(C4010="Técnico III",SUMIFS($D:$D,$A:$A,$A4010,$B:$B,"&lt;&gt;Patrícia Karla de Sousa Araújo",$B:$B,"&lt;&gt;Lorena Dias de Araujo",$B:$B,"&lt;&gt;Lucas Luiz Romero")*(35/1083),IF(C4010="Técnico II",SUMIFS($D:$D,$A:$A,$A4010,$B:$B,"&lt;&gt;Patrícia Karla de Sousa Araújo",$B:$B,"&lt;&gt;Lorena Dias de Araujo",$B:$B,"&lt;&gt;Lucas Luiz Romero")*(28/1083),IF(C4010="Técnico I",SUMIFS($D:$D,$A:$A,$A4010,$B:$B,"&lt;&gt;Patrícia Karla de Sousa Araújo",$B:$B,"&lt;&gt;Lorena Dias de Araujo",$B:$B,"&lt;&gt;Lucas Luiz Romero")*(23/1083),IF(C4010="JR",SUMIFS($D:$D,$A:$A,$A4010,$B:$B,"&lt;&gt;Patrícia Karla de Sousa Araújo",$B:$B,"&lt;&gt;Lorena Dias de Araujo",$B:$B,"&lt;&gt;Lucas Luiz Romero")*(20/1083),IF(C4010="Estágio",SUMIFS($D:$D,$A:$A,$A4010,$B:$B,"&lt;&gt;Patrícia Karla de Sousa Araújo",$B:$B,"&lt;&gt;Lorena Dias de Araujo",$B:$B,"&lt;&gt;Lucas Luiz Romero")*(10/1083),0)))))),0)</f>
        <v/>
      </c>
      <c r="K4010" s="3">
        <f>I4010-J4010</f>
        <v/>
      </c>
      <c r="L4010" s="3">
        <f>IF(K4010&lt;-5,"CRÍTICO",IF(K4010&lt;0,"ATENÇÃO",IF(K4010&lt;=5,"OPORTUNO","MUITO BOM")))</f>
        <v/>
      </c>
      <c r="M4010" s="3" t="n">
        <v>25</v>
      </c>
      <c r="N4010" s="3" t="n">
        <v>99.15000000000001</v>
      </c>
      <c r="O4010" s="12" t="n">
        <v>27.58620689655172</v>
      </c>
    </row>
    <row r="4011">
      <c r="A4011" s="10" t="n">
        <v>46127</v>
      </c>
      <c r="B4011" t="inlineStr">
        <is>
          <t>Lizandra Gomes Duarte</t>
        </is>
      </c>
      <c r="C4011" s="1" t="inlineStr">
        <is>
          <t>Técnico II</t>
        </is>
      </c>
      <c r="D4011" s="3" t="n">
        <v>30</v>
      </c>
      <c r="E4011" s="3" t="n">
        <v>27</v>
      </c>
      <c r="F4011" s="3" t="n">
        <v>13.33</v>
      </c>
      <c r="G4011" s="3" t="n">
        <v>0</v>
      </c>
      <c r="H4011" s="3" t="n">
        <v>0</v>
      </c>
      <c r="I4011" s="3">
        <f>E4011+G4011+H4011</f>
        <v/>
      </c>
      <c r="J4011" s="3">
        <f>ROUND(MIN(IF(C4011="Técnico III",35,IF(C4011="Técnico II",28,IF(C4011="Técnico I",23,IF(C4011="JR",20,IF(C4011="Estágio",10,0))))),IF(C4011="Técnico III",SUMIFS($D:$D,$A:$A,$A4011,$B:$B,"&lt;&gt;Patrícia Karla de Sousa Araújo",$B:$B,"&lt;&gt;Lorena Dias de Araujo",$B:$B,"&lt;&gt;Lucas Luiz Romero")*(35/1083),IF(C4011="Técnico II",SUMIFS($D:$D,$A:$A,$A4011,$B:$B,"&lt;&gt;Patrícia Karla de Sousa Araújo",$B:$B,"&lt;&gt;Lorena Dias de Araujo",$B:$B,"&lt;&gt;Lucas Luiz Romero")*(28/1083),IF(C4011="Técnico I",SUMIFS($D:$D,$A:$A,$A4011,$B:$B,"&lt;&gt;Patrícia Karla de Sousa Araújo",$B:$B,"&lt;&gt;Lorena Dias de Araujo",$B:$B,"&lt;&gt;Lucas Luiz Romero")*(23/1083),IF(C4011="JR",SUMIFS($D:$D,$A:$A,$A4011,$B:$B,"&lt;&gt;Patrícia Karla de Sousa Araújo",$B:$B,"&lt;&gt;Lorena Dias de Araujo",$B:$B,"&lt;&gt;Lucas Luiz Romero")*(20/1083),IF(C4011="Estágio",SUMIFS($D:$D,$A:$A,$A4011,$B:$B,"&lt;&gt;Patrícia Karla de Sousa Araújo",$B:$B,"&lt;&gt;Lorena Dias de Araujo",$B:$B,"&lt;&gt;Lucas Luiz Romero")*(10/1083),0)))))),0)</f>
        <v/>
      </c>
      <c r="K4011" s="3">
        <f>I4011-J4011</f>
        <v/>
      </c>
      <c r="L4011" s="3">
        <f>IF(K4011&lt;-5,"CRÍTICO",IF(K4011&lt;0,"ATENÇÃO",IF(K4011&lt;=5,"OPORTUNO","MUITO BOM")))</f>
        <v/>
      </c>
      <c r="M4011" s="3" t="n">
        <v>32</v>
      </c>
      <c r="N4011" s="3" t="n">
        <v>99.17</v>
      </c>
      <c r="O4011" s="12" t="n">
        <v>29.75206611570248</v>
      </c>
    </row>
    <row r="4012">
      <c r="A4012" s="10" t="n">
        <v>46127</v>
      </c>
      <c r="B4012" t="inlineStr">
        <is>
          <t>Lorena Dias de Araujo</t>
        </is>
      </c>
      <c r="C4012" s="1" t="inlineStr">
        <is>
          <t>Técnico II</t>
        </is>
      </c>
      <c r="D4012" s="3" t="n">
        <v>0</v>
      </c>
      <c r="E4012" s="3" t="n">
        <v>0</v>
      </c>
      <c r="F4012" s="3" t="n">
        <v>0</v>
      </c>
      <c r="G4012" s="3" t="n">
        <v>0</v>
      </c>
      <c r="H4012" s="3" t="n">
        <v>0</v>
      </c>
      <c r="I4012" s="3" t="n">
        <v>0</v>
      </c>
      <c r="J4012" s="3" t="n">
        <v>0</v>
      </c>
      <c r="K4012" s="3" t="n">
        <v>0</v>
      </c>
      <c r="L4012" s="3">
        <f>IF(K4012&lt;-5,"CRÍTICO",IF(K4012&lt;0,"ATENÇÃO",IF(K4012&lt;=5,"OPORTUNO","MUITO BOM")))</f>
        <v/>
      </c>
      <c r="M4012" s="3" t="n">
        <v>0</v>
      </c>
      <c r="N4012" s="3" t="n">
        <v>98.73</v>
      </c>
      <c r="O4012" s="12" t="n">
        <v>28.96174863387978</v>
      </c>
    </row>
    <row r="4013">
      <c r="A4013" s="10" t="n">
        <v>46127</v>
      </c>
      <c r="B4013" t="inlineStr">
        <is>
          <t>Lucas Luiz Romero</t>
        </is>
      </c>
      <c r="C4013" s="1" t="inlineStr">
        <is>
          <t>Técnico III</t>
        </is>
      </c>
      <c r="D4013" s="3" t="n">
        <v>39</v>
      </c>
      <c r="E4013" s="3" t="n">
        <v>33</v>
      </c>
      <c r="F4013" s="3" t="n">
        <v>16.56</v>
      </c>
      <c r="G4013" s="3" t="n">
        <v>0</v>
      </c>
      <c r="H4013" s="3" t="n">
        <v>0</v>
      </c>
      <c r="I4013" s="3">
        <f>E4013+G4013+H4013</f>
        <v/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/>
      </c>
      <c r="K4013" s="3">
        <f>I4013-J4013</f>
        <v/>
      </c>
      <c r="L4013" s="3">
        <f>IF(K4013&lt;-5,"CRÍTICO",IF(K4013&lt;0,"ATENÇÃO",IF(K4013&lt;=5,"OPORTUNO","MUITO BOM")))</f>
        <v/>
      </c>
      <c r="M4013" s="3" t="n">
        <v>27</v>
      </c>
      <c r="N4013" s="3" t="n">
        <v>88.68000000000001</v>
      </c>
      <c r="O4013" s="12" t="n">
        <v>22.03389830508474</v>
      </c>
    </row>
    <row r="4014">
      <c r="A4014" s="10" t="n">
        <v>46127</v>
      </c>
      <c r="B4014" t="inlineStr">
        <is>
          <t>Luiz Fernando de Carvalho Junior</t>
        </is>
      </c>
      <c r="C4014" s="1" t="inlineStr">
        <is>
          <t>Técnico I</t>
        </is>
      </c>
      <c r="D4014" s="3" t="n">
        <v>21</v>
      </c>
      <c r="E4014" s="3" t="n">
        <v>20</v>
      </c>
      <c r="F4014" s="3" t="n">
        <v>33.46</v>
      </c>
      <c r="G4014" s="3" t="n">
        <v>0</v>
      </c>
      <c r="H4014" s="3" t="n">
        <v>0</v>
      </c>
      <c r="I4014" s="3">
        <f>E4014+G4014+H4014</f>
        <v/>
      </c>
      <c r="J4014" s="3">
        <f>ROUND(MIN(IF(C4014="Técnico III",35,IF(C4014="Técnico II",28,IF(C4014="Técnico I",23,IF(C4014="JR",20,IF(C4014="Estágio",10,0))))),IF(C4014="Técnico III",SUMIFS($D:$D,$A:$A,$A4014,$B:$B,"&lt;&gt;Patrícia Karla de Sousa Araújo",$B:$B,"&lt;&gt;Lorena Dias de Araujo",$B:$B,"&lt;&gt;Lucas Luiz Romero")*(35/1083),IF(C4014="Técnico II",SUMIFS($D:$D,$A:$A,$A4014,$B:$B,"&lt;&gt;Patrícia Karla de Sousa Araújo",$B:$B,"&lt;&gt;Lorena Dias de Araujo",$B:$B,"&lt;&gt;Lucas Luiz Romero")*(28/1083),IF(C4014="Técnico I",SUMIFS($D:$D,$A:$A,$A4014,$B:$B,"&lt;&gt;Patrícia Karla de Sousa Araújo",$B:$B,"&lt;&gt;Lorena Dias de Araujo",$B:$B,"&lt;&gt;Lucas Luiz Romero")*(23/1083),IF(C4014="JR",SUMIFS($D:$D,$A:$A,$A4014,$B:$B,"&lt;&gt;Patrícia Karla de Sousa Araújo",$B:$B,"&lt;&gt;Lorena Dias de Araujo",$B:$B,"&lt;&gt;Lucas Luiz Romero")*(20/1083),IF(C4014="Estágio",SUMIFS($D:$D,$A:$A,$A4014,$B:$B,"&lt;&gt;Patrícia Karla de Sousa Araújo",$B:$B,"&lt;&gt;Lorena Dias de Araujo",$B:$B,"&lt;&gt;Lucas Luiz Romero")*(10/1083),0)))))),0)</f>
        <v/>
      </c>
      <c r="K4014" s="3">
        <f>I4014-J4014</f>
        <v/>
      </c>
      <c r="L4014" s="3">
        <f>IF(K4014&lt;-5,"CRÍTICO",IF(K4014&lt;0,"ATENÇÃO",IF(K4014&lt;=5,"OPORTUNO","MUITO BOM")))</f>
        <v/>
      </c>
      <c r="M4014" s="3" t="n">
        <v>17</v>
      </c>
      <c r="N4014" s="3" t="n">
        <v>97.37</v>
      </c>
      <c r="O4014" s="12" t="n">
        <v>25.76530612244898</v>
      </c>
    </row>
    <row r="4015">
      <c r="A4015" s="10" t="n">
        <v>46127</v>
      </c>
      <c r="B4015" t="inlineStr">
        <is>
          <t>Maria Eduarda Sousa Costa</t>
        </is>
      </c>
      <c r="C4015" s="1" t="inlineStr">
        <is>
          <t>Estágio</t>
        </is>
      </c>
      <c r="D4015" s="3" t="n">
        <v>36</v>
      </c>
      <c r="E4015" s="3" t="n">
        <v>18</v>
      </c>
      <c r="F4015" s="3" t="n">
        <v>7.05</v>
      </c>
      <c r="G4015" s="3" t="n">
        <v>0</v>
      </c>
      <c r="H4015" s="3" t="n">
        <v>0</v>
      </c>
      <c r="I4015" s="3">
        <f>E4015+G4015+H4015</f>
        <v/>
      </c>
      <c r="J4015" s="3">
        <f>ROUND(MIN(IF(C4015="Técnico III",35,IF(C4015="Técnico II",28,IF(C4015="Técnico I",23,IF(C4015="JR",20,IF(C4015="Estágio",10,0))))),IF(C4015="Técnico III",SUMIFS($D:$D,$A:$A,$A4015,$B:$B,"&lt;&gt;Patrícia Karla de Sousa Araújo",$B:$B,"&lt;&gt;Lorena Dias de Araujo",$B:$B,"&lt;&gt;Lucas Luiz Romero")*(35/1083),IF(C4015="Técnico II",SUMIFS($D:$D,$A:$A,$A4015,$B:$B,"&lt;&gt;Patrícia Karla de Sousa Araújo",$B:$B,"&lt;&gt;Lorena Dias de Araujo",$B:$B,"&lt;&gt;Lucas Luiz Romero")*(28/1083),IF(C4015="Técnico I",SUMIFS($D:$D,$A:$A,$A4015,$B:$B,"&lt;&gt;Patrícia Karla de Sousa Araújo",$B:$B,"&lt;&gt;Lorena Dias de Araujo",$B:$B,"&lt;&gt;Lucas Luiz Romero")*(23/1083),IF(C4015="JR",SUMIFS($D:$D,$A:$A,$A4015,$B:$B,"&lt;&gt;Patrícia Karla de Sousa Araújo",$B:$B,"&lt;&gt;Lorena Dias de Araujo",$B:$B,"&lt;&gt;Lucas Luiz Romero")*(20/1083),IF(C4015="Estágio",SUMIFS($D:$D,$A:$A,$A4015,$B:$B,"&lt;&gt;Patrícia Karla de Sousa Araújo",$B:$B,"&lt;&gt;Lorena Dias de Araujo",$B:$B,"&lt;&gt;Lucas Luiz Romero")*(10/1083),0)))))),0)</f>
        <v/>
      </c>
      <c r="K4015" s="3">
        <f>I4015-J4015</f>
        <v/>
      </c>
      <c r="L4015" s="3">
        <f>IF(K4015&lt;-5,"CRÍTICO",IF(K4015&lt;0,"ATENÇÃO",IF(K4015&lt;=5,"OPORTUNO","MUITO BOM")))</f>
        <v/>
      </c>
      <c r="M4015" s="3" t="n">
        <v>6</v>
      </c>
      <c r="N4015" s="3" t="n">
        <v>100</v>
      </c>
      <c r="O4015" s="12" t="n">
        <v>25</v>
      </c>
    </row>
    <row r="4016">
      <c r="A4016" s="5" t="n">
        <v>46160</v>
      </c>
      <c r="B4016" s="6" t="inlineStr">
        <is>
          <t>Michelle G Santos</t>
        </is>
      </c>
      <c r="C4016" s="1" t="inlineStr">
        <is>
          <t>Estágio</t>
        </is>
      </c>
      <c r="D4016" s="3" t="n">
        <v>7</v>
      </c>
      <c r="E4016" s="3" t="n">
        <v>7</v>
      </c>
      <c r="F4016" s="3" t="n">
        <v>30.49</v>
      </c>
      <c r="G4016" s="3" t="n">
        <v>0</v>
      </c>
      <c r="H4016" s="3" t="n">
        <v>0</v>
      </c>
      <c r="I4016" s="3" t="n">
        <v>7</v>
      </c>
      <c r="J4016" s="3" t="n">
        <v>8</v>
      </c>
      <c r="K4016" s="3" t="n">
        <v>-1</v>
      </c>
      <c r="L4016" s="3" t="inlineStr">
        <is>
          <t>ATENÇÃO</t>
        </is>
      </c>
      <c r="M4016" s="3" t="n">
        <v>6</v>
      </c>
      <c r="N4016" s="3" t="n">
        <v>100</v>
      </c>
      <c r="O4016" s="12" t="n">
        <v>17.1875</v>
      </c>
    </row>
    <row r="4017">
      <c r="A4017" s="10" t="n">
        <v>46127</v>
      </c>
      <c r="B4017" t="inlineStr">
        <is>
          <t>Maysa Victoria Dias Moura</t>
        </is>
      </c>
      <c r="C4017" s="1" t="inlineStr">
        <is>
          <t>Técnico III</t>
        </is>
      </c>
      <c r="D4017" s="3" t="n">
        <v>36</v>
      </c>
      <c r="E4017" s="3" t="n">
        <v>34</v>
      </c>
      <c r="F4017" s="3" t="n">
        <v>15.23</v>
      </c>
      <c r="G4017" s="3" t="n">
        <v>0</v>
      </c>
      <c r="H4017" s="3" t="n">
        <v>0</v>
      </c>
      <c r="I4017" s="3">
        <f>E4017+G4017+H4017</f>
        <v/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/>
      </c>
      <c r="K4017" s="3">
        <f>I4017-J4017</f>
        <v/>
      </c>
      <c r="L4017" s="3">
        <f>IF(K4017&lt;-5,"CRÍTICO",IF(K4017&lt;0,"ATENÇÃO",IF(K4017&lt;=5,"OPORTUNO","MUITO BOM")))</f>
        <v/>
      </c>
      <c r="M4017" s="3" t="n">
        <v>51</v>
      </c>
      <c r="N4017" s="3" t="n">
        <v>95.48999999999999</v>
      </c>
      <c r="O4017" s="12" t="n">
        <v>28.37022132796781</v>
      </c>
    </row>
    <row r="4018">
      <c r="A4018" s="7" t="n">
        <v>46161</v>
      </c>
      <c r="B4018" s="8" t="inlineStr">
        <is>
          <t>Michelle G Santos</t>
        </is>
      </c>
      <c r="C4018" s="1" t="inlineStr">
        <is>
          <t>Estágio</t>
        </is>
      </c>
      <c r="D4018" s="3" t="n">
        <v>15</v>
      </c>
      <c r="E4018" s="3" t="n">
        <v>13</v>
      </c>
      <c r="F4018" s="3" t="n">
        <v>21.51</v>
      </c>
      <c r="G4018" s="3" t="n">
        <v>0</v>
      </c>
      <c r="H4018" s="3" t="n">
        <v>0</v>
      </c>
      <c r="I4018" s="3" t="n">
        <v>13</v>
      </c>
      <c r="J4018" s="3" t="n">
        <v>8</v>
      </c>
      <c r="K4018" s="3" t="n">
        <v>5</v>
      </c>
      <c r="L4018" s="3" t="inlineStr">
        <is>
          <t>BOM</t>
        </is>
      </c>
      <c r="M4018" s="3" t="n">
        <v>9</v>
      </c>
      <c r="N4018" s="3" t="n">
        <v>100</v>
      </c>
      <c r="O4018" s="12" t="n">
        <v>17.1875</v>
      </c>
    </row>
    <row r="4019">
      <c r="A4019" s="10" t="n">
        <v>46127</v>
      </c>
      <c r="B4019" t="inlineStr">
        <is>
          <t>Milena Sales</t>
        </is>
      </c>
      <c r="C4019" s="1" t="inlineStr">
        <is>
          <t>JR</t>
        </is>
      </c>
      <c r="D4019" s="3" t="n">
        <v>28</v>
      </c>
      <c r="E4019" s="3" t="n">
        <v>22</v>
      </c>
      <c r="F4019" s="3" t="n">
        <v>18.5</v>
      </c>
      <c r="G4019" s="3" t="n">
        <v>0</v>
      </c>
      <c r="H4019" s="3" t="n">
        <v>0</v>
      </c>
      <c r="I4019" s="3">
        <f>E4019+G4019+H4019</f>
        <v/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/>
      </c>
      <c r="K4019" s="3">
        <f>I4019-J4019</f>
        <v/>
      </c>
      <c r="L4019" s="3">
        <f>IF(K4019&lt;-5,"CRÍTICO",IF(K4019&lt;0,"ATENÇÃO",IF(K4019&lt;=5,"OPORTUNO","MUITO BOM")))</f>
        <v/>
      </c>
      <c r="M4019" s="3" t="n">
        <v>18</v>
      </c>
      <c r="N4019" s="3" t="n">
        <v>96.15000000000001</v>
      </c>
      <c r="O4019" s="12" t="n">
        <v>24.04580152671756</v>
      </c>
    </row>
    <row r="4020">
      <c r="A4020" s="10" t="n">
        <v>46127</v>
      </c>
      <c r="B4020" t="inlineStr">
        <is>
          <t>Patrícia Karla de Sousa Araújo</t>
        </is>
      </c>
      <c r="C4020" s="1" t="inlineStr">
        <is>
          <t>Técnico II</t>
        </is>
      </c>
      <c r="D4020" s="3" t="n">
        <v>27</v>
      </c>
      <c r="E4020" s="3" t="n">
        <v>25</v>
      </c>
      <c r="F4020" s="3" t="n">
        <v>20.41</v>
      </c>
      <c r="G4020" s="3" t="n">
        <v>0</v>
      </c>
      <c r="H4020" s="3" t="n">
        <v>0</v>
      </c>
      <c r="I4020" s="3">
        <f>E4020+G4020+H4020</f>
        <v/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/>
      </c>
      <c r="K4020" s="3">
        <f>I4020-J4020</f>
        <v/>
      </c>
      <c r="L4020" s="3">
        <f>IF(K4020&lt;-5,"CRÍTICO",IF(K4020&lt;0,"ATENÇÃO",IF(K4020&lt;=5,"OPORTUNO","MUITO BOM")))</f>
        <v/>
      </c>
      <c r="M4020" s="3" t="n">
        <v>22</v>
      </c>
      <c r="N4020" s="3" t="n">
        <v>99.02</v>
      </c>
      <c r="O4020" s="12" t="n">
        <v>34.7972972972973</v>
      </c>
    </row>
    <row r="4021">
      <c r="A4021" s="10" t="n">
        <v>46127</v>
      </c>
      <c r="B4021" t="inlineStr">
        <is>
          <t>Paulo Ricardo Santos</t>
        </is>
      </c>
      <c r="C4021" s="1" t="inlineStr">
        <is>
          <t>JR</t>
        </is>
      </c>
      <c r="D4021" s="3" t="n">
        <v>27</v>
      </c>
      <c r="E4021" s="3" t="n">
        <v>26</v>
      </c>
      <c r="F4021" s="3" t="n">
        <v>15.04</v>
      </c>
      <c r="G4021" s="3" t="n">
        <v>0</v>
      </c>
      <c r="H4021" s="3" t="n">
        <v>0</v>
      </c>
      <c r="I4021" s="3">
        <f>E4021+G4021+H4021</f>
        <v/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/>
      </c>
      <c r="K4021" s="3">
        <f>I4021-J4021</f>
        <v/>
      </c>
      <c r="L4021" s="3">
        <f>IF(K4021&lt;-5,"CRÍTICO",IF(K4021&lt;0,"ATENÇÃO",IF(K4021&lt;=5,"OPORTUNO","MUITO BOM")))</f>
        <v/>
      </c>
      <c r="M4021" s="3" t="n">
        <v>21</v>
      </c>
      <c r="N4021" s="3" t="n">
        <v>98.84</v>
      </c>
      <c r="O4021" s="12" t="n">
        <v>31.86813186813187</v>
      </c>
    </row>
    <row r="4022">
      <c r="A4022" s="10" t="n">
        <v>46127</v>
      </c>
      <c r="B4022" t="inlineStr">
        <is>
          <t>Pedro Luiz Mota Sousa</t>
        </is>
      </c>
      <c r="C4022" s="1" t="inlineStr">
        <is>
          <t>JR</t>
        </is>
      </c>
      <c r="D4022" s="3" t="n">
        <v>25</v>
      </c>
      <c r="E4022" s="3" t="n">
        <v>22</v>
      </c>
      <c r="F4022" s="3" t="n">
        <v>17.13</v>
      </c>
      <c r="G4022" s="3" t="n">
        <v>0</v>
      </c>
      <c r="H4022" s="3" t="n">
        <v>0</v>
      </c>
      <c r="I4022" s="3">
        <f>E4022+G4022+H4022</f>
        <v/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/>
      </c>
      <c r="K4022" s="3">
        <f>I4022-J4022</f>
        <v/>
      </c>
      <c r="L4022" s="3">
        <f>IF(K4022&lt;-5,"CRÍTICO",IF(K4022&lt;0,"ATENÇÃO",IF(K4022&lt;=5,"OPORTUNO","MUITO BOM")))</f>
        <v/>
      </c>
      <c r="M4022" s="3" t="n">
        <v>21</v>
      </c>
      <c r="N4022" s="3" t="n">
        <v>100</v>
      </c>
      <c r="O4022" s="12" t="n">
        <v>34.66666666666667</v>
      </c>
    </row>
    <row r="4023">
      <c r="A4023" s="7" t="n">
        <v>46162</v>
      </c>
      <c r="B4023" s="8" t="inlineStr">
        <is>
          <t>Michelle G Santos</t>
        </is>
      </c>
      <c r="C4023" s="1" t="inlineStr">
        <is>
          <t>Estágio</t>
        </is>
      </c>
      <c r="D4023" s="3" t="n">
        <v>19</v>
      </c>
      <c r="E4023" s="3" t="n">
        <v>17</v>
      </c>
      <c r="F4023" s="3" t="n">
        <v>22.03</v>
      </c>
      <c r="G4023" s="3" t="n">
        <v>0</v>
      </c>
      <c r="H4023" s="3" t="n">
        <v>0</v>
      </c>
      <c r="I4023" s="3" t="n">
        <v>17</v>
      </c>
      <c r="J4023" s="3" t="n">
        <v>7</v>
      </c>
      <c r="K4023" s="3" t="n">
        <v>10</v>
      </c>
      <c r="L4023" s="3" t="inlineStr">
        <is>
          <t>EXCELENTE</t>
        </is>
      </c>
      <c r="M4023" s="3" t="n">
        <v>14</v>
      </c>
      <c r="N4023" s="3" t="n">
        <v>100</v>
      </c>
      <c r="O4023" s="12" t="n">
        <v>17.1875</v>
      </c>
    </row>
    <row r="4024">
      <c r="A4024" s="10" t="n">
        <v>46127</v>
      </c>
      <c r="B4024" t="inlineStr">
        <is>
          <t>Raane Batista Matos</t>
        </is>
      </c>
      <c r="C4024" s="1" t="inlineStr">
        <is>
          <t>Técnico I</t>
        </is>
      </c>
      <c r="D4024" s="3" t="n">
        <v>23</v>
      </c>
      <c r="E4024" s="3" t="n">
        <v>23</v>
      </c>
      <c r="F4024" s="3" t="n">
        <v>16.52</v>
      </c>
      <c r="G4024" s="3" t="n">
        <v>0</v>
      </c>
      <c r="H4024" s="3" t="n">
        <v>0</v>
      </c>
      <c r="I4024" s="3">
        <f>E4024+G4024+H4024</f>
        <v/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/>
      </c>
      <c r="K4024" s="3">
        <f>I4024-J4024</f>
        <v/>
      </c>
      <c r="L4024" s="3">
        <f>IF(K4024&lt;-5,"CRÍTICO",IF(K4024&lt;0,"ATENÇÃO",IF(K4024&lt;=5,"OPORTUNO","MUITO BOM")))</f>
        <v/>
      </c>
      <c r="M4024" s="3" t="n">
        <v>21</v>
      </c>
      <c r="N4024" s="3" t="n">
        <v>98.31999999999999</v>
      </c>
      <c r="O4024" s="12" t="n">
        <v>26.85851318944844</v>
      </c>
    </row>
    <row r="4025">
      <c r="A4025" s="10" t="n">
        <v>46127</v>
      </c>
      <c r="B4025" t="inlineStr">
        <is>
          <t>Rafael Gomes de Morais</t>
        </is>
      </c>
      <c r="C4025" s="1" t="inlineStr">
        <is>
          <t>Técnico III</t>
        </is>
      </c>
      <c r="D4025" s="3" t="n">
        <v>29</v>
      </c>
      <c r="E4025" s="3" t="n">
        <v>24</v>
      </c>
      <c r="F4025" s="3" t="n">
        <v>15.04</v>
      </c>
      <c r="G4025" s="3" t="n">
        <v>0</v>
      </c>
      <c r="H4025" s="3" t="n">
        <v>0</v>
      </c>
      <c r="I4025" s="3">
        <f>E4025+G4025+H4025</f>
        <v/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/>
      </c>
      <c r="K4025" s="3">
        <f>I4025-J4025</f>
        <v/>
      </c>
      <c r="L4025" s="3">
        <f>IF(K4025&lt;-5,"CRÍTICO",IF(K4025&lt;0,"ATENÇÃO",IF(K4025&lt;=5,"OPORTUNO","MUITO BOM")))</f>
        <v/>
      </c>
      <c r="M4025" s="3" t="n">
        <v>22</v>
      </c>
      <c r="N4025" s="3" t="n">
        <v>100</v>
      </c>
      <c r="O4025" s="12" t="n">
        <v>31.13553113553114</v>
      </c>
    </row>
    <row r="4026">
      <c r="A4026" s="10" t="n">
        <v>46127</v>
      </c>
      <c r="B4026" t="inlineStr">
        <is>
          <t>Sara Maria Monteiro Lopes</t>
        </is>
      </c>
      <c r="C4026" s="1" t="inlineStr">
        <is>
          <t>Técnico I</t>
        </is>
      </c>
      <c r="D4026" s="3" t="n">
        <v>12</v>
      </c>
      <c r="E4026" s="3" t="n">
        <v>12</v>
      </c>
      <c r="F4026" s="3" t="n">
        <v>45.09</v>
      </c>
      <c r="G4026" s="3" t="n">
        <v>0</v>
      </c>
      <c r="H4026" s="3" t="n">
        <v>0</v>
      </c>
      <c r="I4026" s="3">
        <f>E4026+G4026+H4026</f>
        <v/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/>
      </c>
      <c r="K4026" s="3">
        <f>I4026-J4026</f>
        <v/>
      </c>
      <c r="L4026" s="3">
        <f>IF(K4026&lt;-5,"CRÍTICO",IF(K4026&lt;0,"ATENÇÃO",IF(K4026&lt;=5,"OPORTUNO","MUITO BOM")))</f>
        <v/>
      </c>
      <c r="M4026" s="3" t="n">
        <v>11</v>
      </c>
      <c r="N4026" s="3" t="n">
        <v>100</v>
      </c>
      <c r="O4026" s="12" t="n">
        <v>26.36986301369863</v>
      </c>
    </row>
    <row r="4027">
      <c r="A4027" s="10" t="n">
        <v>46127</v>
      </c>
      <c r="B4027" t="inlineStr">
        <is>
          <t>Sarah Steffanie de Lima Borges</t>
        </is>
      </c>
      <c r="C4027" s="1" t="inlineStr">
        <is>
          <t>Técnico III</t>
        </is>
      </c>
      <c r="D4027" s="3" t="n">
        <v>34</v>
      </c>
      <c r="E4027" s="3" t="n">
        <v>33</v>
      </c>
      <c r="F4027" s="3" t="n">
        <v>15.06</v>
      </c>
      <c r="G4027" s="3" t="n">
        <v>0</v>
      </c>
      <c r="H4027" s="3" t="n">
        <v>0</v>
      </c>
      <c r="I4027" s="3">
        <f>E4027+G4027+H4027</f>
        <v/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/>
      </c>
      <c r="K4027" s="3">
        <f>I4027-J4027</f>
        <v/>
      </c>
      <c r="L4027" s="3">
        <f>IF(K4027&lt;-5,"CRÍTICO",IF(K4027&lt;0,"ATENÇÃO",IF(K4027&lt;=5,"OPORTUNO","MUITO BOM")))</f>
        <v/>
      </c>
      <c r="M4027" s="3" t="n">
        <v>28</v>
      </c>
      <c r="N4027" s="3" t="n">
        <v>99.20999999999999</v>
      </c>
      <c r="O4027" s="12" t="n">
        <v>25.18891687657431</v>
      </c>
    </row>
    <row r="4028">
      <c r="A4028" s="10" t="n">
        <v>46128</v>
      </c>
      <c r="B4028" t="inlineStr">
        <is>
          <t>Alisson de Freitas Silva</t>
        </is>
      </c>
      <c r="C4028" s="1" t="inlineStr">
        <is>
          <t>Técnico II</t>
        </is>
      </c>
      <c r="D4028" s="3" t="n">
        <v>15</v>
      </c>
      <c r="E4028" s="3" t="n">
        <v>13</v>
      </c>
      <c r="F4028" s="3" t="n">
        <v>22.21</v>
      </c>
      <c r="G4028" s="3" t="n">
        <v>0</v>
      </c>
      <c r="H4028" s="3" t="n">
        <v>0</v>
      </c>
      <c r="I4028" s="3">
        <f>E4028+G4028+H4028</f>
        <v/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/>
      </c>
      <c r="K4028" s="3">
        <f>I4028-J4028</f>
        <v/>
      </c>
      <c r="L4028" s="3">
        <f>IF(K4028&lt;-5,"CRÍTICO",IF(K4028&lt;0,"ATENÇÃO",IF(K4028&lt;=5,"OPORTUNO","MUITO BOM")))</f>
        <v/>
      </c>
      <c r="M4028" s="3" t="n">
        <v>11</v>
      </c>
      <c r="N4028" s="3" t="n">
        <v>100</v>
      </c>
      <c r="O4028" s="12" t="n">
        <v>32.76450511945392</v>
      </c>
    </row>
    <row r="4029">
      <c r="A4029" s="10" t="n">
        <v>46128</v>
      </c>
      <c r="B4029" t="inlineStr">
        <is>
          <t>Amanda Moura Ferreira</t>
        </is>
      </c>
      <c r="C4029" s="1" t="inlineStr">
        <is>
          <t>Técnico III</t>
        </is>
      </c>
      <c r="D4029" s="3" t="n">
        <v>0</v>
      </c>
      <c r="E4029" s="3" t="n">
        <v>0</v>
      </c>
      <c r="F4029" s="3" t="n">
        <v>0</v>
      </c>
      <c r="G4029" s="3" t="n">
        <v>0</v>
      </c>
      <c r="H4029" s="3" t="n">
        <v>0</v>
      </c>
      <c r="I4029" s="3" t="n">
        <v>0</v>
      </c>
      <c r="J4029" s="3" t="n">
        <v>0</v>
      </c>
      <c r="K4029" s="3" t="n">
        <v>0</v>
      </c>
      <c r="L4029" s="3">
        <f>IF(K4029&lt;-5,"CRÍTICO",IF(K4029&lt;0,"ATENÇÃO",IF(K4029&lt;=5,"OPORTUNO","MUITO BOM")))</f>
        <v/>
      </c>
      <c r="M4029" s="3" t="n">
        <v>21</v>
      </c>
      <c r="N4029" s="3" t="n">
        <v>98.66</v>
      </c>
      <c r="O4029" s="12" t="n">
        <v>35.41666666666667</v>
      </c>
    </row>
    <row r="4030">
      <c r="A4030" s="10" t="n">
        <v>46128</v>
      </c>
      <c r="B4030" t="inlineStr">
        <is>
          <t>Ana Karollyne Souza Faria</t>
        </is>
      </c>
      <c r="C4030" s="1" t="inlineStr">
        <is>
          <t>Técnico I</t>
        </is>
      </c>
      <c r="D4030" s="3" t="n">
        <v>23</v>
      </c>
      <c r="E4030" s="3" t="n">
        <v>22</v>
      </c>
      <c r="F4030" s="3" t="n">
        <v>24.16</v>
      </c>
      <c r="G4030" s="3" t="n">
        <v>0</v>
      </c>
      <c r="H4030" s="3" t="n">
        <v>0</v>
      </c>
      <c r="I4030" s="3">
        <f>E4030+G4030+H4030</f>
        <v/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/>
      </c>
      <c r="K4030" s="3">
        <f>I4030-J4030</f>
        <v/>
      </c>
      <c r="L4030" s="3">
        <f>IF(K4030&lt;-5,"CRÍTICO",IF(K4030&lt;0,"ATENÇÃO",IF(K4030&lt;=5,"OPORTUNO","MUITO BOM")))</f>
        <v/>
      </c>
      <c r="M4030" s="3" t="n">
        <v>24</v>
      </c>
      <c r="N4030" s="3" t="n">
        <v>99.31999999999999</v>
      </c>
      <c r="O4030" s="12" t="n">
        <v>30.6483300589391</v>
      </c>
    </row>
    <row r="4031">
      <c r="A4031" s="10" t="n">
        <v>46128</v>
      </c>
      <c r="B4031" t="inlineStr">
        <is>
          <t>Ana Paula Da Luz Silva Aleixo</t>
        </is>
      </c>
      <c r="C4031" s="1" t="inlineStr">
        <is>
          <t>Técnico III</t>
        </is>
      </c>
      <c r="D4031" s="3" t="n">
        <v>19</v>
      </c>
      <c r="E4031" s="3" t="n">
        <v>16</v>
      </c>
      <c r="F4031" s="3" t="n">
        <v>20.58</v>
      </c>
      <c r="G4031" s="3" t="n">
        <v>0</v>
      </c>
      <c r="H4031" s="3" t="n">
        <v>0</v>
      </c>
      <c r="I4031" s="3">
        <f>E4031+G4031+H4031</f>
        <v/>
      </c>
      <c r="J4031" s="3">
        <f>ROUND(MIN(IF(C4031="Técnico III",35,IF(C4031="Técnico II",28,IF(C4031="Técnico I",23,IF(C4031="JR",20,IF(C4031="Estágio",10,0))))),IF(C4031="Técnico III",SUMIFS($D:$D,$A:$A,$A4031,$B:$B,"&lt;&gt;Patrícia Karla de Sousa Araújo",$B:$B,"&lt;&gt;Lorena Dias de Araujo",$B:$B,"&lt;&gt;Lucas Luiz Romero")*(35/1083),IF(C4031="Técnico II",SUMIFS($D:$D,$A:$A,$A4031,$B:$B,"&lt;&gt;Patrícia Karla de Sousa Araújo",$B:$B,"&lt;&gt;Lorena Dias de Araujo",$B:$B,"&lt;&gt;Lucas Luiz Romero")*(28/1083),IF(C4031="Técnico I",SUMIFS($D:$D,$A:$A,$A4031,$B:$B,"&lt;&gt;Patrícia Karla de Sousa Araújo",$B:$B,"&lt;&gt;Lorena Dias de Araujo",$B:$B,"&lt;&gt;Lucas Luiz Romero")*(23/1083),IF(C4031="JR",SUMIFS($D:$D,$A:$A,$A4031,$B:$B,"&lt;&gt;Patrícia Karla de Sousa Araújo",$B:$B,"&lt;&gt;Lorena Dias de Araujo",$B:$B,"&lt;&gt;Lucas Luiz Romero")*(20/1083),IF(C4031="Estágio",SUMIFS($D:$D,$A:$A,$A4031,$B:$B,"&lt;&gt;Patrícia Karla de Sousa Araújo",$B:$B,"&lt;&gt;Lorena Dias de Araujo",$B:$B,"&lt;&gt;Lucas Luiz Romero")*(10/1083),0)))))),0)</f>
        <v/>
      </c>
      <c r="K4031" s="3">
        <f>I4031-J4031</f>
        <v/>
      </c>
      <c r="L4031" s="3">
        <f>IF(K4031&lt;-5,"CRÍTICO",IF(K4031&lt;0,"ATENÇÃO",IF(K4031&lt;=5,"OPORTUNO","MUITO BOM")))</f>
        <v/>
      </c>
      <c r="M4031" s="3" t="n">
        <v>23</v>
      </c>
      <c r="N4031" s="3" t="n">
        <v>100</v>
      </c>
      <c r="O4031" s="12" t="n">
        <v>27.80373831775701</v>
      </c>
    </row>
    <row r="4032">
      <c r="A4032" s="10" t="n">
        <v>46128</v>
      </c>
      <c r="B4032" t="inlineStr">
        <is>
          <t>Anna Luiza Rezende Tavares</t>
        </is>
      </c>
      <c r="C4032" s="1" t="inlineStr">
        <is>
          <t>Estágio</t>
        </is>
      </c>
      <c r="D4032" s="3" t="n">
        <v>29</v>
      </c>
      <c r="E4032" s="3" t="n">
        <v>27</v>
      </c>
      <c r="F4032" s="3" t="n">
        <v>20.49</v>
      </c>
      <c r="G4032" s="3" t="n">
        <v>0</v>
      </c>
      <c r="H4032" s="3" t="n">
        <v>0</v>
      </c>
      <c r="I4032" s="3">
        <f>E4032+G4032+H4032</f>
        <v/>
      </c>
      <c r="J4032" s="3">
        <f>ROUND(MIN(IF(C4032="Técnico III",35,IF(C4032="Técnico II",28,IF(C4032="Técnico I",23,IF(C4032="JR",20,IF(C4032="Estágio",10,0))))),IF(C4032="Técnico III",SUMIFS($D:$D,$A:$A,$A4032,$B:$B,"&lt;&gt;Patrícia Karla de Sousa Araújo",$B:$B,"&lt;&gt;Lorena Dias de Araujo",$B:$B,"&lt;&gt;Lucas Luiz Romero")*(35/1083),IF(C4032="Técnico II",SUMIFS($D:$D,$A:$A,$A4032,$B:$B,"&lt;&gt;Patrícia Karla de Sousa Araújo",$B:$B,"&lt;&gt;Lorena Dias de Araujo",$B:$B,"&lt;&gt;Lucas Luiz Romero")*(28/1083),IF(C4032="Técnico I",SUMIFS($D:$D,$A:$A,$A4032,$B:$B,"&lt;&gt;Patrícia Karla de Sousa Araújo",$B:$B,"&lt;&gt;Lorena Dias de Araujo",$B:$B,"&lt;&gt;Lucas Luiz Romero")*(23/1083),IF(C4032="JR",SUMIFS($D:$D,$A:$A,$A4032,$B:$B,"&lt;&gt;Patrícia Karla de Sousa Araújo",$B:$B,"&lt;&gt;Lorena Dias de Araujo",$B:$B,"&lt;&gt;Lucas Luiz Romero")*(20/1083),IF(C4032="Estágio",SUMIFS($D:$D,$A:$A,$A4032,$B:$B,"&lt;&gt;Patrícia Karla de Sousa Araújo",$B:$B,"&lt;&gt;Lorena Dias de Araujo",$B:$B,"&lt;&gt;Lucas Luiz Romero")*(10/1083),0)))))),0)</f>
        <v/>
      </c>
      <c r="K4032" s="3">
        <f>I4032-J4032</f>
        <v/>
      </c>
      <c r="L4032" s="3">
        <f>IF(K4032&lt;-5,"CRÍTICO",IF(K4032&lt;0,"ATENÇÃO",IF(K4032&lt;=5,"OPORTUNO","MUITO BOM")))</f>
        <v/>
      </c>
      <c r="M4032" s="3" t="n">
        <v>25</v>
      </c>
      <c r="N4032" s="3" t="n">
        <v>96.73999999999999</v>
      </c>
      <c r="O4032" s="12" t="n">
        <v>28.67647058823529</v>
      </c>
    </row>
    <row r="4033">
      <c r="A4033" s="10" t="n">
        <v>46128</v>
      </c>
      <c r="B4033" t="inlineStr">
        <is>
          <t>Brenda de Menezes Silva</t>
        </is>
      </c>
      <c r="C4033" s="1" t="inlineStr">
        <is>
          <t>Técnico II</t>
        </is>
      </c>
      <c r="D4033" s="3" t="n">
        <v>44</v>
      </c>
      <c r="E4033" s="3" t="n">
        <v>42</v>
      </c>
      <c r="F4033" s="3" t="n">
        <v>12.21</v>
      </c>
      <c r="G4033" s="3" t="n">
        <v>0</v>
      </c>
      <c r="H4033" s="3" t="n">
        <v>0</v>
      </c>
      <c r="I4033" s="3">
        <f>E4033+G4033+H4033</f>
        <v/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/>
      </c>
      <c r="K4033" s="3">
        <f>I4033-J4033</f>
        <v/>
      </c>
      <c r="L4033" s="3">
        <f>IF(K4033&lt;-5,"CRÍTICO",IF(K4033&lt;0,"ATENÇÃO",IF(K4033&lt;=5,"OPORTUNO","MUITO BOM")))</f>
        <v/>
      </c>
      <c r="M4033" s="3" t="n">
        <v>43</v>
      </c>
      <c r="N4033" s="3" t="n">
        <v>98.81999999999999</v>
      </c>
      <c r="O4033" s="12" t="n">
        <v>30.74141048824593</v>
      </c>
    </row>
    <row r="4034">
      <c r="A4034" s="10" t="n">
        <v>46128</v>
      </c>
      <c r="B4034" t="inlineStr">
        <is>
          <t>Carlos Mateus Cassimiro Nunes</t>
        </is>
      </c>
      <c r="C4034" s="1" t="inlineStr">
        <is>
          <t>Técnico II</t>
        </is>
      </c>
      <c r="D4034" s="3" t="n">
        <v>25</v>
      </c>
      <c r="E4034" s="3" t="n">
        <v>24</v>
      </c>
      <c r="F4034" s="3" t="n">
        <v>21.56</v>
      </c>
      <c r="G4034" s="3" t="n">
        <v>0</v>
      </c>
      <c r="H4034" s="3" t="n">
        <v>0</v>
      </c>
      <c r="I4034" s="3">
        <f>E4034+G4034+H4034</f>
        <v/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/>
      </c>
      <c r="K4034" s="3">
        <f>I4034-J4034</f>
        <v/>
      </c>
      <c r="L4034" s="3">
        <f>IF(K4034&lt;-5,"CRÍTICO",IF(K4034&lt;0,"ATENÇÃO",IF(K4034&lt;=5,"OPORTUNO","MUITO BOM")))</f>
        <v/>
      </c>
      <c r="M4034" s="3" t="n">
        <v>26</v>
      </c>
      <c r="N4034" s="3" t="n">
        <v>98.2</v>
      </c>
      <c r="O4034" s="12" t="n">
        <v>27.17086834733893</v>
      </c>
    </row>
    <row r="4035">
      <c r="A4035" s="10" t="n">
        <v>46128</v>
      </c>
      <c r="B4035" t="inlineStr">
        <is>
          <t>Claudio de Sousa Velasco Filho</t>
        </is>
      </c>
      <c r="C4035" s="1" t="inlineStr">
        <is>
          <t>Estágio</t>
        </is>
      </c>
      <c r="D4035" s="3" t="n">
        <v>11</v>
      </c>
      <c r="E4035" s="3" t="n">
        <v>9</v>
      </c>
      <c r="F4035" s="3" t="n">
        <v>32.01</v>
      </c>
      <c r="G4035" s="3" t="n">
        <v>0</v>
      </c>
      <c r="H4035" s="3" t="n">
        <v>0</v>
      </c>
      <c r="I4035" s="3">
        <f>E4035+G4035+H4035</f>
        <v/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/>
      </c>
      <c r="K4035" s="3">
        <f>I4035-J4035</f>
        <v/>
      </c>
      <c r="L4035" s="3">
        <f>IF(K4035&lt;-5,"CRÍTICO",IF(K4035&lt;0,"ATENÇÃO",IF(K4035&lt;=5,"OPORTUNO","MUITO BOM")))</f>
        <v/>
      </c>
      <c r="M4035" s="3" t="n">
        <v>7</v>
      </c>
      <c r="N4035" s="3" t="n">
        <v>100</v>
      </c>
      <c r="O4035" s="12" t="n">
        <v>23.13432835820895</v>
      </c>
    </row>
    <row r="4036">
      <c r="A4036" s="10" t="n">
        <v>46128</v>
      </c>
      <c r="B4036" t="inlineStr">
        <is>
          <t>Clessiane Pereira dos Santos</t>
        </is>
      </c>
      <c r="C4036" s="1" t="inlineStr">
        <is>
          <t>Técnico I</t>
        </is>
      </c>
      <c r="D4036" s="3" t="n">
        <v>12</v>
      </c>
      <c r="E4036" s="3" t="n">
        <v>11</v>
      </c>
      <c r="F4036" s="3" t="n">
        <v>18.31</v>
      </c>
      <c r="G4036" s="3" t="n">
        <v>0</v>
      </c>
      <c r="H4036" s="3" t="n">
        <v>0</v>
      </c>
      <c r="I4036" s="3">
        <f>E4036+G4036+H4036</f>
        <v/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/>
      </c>
      <c r="K4036" s="3">
        <f>I4036-J4036</f>
        <v/>
      </c>
      <c r="L4036" s="3">
        <f>IF(K4036&lt;-5,"CRÍTICO",IF(K4036&lt;0,"ATENÇÃO",IF(K4036&lt;=5,"OPORTUNO","MUITO BOM")))</f>
        <v/>
      </c>
      <c r="M4036" s="3" t="n">
        <v>11</v>
      </c>
      <c r="N4036" s="3" t="n">
        <v>96.3</v>
      </c>
      <c r="O4036" s="12" t="n">
        <v>32.21957040572792</v>
      </c>
    </row>
    <row r="4037">
      <c r="A4037" s="10" t="n">
        <v>46128</v>
      </c>
      <c r="B4037" t="inlineStr">
        <is>
          <t>Cristiane Ramos da Silva Rocha</t>
        </is>
      </c>
      <c r="C4037" s="1" t="inlineStr">
        <is>
          <t>Técnico III</t>
        </is>
      </c>
      <c r="D4037" s="3" t="n">
        <v>30</v>
      </c>
      <c r="E4037" s="3" t="n">
        <v>26</v>
      </c>
      <c r="F4037" s="3" t="n">
        <v>13.3</v>
      </c>
      <c r="G4037" s="3" t="n">
        <v>0</v>
      </c>
      <c r="H4037" s="3" t="n">
        <v>0</v>
      </c>
      <c r="I4037" s="3">
        <f>E4037+G4037+H4037</f>
        <v/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/>
      </c>
      <c r="K4037" s="3">
        <f>I4037-J4037</f>
        <v/>
      </c>
      <c r="L4037" s="3">
        <f>IF(K4037&lt;-5,"CRÍTICO",IF(K4037&lt;0,"ATENÇÃO",IF(K4037&lt;=5,"OPORTUNO","MUITO BOM")))</f>
        <v/>
      </c>
      <c r="M4037" s="3" t="n">
        <v>26</v>
      </c>
      <c r="N4037" s="3" t="n">
        <v>93.75</v>
      </c>
      <c r="O4037" s="12" t="n">
        <v>26.81992337164751</v>
      </c>
    </row>
    <row r="4038">
      <c r="A4038" s="10" t="n">
        <v>46128</v>
      </c>
      <c r="B4038" t="inlineStr">
        <is>
          <t>Damyllis Lorraine de Oliveira Gonçalves</t>
        </is>
      </c>
      <c r="C4038" s="1" t="inlineStr">
        <is>
          <t>Técnico II</t>
        </is>
      </c>
      <c r="D4038" s="3" t="n">
        <v>35</v>
      </c>
      <c r="E4038" s="3" t="n">
        <v>25</v>
      </c>
      <c r="F4038" s="3" t="n">
        <v>15.05</v>
      </c>
      <c r="G4038" s="3" t="n">
        <v>0</v>
      </c>
      <c r="H4038" s="3" t="n">
        <v>0</v>
      </c>
      <c r="I4038" s="3" t="n">
        <v>0</v>
      </c>
      <c r="J4038" s="3" t="n">
        <v>0</v>
      </c>
      <c r="K4038" s="3" t="n">
        <v>0</v>
      </c>
      <c r="L4038" s="3">
        <f>IF(K4038&lt;-5,"CRÍTICO",IF(K4038&lt;0,"ATENÇÃO",IF(K4038&lt;=5,"OPORTUNO","MUITO BOM")))</f>
        <v/>
      </c>
      <c r="M4038" s="3" t="n">
        <v>29</v>
      </c>
      <c r="N4038" s="3" t="n">
        <v>97.86</v>
      </c>
      <c r="O4038" s="12" t="n">
        <v>31.01851851851852</v>
      </c>
    </row>
    <row r="4039">
      <c r="A4039" s="10" t="n">
        <v>46128</v>
      </c>
      <c r="B4039" t="inlineStr">
        <is>
          <t>Daniel Gomes da Silva</t>
        </is>
      </c>
      <c r="C4039" s="1" t="inlineStr">
        <is>
          <t>Técnico I</t>
        </is>
      </c>
      <c r="D4039" s="3" t="n">
        <v>22</v>
      </c>
      <c r="E4039" s="3" t="n">
        <v>22</v>
      </c>
      <c r="F4039" s="3" t="n">
        <v>17.27</v>
      </c>
      <c r="G4039" s="3" t="n">
        <v>0</v>
      </c>
      <c r="H4039" s="3" t="n">
        <v>0</v>
      </c>
      <c r="I4039" s="3">
        <f>E4039+G4039+H4039</f>
        <v/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/>
      </c>
      <c r="K4039" s="3">
        <f>I4039-J4039</f>
        <v/>
      </c>
      <c r="L4039" s="3">
        <f>IF(K4039&lt;-5,"CRÍTICO",IF(K4039&lt;0,"ATENÇÃO",IF(K4039&lt;=5,"OPORTUNO","MUITO BOM")))</f>
        <v/>
      </c>
      <c r="M4039" s="3" t="n">
        <v>23</v>
      </c>
      <c r="N4039" s="3" t="n">
        <v>100</v>
      </c>
      <c r="O4039" s="12" t="n">
        <v>36.59420289855073</v>
      </c>
    </row>
    <row r="4040">
      <c r="A4040" s="10" t="n">
        <v>46128</v>
      </c>
      <c r="B4040" t="inlineStr">
        <is>
          <t>Davylla Rodrigues Freitas Silva</t>
        </is>
      </c>
      <c r="C4040" s="1" t="inlineStr">
        <is>
          <t>Técnico III</t>
        </is>
      </c>
      <c r="D4040" s="3" t="n">
        <v>8</v>
      </c>
      <c r="E4040" s="3" t="n">
        <v>8</v>
      </c>
      <c r="F4040" s="3" t="n">
        <v>35.44</v>
      </c>
      <c r="G4040" s="3" t="n">
        <v>0</v>
      </c>
      <c r="H4040" s="3" t="n">
        <v>0</v>
      </c>
      <c r="I4040" s="3" t="n">
        <v>0</v>
      </c>
      <c r="J4040" s="3" t="n">
        <v>0</v>
      </c>
      <c r="K4040" s="3" t="n">
        <v>0</v>
      </c>
      <c r="L4040" s="3">
        <f>IF(K4040&lt;-5,"CRÍTICO",IF(K4040&lt;0,"ATENÇÃO",IF(K4040&lt;=5,"OPORTUNO","MUITO BOM")))</f>
        <v/>
      </c>
      <c r="M4040" s="3" t="n">
        <v>12</v>
      </c>
      <c r="N4040" s="3" t="n">
        <v>100</v>
      </c>
      <c r="O4040" s="12" t="n">
        <v>38.65384615384615</v>
      </c>
    </row>
    <row r="4041">
      <c r="A4041" s="10" t="n">
        <v>46128</v>
      </c>
      <c r="B4041" t="inlineStr">
        <is>
          <t>Emilly Caylane Costa</t>
        </is>
      </c>
      <c r="C4041" s="1" t="inlineStr">
        <is>
          <t>Estágio</t>
        </is>
      </c>
      <c r="D4041" s="3" t="n">
        <v>6</v>
      </c>
      <c r="E4041" s="3" t="n">
        <v>5</v>
      </c>
      <c r="F4041" s="3" t="n">
        <v>27.29</v>
      </c>
      <c r="G4041" s="3" t="n">
        <v>0</v>
      </c>
      <c r="H4041" s="3" t="n">
        <v>0</v>
      </c>
      <c r="I4041" s="3">
        <f>E4041+G4041+H4041</f>
        <v/>
      </c>
      <c r="J4041" s="3">
        <f>ROUND(MIN(IF(C4041="Técnico III",35,IF(C4041="Técnico II",28,IF(C4041="Técnico I",23,IF(C4041="JR",20,IF(C4041="Estágio",10,0))))),IF(C4041="Técnico III",SUMIFS($D:$D,$A:$A,$A4041,$B:$B,"&lt;&gt;Patrícia Karla de Sousa Araújo",$B:$B,"&lt;&gt;Lorena Dias de Araujo",$B:$B,"&lt;&gt;Lucas Luiz Romero")*(35/1083),IF(C4041="Técnico II",SUMIFS($D:$D,$A:$A,$A4041,$B:$B,"&lt;&gt;Patrícia Karla de Sousa Araújo",$B:$B,"&lt;&gt;Lorena Dias de Araujo",$B:$B,"&lt;&gt;Lucas Luiz Romero")*(28/1083),IF(C4041="Técnico I",SUMIFS($D:$D,$A:$A,$A4041,$B:$B,"&lt;&gt;Patrícia Karla de Sousa Araújo",$B:$B,"&lt;&gt;Lorena Dias de Araujo",$B:$B,"&lt;&gt;Lucas Luiz Romero")*(23/1083),IF(C4041="JR",SUMIFS($D:$D,$A:$A,$A4041,$B:$B,"&lt;&gt;Patrícia Karla de Sousa Araújo",$B:$B,"&lt;&gt;Lorena Dias de Araujo",$B:$B,"&lt;&gt;Lucas Luiz Romero")*(20/1083),IF(C4041="Estágio",SUMIFS($D:$D,$A:$A,$A4041,$B:$B,"&lt;&gt;Patrícia Karla de Sousa Araújo",$B:$B,"&lt;&gt;Lorena Dias de Araujo",$B:$B,"&lt;&gt;Lucas Luiz Romero")*(10/1083),0)))))),0)</f>
        <v/>
      </c>
      <c r="K4041" s="3">
        <f>I4041-J4041</f>
        <v/>
      </c>
      <c r="L4041" s="3">
        <f>IF(K4041&lt;-5,"CRÍTICO",IF(K4041&lt;0,"ATENÇÃO",IF(K4041&lt;=5,"OPORTUNO","MUITO BOM")))</f>
        <v/>
      </c>
      <c r="M4041" s="3" t="n">
        <v>3</v>
      </c>
      <c r="N4041" s="3" t="n">
        <v>100</v>
      </c>
      <c r="O4041" s="12" t="n">
        <v>27.36842105263158</v>
      </c>
    </row>
    <row r="4042">
      <c r="A4042" s="10" t="n">
        <v>46128</v>
      </c>
      <c r="B4042" t="inlineStr">
        <is>
          <t>Emilly Kamilly Medeiros Miranda</t>
        </is>
      </c>
      <c r="C4042" s="1" t="inlineStr">
        <is>
          <t>Técnico II</t>
        </is>
      </c>
      <c r="D4042" s="3" t="n">
        <v>27</v>
      </c>
      <c r="E4042" s="3" t="n">
        <v>25</v>
      </c>
      <c r="F4042" s="3" t="n">
        <v>17.27</v>
      </c>
      <c r="G4042" s="3" t="n">
        <v>0</v>
      </c>
      <c r="H4042" s="3" t="n">
        <v>0</v>
      </c>
      <c r="I4042" s="3">
        <f>E4042+G4042+H4042</f>
        <v/>
      </c>
      <c r="J4042" s="3">
        <f>ROUND(MIN(IF(C4042="Técnico III",35,IF(C4042="Técnico II",28,IF(C4042="Técnico I",23,IF(C4042="JR",20,IF(C4042="Estágio",10,0))))),IF(C4042="Técnico III",SUMIFS($D:$D,$A:$A,$A4042,$B:$B,"&lt;&gt;Patrícia Karla de Sousa Araújo",$B:$B,"&lt;&gt;Lorena Dias de Araujo",$B:$B,"&lt;&gt;Lucas Luiz Romero")*(35/1083),IF(C4042="Técnico II",SUMIFS($D:$D,$A:$A,$A4042,$B:$B,"&lt;&gt;Patrícia Karla de Sousa Araújo",$B:$B,"&lt;&gt;Lorena Dias de Araujo",$B:$B,"&lt;&gt;Lucas Luiz Romero")*(28/1083),IF(C4042="Técnico I",SUMIFS($D:$D,$A:$A,$A4042,$B:$B,"&lt;&gt;Patrícia Karla de Sousa Araújo",$B:$B,"&lt;&gt;Lorena Dias de Araujo",$B:$B,"&lt;&gt;Lucas Luiz Romero")*(23/1083),IF(C4042="JR",SUMIFS($D:$D,$A:$A,$A4042,$B:$B,"&lt;&gt;Patrícia Karla de Sousa Araújo",$B:$B,"&lt;&gt;Lorena Dias de Araujo",$B:$B,"&lt;&gt;Lucas Luiz Romero")*(20/1083),IF(C4042="Estágio",SUMIFS($D:$D,$A:$A,$A4042,$B:$B,"&lt;&gt;Patrícia Karla de Sousa Araújo",$B:$B,"&lt;&gt;Lorena Dias de Araujo",$B:$B,"&lt;&gt;Lucas Luiz Romero")*(10/1083),0)))))),0)</f>
        <v/>
      </c>
      <c r="K4042" s="3">
        <f>I4042-J4042</f>
        <v/>
      </c>
      <c r="L4042" s="3">
        <f>IF(K4042&lt;-5,"CRÍTICO",IF(K4042&lt;0,"ATENÇÃO",IF(K4042&lt;=5,"OPORTUNO","MUITO BOM")))</f>
        <v/>
      </c>
      <c r="M4042" s="3" t="n">
        <v>24</v>
      </c>
      <c r="N4042" s="3" t="n">
        <v>97.83</v>
      </c>
      <c r="O4042" s="12" t="n">
        <v>28.35164835164835</v>
      </c>
    </row>
    <row r="4043">
      <c r="A4043" s="10" t="n">
        <v>46128</v>
      </c>
      <c r="B4043" t="inlineStr">
        <is>
          <t>Francielson de Oliveira</t>
        </is>
      </c>
      <c r="C4043" s="1" t="inlineStr">
        <is>
          <t>Técnico III</t>
        </is>
      </c>
      <c r="D4043" s="3" t="n">
        <v>21</v>
      </c>
      <c r="E4043" s="3" t="n">
        <v>19</v>
      </c>
      <c r="F4043" s="3" t="n">
        <v>20.1</v>
      </c>
      <c r="G4043" s="3" t="n">
        <v>0</v>
      </c>
      <c r="H4043" s="3" t="n">
        <v>0</v>
      </c>
      <c r="I4043" s="3">
        <f>E4043+G4043+H4043</f>
        <v/>
      </c>
      <c r="J4043" s="3">
        <f>ROUND(MIN(IF(C4043="Técnico III",35,IF(C4043="Técnico II",28,IF(C4043="Técnico I",23,IF(C4043="JR",20,IF(C4043="Estágio",10,0))))),IF(C4043="Técnico III",SUMIFS($D:$D,$A:$A,$A4043,$B:$B,"&lt;&gt;Patrícia Karla de Sousa Araújo",$B:$B,"&lt;&gt;Lorena Dias de Araujo",$B:$B,"&lt;&gt;Lucas Luiz Romero")*(35/1083),IF(C4043="Técnico II",SUMIFS($D:$D,$A:$A,$A4043,$B:$B,"&lt;&gt;Patrícia Karla de Sousa Araújo",$B:$B,"&lt;&gt;Lorena Dias de Araujo",$B:$B,"&lt;&gt;Lucas Luiz Romero")*(28/1083),IF(C4043="Técnico I",SUMIFS($D:$D,$A:$A,$A4043,$B:$B,"&lt;&gt;Patrícia Karla de Sousa Araújo",$B:$B,"&lt;&gt;Lorena Dias de Araujo",$B:$B,"&lt;&gt;Lucas Luiz Romero")*(23/1083),IF(C4043="JR",SUMIFS($D:$D,$A:$A,$A4043,$B:$B,"&lt;&gt;Patrícia Karla de Sousa Araújo",$B:$B,"&lt;&gt;Lorena Dias de Araujo",$B:$B,"&lt;&gt;Lucas Luiz Romero")*(20/1083),IF(C4043="Estágio",SUMIFS($D:$D,$A:$A,$A4043,$B:$B,"&lt;&gt;Patrícia Karla de Sousa Araújo",$B:$B,"&lt;&gt;Lorena Dias de Araujo",$B:$B,"&lt;&gt;Lucas Luiz Romero")*(10/1083),0)))))),0)</f>
        <v/>
      </c>
      <c r="K4043" s="3">
        <f>I4043-J4043</f>
        <v/>
      </c>
      <c r="L4043" s="3">
        <f>IF(K4043&lt;-5,"CRÍTICO",IF(K4043&lt;0,"ATENÇÃO",IF(K4043&lt;=5,"OPORTUNO","MUITO BOM")))</f>
        <v/>
      </c>
      <c r="M4043" s="3" t="n">
        <v>22</v>
      </c>
      <c r="N4043" s="3" t="n">
        <v>99.26000000000001</v>
      </c>
      <c r="O4043" s="12" t="n">
        <v>29.76653696498055</v>
      </c>
    </row>
    <row r="4044">
      <c r="A4044" s="10" t="n">
        <v>46128</v>
      </c>
      <c r="B4044" t="inlineStr">
        <is>
          <t>Francilene Ferreira de Jesus</t>
        </is>
      </c>
      <c r="C4044" s="1" t="inlineStr">
        <is>
          <t>Técnico II</t>
        </is>
      </c>
      <c r="D4044" s="3" t="n">
        <v>27</v>
      </c>
      <c r="E4044" s="3" t="n">
        <v>26</v>
      </c>
      <c r="F4044" s="3" t="n">
        <v>28.54</v>
      </c>
      <c r="G4044" s="3" t="n">
        <v>0</v>
      </c>
      <c r="H4044" s="3" t="n">
        <v>0</v>
      </c>
      <c r="I4044" s="3">
        <f>E4044+G4044+H4044</f>
        <v/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/>
      </c>
      <c r="K4044" s="3">
        <f>I4044-J4044</f>
        <v/>
      </c>
      <c r="L4044" s="3">
        <f>IF(K4044&lt;-5,"CRÍTICO",IF(K4044&lt;0,"ATENÇÃO",IF(K4044&lt;=5,"OPORTUNO","MUITO BOM")))</f>
        <v/>
      </c>
      <c r="M4044" s="3" t="n">
        <v>22</v>
      </c>
      <c r="N4044" s="3" t="n">
        <v>99.19</v>
      </c>
      <c r="O4044" s="12" t="n">
        <v>29.46236559139785</v>
      </c>
    </row>
    <row r="4045">
      <c r="A4045" s="5" t="n">
        <v>46163</v>
      </c>
      <c r="B4045" s="6" t="inlineStr">
        <is>
          <t>Michelle G Santos</t>
        </is>
      </c>
      <c r="C4045" s="1" t="inlineStr">
        <is>
          <t>Estágio</t>
        </is>
      </c>
      <c r="D4045" s="3" t="n">
        <v>14</v>
      </c>
      <c r="E4045" s="3" t="n">
        <v>13</v>
      </c>
      <c r="F4045" s="3" t="n">
        <v>33.54</v>
      </c>
      <c r="G4045" s="3" t="n">
        <v>0</v>
      </c>
      <c r="H4045" s="3" t="n">
        <v>0</v>
      </c>
      <c r="I4045" s="3" t="n">
        <v>13</v>
      </c>
      <c r="J4045" s="3" t="n">
        <v>6</v>
      </c>
      <c r="K4045" s="3" t="n">
        <v>7</v>
      </c>
      <c r="L4045" s="3" t="inlineStr">
        <is>
          <t>EXCELENTE</t>
        </is>
      </c>
      <c r="M4045" s="3" t="n">
        <v>8</v>
      </c>
      <c r="N4045" s="3" t="n">
        <v>100</v>
      </c>
      <c r="O4045" s="12" t="n">
        <v>17.1875</v>
      </c>
    </row>
    <row r="4046">
      <c r="A4046" s="10" t="n">
        <v>46128</v>
      </c>
      <c r="B4046" t="inlineStr">
        <is>
          <t>Isabella Borges de Oliveira</t>
        </is>
      </c>
      <c r="C4046" s="1" t="inlineStr">
        <is>
          <t>Técnico II</t>
        </is>
      </c>
      <c r="D4046" s="3" t="n">
        <v>0</v>
      </c>
      <c r="E4046" s="3" t="n">
        <v>0</v>
      </c>
      <c r="F4046" s="3" t="n">
        <v>0</v>
      </c>
      <c r="G4046" s="3" t="n">
        <v>0</v>
      </c>
      <c r="H4046" s="3" t="n">
        <v>0</v>
      </c>
      <c r="I4046" s="3" t="n">
        <v>0</v>
      </c>
      <c r="J4046" s="3" t="n">
        <v>0</v>
      </c>
      <c r="K4046" s="3" t="n">
        <v>0</v>
      </c>
      <c r="L4046" s="3">
        <f>IF(K4046&lt;-5,"CRÍTICO",IF(K4046&lt;0,"ATENÇÃO",IF(K4046&lt;=5,"OPORTUNO","MUITO BOM")))</f>
        <v/>
      </c>
      <c r="M4046" s="3" t="n">
        <v>0</v>
      </c>
      <c r="N4046" s="3" t="n">
        <v>100</v>
      </c>
      <c r="O4046" s="12" t="n">
        <v>28.92156862745098</v>
      </c>
    </row>
    <row r="4047">
      <c r="A4047" s="10" t="n">
        <v>46128</v>
      </c>
      <c r="B4047" t="inlineStr">
        <is>
          <t>Janaina Lima dos Reis Urany</t>
        </is>
      </c>
      <c r="C4047" s="1" t="inlineStr">
        <is>
          <t>Técnico III</t>
        </is>
      </c>
      <c r="D4047" s="3" t="n">
        <v>38</v>
      </c>
      <c r="E4047" s="3" t="n">
        <v>34</v>
      </c>
      <c r="F4047" s="3" t="n">
        <v>14.17</v>
      </c>
      <c r="G4047" s="3" t="n">
        <v>0</v>
      </c>
      <c r="H4047" s="3" t="n">
        <v>0</v>
      </c>
      <c r="I4047" s="3">
        <f>E4047+G4047+H4047</f>
        <v/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/>
      </c>
      <c r="K4047" s="3">
        <f>I4047-J4047</f>
        <v/>
      </c>
      <c r="L4047" s="3">
        <f>IF(K4047&lt;-5,"CRÍTICO",IF(K4047&lt;0,"ATENÇÃO",IF(K4047&lt;=5,"OPORTUNO","MUITO BOM")))</f>
        <v/>
      </c>
      <c r="M4047" s="3" t="n">
        <v>31</v>
      </c>
      <c r="N4047" s="3" t="n">
        <v>99.56999999999999</v>
      </c>
      <c r="O4047" s="12" t="n">
        <v>30.63583815028902</v>
      </c>
    </row>
    <row r="4048">
      <c r="A4048" s="10" t="n">
        <v>46128</v>
      </c>
      <c r="B4048" t="inlineStr">
        <is>
          <t>Jaqueline Evangelista da Silva Martins</t>
        </is>
      </c>
      <c r="C4048" s="1" t="inlineStr">
        <is>
          <t>Técnico III</t>
        </is>
      </c>
      <c r="D4048" s="3" t="n">
        <v>0</v>
      </c>
      <c r="E4048" s="3" t="n">
        <v>0</v>
      </c>
      <c r="F4048" s="3" t="n">
        <v>0</v>
      </c>
      <c r="G4048" s="3" t="n">
        <v>0</v>
      </c>
      <c r="H4048" s="3" t="n">
        <v>0</v>
      </c>
      <c r="I4048" s="3" t="n">
        <v>0</v>
      </c>
      <c r="J4048" s="3" t="n">
        <v>0</v>
      </c>
      <c r="K4048" s="3" t="n">
        <v>0</v>
      </c>
      <c r="L4048" s="3">
        <f>IF(K4048&lt;-5,"CRÍTICO",IF(K4048&lt;0,"ATENÇÃO",IF(K4048&lt;=5,"OPORTUNO","MUITO BOM")))</f>
        <v/>
      </c>
      <c r="M4048" s="3" t="n">
        <v>0</v>
      </c>
      <c r="N4048" s="3" t="n">
        <v>95.65000000000001</v>
      </c>
      <c r="O4048" s="12" t="n">
        <v>32.43243243243244</v>
      </c>
    </row>
    <row r="4049">
      <c r="A4049" s="10" t="n">
        <v>46128</v>
      </c>
      <c r="B4049" t="inlineStr">
        <is>
          <t>Jessica Faria da Silveira</t>
        </is>
      </c>
      <c r="C4049" s="1" t="inlineStr">
        <is>
          <t>Técnico II</t>
        </is>
      </c>
      <c r="D4049" s="3" t="n">
        <v>11</v>
      </c>
      <c r="E4049" s="3" t="n">
        <v>10</v>
      </c>
      <c r="F4049" s="3" t="n">
        <v>17.24</v>
      </c>
      <c r="G4049" s="3" t="n">
        <v>0</v>
      </c>
      <c r="H4049" s="3" t="n">
        <v>0</v>
      </c>
      <c r="I4049" s="3">
        <f>E4049+G4049+H4049</f>
        <v/>
      </c>
      <c r="J4049" s="3">
        <f>ROUND(MIN(IF(C4049="Técnico III",35,IF(C4049="Técnico II",28,IF(C4049="Técnico I",23,IF(C4049="JR",20,IF(C4049="Estágio",10,0))))),IF(C4049="Técnico III",SUMIFS($D:$D,$A:$A,$A4049,$B:$B,"&lt;&gt;Patrícia Karla de Sousa Araújo",$B:$B,"&lt;&gt;Lorena Dias de Araujo",$B:$B,"&lt;&gt;Lucas Luiz Romero")*(35/1083),IF(C4049="Técnico II",SUMIFS($D:$D,$A:$A,$A4049,$B:$B,"&lt;&gt;Patrícia Karla de Sousa Araújo",$B:$B,"&lt;&gt;Lorena Dias de Araujo",$B:$B,"&lt;&gt;Lucas Luiz Romero")*(28/1083),IF(C4049="Técnico I",SUMIFS($D:$D,$A:$A,$A4049,$B:$B,"&lt;&gt;Patrícia Karla de Sousa Araújo",$B:$B,"&lt;&gt;Lorena Dias de Araujo",$B:$B,"&lt;&gt;Lucas Luiz Romero")*(23/1083),IF(C4049="JR",SUMIFS($D:$D,$A:$A,$A4049,$B:$B,"&lt;&gt;Patrícia Karla de Sousa Araújo",$B:$B,"&lt;&gt;Lorena Dias de Araujo",$B:$B,"&lt;&gt;Lucas Luiz Romero")*(20/1083),IF(C4049="Estágio",SUMIFS($D:$D,$A:$A,$A4049,$B:$B,"&lt;&gt;Patrícia Karla de Sousa Araújo",$B:$B,"&lt;&gt;Lorena Dias de Araujo",$B:$B,"&lt;&gt;Lucas Luiz Romero")*(10/1083),0)))))),0)</f>
        <v/>
      </c>
      <c r="K4049" s="3">
        <f>I4049-J4049</f>
        <v/>
      </c>
      <c r="L4049" s="3">
        <f>IF(K4049&lt;-5,"CRÍTICO",IF(K4049&lt;0,"ATENÇÃO",IF(K4049&lt;=5,"OPORTUNO","MUITO BOM")))</f>
        <v/>
      </c>
      <c r="M4049" s="3" t="n">
        <v>9</v>
      </c>
      <c r="N4049" s="3" t="n">
        <v>98.81</v>
      </c>
      <c r="O4049" s="12" t="n">
        <v>26.25698324022346</v>
      </c>
    </row>
    <row r="4050">
      <c r="A4050" s="10" t="n">
        <v>46128</v>
      </c>
      <c r="B4050" t="inlineStr">
        <is>
          <t>Jéssica Fé Moura</t>
        </is>
      </c>
      <c r="C4050" s="1" t="inlineStr">
        <is>
          <t>Técnico III</t>
        </is>
      </c>
      <c r="D4050" s="3" t="n">
        <v>0</v>
      </c>
      <c r="E4050" s="3" t="n">
        <v>0</v>
      </c>
      <c r="F4050" s="3" t="n">
        <v>0</v>
      </c>
      <c r="G4050" s="3" t="n">
        <v>0</v>
      </c>
      <c r="H4050" s="3" t="n">
        <v>0</v>
      </c>
      <c r="I4050" s="3" t="n">
        <v>0</v>
      </c>
      <c r="J4050" s="3" t="n">
        <v>0</v>
      </c>
      <c r="K4050" s="3" t="n">
        <v>0</v>
      </c>
      <c r="L4050" s="3">
        <f>IF(K4050&lt;-5,"CRÍTICO",IF(K4050&lt;0,"ATENÇÃO",IF(K4050&lt;=5,"OPORTUNO","MUITO BOM")))</f>
        <v/>
      </c>
      <c r="M4050" s="3" t="n">
        <v>0</v>
      </c>
      <c r="N4050" s="3" t="n">
        <v>0</v>
      </c>
      <c r="O4050" s="12" t="n">
        <v>0</v>
      </c>
    </row>
    <row r="4051">
      <c r="A4051" s="10" t="n">
        <v>46128</v>
      </c>
      <c r="B4051" t="inlineStr">
        <is>
          <t>Karina Gonçalves Martins</t>
        </is>
      </c>
      <c r="C4051" s="1" t="inlineStr">
        <is>
          <t>JR</t>
        </is>
      </c>
      <c r="D4051" s="3" t="n">
        <v>21</v>
      </c>
      <c r="E4051" s="3" t="n">
        <v>19</v>
      </c>
      <c r="F4051" s="3" t="n">
        <v>18.54</v>
      </c>
      <c r="G4051" s="3" t="n">
        <v>0</v>
      </c>
      <c r="H4051" s="3" t="n">
        <v>0</v>
      </c>
      <c r="I4051" s="3">
        <f>E4051+G4051+H4051</f>
        <v/>
      </c>
      <c r="J4051" s="3">
        <f>ROUND(MIN(IF(C4051="Técnico III",35,IF(C4051="Técnico II",28,IF(C4051="Técnico I",23,IF(C4051="JR",20,IF(C4051="Estágio",10,0))))),IF(C4051="Técnico III",SUMIFS($D:$D,$A:$A,$A4051,$B:$B,"&lt;&gt;Patrícia Karla de Sousa Araújo",$B:$B,"&lt;&gt;Lorena Dias de Araujo",$B:$B,"&lt;&gt;Lucas Luiz Romero")*(35/1083),IF(C4051="Técnico II",SUMIFS($D:$D,$A:$A,$A4051,$B:$B,"&lt;&gt;Patrícia Karla de Sousa Araújo",$B:$B,"&lt;&gt;Lorena Dias de Araujo",$B:$B,"&lt;&gt;Lucas Luiz Romero")*(28/1083),IF(C4051="Técnico I",SUMIFS($D:$D,$A:$A,$A4051,$B:$B,"&lt;&gt;Patrícia Karla de Sousa Araújo",$B:$B,"&lt;&gt;Lorena Dias de Araujo",$B:$B,"&lt;&gt;Lucas Luiz Romero")*(23/1083),IF(C4051="JR",SUMIFS($D:$D,$A:$A,$A4051,$B:$B,"&lt;&gt;Patrícia Karla de Sousa Araújo",$B:$B,"&lt;&gt;Lorena Dias de Araujo",$B:$B,"&lt;&gt;Lucas Luiz Romero")*(20/1083),IF(C4051="Estágio",SUMIFS($D:$D,$A:$A,$A4051,$B:$B,"&lt;&gt;Patrícia Karla de Sousa Araújo",$B:$B,"&lt;&gt;Lorena Dias de Araujo",$B:$B,"&lt;&gt;Lucas Luiz Romero")*(10/1083),0)))))),0)</f>
        <v/>
      </c>
      <c r="K4051" s="3">
        <f>I4051-J4051</f>
        <v/>
      </c>
      <c r="L4051" s="3">
        <f>IF(K4051&lt;-5,"CRÍTICO",IF(K4051&lt;0,"ATENÇÃO",IF(K4051&lt;=5,"OPORTUNO","MUITO BOM")))</f>
        <v/>
      </c>
      <c r="M4051" s="3" t="n">
        <v>20</v>
      </c>
      <c r="N4051" s="3" t="n">
        <v>97.17</v>
      </c>
      <c r="O4051" s="12" t="n">
        <v>28.81844380403458</v>
      </c>
    </row>
    <row r="4052">
      <c r="A4052" s="10" t="n">
        <v>46128</v>
      </c>
      <c r="B4052" t="inlineStr">
        <is>
          <t>Kerollen Cristielly de Jesus Siqueira</t>
        </is>
      </c>
      <c r="C4052" s="1" t="inlineStr">
        <is>
          <t>Técnico III</t>
        </is>
      </c>
      <c r="D4052" s="3" t="n">
        <v>0</v>
      </c>
      <c r="E4052" s="3" t="n">
        <v>0</v>
      </c>
      <c r="F4052" s="3" t="n">
        <v>0</v>
      </c>
      <c r="G4052" s="3" t="n">
        <v>0</v>
      </c>
      <c r="H4052" s="3" t="n">
        <v>0</v>
      </c>
      <c r="I4052" s="3" t="n">
        <v>0</v>
      </c>
      <c r="J4052" s="3" t="n">
        <v>0</v>
      </c>
      <c r="K4052" s="3" t="n">
        <v>0</v>
      </c>
      <c r="L4052" s="3">
        <f>IF(K4052&lt;-5,"CRÍTICO",IF(K4052&lt;0,"ATENÇÃO",IF(K4052&lt;=5,"OPORTUNO","MUITO BOM")))</f>
        <v/>
      </c>
      <c r="M4052" s="3" t="n">
        <v>22</v>
      </c>
      <c r="N4052" s="3" t="n">
        <v>96.81</v>
      </c>
      <c r="O4052" s="12" t="n">
        <v>48.01864801864802</v>
      </c>
    </row>
    <row r="4053">
      <c r="A4053" s="10" t="n">
        <v>46128</v>
      </c>
      <c r="B4053" t="inlineStr">
        <is>
          <t>Leandro de Souza Silva</t>
        </is>
      </c>
      <c r="C4053" s="1" t="inlineStr">
        <is>
          <t>JR</t>
        </is>
      </c>
      <c r="D4053" s="3" t="n">
        <v>17</v>
      </c>
      <c r="E4053" s="3" t="n">
        <v>13</v>
      </c>
      <c r="F4053" s="3" t="n">
        <v>24.14</v>
      </c>
      <c r="G4053" s="3" t="n">
        <v>0</v>
      </c>
      <c r="H4053" s="3" t="n">
        <v>0</v>
      </c>
      <c r="I4053" s="3">
        <f>E4053+G4053+H4053</f>
        <v/>
      </c>
      <c r="J4053" s="3">
        <f>ROUND(MIN(IF(C4053="Técnico III",35,IF(C4053="Técnico II",28,IF(C4053="Técnico I",23,IF(C4053="JR",20,IF(C4053="Estágio",10,0))))),IF(C4053="Técnico III",SUMIFS($D:$D,$A:$A,$A4053,$B:$B,"&lt;&gt;Patrícia Karla de Sousa Araújo",$B:$B,"&lt;&gt;Lorena Dias de Araujo",$B:$B,"&lt;&gt;Lucas Luiz Romero")*(35/1083),IF(C4053="Técnico II",SUMIFS($D:$D,$A:$A,$A4053,$B:$B,"&lt;&gt;Patrícia Karla de Sousa Araújo",$B:$B,"&lt;&gt;Lorena Dias de Araujo",$B:$B,"&lt;&gt;Lucas Luiz Romero")*(28/1083),IF(C4053="Técnico I",SUMIFS($D:$D,$A:$A,$A4053,$B:$B,"&lt;&gt;Patrícia Karla de Sousa Araújo",$B:$B,"&lt;&gt;Lorena Dias de Araujo",$B:$B,"&lt;&gt;Lucas Luiz Romero")*(23/1083),IF(C4053="JR",SUMIFS($D:$D,$A:$A,$A4053,$B:$B,"&lt;&gt;Patrícia Karla de Sousa Araújo",$B:$B,"&lt;&gt;Lorena Dias de Araujo",$B:$B,"&lt;&gt;Lucas Luiz Romero")*(20/1083),IF(C4053="Estágio",SUMIFS($D:$D,$A:$A,$A4053,$B:$B,"&lt;&gt;Patrícia Karla de Sousa Araújo",$B:$B,"&lt;&gt;Lorena Dias de Araujo",$B:$B,"&lt;&gt;Lucas Luiz Romero")*(10/1083),0)))))),0)</f>
        <v/>
      </c>
      <c r="K4053" s="3">
        <f>I4053-J4053</f>
        <v/>
      </c>
      <c r="L4053" s="3">
        <f>IF(K4053&lt;-5,"CRÍTICO",IF(K4053&lt;0,"ATENÇÃO",IF(K4053&lt;=5,"OPORTUNO","MUITO BOM")))</f>
        <v/>
      </c>
      <c r="M4053" s="3" t="n">
        <v>11</v>
      </c>
      <c r="N4053" s="3" t="n">
        <v>98.15000000000001</v>
      </c>
      <c r="O4053" s="12" t="n">
        <v>27.1551724137931</v>
      </c>
    </row>
    <row r="4054">
      <c r="A4054" s="10" t="n">
        <v>46128</v>
      </c>
      <c r="B4054" t="inlineStr">
        <is>
          <t>Leandro Oliveira de Sousa</t>
        </is>
      </c>
      <c r="C4054" s="1" t="inlineStr">
        <is>
          <t>Técnico III</t>
        </is>
      </c>
      <c r="D4054" s="3" t="n">
        <v>23</v>
      </c>
      <c r="E4054" s="3" t="n">
        <v>19</v>
      </c>
      <c r="F4054" s="3" t="n">
        <v>17.29</v>
      </c>
      <c r="G4054" s="3" t="n">
        <v>0</v>
      </c>
      <c r="H4054" s="3" t="n">
        <v>0</v>
      </c>
      <c r="I4054" s="3">
        <f>E4054+G4054+H4054</f>
        <v/>
      </c>
      <c r="J4054" s="3">
        <f>ROUND(MIN(IF(C4054="Técnico III",35,IF(C4054="Técnico II",28,IF(C4054="Técnico I",23,IF(C4054="JR",20,IF(C4054="Estágio",10,0))))),IF(C4054="Técnico III",SUMIFS($D:$D,$A:$A,$A4054,$B:$B,"&lt;&gt;Patrícia Karla de Sousa Araújo",$B:$B,"&lt;&gt;Lorena Dias de Araujo",$B:$B,"&lt;&gt;Lucas Luiz Romero")*(35/1083),IF(C4054="Técnico II",SUMIFS($D:$D,$A:$A,$A4054,$B:$B,"&lt;&gt;Patrícia Karla de Sousa Araújo",$B:$B,"&lt;&gt;Lorena Dias de Araujo",$B:$B,"&lt;&gt;Lucas Luiz Romero")*(28/1083),IF(C4054="Técnico I",SUMIFS($D:$D,$A:$A,$A4054,$B:$B,"&lt;&gt;Patrícia Karla de Sousa Araújo",$B:$B,"&lt;&gt;Lorena Dias de Araujo",$B:$B,"&lt;&gt;Lucas Luiz Romero")*(23/1083),IF(C4054="JR",SUMIFS($D:$D,$A:$A,$A4054,$B:$B,"&lt;&gt;Patrícia Karla de Sousa Araújo",$B:$B,"&lt;&gt;Lorena Dias de Araujo",$B:$B,"&lt;&gt;Lucas Luiz Romero")*(20/1083),IF(C4054="Estágio",SUMIFS($D:$D,$A:$A,$A4054,$B:$B,"&lt;&gt;Patrícia Karla de Sousa Araújo",$B:$B,"&lt;&gt;Lorena Dias de Araujo",$B:$B,"&lt;&gt;Lucas Luiz Romero")*(10/1083),0)))))),0)</f>
        <v/>
      </c>
      <c r="K4054" s="3">
        <f>I4054-J4054</f>
        <v/>
      </c>
      <c r="L4054" s="3">
        <f>IF(K4054&lt;-5,"CRÍTICO",IF(K4054&lt;0,"ATENÇÃO",IF(K4054&lt;=5,"OPORTUNO","MUITO BOM")))</f>
        <v/>
      </c>
      <c r="M4054" s="3" t="n">
        <v>19</v>
      </c>
      <c r="N4054" s="3" t="n">
        <v>99.15000000000001</v>
      </c>
      <c r="O4054" s="12" t="n">
        <v>27.58620689655172</v>
      </c>
    </row>
    <row r="4055">
      <c r="A4055" s="10" t="n">
        <v>46128</v>
      </c>
      <c r="B4055" t="inlineStr">
        <is>
          <t>Lizandra Gomes Duarte</t>
        </is>
      </c>
      <c r="C4055" s="1" t="inlineStr">
        <is>
          <t>Técnico II</t>
        </is>
      </c>
      <c r="D4055" s="3" t="n">
        <v>30</v>
      </c>
      <c r="E4055" s="3" t="n">
        <v>29</v>
      </c>
      <c r="F4055" s="3" t="n">
        <v>20.16</v>
      </c>
      <c r="G4055" s="3" t="n">
        <v>0</v>
      </c>
      <c r="H4055" s="3" t="n">
        <v>0</v>
      </c>
      <c r="I4055" s="3">
        <f>E4055+G4055+H4055</f>
        <v/>
      </c>
      <c r="J4055" s="3">
        <f>ROUND(MIN(IF(C4055="Técnico III",35,IF(C4055="Técnico II",28,IF(C4055="Técnico I",23,IF(C4055="JR",20,IF(C4055="Estágio",10,0))))),IF(C4055="Técnico III",SUMIFS($D:$D,$A:$A,$A4055,$B:$B,"&lt;&gt;Patrícia Karla de Sousa Araújo",$B:$B,"&lt;&gt;Lorena Dias de Araujo",$B:$B,"&lt;&gt;Lucas Luiz Romero")*(35/1083),IF(C4055="Técnico II",SUMIFS($D:$D,$A:$A,$A4055,$B:$B,"&lt;&gt;Patrícia Karla de Sousa Araújo",$B:$B,"&lt;&gt;Lorena Dias de Araujo",$B:$B,"&lt;&gt;Lucas Luiz Romero")*(28/1083),IF(C4055="Técnico I",SUMIFS($D:$D,$A:$A,$A4055,$B:$B,"&lt;&gt;Patrícia Karla de Sousa Araújo",$B:$B,"&lt;&gt;Lorena Dias de Araujo",$B:$B,"&lt;&gt;Lucas Luiz Romero")*(23/1083),IF(C4055="JR",SUMIFS($D:$D,$A:$A,$A4055,$B:$B,"&lt;&gt;Patrícia Karla de Sousa Araújo",$B:$B,"&lt;&gt;Lorena Dias de Araujo",$B:$B,"&lt;&gt;Lucas Luiz Romero")*(20/1083),IF(C4055="Estágio",SUMIFS($D:$D,$A:$A,$A4055,$B:$B,"&lt;&gt;Patrícia Karla de Sousa Araújo",$B:$B,"&lt;&gt;Lorena Dias de Araujo",$B:$B,"&lt;&gt;Lucas Luiz Romero")*(10/1083),0)))))),0)</f>
        <v/>
      </c>
      <c r="K4055" s="3">
        <f>I4055-J4055</f>
        <v/>
      </c>
      <c r="L4055" s="3">
        <f>IF(K4055&lt;-5,"CRÍTICO",IF(K4055&lt;0,"ATENÇÃO",IF(K4055&lt;=5,"OPORTUNO","MUITO BOM")))</f>
        <v/>
      </c>
      <c r="M4055" s="3" t="n">
        <v>17</v>
      </c>
      <c r="N4055" s="3" t="n">
        <v>99.17</v>
      </c>
      <c r="O4055" s="12" t="n">
        <v>29.75206611570248</v>
      </c>
    </row>
    <row r="4056">
      <c r="A4056" s="10" t="n">
        <v>46128</v>
      </c>
      <c r="B4056" t="inlineStr">
        <is>
          <t>Lorena Dias de Araujo</t>
        </is>
      </c>
      <c r="C4056" s="1" t="inlineStr">
        <is>
          <t>Técnico II</t>
        </is>
      </c>
      <c r="D4056" s="3" t="n">
        <v>0</v>
      </c>
      <c r="E4056" s="3" t="n">
        <v>0</v>
      </c>
      <c r="F4056" s="3" t="n">
        <v>0</v>
      </c>
      <c r="G4056" s="3" t="n">
        <v>0</v>
      </c>
      <c r="H4056" s="3" t="n">
        <v>0</v>
      </c>
      <c r="I4056" s="3" t="n">
        <v>0</v>
      </c>
      <c r="J4056" s="3" t="n">
        <v>0</v>
      </c>
      <c r="K4056" s="3" t="n">
        <v>0</v>
      </c>
      <c r="L4056" s="3">
        <f>IF(K4056&lt;-5,"CRÍTICO",IF(K4056&lt;0,"ATENÇÃO",IF(K4056&lt;=5,"OPORTUNO","MUITO BOM")))</f>
        <v/>
      </c>
      <c r="M4056" s="3" t="n">
        <v>0</v>
      </c>
      <c r="N4056" s="3" t="n">
        <v>98.73</v>
      </c>
      <c r="O4056" s="12" t="n">
        <v>28.96174863387978</v>
      </c>
    </row>
    <row r="4057">
      <c r="A4057" s="10" t="n">
        <v>46128</v>
      </c>
      <c r="B4057" t="inlineStr">
        <is>
          <t>Lucas Luiz Romero</t>
        </is>
      </c>
      <c r="C4057" s="1" t="inlineStr">
        <is>
          <t>Técnico III</t>
        </is>
      </c>
      <c r="D4057" s="3" t="n">
        <v>16</v>
      </c>
      <c r="E4057" s="3" t="n">
        <v>14</v>
      </c>
      <c r="F4057" s="3" t="n">
        <v>15.23</v>
      </c>
      <c r="G4057" s="3" t="n">
        <v>0</v>
      </c>
      <c r="H4057" s="3" t="n">
        <v>0</v>
      </c>
      <c r="I4057" s="3">
        <f>E4057+G4057+H4057</f>
        <v/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/>
      </c>
      <c r="K4057" s="3">
        <f>I4057-J4057</f>
        <v/>
      </c>
      <c r="L4057" s="3">
        <f>IF(K4057&lt;-5,"CRÍTICO",IF(K4057&lt;0,"ATENÇÃO",IF(K4057&lt;=5,"OPORTUNO","MUITO BOM")))</f>
        <v/>
      </c>
      <c r="M4057" s="3" t="n">
        <v>11</v>
      </c>
      <c r="N4057" s="3" t="n">
        <v>88.68000000000001</v>
      </c>
      <c r="O4057" s="12" t="n">
        <v>22.03389830508474</v>
      </c>
    </row>
    <row r="4058">
      <c r="A4058" s="10" t="n">
        <v>46128</v>
      </c>
      <c r="B4058" t="inlineStr">
        <is>
          <t>Luiz Fernando de Carvalho Junior</t>
        </is>
      </c>
      <c r="C4058" s="1" t="inlineStr">
        <is>
          <t>Técnico I</t>
        </is>
      </c>
      <c r="D4058" s="3" t="n">
        <v>19</v>
      </c>
      <c r="E4058" s="3" t="n">
        <v>18</v>
      </c>
      <c r="F4058" s="3" t="n">
        <v>25.17</v>
      </c>
      <c r="G4058" s="3" t="n">
        <v>0</v>
      </c>
      <c r="H4058" s="3" t="n">
        <v>0</v>
      </c>
      <c r="I4058" s="3">
        <f>E4058+G4058+H4058</f>
        <v/>
      </c>
      <c r="J4058" s="3">
        <f>ROUND(MIN(IF(C4058="Técnico III",35,IF(C4058="Técnico II",28,IF(C4058="Técnico I",23,IF(C4058="JR",20,IF(C4058="Estágio",10,0))))),IF(C4058="Técnico III",SUMIFS($D:$D,$A:$A,$A4058,$B:$B,"&lt;&gt;Patrícia Karla de Sousa Araújo",$B:$B,"&lt;&gt;Lorena Dias de Araujo",$B:$B,"&lt;&gt;Lucas Luiz Romero")*(35/1083),IF(C4058="Técnico II",SUMIFS($D:$D,$A:$A,$A4058,$B:$B,"&lt;&gt;Patrícia Karla de Sousa Araújo",$B:$B,"&lt;&gt;Lorena Dias de Araujo",$B:$B,"&lt;&gt;Lucas Luiz Romero")*(28/1083),IF(C4058="Técnico I",SUMIFS($D:$D,$A:$A,$A4058,$B:$B,"&lt;&gt;Patrícia Karla de Sousa Araújo",$B:$B,"&lt;&gt;Lorena Dias de Araujo",$B:$B,"&lt;&gt;Lucas Luiz Romero")*(23/1083),IF(C4058="JR",SUMIFS($D:$D,$A:$A,$A4058,$B:$B,"&lt;&gt;Patrícia Karla de Sousa Araújo",$B:$B,"&lt;&gt;Lorena Dias de Araujo",$B:$B,"&lt;&gt;Lucas Luiz Romero")*(20/1083),IF(C4058="Estágio",SUMIFS($D:$D,$A:$A,$A4058,$B:$B,"&lt;&gt;Patrícia Karla de Sousa Araújo",$B:$B,"&lt;&gt;Lorena Dias de Araujo",$B:$B,"&lt;&gt;Lucas Luiz Romero")*(10/1083),0)))))),0)</f>
        <v/>
      </c>
      <c r="K4058" s="3">
        <f>I4058-J4058</f>
        <v/>
      </c>
      <c r="L4058" s="3">
        <f>IF(K4058&lt;-5,"CRÍTICO",IF(K4058&lt;0,"ATENÇÃO",IF(K4058&lt;=5,"OPORTUNO","MUITO BOM")))</f>
        <v/>
      </c>
      <c r="M4058" s="3" t="n">
        <v>20</v>
      </c>
      <c r="N4058" s="3" t="n">
        <v>97.37</v>
      </c>
      <c r="O4058" s="12" t="n">
        <v>25.76530612244898</v>
      </c>
    </row>
    <row r="4059">
      <c r="A4059" s="10" t="n">
        <v>46128</v>
      </c>
      <c r="B4059" t="inlineStr">
        <is>
          <t>Maria Eduarda Sousa Costa</t>
        </is>
      </c>
      <c r="C4059" s="1" t="inlineStr">
        <is>
          <t>Estágio</t>
        </is>
      </c>
      <c r="D4059" s="3" t="n">
        <v>75</v>
      </c>
      <c r="E4059" s="3" t="n">
        <v>29</v>
      </c>
      <c r="F4059" s="3" t="n">
        <v>7.09</v>
      </c>
      <c r="G4059" s="3" t="n">
        <v>0</v>
      </c>
      <c r="H4059" s="3" t="n">
        <v>0</v>
      </c>
      <c r="I4059" s="3">
        <f>E4059+G4059+H4059</f>
        <v/>
      </c>
      <c r="J4059" s="3">
        <f>ROUND(MIN(IF(C4059="Técnico III",35,IF(C4059="Técnico II",28,IF(C4059="Técnico I",23,IF(C4059="JR",20,IF(C4059="Estágio",10,0))))),IF(C4059="Técnico III",SUMIFS($D:$D,$A:$A,$A4059,$B:$B,"&lt;&gt;Patrícia Karla de Sousa Araújo",$B:$B,"&lt;&gt;Lorena Dias de Araujo",$B:$B,"&lt;&gt;Lucas Luiz Romero")*(35/1083),IF(C4059="Técnico II",SUMIFS($D:$D,$A:$A,$A4059,$B:$B,"&lt;&gt;Patrícia Karla de Sousa Araújo",$B:$B,"&lt;&gt;Lorena Dias de Araujo",$B:$B,"&lt;&gt;Lucas Luiz Romero")*(28/1083),IF(C4059="Técnico I",SUMIFS($D:$D,$A:$A,$A4059,$B:$B,"&lt;&gt;Patrícia Karla de Sousa Araújo",$B:$B,"&lt;&gt;Lorena Dias de Araujo",$B:$B,"&lt;&gt;Lucas Luiz Romero")*(23/1083),IF(C4059="JR",SUMIFS($D:$D,$A:$A,$A4059,$B:$B,"&lt;&gt;Patrícia Karla de Sousa Araújo",$B:$B,"&lt;&gt;Lorena Dias de Araujo",$B:$B,"&lt;&gt;Lucas Luiz Romero")*(20/1083),IF(C4059="Estágio",SUMIFS($D:$D,$A:$A,$A4059,$B:$B,"&lt;&gt;Patrícia Karla de Sousa Araújo",$B:$B,"&lt;&gt;Lorena Dias de Araujo",$B:$B,"&lt;&gt;Lucas Luiz Romero")*(10/1083),0)))))),0)</f>
        <v/>
      </c>
      <c r="K4059" s="3">
        <f>I4059-J4059</f>
        <v/>
      </c>
      <c r="L4059" s="3">
        <f>IF(K4059&lt;-5,"CRÍTICO",IF(K4059&lt;0,"ATENÇÃO",IF(K4059&lt;=5,"OPORTUNO","MUITO BOM")))</f>
        <v/>
      </c>
      <c r="M4059" s="3" t="n">
        <v>4</v>
      </c>
      <c r="N4059" s="3" t="n">
        <v>100</v>
      </c>
      <c r="O4059" s="12" t="n">
        <v>25</v>
      </c>
    </row>
    <row r="4060">
      <c r="A4060" s="9" t="n">
        <v>46164</v>
      </c>
      <c r="B4060" s="6" t="inlineStr">
        <is>
          <t>Michelle G Santos</t>
        </is>
      </c>
      <c r="C4060" s="1" t="inlineStr">
        <is>
          <t>Estágio</t>
        </is>
      </c>
      <c r="D4060" s="3" t="n">
        <v>15</v>
      </c>
      <c r="E4060" s="3" t="n">
        <v>14</v>
      </c>
      <c r="F4060" s="3" t="n">
        <v>31.4</v>
      </c>
      <c r="G4060" s="3" t="n">
        <v>0</v>
      </c>
      <c r="H4060" s="3" t="n">
        <v>0</v>
      </c>
      <c r="I4060" s="3" t="n">
        <v>14</v>
      </c>
      <c r="J4060" s="3" t="n">
        <v>6</v>
      </c>
      <c r="K4060" s="3" t="n">
        <v>8</v>
      </c>
      <c r="L4060" s="3" t="inlineStr">
        <is>
          <t>EXCELENTE</t>
        </is>
      </c>
      <c r="M4060" s="3" t="n">
        <v>11</v>
      </c>
      <c r="N4060" s="3" t="n">
        <v>100</v>
      </c>
      <c r="O4060" s="12" t="n">
        <v>17.1875</v>
      </c>
    </row>
    <row r="4061">
      <c r="A4061" s="10" t="n">
        <v>46128</v>
      </c>
      <c r="B4061" t="inlineStr">
        <is>
          <t>Maysa Victoria Dias Moura</t>
        </is>
      </c>
      <c r="C4061" s="1" t="inlineStr">
        <is>
          <t>Técnico III</t>
        </is>
      </c>
      <c r="D4061" s="3" t="n">
        <v>36</v>
      </c>
      <c r="E4061" s="3" t="n">
        <v>34</v>
      </c>
      <c r="F4061" s="3" t="n">
        <v>15.11</v>
      </c>
      <c r="G4061" s="3" t="n">
        <v>0</v>
      </c>
      <c r="H4061" s="3" t="n">
        <v>0</v>
      </c>
      <c r="I4061" s="3">
        <f>E4061+G4061+H4061</f>
        <v/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/>
      </c>
      <c r="K4061" s="3">
        <f>I4061-J4061</f>
        <v/>
      </c>
      <c r="L4061" s="3">
        <f>IF(K4061&lt;-5,"CRÍTICO",IF(K4061&lt;0,"ATENÇÃO",IF(K4061&lt;=5,"OPORTUNO","MUITO BOM")))</f>
        <v/>
      </c>
      <c r="M4061" s="3" t="n">
        <v>34</v>
      </c>
      <c r="N4061" s="3" t="n">
        <v>95.48999999999999</v>
      </c>
      <c r="O4061" s="12" t="n">
        <v>28.37022132796781</v>
      </c>
    </row>
    <row r="4062">
      <c r="A4062" s="10" t="n">
        <v>46167</v>
      </c>
      <c r="B4062" t="inlineStr">
        <is>
          <t>Michelle G Santos</t>
        </is>
      </c>
      <c r="C4062" s="1" t="inlineStr">
        <is>
          <t>Estágio</t>
        </is>
      </c>
      <c r="D4062" s="3" t="n">
        <v>5</v>
      </c>
      <c r="E4062" s="3" t="n">
        <v>5</v>
      </c>
      <c r="F4062" s="3" t="n">
        <v>54.07</v>
      </c>
      <c r="G4062" s="3" t="n">
        <v>0</v>
      </c>
      <c r="H4062" s="3" t="n">
        <v>0</v>
      </c>
      <c r="I4062" s="3" t="n">
        <v>5</v>
      </c>
      <c r="J4062" s="3" t="n">
        <v>6</v>
      </c>
      <c r="K4062" s="3" t="n">
        <v>-1</v>
      </c>
      <c r="L4062" s="3" t="inlineStr">
        <is>
          <t>ATENÇÃO</t>
        </is>
      </c>
      <c r="M4062" s="3" t="n">
        <v>5</v>
      </c>
      <c r="N4062" s="3" t="n">
        <v>100</v>
      </c>
      <c r="O4062" s="12" t="n">
        <v>17.1875</v>
      </c>
    </row>
    <row r="4063">
      <c r="A4063" s="10" t="n">
        <v>46128</v>
      </c>
      <c r="B4063" t="inlineStr">
        <is>
          <t>Milena Sales</t>
        </is>
      </c>
      <c r="C4063" s="1" t="inlineStr">
        <is>
          <t>JR</t>
        </is>
      </c>
      <c r="D4063" s="3" t="n">
        <v>30</v>
      </c>
      <c r="E4063" s="3" t="n">
        <v>25</v>
      </c>
      <c r="F4063" s="3" t="n">
        <v>17</v>
      </c>
      <c r="G4063" s="3" t="n">
        <v>0</v>
      </c>
      <c r="H4063" s="3" t="n">
        <v>0</v>
      </c>
      <c r="I4063" s="3">
        <f>E4063+G4063+H4063</f>
        <v/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/>
      </c>
      <c r="K4063" s="3">
        <f>I4063-J4063</f>
        <v/>
      </c>
      <c r="L4063" s="3">
        <f>IF(K4063&lt;-5,"CRÍTICO",IF(K4063&lt;0,"ATENÇÃO",IF(K4063&lt;=5,"OPORTUNO","MUITO BOM")))</f>
        <v/>
      </c>
      <c r="M4063" s="3" t="n">
        <v>15</v>
      </c>
      <c r="N4063" s="3" t="n">
        <v>96.15000000000001</v>
      </c>
      <c r="O4063" s="12" t="n">
        <v>24.04580152671756</v>
      </c>
    </row>
    <row r="4064">
      <c r="A4064" s="10" t="n">
        <v>46128</v>
      </c>
      <c r="B4064" t="inlineStr">
        <is>
          <t>Patrícia Karla de Sousa Araújo</t>
        </is>
      </c>
      <c r="C4064" s="1" t="inlineStr">
        <is>
          <t>Técnico II</t>
        </is>
      </c>
      <c r="D4064" s="3" t="n">
        <v>21</v>
      </c>
      <c r="E4064" s="3" t="n">
        <v>19</v>
      </c>
      <c r="F4064" s="3" t="n">
        <v>25.38</v>
      </c>
      <c r="G4064" s="3" t="n">
        <v>0</v>
      </c>
      <c r="H4064" s="3" t="n">
        <v>0</v>
      </c>
      <c r="I4064" s="3">
        <f>E4064+G4064+H4064</f>
        <v/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/>
      </c>
      <c r="K4064" s="3">
        <f>I4064-J4064</f>
        <v/>
      </c>
      <c r="L4064" s="3">
        <f>IF(K4064&lt;-5,"CRÍTICO",IF(K4064&lt;0,"ATENÇÃO",IF(K4064&lt;=5,"OPORTUNO","MUITO BOM")))</f>
        <v/>
      </c>
      <c r="M4064" s="3" t="n">
        <v>16</v>
      </c>
      <c r="N4064" s="3" t="n">
        <v>99.02</v>
      </c>
      <c r="O4064" s="12" t="n">
        <v>34.7972972972973</v>
      </c>
    </row>
    <row r="4065">
      <c r="A4065" s="10" t="n">
        <v>46128</v>
      </c>
      <c r="B4065" t="inlineStr">
        <is>
          <t>Paulo Ricardo Santos</t>
        </is>
      </c>
      <c r="C4065" s="1" t="inlineStr">
        <is>
          <t>JR</t>
        </is>
      </c>
      <c r="D4065" s="3" t="n">
        <v>11</v>
      </c>
      <c r="E4065" s="3" t="n">
        <v>11</v>
      </c>
      <c r="F4065" s="3" t="n">
        <v>18.41</v>
      </c>
      <c r="G4065" s="3" t="n">
        <v>0</v>
      </c>
      <c r="H4065" s="3" t="n">
        <v>0</v>
      </c>
      <c r="I4065" s="3">
        <f>E4065+G4065+H4065</f>
        <v/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/>
      </c>
      <c r="K4065" s="3">
        <f>I4065-J4065</f>
        <v/>
      </c>
      <c r="L4065" s="3">
        <f>IF(K4065&lt;-5,"CRÍTICO",IF(K4065&lt;0,"ATENÇÃO",IF(K4065&lt;=5,"OPORTUNO","MUITO BOM")))</f>
        <v/>
      </c>
      <c r="M4065" s="3" t="n">
        <v>13</v>
      </c>
      <c r="N4065" s="3" t="n">
        <v>98.84</v>
      </c>
      <c r="O4065" s="12" t="n">
        <v>31.86813186813187</v>
      </c>
    </row>
    <row r="4066">
      <c r="A4066" s="10" t="n">
        <v>46128</v>
      </c>
      <c r="B4066" t="inlineStr">
        <is>
          <t>Pedro Luiz Mota Sousa</t>
        </is>
      </c>
      <c r="C4066" s="1" t="inlineStr">
        <is>
          <t>JR</t>
        </is>
      </c>
      <c r="D4066" s="3" t="n">
        <v>16</v>
      </c>
      <c r="E4066" s="3" t="n">
        <v>14</v>
      </c>
      <c r="F4066" s="3" t="n">
        <v>15.51</v>
      </c>
      <c r="G4066" s="3" t="n">
        <v>0</v>
      </c>
      <c r="H4066" s="3" t="n">
        <v>0</v>
      </c>
      <c r="I4066" s="3">
        <f>E4066+G4066+H4066</f>
        <v/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/>
      </c>
      <c r="K4066" s="3">
        <f>I4066-J4066</f>
        <v/>
      </c>
      <c r="L4066" s="3">
        <f>IF(K4066&lt;-5,"CRÍTICO",IF(K4066&lt;0,"ATENÇÃO",IF(K4066&lt;=5,"OPORTUNO","MUITO BOM")))</f>
        <v/>
      </c>
      <c r="M4066" s="3" t="n">
        <v>13</v>
      </c>
      <c r="N4066" s="3" t="n">
        <v>100</v>
      </c>
      <c r="O4066" s="12" t="n">
        <v>34.66666666666667</v>
      </c>
    </row>
    <row r="4067">
      <c r="A4067" s="10" t="n">
        <v>46168</v>
      </c>
      <c r="B4067" t="inlineStr">
        <is>
          <t>Michelle G Santos</t>
        </is>
      </c>
      <c r="C4067" s="1" t="inlineStr">
        <is>
          <t>Estágio</t>
        </is>
      </c>
      <c r="D4067" s="3" t="n">
        <v>15</v>
      </c>
      <c r="E4067" s="3" t="n">
        <v>15</v>
      </c>
      <c r="F4067" s="3" t="n">
        <v>32.39</v>
      </c>
      <c r="G4067" s="3" t="n">
        <v>0</v>
      </c>
      <c r="H4067" s="3" t="n">
        <v>0</v>
      </c>
      <c r="I4067" s="3" t="n">
        <v>15</v>
      </c>
      <c r="J4067" s="3" t="n">
        <v>8</v>
      </c>
      <c r="K4067" s="3" t="n">
        <v>7</v>
      </c>
      <c r="L4067" s="3" t="inlineStr">
        <is>
          <t>EXCELENTE</t>
        </is>
      </c>
      <c r="M4067" s="3" t="n">
        <v>10</v>
      </c>
      <c r="N4067" s="3" t="n">
        <v>100</v>
      </c>
      <c r="O4067" s="12" t="n">
        <v>17.96875</v>
      </c>
    </row>
    <row r="4068">
      <c r="A4068" s="10" t="n">
        <v>46128</v>
      </c>
      <c r="B4068" t="inlineStr">
        <is>
          <t>Raane Batista Matos</t>
        </is>
      </c>
      <c r="C4068" s="1" t="inlineStr">
        <is>
          <t>Técnico I</t>
        </is>
      </c>
      <c r="D4068" s="3" t="n">
        <v>38</v>
      </c>
      <c r="E4068" s="3" t="n">
        <v>36</v>
      </c>
      <c r="F4068" s="3" t="n">
        <v>11.53</v>
      </c>
      <c r="G4068" s="3" t="n">
        <v>0</v>
      </c>
      <c r="H4068" s="3" t="n">
        <v>0</v>
      </c>
      <c r="I4068" s="3">
        <f>E4068+G4068+H4068</f>
        <v/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/>
      </c>
      <c r="K4068" s="3">
        <f>I4068-J4068</f>
        <v/>
      </c>
      <c r="L4068" s="3">
        <f>IF(K4068&lt;-5,"CRÍTICO",IF(K4068&lt;0,"ATENÇÃO",IF(K4068&lt;=5,"OPORTUNO","MUITO BOM")))</f>
        <v/>
      </c>
      <c r="M4068" s="3" t="n">
        <v>32</v>
      </c>
      <c r="N4068" s="3" t="n">
        <v>98.31999999999999</v>
      </c>
      <c r="O4068" s="12" t="n">
        <v>26.85851318944844</v>
      </c>
    </row>
    <row r="4069">
      <c r="A4069" s="10" t="n">
        <v>46128</v>
      </c>
      <c r="B4069" t="inlineStr">
        <is>
          <t>Rafael Gomes de Morais</t>
        </is>
      </c>
      <c r="C4069" s="1" t="inlineStr">
        <is>
          <t>Técnico III</t>
        </is>
      </c>
      <c r="D4069" s="3" t="n">
        <v>38</v>
      </c>
      <c r="E4069" s="3" t="n">
        <v>34</v>
      </c>
      <c r="F4069" s="3" t="n">
        <v>13.27</v>
      </c>
      <c r="G4069" s="3" t="n">
        <v>0</v>
      </c>
      <c r="H4069" s="3" t="n">
        <v>0</v>
      </c>
      <c r="I4069" s="3">
        <f>E4069+G4069+H4069</f>
        <v/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/>
      </c>
      <c r="K4069" s="3">
        <f>I4069-J4069</f>
        <v/>
      </c>
      <c r="L4069" s="3">
        <f>IF(K4069&lt;-5,"CRÍTICO",IF(K4069&lt;0,"ATENÇÃO",IF(K4069&lt;=5,"OPORTUNO","MUITO BOM")))</f>
        <v/>
      </c>
      <c r="M4069" s="3" t="n">
        <v>27</v>
      </c>
      <c r="N4069" s="3" t="n">
        <v>100</v>
      </c>
      <c r="O4069" s="12" t="n">
        <v>31.13553113553114</v>
      </c>
    </row>
    <row r="4070">
      <c r="A4070" s="10" t="n">
        <v>46128</v>
      </c>
      <c r="B4070" t="inlineStr">
        <is>
          <t>Sara Maria Monteiro Lopes</t>
        </is>
      </c>
      <c r="C4070" s="1" t="inlineStr">
        <is>
          <t>Técnico I</t>
        </is>
      </c>
      <c r="D4070" s="3" t="n">
        <v>19</v>
      </c>
      <c r="E4070" s="3" t="n">
        <v>18</v>
      </c>
      <c r="F4070" s="3" t="n">
        <v>24.08</v>
      </c>
      <c r="G4070" s="3" t="n">
        <v>0</v>
      </c>
      <c r="H4070" s="3" t="n">
        <v>0</v>
      </c>
      <c r="I4070" s="3">
        <f>E4070+G4070+H4070</f>
        <v/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/>
      </c>
      <c r="K4070" s="3">
        <f>I4070-J4070</f>
        <v/>
      </c>
      <c r="L4070" s="3">
        <f>IF(K4070&lt;-5,"CRÍTICO",IF(K4070&lt;0,"ATENÇÃO",IF(K4070&lt;=5,"OPORTUNO","MUITO BOM")))</f>
        <v/>
      </c>
      <c r="M4070" s="3" t="n">
        <v>14</v>
      </c>
      <c r="N4070" s="3" t="n">
        <v>100</v>
      </c>
      <c r="O4070" s="12" t="n">
        <v>26.36986301369863</v>
      </c>
    </row>
    <row r="4071">
      <c r="A4071" s="10" t="n">
        <v>46128</v>
      </c>
      <c r="B4071" t="inlineStr">
        <is>
          <t>Sarah Steffanie de Lima Borges</t>
        </is>
      </c>
      <c r="C4071" s="1" t="inlineStr">
        <is>
          <t>Técnico III</t>
        </is>
      </c>
      <c r="D4071" s="3" t="n">
        <v>29</v>
      </c>
      <c r="E4071" s="3" t="n">
        <v>28</v>
      </c>
      <c r="F4071" s="3" t="n">
        <v>17.08</v>
      </c>
      <c r="G4071" s="3" t="n">
        <v>0</v>
      </c>
      <c r="H4071" s="3" t="n">
        <v>0</v>
      </c>
      <c r="I4071" s="3">
        <f>E4071+G4071+H4071</f>
        <v/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/>
      </c>
      <c r="K4071" s="3">
        <f>I4071-J4071</f>
        <v/>
      </c>
      <c r="L4071" s="3">
        <f>IF(K4071&lt;-5,"CRÍTICO",IF(K4071&lt;0,"ATENÇÃO",IF(K4071&lt;=5,"OPORTUNO","MUITO BOM")))</f>
        <v/>
      </c>
      <c r="M4071" s="3" t="n">
        <v>25</v>
      </c>
      <c r="N4071" s="3" t="n">
        <v>99.20999999999999</v>
      </c>
      <c r="O4071" s="12" t="n">
        <v>25.18891687657431</v>
      </c>
    </row>
    <row r="4072">
      <c r="A4072" s="10" t="n">
        <v>46129</v>
      </c>
      <c r="B4072" t="inlineStr">
        <is>
          <t>Alisson de Freitas Silva</t>
        </is>
      </c>
      <c r="C4072" s="1" t="inlineStr">
        <is>
          <t>Técnico II</t>
        </is>
      </c>
      <c r="D4072" s="3" t="n">
        <v>25</v>
      </c>
      <c r="E4072" s="3" t="n">
        <v>21</v>
      </c>
      <c r="F4072" s="3" t="n">
        <v>12.19</v>
      </c>
      <c r="G4072" s="3" t="n">
        <v>0</v>
      </c>
      <c r="H4072" s="3" t="n">
        <v>0</v>
      </c>
      <c r="I4072" s="3">
        <f>E4072+G4072+H4072</f>
        <v/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/>
      </c>
      <c r="K4072" s="3">
        <f>I4072-J4072</f>
        <v/>
      </c>
      <c r="L4072" s="3">
        <f>IF(K4072&lt;-5,"CRÍTICO",IF(K4072&lt;0,"ATENÇÃO",IF(K4072&lt;=5,"OPORTUNO","MUITO BOM")))</f>
        <v/>
      </c>
      <c r="M4072" s="3" t="n">
        <v>4</v>
      </c>
      <c r="N4072" s="3" t="n">
        <v>100</v>
      </c>
      <c r="O4072" s="12" t="n">
        <v>32.76450511945392</v>
      </c>
    </row>
    <row r="4073">
      <c r="A4073" s="10" t="n">
        <v>46129</v>
      </c>
      <c r="B4073" t="inlineStr">
        <is>
          <t>Amanda Moura Ferreira</t>
        </is>
      </c>
      <c r="C4073" s="1" t="inlineStr">
        <is>
          <t>Técnico III</t>
        </is>
      </c>
      <c r="D4073" s="3" t="n">
        <v>0</v>
      </c>
      <c r="E4073" s="3" t="n">
        <v>0</v>
      </c>
      <c r="F4073" s="3" t="n">
        <v>0</v>
      </c>
      <c r="G4073" s="3" t="n">
        <v>0</v>
      </c>
      <c r="H4073" s="3" t="n">
        <v>0</v>
      </c>
      <c r="I4073" s="3" t="n">
        <v>0</v>
      </c>
      <c r="J4073" s="3" t="n">
        <v>0</v>
      </c>
      <c r="K4073" s="3" t="n">
        <v>0</v>
      </c>
      <c r="L4073" s="3">
        <f>IF(K4073&lt;-5,"CRÍTICO",IF(K4073&lt;0,"ATENÇÃO",IF(K4073&lt;=5,"OPORTUNO","MUITO BOM")))</f>
        <v/>
      </c>
      <c r="M4073" s="3" t="n">
        <v>30</v>
      </c>
      <c r="N4073" s="3" t="n">
        <v>98.66</v>
      </c>
      <c r="O4073" s="12" t="n">
        <v>35.41666666666667</v>
      </c>
    </row>
    <row r="4074">
      <c r="A4074" s="10" t="n">
        <v>46129</v>
      </c>
      <c r="B4074" t="inlineStr">
        <is>
          <t>Ana Karollyne Souza Faria</t>
        </is>
      </c>
      <c r="C4074" s="1" t="inlineStr">
        <is>
          <t>Técnico I</t>
        </is>
      </c>
      <c r="D4074" s="3" t="n">
        <v>22</v>
      </c>
      <c r="E4074" s="3" t="n">
        <v>22</v>
      </c>
      <c r="F4074" s="3" t="n">
        <v>27.15</v>
      </c>
      <c r="G4074" s="3" t="n">
        <v>0</v>
      </c>
      <c r="H4074" s="3" t="n">
        <v>0</v>
      </c>
      <c r="I4074" s="3">
        <f>E4074+G4074+H4074</f>
        <v/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/>
      </c>
      <c r="K4074" s="3">
        <f>I4074-J4074</f>
        <v/>
      </c>
      <c r="L4074" s="3">
        <f>IF(K4074&lt;-5,"CRÍTICO",IF(K4074&lt;0,"ATENÇÃO",IF(K4074&lt;=5,"OPORTUNO","MUITO BOM")))</f>
        <v/>
      </c>
      <c r="M4074" s="3" t="n">
        <v>21</v>
      </c>
      <c r="N4074" s="3" t="n">
        <v>99.31999999999999</v>
      </c>
      <c r="O4074" s="12" t="n">
        <v>30.6483300589391</v>
      </c>
    </row>
    <row r="4075">
      <c r="A4075" s="10" t="n">
        <v>46129</v>
      </c>
      <c r="B4075" t="inlineStr">
        <is>
          <t>Ana Paula Da Luz Silva Aleixo</t>
        </is>
      </c>
      <c r="C4075" s="1" t="inlineStr">
        <is>
          <t>Técnico III</t>
        </is>
      </c>
      <c r="D4075" s="3" t="n">
        <v>28</v>
      </c>
      <c r="E4075" s="3" t="n">
        <v>23</v>
      </c>
      <c r="F4075" s="3" t="n">
        <v>18.2</v>
      </c>
      <c r="G4075" s="3" t="n">
        <v>0</v>
      </c>
      <c r="H4075" s="3" t="n">
        <v>0</v>
      </c>
      <c r="I4075" s="3">
        <f>E4075+G4075+H4075</f>
        <v/>
      </c>
      <c r="J4075" s="3">
        <f>ROUND(MIN(IF(C4075="Técnico III",35,IF(C4075="Técnico II",28,IF(C4075="Técnico I",23,IF(C4075="JR",20,IF(C4075="Estágio",10,0))))),IF(C4075="Técnico III",SUMIFS($D:$D,$A:$A,$A4075,$B:$B,"&lt;&gt;Patrícia Karla de Sousa Araújo",$B:$B,"&lt;&gt;Lorena Dias de Araujo",$B:$B,"&lt;&gt;Lucas Luiz Romero")*(35/1083),IF(C4075="Técnico II",SUMIFS($D:$D,$A:$A,$A4075,$B:$B,"&lt;&gt;Patrícia Karla de Sousa Araújo",$B:$B,"&lt;&gt;Lorena Dias de Araujo",$B:$B,"&lt;&gt;Lucas Luiz Romero")*(28/1083),IF(C4075="Técnico I",SUMIFS($D:$D,$A:$A,$A4075,$B:$B,"&lt;&gt;Patrícia Karla de Sousa Araújo",$B:$B,"&lt;&gt;Lorena Dias de Araujo",$B:$B,"&lt;&gt;Lucas Luiz Romero")*(23/1083),IF(C4075="JR",SUMIFS($D:$D,$A:$A,$A4075,$B:$B,"&lt;&gt;Patrícia Karla de Sousa Araújo",$B:$B,"&lt;&gt;Lorena Dias de Araujo",$B:$B,"&lt;&gt;Lucas Luiz Romero")*(20/1083),IF(C4075="Estágio",SUMIFS($D:$D,$A:$A,$A4075,$B:$B,"&lt;&gt;Patrícia Karla de Sousa Araújo",$B:$B,"&lt;&gt;Lorena Dias de Araujo",$B:$B,"&lt;&gt;Lucas Luiz Romero")*(10/1083),0)))))),0)</f>
        <v/>
      </c>
      <c r="K4075" s="3">
        <f>I4075-J4075</f>
        <v/>
      </c>
      <c r="L4075" s="3">
        <f>IF(K4075&lt;-5,"CRÍTICO",IF(K4075&lt;0,"ATENÇÃO",IF(K4075&lt;=5,"OPORTUNO","MUITO BOM")))</f>
        <v/>
      </c>
      <c r="M4075" s="3" t="n">
        <v>20</v>
      </c>
      <c r="N4075" s="3" t="n">
        <v>100</v>
      </c>
      <c r="O4075" s="12" t="n">
        <v>27.80373831775701</v>
      </c>
    </row>
    <row r="4076">
      <c r="A4076" s="10" t="n">
        <v>46129</v>
      </c>
      <c r="B4076" t="inlineStr">
        <is>
          <t>Anna Luiza Rezende Tavares</t>
        </is>
      </c>
      <c r="C4076" s="1" t="inlineStr">
        <is>
          <t>Estágio</t>
        </is>
      </c>
      <c r="D4076" s="3" t="n">
        <v>0</v>
      </c>
      <c r="E4076" s="3" t="n">
        <v>0</v>
      </c>
      <c r="F4076" s="3" t="n">
        <v>0</v>
      </c>
      <c r="G4076" s="3" t="n">
        <v>0</v>
      </c>
      <c r="H4076" s="3" t="n">
        <v>0</v>
      </c>
      <c r="I4076" s="3" t="n">
        <v>0</v>
      </c>
      <c r="J4076" s="3" t="n">
        <v>0</v>
      </c>
      <c r="K4076" s="3" t="n">
        <v>0</v>
      </c>
      <c r="L4076" s="3">
        <f>IF(K4076&lt;-5,"CRÍTICO",IF(K4076&lt;0,"ATENÇÃO",IF(K4076&lt;=5,"OPORTUNO","MUITO BOM")))</f>
        <v/>
      </c>
      <c r="M4076" s="3" t="n">
        <v>0</v>
      </c>
      <c r="N4076" s="3" t="n">
        <v>96.73999999999999</v>
      </c>
      <c r="O4076" s="12" t="n">
        <v>28.67647058823529</v>
      </c>
    </row>
    <row r="4077">
      <c r="A4077" s="10" t="n">
        <v>46129</v>
      </c>
      <c r="B4077" t="inlineStr">
        <is>
          <t>Brenda de Menezes Silva</t>
        </is>
      </c>
      <c r="C4077" s="1" t="inlineStr">
        <is>
          <t>Técnico II</t>
        </is>
      </c>
      <c r="D4077" s="3" t="n">
        <v>36</v>
      </c>
      <c r="E4077" s="3" t="n">
        <v>32</v>
      </c>
      <c r="F4077" s="3" t="n">
        <v>15.03</v>
      </c>
      <c r="G4077" s="3" t="n">
        <v>0</v>
      </c>
      <c r="H4077" s="3" t="n">
        <v>0</v>
      </c>
      <c r="I4077" s="3">
        <f>E4077+G4077+H4077</f>
        <v/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/>
      </c>
      <c r="K4077" s="3">
        <f>I4077-J4077</f>
        <v/>
      </c>
      <c r="L4077" s="3">
        <f>IF(K4077&lt;-5,"CRÍTICO",IF(K4077&lt;0,"ATENÇÃO",IF(K4077&lt;=5,"OPORTUNO","MUITO BOM")))</f>
        <v/>
      </c>
      <c r="M4077" s="3" t="n">
        <v>31</v>
      </c>
      <c r="N4077" s="3" t="n">
        <v>98.81999999999999</v>
      </c>
      <c r="O4077" s="12" t="n">
        <v>30.74141048824593</v>
      </c>
    </row>
    <row r="4078">
      <c r="A4078" s="10" t="n">
        <v>46129</v>
      </c>
      <c r="B4078" t="inlineStr">
        <is>
          <t>Carlos Mateus Cassimiro Nunes</t>
        </is>
      </c>
      <c r="C4078" s="1" t="inlineStr">
        <is>
          <t>Técnico II</t>
        </is>
      </c>
      <c r="D4078" s="3" t="n">
        <v>16</v>
      </c>
      <c r="E4078" s="3" t="n">
        <v>16</v>
      </c>
      <c r="F4078" s="3" t="n">
        <v>38.22</v>
      </c>
      <c r="G4078" s="3" t="n">
        <v>0</v>
      </c>
      <c r="H4078" s="3" t="n">
        <v>0</v>
      </c>
      <c r="I4078" s="3">
        <f>E4078+G4078+H4078</f>
        <v/>
      </c>
      <c r="J4078" s="3">
        <f>ROUND(MIN(IF(C4078="Técnico III",35,IF(C4078="Técnico II",28,IF(C4078="Técnico I",23,IF(C4078="JR",20,IF(C4078="Estágio",10,0))))),IF(C4078="Técnico III",SUMIFS($D:$D,$A:$A,$A4078,$B:$B,"&lt;&gt;Patrícia Karla de Sousa Araújo",$B:$B,"&lt;&gt;Lorena Dias de Araujo",$B:$B,"&lt;&gt;Lucas Luiz Romero")*(35/1083),IF(C4078="Técnico II",SUMIFS($D:$D,$A:$A,$A4078,$B:$B,"&lt;&gt;Patrícia Karla de Sousa Araújo",$B:$B,"&lt;&gt;Lorena Dias de Araujo",$B:$B,"&lt;&gt;Lucas Luiz Romero")*(28/1083),IF(C4078="Técnico I",SUMIFS($D:$D,$A:$A,$A4078,$B:$B,"&lt;&gt;Patrícia Karla de Sousa Araújo",$B:$B,"&lt;&gt;Lorena Dias de Araujo",$B:$B,"&lt;&gt;Lucas Luiz Romero")*(23/1083),IF(C4078="JR",SUMIFS($D:$D,$A:$A,$A4078,$B:$B,"&lt;&gt;Patrícia Karla de Sousa Araújo",$B:$B,"&lt;&gt;Lorena Dias de Araujo",$B:$B,"&lt;&gt;Lucas Luiz Romero")*(20/1083),IF(C4078="Estágio",SUMIFS($D:$D,$A:$A,$A4078,$B:$B,"&lt;&gt;Patrícia Karla de Sousa Araújo",$B:$B,"&lt;&gt;Lorena Dias de Araujo",$B:$B,"&lt;&gt;Lucas Luiz Romero")*(10/1083),0)))))),0)</f>
        <v/>
      </c>
      <c r="K4078" s="3">
        <f>I4078-J4078</f>
        <v/>
      </c>
      <c r="L4078" s="3">
        <f>IF(K4078&lt;-5,"CRÍTICO",IF(K4078&lt;0,"ATENÇÃO",IF(K4078&lt;=5,"OPORTUNO","MUITO BOM")))</f>
        <v/>
      </c>
      <c r="M4078" s="3" t="n">
        <v>14</v>
      </c>
      <c r="N4078" s="3" t="n">
        <v>98.2</v>
      </c>
      <c r="O4078" s="12" t="n">
        <v>27.17086834733893</v>
      </c>
    </row>
    <row r="4079">
      <c r="A4079" s="10" t="n">
        <v>46129</v>
      </c>
      <c r="B4079" t="inlineStr">
        <is>
          <t>Claudio de Sousa Velasco Filho</t>
        </is>
      </c>
      <c r="C4079" s="1" t="inlineStr">
        <is>
          <t>Estágio</t>
        </is>
      </c>
      <c r="D4079" s="3" t="n">
        <v>7</v>
      </c>
      <c r="E4079" s="3" t="n">
        <v>6</v>
      </c>
      <c r="F4079" s="3" t="n">
        <v>39.08</v>
      </c>
      <c r="G4079" s="3" t="n">
        <v>0</v>
      </c>
      <c r="H4079" s="3" t="n">
        <v>0</v>
      </c>
      <c r="I4079" s="3">
        <f>E4079+G4079+H4079</f>
        <v/>
      </c>
      <c r="J4079" s="3">
        <f>ROUND(MIN(IF(C4079="Técnico III",35,IF(C4079="Técnico II",28,IF(C4079="Técnico I",23,IF(C4079="JR",20,IF(C4079="Estágio",10,0))))),IF(C4079="Técnico III",SUMIFS($D:$D,$A:$A,$A4079,$B:$B,"&lt;&gt;Patrícia Karla de Sousa Araújo",$B:$B,"&lt;&gt;Lorena Dias de Araujo",$B:$B,"&lt;&gt;Lucas Luiz Romero")*(35/1083),IF(C4079="Técnico II",SUMIFS($D:$D,$A:$A,$A4079,$B:$B,"&lt;&gt;Patrícia Karla de Sousa Araújo",$B:$B,"&lt;&gt;Lorena Dias de Araujo",$B:$B,"&lt;&gt;Lucas Luiz Romero")*(28/1083),IF(C4079="Técnico I",SUMIFS($D:$D,$A:$A,$A4079,$B:$B,"&lt;&gt;Patrícia Karla de Sousa Araújo",$B:$B,"&lt;&gt;Lorena Dias de Araujo",$B:$B,"&lt;&gt;Lucas Luiz Romero")*(23/1083),IF(C4079="JR",SUMIFS($D:$D,$A:$A,$A4079,$B:$B,"&lt;&gt;Patrícia Karla de Sousa Araújo",$B:$B,"&lt;&gt;Lorena Dias de Araujo",$B:$B,"&lt;&gt;Lucas Luiz Romero")*(20/1083),IF(C4079="Estágio",SUMIFS($D:$D,$A:$A,$A4079,$B:$B,"&lt;&gt;Patrícia Karla de Sousa Araújo",$B:$B,"&lt;&gt;Lorena Dias de Araujo",$B:$B,"&lt;&gt;Lucas Luiz Romero")*(10/1083),0)))))),0)</f>
        <v/>
      </c>
      <c r="K4079" s="3">
        <f>I4079-J4079</f>
        <v/>
      </c>
      <c r="L4079" s="3">
        <f>IF(K4079&lt;-5,"CRÍTICO",IF(K4079&lt;0,"ATENÇÃO",IF(K4079&lt;=5,"OPORTUNO","MUITO BOM")))</f>
        <v/>
      </c>
      <c r="M4079" s="3" t="n">
        <v>6</v>
      </c>
      <c r="N4079" s="3" t="n">
        <v>100</v>
      </c>
      <c r="O4079" s="12" t="n">
        <v>23.13432835820895</v>
      </c>
    </row>
    <row r="4080">
      <c r="A4080" s="10" t="n">
        <v>46129</v>
      </c>
      <c r="B4080" t="inlineStr">
        <is>
          <t>Clessiane Pereira dos Santos</t>
        </is>
      </c>
      <c r="C4080" s="1" t="inlineStr">
        <is>
          <t>Técnico I</t>
        </is>
      </c>
      <c r="D4080" s="3" t="n">
        <v>29</v>
      </c>
      <c r="E4080" s="3" t="n">
        <v>26</v>
      </c>
      <c r="F4080" s="3" t="n">
        <v>15.35</v>
      </c>
      <c r="G4080" s="3" t="n">
        <v>0</v>
      </c>
      <c r="H4080" s="3" t="n">
        <v>0</v>
      </c>
      <c r="I4080" s="3">
        <f>E4080+G4080+H4080</f>
        <v/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/>
      </c>
      <c r="K4080" s="3">
        <f>I4080-J4080</f>
        <v/>
      </c>
      <c r="L4080" s="3">
        <f>IF(K4080&lt;-5,"CRÍTICO",IF(K4080&lt;0,"ATENÇÃO",IF(K4080&lt;=5,"OPORTUNO","MUITO BOM")))</f>
        <v/>
      </c>
      <c r="M4080" s="3" t="n">
        <v>29</v>
      </c>
      <c r="N4080" s="3" t="n">
        <v>96.3</v>
      </c>
      <c r="O4080" s="12" t="n">
        <v>32.21957040572792</v>
      </c>
    </row>
    <row r="4081">
      <c r="A4081" s="10" t="n">
        <v>46129</v>
      </c>
      <c r="B4081" t="inlineStr">
        <is>
          <t>Cristiane Ramos da Silva Rocha</t>
        </is>
      </c>
      <c r="C4081" s="1" t="inlineStr">
        <is>
          <t>Técnico III</t>
        </is>
      </c>
      <c r="D4081" s="3" t="n">
        <v>30</v>
      </c>
      <c r="E4081" s="3" t="n">
        <v>27</v>
      </c>
      <c r="F4081" s="3" t="n">
        <v>12.3</v>
      </c>
      <c r="G4081" s="3" t="n">
        <v>0</v>
      </c>
      <c r="H4081" s="3" t="n">
        <v>0</v>
      </c>
      <c r="I4081" s="3">
        <f>E4081+G4081+H4081</f>
        <v/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/>
      </c>
      <c r="K4081" s="3">
        <f>I4081-J4081</f>
        <v/>
      </c>
      <c r="L4081" s="3">
        <f>IF(K4081&lt;-5,"CRÍTICO",IF(K4081&lt;0,"ATENÇÃO",IF(K4081&lt;=5,"OPORTUNO","MUITO BOM")))</f>
        <v/>
      </c>
      <c r="M4081" s="3" t="n">
        <v>26</v>
      </c>
      <c r="N4081" s="3" t="n">
        <v>93.75</v>
      </c>
      <c r="O4081" s="12" t="n">
        <v>26.81992337164751</v>
      </c>
    </row>
    <row r="4082">
      <c r="A4082" s="10" t="n">
        <v>46129</v>
      </c>
      <c r="B4082" t="inlineStr">
        <is>
          <t>Damyllis Lorraine de Oliveira Gonçalves</t>
        </is>
      </c>
      <c r="C4082" s="1" t="inlineStr">
        <is>
          <t>Técnico II</t>
        </is>
      </c>
      <c r="D4082" s="3" t="n">
        <v>30</v>
      </c>
      <c r="E4082" s="3" t="n">
        <v>25</v>
      </c>
      <c r="F4082" s="3" t="n">
        <v>20.39</v>
      </c>
      <c r="G4082" s="3" t="n">
        <v>0</v>
      </c>
      <c r="H4082" s="3" t="n">
        <v>0</v>
      </c>
      <c r="I4082" s="3" t="n">
        <v>0</v>
      </c>
      <c r="J4082" s="3" t="n">
        <v>0</v>
      </c>
      <c r="K4082" s="3" t="n">
        <v>0</v>
      </c>
      <c r="L4082" s="3">
        <f>IF(K4082&lt;-5,"CRÍTICO",IF(K4082&lt;0,"ATENÇÃO",IF(K4082&lt;=5,"OPORTUNO","MUITO BOM")))</f>
        <v/>
      </c>
      <c r="M4082" s="3" t="n">
        <v>20</v>
      </c>
      <c r="N4082" s="3" t="n">
        <v>97.86</v>
      </c>
      <c r="O4082" s="12" t="n">
        <v>31.01851851851852</v>
      </c>
    </row>
    <row r="4083">
      <c r="A4083" s="10" t="n">
        <v>46129</v>
      </c>
      <c r="B4083" t="inlineStr">
        <is>
          <t>Daniel Gomes da Silva</t>
        </is>
      </c>
      <c r="C4083" s="1" t="inlineStr">
        <is>
          <t>Técnico I</t>
        </is>
      </c>
      <c r="D4083" s="3" t="n">
        <v>23</v>
      </c>
      <c r="E4083" s="3" t="n">
        <v>23</v>
      </c>
      <c r="F4083" s="3" t="n">
        <v>19.18</v>
      </c>
      <c r="G4083" s="3" t="n">
        <v>0</v>
      </c>
      <c r="H4083" s="3" t="n">
        <v>0</v>
      </c>
      <c r="I4083" s="3">
        <f>E4083+G4083+H4083</f>
        <v/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/>
      </c>
      <c r="K4083" s="3">
        <f>I4083-J4083</f>
        <v/>
      </c>
      <c r="L4083" s="3">
        <f>IF(K4083&lt;-5,"CRÍTICO",IF(K4083&lt;0,"ATENÇÃO",IF(K4083&lt;=5,"OPORTUNO","MUITO BOM")))</f>
        <v/>
      </c>
      <c r="M4083" s="3" t="n">
        <v>15</v>
      </c>
      <c r="N4083" s="3" t="n">
        <v>100</v>
      </c>
      <c r="O4083" s="12" t="n">
        <v>36.59420289855073</v>
      </c>
    </row>
    <row r="4084">
      <c r="A4084" s="10" t="n">
        <v>46129</v>
      </c>
      <c r="B4084" t="inlineStr">
        <is>
          <t>Davylla Rodrigues Freitas Silva</t>
        </is>
      </c>
      <c r="C4084" s="1" t="inlineStr">
        <is>
          <t>Técnico III</t>
        </is>
      </c>
      <c r="D4084" s="3" t="n">
        <v>28</v>
      </c>
      <c r="E4084" s="3" t="n">
        <v>27</v>
      </c>
      <c r="F4084" s="3" t="n">
        <v>20.11</v>
      </c>
      <c r="G4084" s="3" t="n">
        <v>0</v>
      </c>
      <c r="H4084" s="3" t="n">
        <v>0</v>
      </c>
      <c r="I4084" s="3" t="n">
        <v>0</v>
      </c>
      <c r="J4084" s="3" t="n">
        <v>0</v>
      </c>
      <c r="K4084" s="3" t="n">
        <v>0</v>
      </c>
      <c r="L4084" s="3">
        <f>IF(K4084&lt;-5,"CRÍTICO",IF(K4084&lt;0,"ATENÇÃO",IF(K4084&lt;=5,"OPORTUNO","MUITO BOM")))</f>
        <v/>
      </c>
      <c r="M4084" s="3" t="n">
        <v>28</v>
      </c>
      <c r="N4084" s="3" t="n">
        <v>100</v>
      </c>
      <c r="O4084" s="12" t="n">
        <v>38.65384615384615</v>
      </c>
    </row>
    <row r="4085">
      <c r="A4085" s="10" t="n">
        <v>46129</v>
      </c>
      <c r="B4085" t="inlineStr">
        <is>
          <t>Emilly Caylane Costa</t>
        </is>
      </c>
      <c r="C4085" s="1" t="inlineStr">
        <is>
          <t>Estágio</t>
        </is>
      </c>
      <c r="D4085" s="3" t="n">
        <v>13</v>
      </c>
      <c r="E4085" s="3" t="n">
        <v>11</v>
      </c>
      <c r="F4085" s="3" t="n">
        <v>13.5</v>
      </c>
      <c r="G4085" s="3" t="n">
        <v>0</v>
      </c>
      <c r="H4085" s="3" t="n">
        <v>0</v>
      </c>
      <c r="I4085" s="3">
        <f>E4085+G4085+H4085</f>
        <v/>
      </c>
      <c r="J4085" s="3">
        <f>ROUND(MIN(IF(C4085="Técnico III",35,IF(C4085="Técnico II",28,IF(C4085="Técnico I",23,IF(C4085="JR",20,IF(C4085="Estágio",10,0))))),IF(C4085="Técnico III",SUMIFS($D:$D,$A:$A,$A4085,$B:$B,"&lt;&gt;Patrícia Karla de Sousa Araújo",$B:$B,"&lt;&gt;Lorena Dias de Araujo",$B:$B,"&lt;&gt;Lucas Luiz Romero")*(35/1083),IF(C4085="Técnico II",SUMIFS($D:$D,$A:$A,$A4085,$B:$B,"&lt;&gt;Patrícia Karla de Sousa Araújo",$B:$B,"&lt;&gt;Lorena Dias de Araujo",$B:$B,"&lt;&gt;Lucas Luiz Romero")*(28/1083),IF(C4085="Técnico I",SUMIFS($D:$D,$A:$A,$A4085,$B:$B,"&lt;&gt;Patrícia Karla de Sousa Araújo",$B:$B,"&lt;&gt;Lorena Dias de Araujo",$B:$B,"&lt;&gt;Lucas Luiz Romero")*(23/1083),IF(C4085="JR",SUMIFS($D:$D,$A:$A,$A4085,$B:$B,"&lt;&gt;Patrícia Karla de Sousa Araújo",$B:$B,"&lt;&gt;Lorena Dias de Araujo",$B:$B,"&lt;&gt;Lucas Luiz Romero")*(20/1083),IF(C4085="Estágio",SUMIFS($D:$D,$A:$A,$A4085,$B:$B,"&lt;&gt;Patrícia Karla de Sousa Araújo",$B:$B,"&lt;&gt;Lorena Dias de Araujo",$B:$B,"&lt;&gt;Lucas Luiz Romero")*(10/1083),0)))))),0)</f>
        <v/>
      </c>
      <c r="K4085" s="3">
        <f>I4085-J4085</f>
        <v/>
      </c>
      <c r="L4085" s="3">
        <f>IF(K4085&lt;-5,"CRÍTICO",IF(K4085&lt;0,"ATENÇÃO",IF(K4085&lt;=5,"OPORTUNO","MUITO BOM")))</f>
        <v/>
      </c>
      <c r="M4085" s="3" t="n">
        <v>7</v>
      </c>
      <c r="N4085" s="3" t="n">
        <v>100</v>
      </c>
      <c r="O4085" s="12" t="n">
        <v>27.36842105263158</v>
      </c>
    </row>
    <row r="4086">
      <c r="A4086" s="10" t="n">
        <v>46129</v>
      </c>
      <c r="B4086" t="inlineStr">
        <is>
          <t>Emilly Kamilly Medeiros Miranda</t>
        </is>
      </c>
      <c r="C4086" s="1" t="inlineStr">
        <is>
          <t>Técnico II</t>
        </is>
      </c>
      <c r="D4086" s="3" t="n">
        <v>27</v>
      </c>
      <c r="E4086" s="3" t="n">
        <v>25</v>
      </c>
      <c r="F4086" s="3" t="n">
        <v>17.03</v>
      </c>
      <c r="G4086" s="3" t="n">
        <v>0</v>
      </c>
      <c r="H4086" s="3" t="n">
        <v>0</v>
      </c>
      <c r="I4086" s="3">
        <f>E4086+G4086+H4086</f>
        <v/>
      </c>
      <c r="J4086" s="3">
        <f>ROUND(MIN(IF(C4086="Técnico III",35,IF(C4086="Técnico II",28,IF(C4086="Técnico I",23,IF(C4086="JR",20,IF(C4086="Estágio",10,0))))),IF(C4086="Técnico III",SUMIFS($D:$D,$A:$A,$A4086,$B:$B,"&lt;&gt;Patrícia Karla de Sousa Araújo",$B:$B,"&lt;&gt;Lorena Dias de Araujo",$B:$B,"&lt;&gt;Lucas Luiz Romero")*(35/1083),IF(C4086="Técnico II",SUMIFS($D:$D,$A:$A,$A4086,$B:$B,"&lt;&gt;Patrícia Karla de Sousa Araújo",$B:$B,"&lt;&gt;Lorena Dias de Araujo",$B:$B,"&lt;&gt;Lucas Luiz Romero")*(28/1083),IF(C4086="Técnico I",SUMIFS($D:$D,$A:$A,$A4086,$B:$B,"&lt;&gt;Patrícia Karla de Sousa Araújo",$B:$B,"&lt;&gt;Lorena Dias de Araujo",$B:$B,"&lt;&gt;Lucas Luiz Romero")*(23/1083),IF(C4086="JR",SUMIFS($D:$D,$A:$A,$A4086,$B:$B,"&lt;&gt;Patrícia Karla de Sousa Araújo",$B:$B,"&lt;&gt;Lorena Dias de Araujo",$B:$B,"&lt;&gt;Lucas Luiz Romero")*(20/1083),IF(C4086="Estágio",SUMIFS($D:$D,$A:$A,$A4086,$B:$B,"&lt;&gt;Patrícia Karla de Sousa Araújo",$B:$B,"&lt;&gt;Lorena Dias de Araujo",$B:$B,"&lt;&gt;Lucas Luiz Romero")*(10/1083),0)))))),0)</f>
        <v/>
      </c>
      <c r="K4086" s="3">
        <f>I4086-J4086</f>
        <v/>
      </c>
      <c r="L4086" s="3">
        <f>IF(K4086&lt;-5,"CRÍTICO",IF(K4086&lt;0,"ATENÇÃO",IF(K4086&lt;=5,"OPORTUNO","MUITO BOM")))</f>
        <v/>
      </c>
      <c r="M4086" s="3" t="n">
        <v>25</v>
      </c>
      <c r="N4086" s="3" t="n">
        <v>97.83</v>
      </c>
      <c r="O4086" s="12" t="n">
        <v>28.35164835164835</v>
      </c>
    </row>
    <row r="4087">
      <c r="A4087" s="10" t="n">
        <v>46129</v>
      </c>
      <c r="B4087" t="inlineStr">
        <is>
          <t>Francielson de Oliveira</t>
        </is>
      </c>
      <c r="C4087" s="1" t="inlineStr">
        <is>
          <t>Técnico III</t>
        </is>
      </c>
      <c r="D4087" s="3" t="n">
        <v>30</v>
      </c>
      <c r="E4087" s="3" t="n">
        <v>27</v>
      </c>
      <c r="F4087" s="3" t="n">
        <v>14.08</v>
      </c>
      <c r="G4087" s="3" t="n">
        <v>0</v>
      </c>
      <c r="H4087" s="3" t="n">
        <v>0</v>
      </c>
      <c r="I4087" s="3">
        <f>E4087+G4087+H4087</f>
        <v/>
      </c>
      <c r="J4087" s="3">
        <f>ROUND(MIN(IF(C4087="Técnico III",35,IF(C4087="Técnico II",28,IF(C4087="Técnico I",23,IF(C4087="JR",20,IF(C4087="Estágio",10,0))))),IF(C4087="Técnico III",SUMIFS($D:$D,$A:$A,$A4087,$B:$B,"&lt;&gt;Patrícia Karla de Sousa Araújo",$B:$B,"&lt;&gt;Lorena Dias de Araujo",$B:$B,"&lt;&gt;Lucas Luiz Romero")*(35/1083),IF(C4087="Técnico II",SUMIFS($D:$D,$A:$A,$A4087,$B:$B,"&lt;&gt;Patrícia Karla de Sousa Araújo",$B:$B,"&lt;&gt;Lorena Dias de Araujo",$B:$B,"&lt;&gt;Lucas Luiz Romero")*(28/1083),IF(C4087="Técnico I",SUMIFS($D:$D,$A:$A,$A4087,$B:$B,"&lt;&gt;Patrícia Karla de Sousa Araújo",$B:$B,"&lt;&gt;Lorena Dias de Araujo",$B:$B,"&lt;&gt;Lucas Luiz Romero")*(23/1083),IF(C4087="JR",SUMIFS($D:$D,$A:$A,$A4087,$B:$B,"&lt;&gt;Patrícia Karla de Sousa Araújo",$B:$B,"&lt;&gt;Lorena Dias de Araujo",$B:$B,"&lt;&gt;Lucas Luiz Romero")*(20/1083),IF(C4087="Estágio",SUMIFS($D:$D,$A:$A,$A4087,$B:$B,"&lt;&gt;Patrícia Karla de Sousa Araújo",$B:$B,"&lt;&gt;Lorena Dias de Araujo",$B:$B,"&lt;&gt;Lucas Luiz Romero")*(10/1083),0)))))),0)</f>
        <v/>
      </c>
      <c r="K4087" s="3">
        <f>I4087-J4087</f>
        <v/>
      </c>
      <c r="L4087" s="3">
        <f>IF(K4087&lt;-5,"CRÍTICO",IF(K4087&lt;0,"ATENÇÃO",IF(K4087&lt;=5,"OPORTUNO","MUITO BOM")))</f>
        <v/>
      </c>
      <c r="M4087" s="3" t="n">
        <v>30</v>
      </c>
      <c r="N4087" s="3" t="n">
        <v>99.26000000000001</v>
      </c>
      <c r="O4087" s="12" t="n">
        <v>29.76653696498055</v>
      </c>
    </row>
    <row r="4088">
      <c r="A4088" s="10" t="n">
        <v>46129</v>
      </c>
      <c r="B4088" t="inlineStr">
        <is>
          <t>Francilene Ferreira de Jesus</t>
        </is>
      </c>
      <c r="C4088" s="1" t="inlineStr">
        <is>
          <t>Técnico II</t>
        </is>
      </c>
      <c r="D4088" s="3" t="n">
        <v>31</v>
      </c>
      <c r="E4088" s="3" t="n">
        <v>28</v>
      </c>
      <c r="F4088" s="3" t="n">
        <v>15.49</v>
      </c>
      <c r="G4088" s="3" t="n">
        <v>0</v>
      </c>
      <c r="H4088" s="3" t="n">
        <v>0</v>
      </c>
      <c r="I4088" s="3">
        <f>E4088+G4088+H4088</f>
        <v/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/>
      </c>
      <c r="K4088" s="3">
        <f>I4088-J4088</f>
        <v/>
      </c>
      <c r="L4088" s="3">
        <f>IF(K4088&lt;-5,"CRÍTICO",IF(K4088&lt;0,"ATENÇÃO",IF(K4088&lt;=5,"OPORTUNO","MUITO BOM")))</f>
        <v/>
      </c>
      <c r="M4088" s="3" t="n">
        <v>23</v>
      </c>
      <c r="N4088" s="3" t="n">
        <v>99.19</v>
      </c>
      <c r="O4088" s="12" t="n">
        <v>29.46236559139785</v>
      </c>
    </row>
    <row r="4089">
      <c r="A4089" s="10" t="n">
        <v>46169</v>
      </c>
      <c r="B4089" t="inlineStr">
        <is>
          <t>Michelle G Santos</t>
        </is>
      </c>
      <c r="C4089" s="1" t="inlineStr">
        <is>
          <t>Estágio</t>
        </is>
      </c>
      <c r="D4089" s="3" t="n">
        <v>17</v>
      </c>
      <c r="E4089" s="3" t="n">
        <v>16</v>
      </c>
      <c r="F4089" s="3" t="n">
        <v>27.24</v>
      </c>
      <c r="G4089" s="3" t="n">
        <v>0</v>
      </c>
      <c r="H4089" s="3" t="n">
        <v>0</v>
      </c>
      <c r="I4089" s="3" t="n">
        <v>16</v>
      </c>
      <c r="J4089" s="3" t="n">
        <v>8</v>
      </c>
      <c r="K4089" s="3" t="n">
        <v>8</v>
      </c>
      <c r="L4089" s="3" t="inlineStr">
        <is>
          <t>EXCELENTE</t>
        </is>
      </c>
      <c r="M4089" s="3" t="n">
        <v>11</v>
      </c>
      <c r="N4089" s="3" t="n">
        <v>100</v>
      </c>
      <c r="O4089" s="12" t="n">
        <v>16.54676258992806</v>
      </c>
    </row>
    <row r="4090">
      <c r="A4090" s="10" t="n">
        <v>46129</v>
      </c>
      <c r="B4090" t="inlineStr">
        <is>
          <t>Isabella Borges de Oliveira</t>
        </is>
      </c>
      <c r="C4090" s="1" t="inlineStr">
        <is>
          <t>Técnico II</t>
        </is>
      </c>
      <c r="D4090" s="3" t="n">
        <v>0</v>
      </c>
      <c r="E4090" s="3" t="n">
        <v>0</v>
      </c>
      <c r="F4090" s="3" t="n">
        <v>0</v>
      </c>
      <c r="G4090" s="3" t="n">
        <v>0</v>
      </c>
      <c r="H4090" s="3" t="n">
        <v>0</v>
      </c>
      <c r="I4090" s="3" t="n">
        <v>0</v>
      </c>
      <c r="J4090" s="3" t="n">
        <v>0</v>
      </c>
      <c r="K4090" s="3" t="n">
        <v>0</v>
      </c>
      <c r="L4090" s="3">
        <f>IF(K4090&lt;-5,"CRÍTICO",IF(K4090&lt;0,"ATENÇÃO",IF(K4090&lt;=5,"OPORTUNO","MUITO BOM")))</f>
        <v/>
      </c>
      <c r="M4090" s="3" t="n">
        <v>0</v>
      </c>
      <c r="N4090" s="3" t="n">
        <v>100</v>
      </c>
      <c r="O4090" s="12" t="n">
        <v>28.92156862745098</v>
      </c>
    </row>
    <row r="4091">
      <c r="A4091" s="10" t="n">
        <v>46129</v>
      </c>
      <c r="B4091" t="inlineStr">
        <is>
          <t>Janaina Lima dos Reis Urany</t>
        </is>
      </c>
      <c r="C4091" s="1" t="inlineStr">
        <is>
          <t>Técnico III</t>
        </is>
      </c>
      <c r="D4091" s="3" t="n">
        <v>32</v>
      </c>
      <c r="E4091" s="3" t="n">
        <v>28</v>
      </c>
      <c r="F4091" s="3" t="n">
        <v>11.51</v>
      </c>
      <c r="G4091" s="3" t="n">
        <v>0</v>
      </c>
      <c r="H4091" s="3" t="n">
        <v>0</v>
      </c>
      <c r="I4091" s="3">
        <f>E4091+G4091+H4091</f>
        <v/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/>
      </c>
      <c r="K4091" s="3">
        <f>I4091-J4091</f>
        <v/>
      </c>
      <c r="L4091" s="3">
        <f>IF(K4091&lt;-5,"CRÍTICO",IF(K4091&lt;0,"ATENÇÃO",IF(K4091&lt;=5,"OPORTUNO","MUITO BOM")))</f>
        <v/>
      </c>
      <c r="M4091" s="3" t="n">
        <v>31</v>
      </c>
      <c r="N4091" s="3" t="n">
        <v>99.56999999999999</v>
      </c>
      <c r="O4091" s="12" t="n">
        <v>30.63583815028902</v>
      </c>
    </row>
    <row r="4092">
      <c r="A4092" s="10" t="n">
        <v>46129</v>
      </c>
      <c r="B4092" t="inlineStr">
        <is>
          <t>Jaqueline Evangelista da Silva Martins</t>
        </is>
      </c>
      <c r="C4092" s="1" t="inlineStr">
        <is>
          <t>Técnico III</t>
        </is>
      </c>
      <c r="D4092" s="3" t="n">
        <v>0</v>
      </c>
      <c r="E4092" s="3" t="n">
        <v>0</v>
      </c>
      <c r="F4092" s="3" t="n">
        <v>0</v>
      </c>
      <c r="G4092" s="3" t="n">
        <v>0</v>
      </c>
      <c r="H4092" s="3" t="n">
        <v>0</v>
      </c>
      <c r="I4092" s="3" t="n">
        <v>0</v>
      </c>
      <c r="J4092" s="3" t="n">
        <v>0</v>
      </c>
      <c r="K4092" s="3" t="n">
        <v>0</v>
      </c>
      <c r="L4092" s="3">
        <f>IF(K4092&lt;-5,"CRÍTICO",IF(K4092&lt;0,"ATENÇÃO",IF(K4092&lt;=5,"OPORTUNO","MUITO BOM")))</f>
        <v/>
      </c>
      <c r="M4092" s="3" t="n">
        <v>0</v>
      </c>
      <c r="N4092" s="3" t="n">
        <v>95.65000000000001</v>
      </c>
      <c r="O4092" s="12" t="n">
        <v>32.43243243243244</v>
      </c>
    </row>
    <row r="4093">
      <c r="A4093" s="10" t="n">
        <v>46129</v>
      </c>
      <c r="B4093" t="inlineStr">
        <is>
          <t>Jessica Faria da Silveira</t>
        </is>
      </c>
      <c r="C4093" s="1" t="inlineStr">
        <is>
          <t>Técnico II</t>
        </is>
      </c>
      <c r="D4093" s="3" t="n">
        <v>26</v>
      </c>
      <c r="E4093" s="3" t="n">
        <v>21</v>
      </c>
      <c r="F4093" s="3" t="n">
        <v>22.33</v>
      </c>
      <c r="G4093" s="3" t="n">
        <v>0</v>
      </c>
      <c r="H4093" s="3" t="n">
        <v>0</v>
      </c>
      <c r="I4093" s="3">
        <f>E4093+G4093+H4093</f>
        <v/>
      </c>
      <c r="J4093" s="3">
        <f>ROUND(MIN(IF(C4093="Técnico III",35,IF(C4093="Técnico II",28,IF(C4093="Técnico I",23,IF(C4093="JR",20,IF(C4093="Estágio",10,0))))),IF(C4093="Técnico III",SUMIFS($D:$D,$A:$A,$A4093,$B:$B,"&lt;&gt;Patrícia Karla de Sousa Araújo",$B:$B,"&lt;&gt;Lorena Dias de Araujo",$B:$B,"&lt;&gt;Lucas Luiz Romero")*(35/1083),IF(C4093="Técnico II",SUMIFS($D:$D,$A:$A,$A4093,$B:$B,"&lt;&gt;Patrícia Karla de Sousa Araújo",$B:$B,"&lt;&gt;Lorena Dias de Araujo",$B:$B,"&lt;&gt;Lucas Luiz Romero")*(28/1083),IF(C4093="Técnico I",SUMIFS($D:$D,$A:$A,$A4093,$B:$B,"&lt;&gt;Patrícia Karla de Sousa Araújo",$B:$B,"&lt;&gt;Lorena Dias de Araujo",$B:$B,"&lt;&gt;Lucas Luiz Romero")*(23/1083),IF(C4093="JR",SUMIFS($D:$D,$A:$A,$A4093,$B:$B,"&lt;&gt;Patrícia Karla de Sousa Araújo",$B:$B,"&lt;&gt;Lorena Dias de Araujo",$B:$B,"&lt;&gt;Lucas Luiz Romero")*(20/1083),IF(C4093="Estágio",SUMIFS($D:$D,$A:$A,$A4093,$B:$B,"&lt;&gt;Patrícia Karla de Sousa Araújo",$B:$B,"&lt;&gt;Lorena Dias de Araujo",$B:$B,"&lt;&gt;Lucas Luiz Romero")*(10/1083),0)))))),0)</f>
        <v/>
      </c>
      <c r="K4093" s="3">
        <f>I4093-J4093</f>
        <v/>
      </c>
      <c r="L4093" s="3">
        <f>IF(K4093&lt;-5,"CRÍTICO",IF(K4093&lt;0,"ATENÇÃO",IF(K4093&lt;=5,"OPORTUNO","MUITO BOM")))</f>
        <v/>
      </c>
      <c r="M4093" s="3" t="n">
        <v>16</v>
      </c>
      <c r="N4093" s="3" t="n">
        <v>98.81</v>
      </c>
      <c r="O4093" s="12" t="n">
        <v>26.25698324022346</v>
      </c>
    </row>
    <row r="4094">
      <c r="A4094" s="10" t="n">
        <v>46129</v>
      </c>
      <c r="B4094" t="inlineStr">
        <is>
          <t>Jéssica Fé Moura</t>
        </is>
      </c>
      <c r="C4094" s="1" t="inlineStr">
        <is>
          <t>Técnico III</t>
        </is>
      </c>
      <c r="D4094" s="3" t="n">
        <v>0</v>
      </c>
      <c r="E4094" s="3" t="n">
        <v>0</v>
      </c>
      <c r="F4094" s="3" t="n">
        <v>0</v>
      </c>
      <c r="G4094" s="3" t="n">
        <v>0</v>
      </c>
      <c r="H4094" s="3" t="n">
        <v>0</v>
      </c>
      <c r="I4094" s="3" t="n">
        <v>0</v>
      </c>
      <c r="J4094" s="3" t="n">
        <v>0</v>
      </c>
      <c r="K4094" s="3" t="n">
        <v>0</v>
      </c>
      <c r="L4094" s="3">
        <f>IF(K4094&lt;-5,"CRÍTICO",IF(K4094&lt;0,"ATENÇÃO",IF(K4094&lt;=5,"OPORTUNO","MUITO BOM")))</f>
        <v/>
      </c>
      <c r="M4094" s="3" t="n">
        <v>0</v>
      </c>
      <c r="N4094" s="3" t="n">
        <v>0</v>
      </c>
      <c r="O4094" s="12" t="n">
        <v>0</v>
      </c>
    </row>
    <row r="4095">
      <c r="A4095" s="10" t="n">
        <v>46129</v>
      </c>
      <c r="B4095" t="inlineStr">
        <is>
          <t>Karina Gonçalves Martins</t>
        </is>
      </c>
      <c r="C4095" s="1" t="inlineStr">
        <is>
          <t>JR</t>
        </is>
      </c>
      <c r="D4095" s="3" t="n">
        <v>21</v>
      </c>
      <c r="E4095" s="3" t="n">
        <v>21</v>
      </c>
      <c r="F4095" s="3" t="n">
        <v>20.14</v>
      </c>
      <c r="G4095" s="3" t="n">
        <v>0</v>
      </c>
      <c r="H4095" s="3" t="n">
        <v>0</v>
      </c>
      <c r="I4095" s="3">
        <f>E4095+G4095+H4095</f>
        <v/>
      </c>
      <c r="J4095" s="3">
        <f>ROUND(MIN(IF(C4095="Técnico III",35,IF(C4095="Técnico II",28,IF(C4095="Técnico I",23,IF(C4095="JR",20,IF(C4095="Estágio",10,0))))),IF(C4095="Técnico III",SUMIFS($D:$D,$A:$A,$A4095,$B:$B,"&lt;&gt;Patrícia Karla de Sousa Araújo",$B:$B,"&lt;&gt;Lorena Dias de Araujo",$B:$B,"&lt;&gt;Lucas Luiz Romero")*(35/1083),IF(C4095="Técnico II",SUMIFS($D:$D,$A:$A,$A4095,$B:$B,"&lt;&gt;Patrícia Karla de Sousa Araújo",$B:$B,"&lt;&gt;Lorena Dias de Araujo",$B:$B,"&lt;&gt;Lucas Luiz Romero")*(28/1083),IF(C4095="Técnico I",SUMIFS($D:$D,$A:$A,$A4095,$B:$B,"&lt;&gt;Patrícia Karla de Sousa Araújo",$B:$B,"&lt;&gt;Lorena Dias de Araujo",$B:$B,"&lt;&gt;Lucas Luiz Romero")*(23/1083),IF(C4095="JR",SUMIFS($D:$D,$A:$A,$A4095,$B:$B,"&lt;&gt;Patrícia Karla de Sousa Araújo",$B:$B,"&lt;&gt;Lorena Dias de Araujo",$B:$B,"&lt;&gt;Lucas Luiz Romero")*(20/1083),IF(C4095="Estágio",SUMIFS($D:$D,$A:$A,$A4095,$B:$B,"&lt;&gt;Patrícia Karla de Sousa Araújo",$B:$B,"&lt;&gt;Lorena Dias de Araujo",$B:$B,"&lt;&gt;Lucas Luiz Romero")*(10/1083),0)))))),0)</f>
        <v/>
      </c>
      <c r="K4095" s="3">
        <f>I4095-J4095</f>
        <v/>
      </c>
      <c r="L4095" s="3">
        <f>IF(K4095&lt;-5,"CRÍTICO",IF(K4095&lt;0,"ATENÇÃO",IF(K4095&lt;=5,"OPORTUNO","MUITO BOM")))</f>
        <v/>
      </c>
      <c r="M4095" s="3" t="n">
        <v>21</v>
      </c>
      <c r="N4095" s="3" t="n">
        <v>97.17</v>
      </c>
      <c r="O4095" s="12" t="n">
        <v>28.81844380403458</v>
      </c>
    </row>
    <row r="4096">
      <c r="A4096" s="10" t="n">
        <v>46129</v>
      </c>
      <c r="B4096" t="inlineStr">
        <is>
          <t>Kerollen Cristielly de Jesus Siqueira</t>
        </is>
      </c>
      <c r="C4096" s="1" t="inlineStr">
        <is>
          <t>Técnico III</t>
        </is>
      </c>
      <c r="D4096" s="3" t="n">
        <v>0</v>
      </c>
      <c r="E4096" s="3" t="n">
        <v>0</v>
      </c>
      <c r="F4096" s="3" t="n">
        <v>0</v>
      </c>
      <c r="G4096" s="3" t="n">
        <v>0</v>
      </c>
      <c r="H4096" s="3" t="n">
        <v>0</v>
      </c>
      <c r="I4096" s="3" t="n">
        <v>0</v>
      </c>
      <c r="J4096" s="3" t="n">
        <v>0</v>
      </c>
      <c r="K4096" s="3" t="n">
        <v>0</v>
      </c>
      <c r="L4096" s="3">
        <f>IF(K4096&lt;-5,"CRÍTICO",IF(K4096&lt;0,"ATENÇÃO",IF(K4096&lt;=5,"OPORTUNO","MUITO BOM")))</f>
        <v/>
      </c>
      <c r="M4096" s="3" t="n">
        <v>22</v>
      </c>
      <c r="N4096" s="3" t="n">
        <v>96.81</v>
      </c>
      <c r="O4096" s="12" t="n">
        <v>48.01864801864802</v>
      </c>
    </row>
    <row r="4097">
      <c r="A4097" s="10" t="n">
        <v>46129</v>
      </c>
      <c r="B4097" t="inlineStr">
        <is>
          <t>Leandro de Souza Silva</t>
        </is>
      </c>
      <c r="C4097" s="1" t="inlineStr">
        <is>
          <t>JR</t>
        </is>
      </c>
      <c r="D4097" s="3" t="n">
        <v>12</v>
      </c>
      <c r="E4097" s="3" t="n">
        <v>8</v>
      </c>
      <c r="F4097" s="3" t="n">
        <v>19.05</v>
      </c>
      <c r="G4097" s="3" t="n">
        <v>0</v>
      </c>
      <c r="H4097" s="3" t="n">
        <v>0</v>
      </c>
      <c r="I4097" s="3">
        <f>E4097+G4097+H4097</f>
        <v/>
      </c>
      <c r="J4097" s="3">
        <f>ROUND(MIN(IF(C4097="Técnico III",35,IF(C4097="Técnico II",28,IF(C4097="Técnico I",23,IF(C4097="JR",20,IF(C4097="Estágio",10,0))))),IF(C4097="Técnico III",SUMIFS($D:$D,$A:$A,$A4097,$B:$B,"&lt;&gt;Patrícia Karla de Sousa Araújo",$B:$B,"&lt;&gt;Lorena Dias de Araujo",$B:$B,"&lt;&gt;Lucas Luiz Romero")*(35/1083),IF(C4097="Técnico II",SUMIFS($D:$D,$A:$A,$A4097,$B:$B,"&lt;&gt;Patrícia Karla de Sousa Araújo",$B:$B,"&lt;&gt;Lorena Dias de Araujo",$B:$B,"&lt;&gt;Lucas Luiz Romero")*(28/1083),IF(C4097="Técnico I",SUMIFS($D:$D,$A:$A,$A4097,$B:$B,"&lt;&gt;Patrícia Karla de Sousa Araújo",$B:$B,"&lt;&gt;Lorena Dias de Araujo",$B:$B,"&lt;&gt;Lucas Luiz Romero")*(23/1083),IF(C4097="JR",SUMIFS($D:$D,$A:$A,$A4097,$B:$B,"&lt;&gt;Patrícia Karla de Sousa Araújo",$B:$B,"&lt;&gt;Lorena Dias de Araujo",$B:$B,"&lt;&gt;Lucas Luiz Romero")*(20/1083),IF(C4097="Estágio",SUMIFS($D:$D,$A:$A,$A4097,$B:$B,"&lt;&gt;Patrícia Karla de Sousa Araújo",$B:$B,"&lt;&gt;Lorena Dias de Araujo",$B:$B,"&lt;&gt;Lucas Luiz Romero")*(10/1083),0)))))),0)</f>
        <v/>
      </c>
      <c r="K4097" s="3">
        <f>I4097-J4097</f>
        <v/>
      </c>
      <c r="L4097" s="3">
        <f>IF(K4097&lt;-5,"CRÍTICO",IF(K4097&lt;0,"ATENÇÃO",IF(K4097&lt;=5,"OPORTUNO","MUITO BOM")))</f>
        <v/>
      </c>
      <c r="M4097" s="3" t="n">
        <v>6</v>
      </c>
      <c r="N4097" s="3" t="n">
        <v>98.15000000000001</v>
      </c>
      <c r="O4097" s="12" t="n">
        <v>27.1551724137931</v>
      </c>
    </row>
    <row r="4098">
      <c r="A4098" s="10" t="n">
        <v>46129</v>
      </c>
      <c r="B4098" t="inlineStr">
        <is>
          <t>Leandro Oliveira de Sousa</t>
        </is>
      </c>
      <c r="C4098" s="1" t="inlineStr">
        <is>
          <t>Técnico III</t>
        </is>
      </c>
      <c r="D4098" s="3" t="n">
        <v>24</v>
      </c>
      <c r="E4098" s="3" t="n">
        <v>22</v>
      </c>
      <c r="F4098" s="3" t="n">
        <v>15.56</v>
      </c>
      <c r="G4098" s="3" t="n">
        <v>0</v>
      </c>
      <c r="H4098" s="3" t="n">
        <v>0</v>
      </c>
      <c r="I4098" s="3">
        <f>E4098+G4098+H4098</f>
        <v/>
      </c>
      <c r="J4098" s="3">
        <f>ROUND(MIN(IF(C4098="Técnico III",35,IF(C4098="Técnico II",28,IF(C4098="Técnico I",23,IF(C4098="JR",20,IF(C4098="Estágio",10,0))))),IF(C4098="Técnico III",SUMIFS($D:$D,$A:$A,$A4098,$B:$B,"&lt;&gt;Patrícia Karla de Sousa Araújo",$B:$B,"&lt;&gt;Lorena Dias de Araujo",$B:$B,"&lt;&gt;Lucas Luiz Romero")*(35/1083),IF(C4098="Técnico II",SUMIFS($D:$D,$A:$A,$A4098,$B:$B,"&lt;&gt;Patrícia Karla de Sousa Araújo",$B:$B,"&lt;&gt;Lorena Dias de Araujo",$B:$B,"&lt;&gt;Lucas Luiz Romero")*(28/1083),IF(C4098="Técnico I",SUMIFS($D:$D,$A:$A,$A4098,$B:$B,"&lt;&gt;Patrícia Karla de Sousa Araújo",$B:$B,"&lt;&gt;Lorena Dias de Araujo",$B:$B,"&lt;&gt;Lucas Luiz Romero")*(23/1083),IF(C4098="JR",SUMIFS($D:$D,$A:$A,$A4098,$B:$B,"&lt;&gt;Patrícia Karla de Sousa Araújo",$B:$B,"&lt;&gt;Lorena Dias de Araujo",$B:$B,"&lt;&gt;Lucas Luiz Romero")*(20/1083),IF(C4098="Estágio",SUMIFS($D:$D,$A:$A,$A4098,$B:$B,"&lt;&gt;Patrícia Karla de Sousa Araújo",$B:$B,"&lt;&gt;Lorena Dias de Araujo",$B:$B,"&lt;&gt;Lucas Luiz Romero")*(10/1083),0)))))),0)</f>
        <v/>
      </c>
      <c r="K4098" s="3">
        <f>I4098-J4098</f>
        <v/>
      </c>
      <c r="L4098" s="3">
        <f>IF(K4098&lt;-5,"CRÍTICO",IF(K4098&lt;0,"ATENÇÃO",IF(K4098&lt;=5,"OPORTUNO","MUITO BOM")))</f>
        <v/>
      </c>
      <c r="M4098" s="3" t="n">
        <v>23</v>
      </c>
      <c r="N4098" s="3" t="n">
        <v>99.15000000000001</v>
      </c>
      <c r="O4098" s="12" t="n">
        <v>27.58620689655172</v>
      </c>
    </row>
    <row r="4099">
      <c r="A4099" s="10" t="n">
        <v>46129</v>
      </c>
      <c r="B4099" t="inlineStr">
        <is>
          <t>Lizandra Gomes Duarte</t>
        </is>
      </c>
      <c r="C4099" s="1" t="inlineStr">
        <is>
          <t>Técnico II</t>
        </is>
      </c>
      <c r="D4099" s="3" t="n">
        <v>27</v>
      </c>
      <c r="E4099" s="3" t="n">
        <v>27</v>
      </c>
      <c r="F4099" s="3" t="n">
        <v>20.28</v>
      </c>
      <c r="G4099" s="3" t="n">
        <v>0</v>
      </c>
      <c r="H4099" s="3" t="n">
        <v>0</v>
      </c>
      <c r="I4099" s="3">
        <f>E4099+G4099+H4099</f>
        <v/>
      </c>
      <c r="J4099" s="3">
        <f>ROUND(MIN(IF(C4099="Técnico III",35,IF(C4099="Técnico II",28,IF(C4099="Técnico I",23,IF(C4099="JR",20,IF(C4099="Estágio",10,0))))),IF(C4099="Técnico III",SUMIFS($D:$D,$A:$A,$A4099,$B:$B,"&lt;&gt;Patrícia Karla de Sousa Araújo",$B:$B,"&lt;&gt;Lorena Dias de Araujo",$B:$B,"&lt;&gt;Lucas Luiz Romero")*(35/1083),IF(C4099="Técnico II",SUMIFS($D:$D,$A:$A,$A4099,$B:$B,"&lt;&gt;Patrícia Karla de Sousa Araújo",$B:$B,"&lt;&gt;Lorena Dias de Araujo",$B:$B,"&lt;&gt;Lucas Luiz Romero")*(28/1083),IF(C4099="Técnico I",SUMIFS($D:$D,$A:$A,$A4099,$B:$B,"&lt;&gt;Patrícia Karla de Sousa Araújo",$B:$B,"&lt;&gt;Lorena Dias de Araujo",$B:$B,"&lt;&gt;Lucas Luiz Romero")*(23/1083),IF(C4099="JR",SUMIFS($D:$D,$A:$A,$A4099,$B:$B,"&lt;&gt;Patrícia Karla de Sousa Araújo",$B:$B,"&lt;&gt;Lorena Dias de Araujo",$B:$B,"&lt;&gt;Lucas Luiz Romero")*(20/1083),IF(C4099="Estágio",SUMIFS($D:$D,$A:$A,$A4099,$B:$B,"&lt;&gt;Patrícia Karla de Sousa Araújo",$B:$B,"&lt;&gt;Lorena Dias de Araujo",$B:$B,"&lt;&gt;Lucas Luiz Romero")*(10/1083),0)))))),0)</f>
        <v/>
      </c>
      <c r="K4099" s="3">
        <f>I4099-J4099</f>
        <v/>
      </c>
      <c r="L4099" s="3">
        <f>IF(K4099&lt;-5,"CRÍTICO",IF(K4099&lt;0,"ATENÇÃO",IF(K4099&lt;=5,"OPORTUNO","MUITO BOM")))</f>
        <v/>
      </c>
      <c r="M4099" s="3" t="n">
        <v>18</v>
      </c>
      <c r="N4099" s="3" t="n">
        <v>99.17</v>
      </c>
      <c r="O4099" s="12" t="n">
        <v>29.75206611570248</v>
      </c>
    </row>
    <row r="4100">
      <c r="A4100" s="10" t="n">
        <v>46129</v>
      </c>
      <c r="B4100" t="inlineStr">
        <is>
          <t>Lorena Dias de Araujo</t>
        </is>
      </c>
      <c r="C4100" s="1" t="inlineStr">
        <is>
          <t>Técnico II</t>
        </is>
      </c>
      <c r="D4100" s="3" t="n">
        <v>0</v>
      </c>
      <c r="E4100" s="3" t="n">
        <v>0</v>
      </c>
      <c r="F4100" s="3" t="n">
        <v>0</v>
      </c>
      <c r="G4100" s="3" t="n">
        <v>0</v>
      </c>
      <c r="H4100" s="3" t="n">
        <v>0</v>
      </c>
      <c r="I4100" s="3" t="n">
        <v>0</v>
      </c>
      <c r="J4100" s="3" t="n">
        <v>0</v>
      </c>
      <c r="K4100" s="3" t="n">
        <v>0</v>
      </c>
      <c r="L4100" s="3">
        <f>IF(K4100&lt;-5,"CRÍTICO",IF(K4100&lt;0,"ATENÇÃO",IF(K4100&lt;=5,"OPORTUNO","MUITO BOM")))</f>
        <v/>
      </c>
      <c r="M4100" s="3" t="n">
        <v>0</v>
      </c>
      <c r="N4100" s="3" t="n">
        <v>98.73</v>
      </c>
      <c r="O4100" s="12" t="n">
        <v>28.96174863387978</v>
      </c>
    </row>
    <row r="4101">
      <c r="A4101" s="10" t="n">
        <v>46129</v>
      </c>
      <c r="B4101" t="inlineStr">
        <is>
          <t>Lucas Luiz Romero</t>
        </is>
      </c>
      <c r="C4101" s="1" t="inlineStr">
        <is>
          <t>Técnico III</t>
        </is>
      </c>
      <c r="D4101" s="3" t="n">
        <v>0</v>
      </c>
      <c r="E4101" s="3" t="n">
        <v>0</v>
      </c>
      <c r="F4101" s="3" t="n">
        <v>0</v>
      </c>
      <c r="G4101" s="3" t="n">
        <v>0</v>
      </c>
      <c r="H4101" s="3" t="n">
        <v>0</v>
      </c>
      <c r="I4101" s="3" t="n">
        <v>0</v>
      </c>
      <c r="J4101" s="3" t="n">
        <v>0</v>
      </c>
      <c r="K4101" s="3" t="n">
        <v>0</v>
      </c>
      <c r="L4101" s="3">
        <f>IF(K4101&lt;-5,"CRÍTICO",IF(K4101&lt;0,"ATENÇÃO",IF(K4101&lt;=5,"OPORTUNO","MUITO BOM")))</f>
        <v/>
      </c>
      <c r="M4101" s="3" t="n">
        <v>0</v>
      </c>
      <c r="N4101" s="3" t="n">
        <v>88.68000000000001</v>
      </c>
      <c r="O4101" s="12" t="n">
        <v>22.03389830508474</v>
      </c>
    </row>
    <row r="4102">
      <c r="A4102" s="10" t="n">
        <v>46129</v>
      </c>
      <c r="B4102" t="inlineStr">
        <is>
          <t>Luiz Fernando de Carvalho Junior</t>
        </is>
      </c>
      <c r="C4102" s="1" t="inlineStr">
        <is>
          <t>Técnico I</t>
        </is>
      </c>
      <c r="D4102" s="3" t="n">
        <v>20</v>
      </c>
      <c r="E4102" s="3" t="n">
        <v>20</v>
      </c>
      <c r="F4102" s="3" t="n">
        <v>25.26</v>
      </c>
      <c r="G4102" s="3" t="n">
        <v>0</v>
      </c>
      <c r="H4102" s="3" t="n">
        <v>0</v>
      </c>
      <c r="I4102" s="3">
        <f>E4102+G4102+H4102</f>
        <v/>
      </c>
      <c r="J4102" s="3">
        <f>ROUND(MIN(IF(C4102="Técnico III",35,IF(C4102="Técnico II",28,IF(C4102="Técnico I",23,IF(C4102="JR",20,IF(C4102="Estágio",10,0))))),IF(C4102="Técnico III",SUMIFS($D:$D,$A:$A,$A4102,$B:$B,"&lt;&gt;Patrícia Karla de Sousa Araújo",$B:$B,"&lt;&gt;Lorena Dias de Araujo",$B:$B,"&lt;&gt;Lucas Luiz Romero")*(35/1083),IF(C4102="Técnico II",SUMIFS($D:$D,$A:$A,$A4102,$B:$B,"&lt;&gt;Patrícia Karla de Sousa Araújo",$B:$B,"&lt;&gt;Lorena Dias de Araujo",$B:$B,"&lt;&gt;Lucas Luiz Romero")*(28/1083),IF(C4102="Técnico I",SUMIFS($D:$D,$A:$A,$A4102,$B:$B,"&lt;&gt;Patrícia Karla de Sousa Araújo",$B:$B,"&lt;&gt;Lorena Dias de Araujo",$B:$B,"&lt;&gt;Lucas Luiz Romero")*(23/1083),IF(C4102="JR",SUMIFS($D:$D,$A:$A,$A4102,$B:$B,"&lt;&gt;Patrícia Karla de Sousa Araújo",$B:$B,"&lt;&gt;Lorena Dias de Araujo",$B:$B,"&lt;&gt;Lucas Luiz Romero")*(20/1083),IF(C4102="Estágio",SUMIFS($D:$D,$A:$A,$A4102,$B:$B,"&lt;&gt;Patrícia Karla de Sousa Araújo",$B:$B,"&lt;&gt;Lorena Dias de Araujo",$B:$B,"&lt;&gt;Lucas Luiz Romero")*(10/1083),0)))))),0)</f>
        <v/>
      </c>
      <c r="K4102" s="3">
        <f>I4102-J4102</f>
        <v/>
      </c>
      <c r="L4102" s="3">
        <f>IF(K4102&lt;-5,"CRÍTICO",IF(K4102&lt;0,"ATENÇÃO",IF(K4102&lt;=5,"OPORTUNO","MUITO BOM")))</f>
        <v/>
      </c>
      <c r="M4102" s="3" t="n">
        <v>19</v>
      </c>
      <c r="N4102" s="3" t="n">
        <v>97.37</v>
      </c>
      <c r="O4102" s="12" t="n">
        <v>25.76530612244898</v>
      </c>
    </row>
    <row r="4103">
      <c r="A4103" s="10" t="n">
        <v>46129</v>
      </c>
      <c r="B4103" t="inlineStr">
        <is>
          <t>Maria Eduarda Sousa Costa</t>
        </is>
      </c>
      <c r="C4103" s="1" t="inlineStr">
        <is>
          <t>Estágio</t>
        </is>
      </c>
      <c r="D4103" s="3" t="n">
        <v>39</v>
      </c>
      <c r="E4103" s="3" t="n">
        <v>28</v>
      </c>
      <c r="F4103" s="3" t="n">
        <v>12.3</v>
      </c>
      <c r="G4103" s="3" t="n">
        <v>0</v>
      </c>
      <c r="H4103" s="3" t="n">
        <v>0</v>
      </c>
      <c r="I4103" s="3">
        <f>E4103+G4103+H4103</f>
        <v/>
      </c>
      <c r="J4103" s="3">
        <f>ROUND(MIN(IF(C4103="Técnico III",35,IF(C4103="Técnico II",28,IF(C4103="Técnico I",23,IF(C4103="JR",20,IF(C4103="Estágio",10,0))))),IF(C4103="Técnico III",SUMIFS($D:$D,$A:$A,$A4103,$B:$B,"&lt;&gt;Patrícia Karla de Sousa Araújo",$B:$B,"&lt;&gt;Lorena Dias de Araujo",$B:$B,"&lt;&gt;Lucas Luiz Romero")*(35/1083),IF(C4103="Técnico II",SUMIFS($D:$D,$A:$A,$A4103,$B:$B,"&lt;&gt;Patrícia Karla de Sousa Araújo",$B:$B,"&lt;&gt;Lorena Dias de Araujo",$B:$B,"&lt;&gt;Lucas Luiz Romero")*(28/1083),IF(C4103="Técnico I",SUMIFS($D:$D,$A:$A,$A4103,$B:$B,"&lt;&gt;Patrícia Karla de Sousa Araújo",$B:$B,"&lt;&gt;Lorena Dias de Araujo",$B:$B,"&lt;&gt;Lucas Luiz Romero")*(23/1083),IF(C4103="JR",SUMIFS($D:$D,$A:$A,$A4103,$B:$B,"&lt;&gt;Patrícia Karla de Sousa Araújo",$B:$B,"&lt;&gt;Lorena Dias de Araujo",$B:$B,"&lt;&gt;Lucas Luiz Romero")*(20/1083),IF(C4103="Estágio",SUMIFS($D:$D,$A:$A,$A4103,$B:$B,"&lt;&gt;Patrícia Karla de Sousa Araújo",$B:$B,"&lt;&gt;Lorena Dias de Araujo",$B:$B,"&lt;&gt;Lucas Luiz Romero")*(10/1083),0)))))),0)</f>
        <v/>
      </c>
      <c r="K4103" s="3">
        <f>I4103-J4103</f>
        <v/>
      </c>
      <c r="L4103" s="3">
        <f>IF(K4103&lt;-5,"CRÍTICO",IF(K4103&lt;0,"ATENÇÃO",IF(K4103&lt;=5,"OPORTUNO","MUITO BOM")))</f>
        <v/>
      </c>
      <c r="M4103" s="3" t="n">
        <v>7</v>
      </c>
      <c r="N4103" s="3" t="n">
        <v>100</v>
      </c>
      <c r="O4103" s="12" t="n">
        <v>25</v>
      </c>
    </row>
    <row r="4104">
      <c r="A4104" s="10" t="n">
        <v>46170</v>
      </c>
      <c r="B4104" t="inlineStr">
        <is>
          <t>Michelle G Santos</t>
        </is>
      </c>
      <c r="C4104" s="1" t="inlineStr">
        <is>
          <t>Estágio</t>
        </is>
      </c>
      <c r="D4104" s="3" t="n">
        <v>14</v>
      </c>
      <c r="E4104" s="3" t="n">
        <v>13</v>
      </c>
      <c r="F4104" s="3" t="n">
        <v>32.16</v>
      </c>
      <c r="G4104" s="3" t="n">
        <v>0</v>
      </c>
      <c r="H4104" s="3" t="n">
        <v>0</v>
      </c>
      <c r="I4104" s="3" t="n">
        <v>13</v>
      </c>
      <c r="J4104" s="3" t="n">
        <v>8</v>
      </c>
      <c r="K4104" s="3" t="n">
        <v>5</v>
      </c>
      <c r="L4104" s="3" t="inlineStr">
        <is>
          <t>BOM</t>
        </is>
      </c>
      <c r="M4104" s="3" t="n">
        <v>10</v>
      </c>
      <c r="N4104" s="3" t="n">
        <v>100</v>
      </c>
      <c r="O4104" s="12" t="n">
        <v>16.10738255033557</v>
      </c>
    </row>
    <row r="4105">
      <c r="A4105" s="10" t="n">
        <v>46129</v>
      </c>
      <c r="B4105" t="inlineStr">
        <is>
          <t>Maysa Victoria Dias Moura</t>
        </is>
      </c>
      <c r="C4105" s="1" t="inlineStr">
        <is>
          <t>Técnico III</t>
        </is>
      </c>
      <c r="D4105" s="3" t="n">
        <v>32</v>
      </c>
      <c r="E4105" s="3" t="n">
        <v>28</v>
      </c>
      <c r="F4105" s="3" t="n">
        <v>13.48</v>
      </c>
      <c r="G4105" s="3" t="n">
        <v>0</v>
      </c>
      <c r="H4105" s="3" t="n">
        <v>0</v>
      </c>
      <c r="I4105" s="3">
        <f>E4105+G4105+H4105</f>
        <v/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/>
      </c>
      <c r="K4105" s="3">
        <f>I4105-J4105</f>
        <v/>
      </c>
      <c r="L4105" s="3">
        <f>IF(K4105&lt;-5,"CRÍTICO",IF(K4105&lt;0,"ATENÇÃO",IF(K4105&lt;=5,"OPORTUNO","MUITO BOM")))</f>
        <v/>
      </c>
      <c r="M4105" s="3" t="n">
        <v>22</v>
      </c>
      <c r="N4105" s="3" t="n">
        <v>95.48999999999999</v>
      </c>
      <c r="O4105" s="12" t="n">
        <v>28.37022132796781</v>
      </c>
    </row>
    <row r="4106">
      <c r="A4106" s="10" t="n">
        <v>46171</v>
      </c>
      <c r="B4106" t="inlineStr">
        <is>
          <t>Michelle G Santos</t>
        </is>
      </c>
      <c r="C4106" s="1" t="inlineStr">
        <is>
          <t>Estágio</t>
        </is>
      </c>
      <c r="D4106" s="3" t="n">
        <v>9</v>
      </c>
      <c r="E4106" s="3" t="n">
        <v>7</v>
      </c>
      <c r="F4106" s="3" t="n">
        <v>20.45</v>
      </c>
      <c r="G4106" s="3" t="n">
        <v>0</v>
      </c>
      <c r="H4106" s="3" t="n">
        <v>0</v>
      </c>
      <c r="I4106" s="3" t="n">
        <v>7</v>
      </c>
      <c r="J4106" s="3" t="n">
        <v>8</v>
      </c>
      <c r="K4106" s="3" t="n">
        <v>-1</v>
      </c>
      <c r="L4106" s="3" t="inlineStr">
        <is>
          <t>ATENÇÃO</t>
        </is>
      </c>
      <c r="M4106" s="3" t="n">
        <v>0</v>
      </c>
      <c r="N4106" s="3" t="n">
        <v>100</v>
      </c>
      <c r="O4106" s="12" t="n">
        <v>16.10738255033557</v>
      </c>
    </row>
    <row r="4107">
      <c r="A4107" s="10" t="n">
        <v>46129</v>
      </c>
      <c r="B4107" t="inlineStr">
        <is>
          <t>Milena Sales</t>
        </is>
      </c>
      <c r="C4107" s="1" t="inlineStr">
        <is>
          <t>JR</t>
        </is>
      </c>
      <c r="D4107" s="3" t="n">
        <v>35</v>
      </c>
      <c r="E4107" s="3" t="n">
        <v>31</v>
      </c>
      <c r="F4107" s="3" t="n">
        <v>17.33</v>
      </c>
      <c r="G4107" s="3" t="n">
        <v>0</v>
      </c>
      <c r="H4107" s="3" t="n">
        <v>0</v>
      </c>
      <c r="I4107" s="3">
        <f>E4107+G4107+H4107</f>
        <v/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/>
      </c>
      <c r="K4107" s="3">
        <f>I4107-J4107</f>
        <v/>
      </c>
      <c r="L4107" s="3">
        <f>IF(K4107&lt;-5,"CRÍTICO",IF(K4107&lt;0,"ATENÇÃO",IF(K4107&lt;=5,"OPORTUNO","MUITO BOM")))</f>
        <v/>
      </c>
      <c r="M4107" s="3" t="n">
        <v>16</v>
      </c>
      <c r="N4107" s="3" t="n">
        <v>96.15000000000001</v>
      </c>
      <c r="O4107" s="12" t="n">
        <v>24.04580152671756</v>
      </c>
    </row>
    <row r="4108">
      <c r="A4108" s="10" t="n">
        <v>46129</v>
      </c>
      <c r="B4108" t="inlineStr">
        <is>
          <t>Patrícia Karla de Sousa Araújo</t>
        </is>
      </c>
      <c r="C4108" s="1" t="inlineStr">
        <is>
          <t>Técnico II</t>
        </is>
      </c>
      <c r="D4108" s="3" t="n">
        <v>27</v>
      </c>
      <c r="E4108" s="3" t="n">
        <v>25</v>
      </c>
      <c r="F4108" s="3" t="n">
        <v>20.19</v>
      </c>
      <c r="G4108" s="3" t="n">
        <v>0</v>
      </c>
      <c r="H4108" s="3" t="n">
        <v>0</v>
      </c>
      <c r="I4108" s="3">
        <f>E4108+G4108+H4108</f>
        <v/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/>
      </c>
      <c r="K4108" s="3">
        <f>I4108-J4108</f>
        <v/>
      </c>
      <c r="L4108" s="3">
        <f>IF(K4108&lt;-5,"CRÍTICO",IF(K4108&lt;0,"ATENÇÃO",IF(K4108&lt;=5,"OPORTUNO","MUITO BOM")))</f>
        <v/>
      </c>
      <c r="M4108" s="3" t="n">
        <v>24</v>
      </c>
      <c r="N4108" s="3" t="n">
        <v>99.02</v>
      </c>
      <c r="O4108" s="12" t="n">
        <v>34.7972972972973</v>
      </c>
    </row>
    <row r="4109">
      <c r="A4109" s="10" t="n">
        <v>46129</v>
      </c>
      <c r="B4109" t="inlineStr">
        <is>
          <t>Paulo Ricardo Santos</t>
        </is>
      </c>
      <c r="C4109" s="1" t="inlineStr">
        <is>
          <t>JR</t>
        </is>
      </c>
      <c r="D4109" s="3" t="n">
        <v>19</v>
      </c>
      <c r="E4109" s="3" t="n">
        <v>17</v>
      </c>
      <c r="F4109" s="3" t="n">
        <v>17.06</v>
      </c>
      <c r="G4109" s="3" t="n">
        <v>0</v>
      </c>
      <c r="H4109" s="3" t="n">
        <v>0</v>
      </c>
      <c r="I4109" s="3">
        <f>E4109+G4109+H4109</f>
        <v/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/>
      </c>
      <c r="K4109" s="3">
        <f>I4109-J4109</f>
        <v/>
      </c>
      <c r="L4109" s="3">
        <f>IF(K4109&lt;-5,"CRÍTICO",IF(K4109&lt;0,"ATENÇÃO",IF(K4109&lt;=5,"OPORTUNO","MUITO BOM")))</f>
        <v/>
      </c>
      <c r="M4109" s="3" t="n">
        <v>17</v>
      </c>
      <c r="N4109" s="3" t="n">
        <v>98.84</v>
      </c>
      <c r="O4109" s="12" t="n">
        <v>31.86813186813187</v>
      </c>
    </row>
    <row r="4110">
      <c r="A4110" s="10" t="n">
        <v>46129</v>
      </c>
      <c r="B4110" t="inlineStr">
        <is>
          <t>Pedro Luiz Mota Sousa</t>
        </is>
      </c>
      <c r="C4110" s="1" t="inlineStr">
        <is>
          <t>JR</t>
        </is>
      </c>
      <c r="D4110" s="3" t="n">
        <v>15</v>
      </c>
      <c r="E4110" s="3" t="n">
        <v>14</v>
      </c>
      <c r="F4110" s="3" t="n">
        <v>18.49</v>
      </c>
      <c r="G4110" s="3" t="n">
        <v>0</v>
      </c>
      <c r="H4110" s="3" t="n">
        <v>0</v>
      </c>
      <c r="I4110" s="3">
        <f>E4110+G4110+H4110</f>
        <v/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/>
      </c>
      <c r="K4110" s="3">
        <f>I4110-J4110</f>
        <v/>
      </c>
      <c r="L4110" s="3">
        <f>IF(K4110&lt;-5,"CRÍTICO",IF(K4110&lt;0,"ATENÇÃO",IF(K4110&lt;=5,"OPORTUNO","MUITO BOM")))</f>
        <v/>
      </c>
      <c r="M4110" s="3" t="n">
        <v>15</v>
      </c>
      <c r="N4110" s="3" t="n">
        <v>100</v>
      </c>
      <c r="O4110" s="12" t="n">
        <v>34.66666666666667</v>
      </c>
    </row>
    <row r="4111">
      <c r="A4111" s="7" t="n">
        <v>46162</v>
      </c>
      <c r="B4111" s="8" t="inlineStr">
        <is>
          <t>Amanda Moura Ferreira</t>
        </is>
      </c>
      <c r="C4111" s="1" t="inlineStr">
        <is>
          <t>Técnico III</t>
        </is>
      </c>
      <c r="D4111" s="3" t="n">
        <v>0</v>
      </c>
      <c r="E4111" s="3" t="n">
        <v>0</v>
      </c>
      <c r="F4111" s="3" t="n">
        <v>0</v>
      </c>
      <c r="G4111" s="3" t="n">
        <v>0</v>
      </c>
      <c r="H4111" s="3" t="n">
        <v>0</v>
      </c>
      <c r="I4111" s="3" t="n">
        <v>0</v>
      </c>
      <c r="J4111" s="3" t="n">
        <v>0</v>
      </c>
      <c r="K4111" s="3" t="n">
        <v>0</v>
      </c>
      <c r="L4111" s="3" t="inlineStr">
        <is>
          <t>BOM</t>
        </is>
      </c>
      <c r="M4111" s="3" t="n">
        <v>0</v>
      </c>
      <c r="N4111" s="3" t="n">
        <v>100</v>
      </c>
      <c r="O4111" s="12" t="n">
        <v>0</v>
      </c>
    </row>
    <row r="4112">
      <c r="A4112" s="10" t="n">
        <v>46129</v>
      </c>
      <c r="B4112" t="inlineStr">
        <is>
          <t>Raane Batista Matos</t>
        </is>
      </c>
      <c r="C4112" s="1" t="inlineStr">
        <is>
          <t>Técnico I</t>
        </is>
      </c>
      <c r="D4112" s="3" t="n">
        <v>28</v>
      </c>
      <c r="E4112" s="3" t="n">
        <v>26</v>
      </c>
      <c r="F4112" s="3" t="n">
        <v>15.33</v>
      </c>
      <c r="G4112" s="3" t="n">
        <v>0</v>
      </c>
      <c r="H4112" s="3" t="n">
        <v>0</v>
      </c>
      <c r="I4112" s="3">
        <f>E4112+G4112+H4112</f>
        <v/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/>
      </c>
      <c r="K4112" s="3">
        <f>I4112-J4112</f>
        <v/>
      </c>
      <c r="L4112" s="3">
        <f>IF(K4112&lt;-5,"CRÍTICO",IF(K4112&lt;0,"ATENÇÃO",IF(K4112&lt;=5,"OPORTUNO","MUITO BOM")))</f>
        <v/>
      </c>
      <c r="M4112" s="3" t="n">
        <v>21</v>
      </c>
      <c r="N4112" s="3" t="n">
        <v>98.31999999999999</v>
      </c>
      <c r="O4112" s="12" t="n">
        <v>26.85851318944844</v>
      </c>
    </row>
    <row r="4113">
      <c r="A4113" s="10" t="n">
        <v>46129</v>
      </c>
      <c r="B4113" t="inlineStr">
        <is>
          <t>Rafael Gomes de Morais</t>
        </is>
      </c>
      <c r="C4113" s="1" t="inlineStr">
        <is>
          <t>Técnico III</t>
        </is>
      </c>
      <c r="D4113" s="3" t="n">
        <v>35</v>
      </c>
      <c r="E4113" s="3" t="n">
        <v>31</v>
      </c>
      <c r="F4113" s="3" t="n">
        <v>12.08</v>
      </c>
      <c r="G4113" s="3" t="n">
        <v>0</v>
      </c>
      <c r="H4113" s="3" t="n">
        <v>0</v>
      </c>
      <c r="I4113" s="3">
        <f>E4113+G4113+H4113</f>
        <v/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/>
      </c>
      <c r="K4113" s="3">
        <f>I4113-J4113</f>
        <v/>
      </c>
      <c r="L4113" s="3">
        <f>IF(K4113&lt;-5,"CRÍTICO",IF(K4113&lt;0,"ATENÇÃO",IF(K4113&lt;=5,"OPORTUNO","MUITO BOM")))</f>
        <v/>
      </c>
      <c r="M4113" s="3" t="n">
        <v>31</v>
      </c>
      <c r="N4113" s="3" t="n">
        <v>100</v>
      </c>
      <c r="O4113" s="12" t="n">
        <v>31.13553113553114</v>
      </c>
    </row>
    <row r="4114">
      <c r="A4114" s="10" t="n">
        <v>46129</v>
      </c>
      <c r="B4114" t="inlineStr">
        <is>
          <t>Sara Maria Monteiro Lopes</t>
        </is>
      </c>
      <c r="C4114" s="1" t="inlineStr">
        <is>
          <t>Técnico I</t>
        </is>
      </c>
      <c r="D4114" s="3" t="n">
        <v>18</v>
      </c>
      <c r="E4114" s="3" t="n">
        <v>17</v>
      </c>
      <c r="F4114" s="3" t="n">
        <v>23.58</v>
      </c>
      <c r="G4114" s="3" t="n">
        <v>0</v>
      </c>
      <c r="H4114" s="3" t="n">
        <v>0</v>
      </c>
      <c r="I4114" s="3">
        <f>E4114+G4114+H4114</f>
        <v/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/>
      </c>
      <c r="K4114" s="3">
        <f>I4114-J4114</f>
        <v/>
      </c>
      <c r="L4114" s="3">
        <f>IF(K4114&lt;-5,"CRÍTICO",IF(K4114&lt;0,"ATENÇÃO",IF(K4114&lt;=5,"OPORTUNO","MUITO BOM")))</f>
        <v/>
      </c>
      <c r="M4114" s="3" t="n">
        <v>16</v>
      </c>
      <c r="N4114" s="3" t="n">
        <v>100</v>
      </c>
      <c r="O4114" s="12" t="n">
        <v>26.36986301369863</v>
      </c>
    </row>
    <row r="4115">
      <c r="A4115" s="10" t="n">
        <v>46129</v>
      </c>
      <c r="B4115" t="inlineStr">
        <is>
          <t>Sarah Steffanie de Lima Borges</t>
        </is>
      </c>
      <c r="C4115" s="1" t="inlineStr">
        <is>
          <t>Técnico III</t>
        </is>
      </c>
      <c r="D4115" s="3" t="n">
        <v>0</v>
      </c>
      <c r="E4115" s="3" t="n">
        <v>0</v>
      </c>
      <c r="F4115" s="3" t="n">
        <v>0</v>
      </c>
      <c r="G4115" s="3" t="n">
        <v>0</v>
      </c>
      <c r="H4115" s="3" t="n">
        <v>0</v>
      </c>
      <c r="I4115" s="3" t="n">
        <v>0</v>
      </c>
      <c r="J4115" s="3" t="n">
        <v>0</v>
      </c>
      <c r="K4115" s="3" t="n">
        <v>0</v>
      </c>
      <c r="L4115" s="3">
        <f>IF(K4115&lt;-5,"CRÍTICO",IF(K4115&lt;0,"ATENÇÃO",IF(K4115&lt;=5,"OPORTUNO","MUITO BOM")))</f>
        <v/>
      </c>
      <c r="M4115" s="3" t="n">
        <v>0</v>
      </c>
      <c r="N4115" s="3" t="n">
        <v>99.20999999999999</v>
      </c>
      <c r="O4115" s="12" t="n">
        <v>25.18891687657431</v>
      </c>
    </row>
    <row r="4116">
      <c r="A4116" s="10" t="n">
        <v>46132</v>
      </c>
      <c r="B4116" t="inlineStr">
        <is>
          <t>Alisson de Freitas Silva</t>
        </is>
      </c>
      <c r="C4116" s="1" t="inlineStr">
        <is>
          <t>Técnico II</t>
        </is>
      </c>
      <c r="D4116" s="3" t="n">
        <v>35</v>
      </c>
      <c r="E4116" s="3" t="n">
        <v>27</v>
      </c>
      <c r="F4116" s="3" t="n">
        <v>10.2</v>
      </c>
      <c r="G4116" s="3" t="n">
        <v>0</v>
      </c>
      <c r="H4116" s="3" t="n">
        <v>0</v>
      </c>
      <c r="I4116" s="3">
        <f>E4116+G4116+H4116</f>
        <v/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/>
      </c>
      <c r="K4116" s="3">
        <f>I4116-J4116</f>
        <v/>
      </c>
      <c r="L4116" s="3">
        <f>IF(K4116&lt;-5,"CRÍTICO",IF(K4116&lt;0,"ATENÇÃO",IF(K4116&lt;=5,"OPORTUNO","MUITO BOM")))</f>
        <v/>
      </c>
      <c r="M4116" s="3" t="n">
        <v>18</v>
      </c>
      <c r="N4116" s="3" t="n">
        <v>100</v>
      </c>
      <c r="O4116" s="12" t="n">
        <v>32.76450511945392</v>
      </c>
    </row>
    <row r="4117">
      <c r="A4117" s="10" t="n">
        <v>46132</v>
      </c>
      <c r="B4117" t="inlineStr">
        <is>
          <t>Amanda Moura Ferreira</t>
        </is>
      </c>
      <c r="C4117" s="1" t="inlineStr">
        <is>
          <t>Técnico III</t>
        </is>
      </c>
      <c r="D4117" s="3" t="n">
        <v>0</v>
      </c>
      <c r="E4117" s="3" t="n">
        <v>0</v>
      </c>
      <c r="F4117" s="3" t="n">
        <v>0</v>
      </c>
      <c r="G4117" s="3" t="n">
        <v>0</v>
      </c>
      <c r="H4117" s="3" t="n">
        <v>0</v>
      </c>
      <c r="I4117" s="3" t="n">
        <v>0</v>
      </c>
      <c r="J4117" s="3" t="n">
        <v>0</v>
      </c>
      <c r="K4117" s="3" t="n">
        <v>0</v>
      </c>
      <c r="L4117" s="3">
        <f>IF(K4117&lt;-5,"CRÍTICO",IF(K4117&lt;0,"ATENÇÃO",IF(K4117&lt;=5,"OPORTUNO","MUITO BOM")))</f>
        <v/>
      </c>
      <c r="M4117" s="3" t="n">
        <v>11</v>
      </c>
      <c r="N4117" s="3" t="n">
        <v>98.66</v>
      </c>
      <c r="O4117" s="12" t="n">
        <v>35.41666666666667</v>
      </c>
    </row>
    <row r="4118">
      <c r="A4118" s="10" t="n">
        <v>46132</v>
      </c>
      <c r="B4118" t="inlineStr">
        <is>
          <t>Ana Karollyne Souza Faria</t>
        </is>
      </c>
      <c r="C4118" s="1" t="inlineStr">
        <is>
          <t>Técnico I</t>
        </is>
      </c>
      <c r="D4118" s="3" t="n">
        <v>24</v>
      </c>
      <c r="E4118" s="3" t="n">
        <v>24</v>
      </c>
      <c r="F4118" s="3" t="n">
        <v>17.28</v>
      </c>
      <c r="G4118" s="3" t="n">
        <v>0</v>
      </c>
      <c r="H4118" s="3" t="n">
        <v>0</v>
      </c>
      <c r="I4118" s="3">
        <f>E4118+G4118+H4118</f>
        <v/>
      </c>
      <c r="J4118" s="3">
        <f>ROUND(MIN(IF(C4118="Técnico III",35,IF(C4118="Técnico II",28,IF(C4118="Técnico I",23,IF(C4118="JR",20,IF(C4118="Estágio",10,0))))),IF(C4118="Técnico III",SUMIFS($D:$D,$A:$A,$A4118,$B:$B,"&lt;&gt;Patrícia Karla de Sousa Araújo",$B:$B,"&lt;&gt;Lorena Dias de Araujo",$B:$B,"&lt;&gt;Lucas Luiz Romero")*(35/1083),IF(C4118="Técnico II",SUMIFS($D:$D,$A:$A,$A4118,$B:$B,"&lt;&gt;Patrícia Karla de Sousa Araújo",$B:$B,"&lt;&gt;Lorena Dias de Araujo",$B:$B,"&lt;&gt;Lucas Luiz Romero")*(28/1083),IF(C4118="Técnico I",SUMIFS($D:$D,$A:$A,$A4118,$B:$B,"&lt;&gt;Patrícia Karla de Sousa Araújo",$B:$B,"&lt;&gt;Lorena Dias de Araujo",$B:$B,"&lt;&gt;Lucas Luiz Romero")*(23/1083),IF(C4118="JR",SUMIFS($D:$D,$A:$A,$A4118,$B:$B,"&lt;&gt;Patrícia Karla de Sousa Araújo",$B:$B,"&lt;&gt;Lorena Dias de Araujo",$B:$B,"&lt;&gt;Lucas Luiz Romero")*(20/1083),IF(C4118="Estágio",SUMIFS($D:$D,$A:$A,$A4118,$B:$B,"&lt;&gt;Patrícia Karla de Sousa Araújo",$B:$B,"&lt;&gt;Lorena Dias de Araujo",$B:$B,"&lt;&gt;Lucas Luiz Romero")*(10/1083),0)))))),0)</f>
        <v/>
      </c>
      <c r="K4118" s="3">
        <f>I4118-J4118</f>
        <v/>
      </c>
      <c r="L4118" s="3">
        <f>IF(K4118&lt;-5,"CRÍTICO",IF(K4118&lt;0,"ATENÇÃO",IF(K4118&lt;=5,"OPORTUNO","MUITO BOM")))</f>
        <v/>
      </c>
      <c r="M4118" s="3" t="n">
        <v>24</v>
      </c>
      <c r="N4118" s="3" t="n">
        <v>99.31999999999999</v>
      </c>
      <c r="O4118" s="12" t="n">
        <v>30.6483300589391</v>
      </c>
    </row>
    <row r="4119">
      <c r="A4119" s="10" t="n">
        <v>46132</v>
      </c>
      <c r="B4119" t="inlineStr">
        <is>
          <t>Ana Paula Da Luz Silva Aleixo</t>
        </is>
      </c>
      <c r="C4119" s="1" t="inlineStr">
        <is>
          <t>Técnico III</t>
        </is>
      </c>
      <c r="D4119" s="3" t="n">
        <v>16</v>
      </c>
      <c r="E4119" s="3" t="n">
        <v>15</v>
      </c>
      <c r="F4119" s="3" t="n">
        <v>22.26</v>
      </c>
      <c r="G4119" s="3" t="n">
        <v>0</v>
      </c>
      <c r="H4119" s="3" t="n">
        <v>0</v>
      </c>
      <c r="I4119" s="3">
        <f>E4119+G4119+H4119</f>
        <v/>
      </c>
      <c r="J4119" s="3">
        <f>ROUND(MIN(IF(C4119="Técnico III",35,IF(C4119="Técnico II",28,IF(C4119="Técnico I",23,IF(C4119="JR",20,IF(C4119="Estágio",10,0))))),IF(C4119="Técnico III",SUMIFS($D:$D,$A:$A,$A4119,$B:$B,"&lt;&gt;Patrícia Karla de Sousa Araújo",$B:$B,"&lt;&gt;Lorena Dias de Araujo",$B:$B,"&lt;&gt;Lucas Luiz Romero")*(35/1083),IF(C4119="Técnico II",SUMIFS($D:$D,$A:$A,$A4119,$B:$B,"&lt;&gt;Patrícia Karla de Sousa Araújo",$B:$B,"&lt;&gt;Lorena Dias de Araujo",$B:$B,"&lt;&gt;Lucas Luiz Romero")*(28/1083),IF(C4119="Técnico I",SUMIFS($D:$D,$A:$A,$A4119,$B:$B,"&lt;&gt;Patrícia Karla de Sousa Araújo",$B:$B,"&lt;&gt;Lorena Dias de Araujo",$B:$B,"&lt;&gt;Lucas Luiz Romero")*(23/1083),IF(C4119="JR",SUMIFS($D:$D,$A:$A,$A4119,$B:$B,"&lt;&gt;Patrícia Karla de Sousa Araújo",$B:$B,"&lt;&gt;Lorena Dias de Araujo",$B:$B,"&lt;&gt;Lucas Luiz Romero")*(20/1083),IF(C4119="Estágio",SUMIFS($D:$D,$A:$A,$A4119,$B:$B,"&lt;&gt;Patrícia Karla de Sousa Araújo",$B:$B,"&lt;&gt;Lorena Dias de Araujo",$B:$B,"&lt;&gt;Lucas Luiz Romero")*(10/1083),0)))))),0)</f>
        <v/>
      </c>
      <c r="K4119" s="3">
        <f>I4119-J4119</f>
        <v/>
      </c>
      <c r="L4119" s="3">
        <f>IF(K4119&lt;-5,"CRÍTICO",IF(K4119&lt;0,"ATENÇÃO",IF(K4119&lt;=5,"OPORTUNO","MUITO BOM")))</f>
        <v/>
      </c>
      <c r="M4119" s="3" t="n">
        <v>17</v>
      </c>
      <c r="N4119" s="3" t="n">
        <v>100</v>
      </c>
      <c r="O4119" s="12" t="n">
        <v>27.80373831775701</v>
      </c>
    </row>
    <row r="4120">
      <c r="A4120" s="10" t="n">
        <v>46132</v>
      </c>
      <c r="B4120" t="inlineStr">
        <is>
          <t>Anna Luiza Rezende Tavares</t>
        </is>
      </c>
      <c r="C4120" s="1" t="inlineStr">
        <is>
          <t>Estágio</t>
        </is>
      </c>
      <c r="D4120" s="3" t="n">
        <v>12</v>
      </c>
      <c r="E4120" s="3" t="n">
        <v>11</v>
      </c>
      <c r="F4120" s="3" t="n">
        <v>17.01</v>
      </c>
      <c r="G4120" s="3" t="n">
        <v>0</v>
      </c>
      <c r="H4120" s="3" t="n">
        <v>0</v>
      </c>
      <c r="I4120" s="3">
        <f>E4120+G4120+H4120</f>
        <v/>
      </c>
      <c r="J4120" s="3">
        <f>ROUND(MIN(IF(C4120="Técnico III",35,IF(C4120="Técnico II",28,IF(C4120="Técnico I",23,IF(C4120="JR",20,IF(C4120="Estágio",10,0))))),IF(C4120="Técnico III",SUMIFS($D:$D,$A:$A,$A4120,$B:$B,"&lt;&gt;Patrícia Karla de Sousa Araújo",$B:$B,"&lt;&gt;Lorena Dias de Araujo",$B:$B,"&lt;&gt;Lucas Luiz Romero")*(35/1083),IF(C4120="Técnico II",SUMIFS($D:$D,$A:$A,$A4120,$B:$B,"&lt;&gt;Patrícia Karla de Sousa Araújo",$B:$B,"&lt;&gt;Lorena Dias de Araujo",$B:$B,"&lt;&gt;Lucas Luiz Romero")*(28/1083),IF(C4120="Técnico I",SUMIFS($D:$D,$A:$A,$A4120,$B:$B,"&lt;&gt;Patrícia Karla de Sousa Araújo",$B:$B,"&lt;&gt;Lorena Dias de Araujo",$B:$B,"&lt;&gt;Lucas Luiz Romero")*(23/1083),IF(C4120="JR",SUMIFS($D:$D,$A:$A,$A4120,$B:$B,"&lt;&gt;Patrícia Karla de Sousa Araújo",$B:$B,"&lt;&gt;Lorena Dias de Araujo",$B:$B,"&lt;&gt;Lucas Luiz Romero")*(20/1083),IF(C4120="Estágio",SUMIFS($D:$D,$A:$A,$A4120,$B:$B,"&lt;&gt;Patrícia Karla de Sousa Araújo",$B:$B,"&lt;&gt;Lorena Dias de Araujo",$B:$B,"&lt;&gt;Lucas Luiz Romero")*(10/1083),0)))))),0)</f>
        <v/>
      </c>
      <c r="K4120" s="3">
        <f>I4120-J4120</f>
        <v/>
      </c>
      <c r="L4120" s="3">
        <f>IF(K4120&lt;-5,"CRÍTICO",IF(K4120&lt;0,"ATENÇÃO",IF(K4120&lt;=5,"OPORTUNO","MUITO BOM")))</f>
        <v/>
      </c>
      <c r="M4120" s="3" t="n">
        <v>11</v>
      </c>
      <c r="N4120" s="3" t="n">
        <v>96.73999999999999</v>
      </c>
      <c r="O4120" s="12" t="n">
        <v>28.67647058823529</v>
      </c>
    </row>
    <row r="4121">
      <c r="A4121" s="10" t="n">
        <v>46132</v>
      </c>
      <c r="B4121" t="inlineStr">
        <is>
          <t>Brenda de Menezes Silva</t>
        </is>
      </c>
      <c r="C4121" s="1" t="inlineStr">
        <is>
          <t>Técnico II</t>
        </is>
      </c>
      <c r="D4121" s="3" t="n">
        <v>35</v>
      </c>
      <c r="E4121" s="3" t="n">
        <v>30</v>
      </c>
      <c r="F4121" s="3" t="n">
        <v>8.51</v>
      </c>
      <c r="G4121" s="3" t="n">
        <v>0</v>
      </c>
      <c r="H4121" s="3" t="n">
        <v>0</v>
      </c>
      <c r="I4121" s="3">
        <f>E4121+G4121+H4121</f>
        <v/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/>
      </c>
      <c r="K4121" s="3">
        <f>I4121-J4121</f>
        <v/>
      </c>
      <c r="L4121" s="3">
        <f>IF(K4121&lt;-5,"CRÍTICO",IF(K4121&lt;0,"ATENÇÃO",IF(K4121&lt;=5,"OPORTUNO","MUITO BOM")))</f>
        <v/>
      </c>
      <c r="M4121" s="3" t="n">
        <v>32</v>
      </c>
      <c r="N4121" s="3" t="n">
        <v>98.81999999999999</v>
      </c>
      <c r="O4121" s="12" t="n">
        <v>30.74141048824593</v>
      </c>
    </row>
    <row r="4122">
      <c r="A4122" s="10" t="n">
        <v>46132</v>
      </c>
      <c r="B4122" t="inlineStr">
        <is>
          <t>Carlos Mateus Cassimiro Nunes</t>
        </is>
      </c>
      <c r="C4122" s="1" t="inlineStr">
        <is>
          <t>Técnico II</t>
        </is>
      </c>
      <c r="D4122" s="3" t="n">
        <v>25</v>
      </c>
      <c r="E4122" s="3" t="n">
        <v>25</v>
      </c>
      <c r="F4122" s="3" t="n">
        <v>20.4</v>
      </c>
      <c r="G4122" s="3" t="n">
        <v>0</v>
      </c>
      <c r="H4122" s="3" t="n">
        <v>0</v>
      </c>
      <c r="I4122" s="3">
        <f>E4122+G4122+H4122</f>
        <v/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/>
      </c>
      <c r="K4122" s="3">
        <f>I4122-J4122</f>
        <v/>
      </c>
      <c r="L4122" s="3">
        <f>IF(K4122&lt;-5,"CRÍTICO",IF(K4122&lt;0,"ATENÇÃO",IF(K4122&lt;=5,"OPORTUNO","MUITO BOM")))</f>
        <v/>
      </c>
      <c r="M4122" s="3" t="n">
        <v>24</v>
      </c>
      <c r="N4122" s="3" t="n">
        <v>98.2</v>
      </c>
      <c r="O4122" s="12" t="n">
        <v>27.17086834733893</v>
      </c>
    </row>
    <row r="4123">
      <c r="A4123" s="10" t="n">
        <v>46132</v>
      </c>
      <c r="B4123" t="inlineStr">
        <is>
          <t>Claudio de Sousa Velasco Filho</t>
        </is>
      </c>
      <c r="C4123" s="1" t="inlineStr">
        <is>
          <t>Estágio</t>
        </is>
      </c>
      <c r="D4123" s="3" t="n">
        <v>1</v>
      </c>
      <c r="E4123" s="3" t="n">
        <v>1</v>
      </c>
      <c r="F4123" s="3" t="n">
        <v>199.04</v>
      </c>
      <c r="G4123" s="3" t="n">
        <v>0</v>
      </c>
      <c r="H4123" s="3" t="n">
        <v>0</v>
      </c>
      <c r="I4123" s="3">
        <f>E4123+G4123+H4123</f>
        <v/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/>
      </c>
      <c r="K4123" s="3">
        <f>I4123-J4123</f>
        <v/>
      </c>
      <c r="L4123" s="3">
        <f>IF(K4123&lt;-5,"CRÍTICO",IF(K4123&lt;0,"ATENÇÃO",IF(K4123&lt;=5,"OPORTUNO","MUITO BOM")))</f>
        <v/>
      </c>
      <c r="M4123" s="3" t="n">
        <v>1</v>
      </c>
      <c r="N4123" s="3" t="n">
        <v>100</v>
      </c>
      <c r="O4123" s="12" t="n">
        <v>23.13432835820895</v>
      </c>
    </row>
    <row r="4124">
      <c r="A4124" s="10" t="n">
        <v>46132</v>
      </c>
      <c r="B4124" t="inlineStr">
        <is>
          <t>Clessiane Pereira dos Santos</t>
        </is>
      </c>
      <c r="C4124" s="1" t="inlineStr">
        <is>
          <t>Técnico I</t>
        </is>
      </c>
      <c r="D4124" s="3" t="n">
        <v>22</v>
      </c>
      <c r="E4124" s="3" t="n">
        <v>19</v>
      </c>
      <c r="F4124" s="3" t="n">
        <v>15.12</v>
      </c>
      <c r="G4124" s="3" t="n">
        <v>0</v>
      </c>
      <c r="H4124" s="3" t="n">
        <v>0</v>
      </c>
      <c r="I4124" s="3">
        <f>E4124+G4124+H4124</f>
        <v/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/>
      </c>
      <c r="K4124" s="3">
        <f>I4124-J4124</f>
        <v/>
      </c>
      <c r="L4124" s="3">
        <f>IF(K4124&lt;-5,"CRÍTICO",IF(K4124&lt;0,"ATENÇÃO",IF(K4124&lt;=5,"OPORTUNO","MUITO BOM")))</f>
        <v/>
      </c>
      <c r="M4124" s="3" t="n">
        <v>19</v>
      </c>
      <c r="N4124" s="3" t="n">
        <v>96.3</v>
      </c>
      <c r="O4124" s="12" t="n">
        <v>32.21957040572792</v>
      </c>
    </row>
    <row r="4125">
      <c r="A4125" s="10" t="n">
        <v>46132</v>
      </c>
      <c r="B4125" t="inlineStr">
        <is>
          <t>Cristiane Ramos da Silva Rocha</t>
        </is>
      </c>
      <c r="C4125" s="1" t="inlineStr">
        <is>
          <t>Técnico III</t>
        </is>
      </c>
      <c r="D4125" s="3" t="n">
        <v>22</v>
      </c>
      <c r="E4125" s="3" t="n">
        <v>21</v>
      </c>
      <c r="F4125" s="3" t="n">
        <v>12.09</v>
      </c>
      <c r="G4125" s="3" t="n">
        <v>0</v>
      </c>
      <c r="H4125" s="3" t="n">
        <v>0</v>
      </c>
      <c r="I4125" s="3">
        <f>E4125+G4125+H4125</f>
        <v/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/>
      </c>
      <c r="K4125" s="3">
        <f>I4125-J4125</f>
        <v/>
      </c>
      <c r="L4125" s="3">
        <f>IF(K4125&lt;-5,"CRÍTICO",IF(K4125&lt;0,"ATENÇÃO",IF(K4125&lt;=5,"OPORTUNO","MUITO BOM")))</f>
        <v/>
      </c>
      <c r="M4125" s="3" t="n">
        <v>16</v>
      </c>
      <c r="N4125" s="3" t="n">
        <v>93.75</v>
      </c>
      <c r="O4125" s="12" t="n">
        <v>26.81992337164751</v>
      </c>
    </row>
    <row r="4126">
      <c r="A4126" s="10" t="n">
        <v>46132</v>
      </c>
      <c r="B4126" t="inlineStr">
        <is>
          <t>Damyllis Lorraine de Oliveira Gonçalves</t>
        </is>
      </c>
      <c r="C4126" s="1" t="inlineStr">
        <is>
          <t>Técnico II</t>
        </is>
      </c>
      <c r="D4126" s="3" t="n">
        <v>24</v>
      </c>
      <c r="E4126" s="3" t="n">
        <v>22</v>
      </c>
      <c r="F4126" s="3" t="n">
        <v>18.3</v>
      </c>
      <c r="G4126" s="3" t="n">
        <v>0</v>
      </c>
      <c r="H4126" s="3" t="n">
        <v>0</v>
      </c>
      <c r="I4126" s="3" t="n">
        <v>0</v>
      </c>
      <c r="J4126" s="3" t="n">
        <v>0</v>
      </c>
      <c r="K4126" s="3" t="n">
        <v>0</v>
      </c>
      <c r="L4126" s="3">
        <f>IF(K4126&lt;-5,"CRÍTICO",IF(K4126&lt;0,"ATENÇÃO",IF(K4126&lt;=5,"OPORTUNO","MUITO BOM")))</f>
        <v/>
      </c>
      <c r="M4126" s="3" t="n">
        <v>24</v>
      </c>
      <c r="N4126" s="3" t="n">
        <v>97.86</v>
      </c>
      <c r="O4126" s="12" t="n">
        <v>31.01851851851852</v>
      </c>
    </row>
    <row r="4127">
      <c r="A4127" s="10" t="n">
        <v>46132</v>
      </c>
      <c r="B4127" t="inlineStr">
        <is>
          <t>Daniel Gomes da Silva</t>
        </is>
      </c>
      <c r="C4127" s="1" t="inlineStr">
        <is>
          <t>Técnico I</t>
        </is>
      </c>
      <c r="D4127" s="3" t="n">
        <v>17</v>
      </c>
      <c r="E4127" s="3" t="n">
        <v>17</v>
      </c>
      <c r="F4127" s="3" t="n">
        <v>20.17</v>
      </c>
      <c r="G4127" s="3" t="n">
        <v>0</v>
      </c>
      <c r="H4127" s="3" t="n">
        <v>0</v>
      </c>
      <c r="I4127" s="3">
        <f>E4127+G4127+H4127</f>
        <v/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/>
      </c>
      <c r="K4127" s="3">
        <f>I4127-J4127</f>
        <v/>
      </c>
      <c r="L4127" s="3">
        <f>IF(K4127&lt;-5,"CRÍTICO",IF(K4127&lt;0,"ATENÇÃO",IF(K4127&lt;=5,"OPORTUNO","MUITO BOM")))</f>
        <v/>
      </c>
      <c r="M4127" s="3" t="n">
        <v>11</v>
      </c>
      <c r="N4127" s="3" t="n">
        <v>100</v>
      </c>
      <c r="O4127" s="12" t="n">
        <v>36.59420289855073</v>
      </c>
    </row>
    <row r="4128">
      <c r="A4128" s="10" t="n">
        <v>46132</v>
      </c>
      <c r="B4128" t="inlineStr">
        <is>
          <t>Davylla Rodrigues Freitas Silva</t>
        </is>
      </c>
      <c r="C4128" s="1" t="inlineStr">
        <is>
          <t>Técnico III</t>
        </is>
      </c>
      <c r="D4128" s="3" t="n">
        <v>24</v>
      </c>
      <c r="E4128" s="3" t="n">
        <v>23</v>
      </c>
      <c r="F4128" s="3" t="n">
        <v>19.12</v>
      </c>
      <c r="G4128" s="3" t="n">
        <v>0</v>
      </c>
      <c r="H4128" s="3" t="n">
        <v>0</v>
      </c>
      <c r="I4128" s="3" t="n">
        <v>0</v>
      </c>
      <c r="J4128" s="3" t="n">
        <v>0</v>
      </c>
      <c r="K4128" s="3" t="n">
        <v>0</v>
      </c>
      <c r="L4128" s="3">
        <f>IF(K4128&lt;-5,"CRÍTICO",IF(K4128&lt;0,"ATENÇÃO",IF(K4128&lt;=5,"OPORTUNO","MUITO BOM")))</f>
        <v/>
      </c>
      <c r="M4128" s="3" t="n">
        <v>23</v>
      </c>
      <c r="N4128" s="3" t="n">
        <v>100</v>
      </c>
      <c r="O4128" s="12" t="n">
        <v>38.65384615384615</v>
      </c>
    </row>
    <row r="4129">
      <c r="A4129" s="10" t="n">
        <v>46132</v>
      </c>
      <c r="B4129" t="inlineStr">
        <is>
          <t>Emilly Caylane Costa</t>
        </is>
      </c>
      <c r="C4129" s="1" t="inlineStr">
        <is>
          <t>Estágio</t>
        </is>
      </c>
      <c r="D4129" s="3" t="n">
        <v>7</v>
      </c>
      <c r="E4129" s="3" t="n">
        <v>6</v>
      </c>
      <c r="F4129" s="3" t="n">
        <v>27.23</v>
      </c>
      <c r="G4129" s="3" t="n">
        <v>0</v>
      </c>
      <c r="H4129" s="3" t="n">
        <v>0</v>
      </c>
      <c r="I4129" s="3">
        <f>E4129+G4129+H4129</f>
        <v/>
      </c>
      <c r="J4129" s="3">
        <f>ROUND(MIN(IF(C4129="Técnico III",35,IF(C4129="Técnico II",28,IF(C4129="Técnico I",23,IF(C4129="JR",20,IF(C4129="Estágio",10,0))))),IF(C4129="Técnico III",SUMIFS($D:$D,$A:$A,$A4129,$B:$B,"&lt;&gt;Patrícia Karla de Sousa Araújo",$B:$B,"&lt;&gt;Lorena Dias de Araujo",$B:$B,"&lt;&gt;Lucas Luiz Romero")*(35/1083),IF(C4129="Técnico II",SUMIFS($D:$D,$A:$A,$A4129,$B:$B,"&lt;&gt;Patrícia Karla de Sousa Araújo",$B:$B,"&lt;&gt;Lorena Dias de Araujo",$B:$B,"&lt;&gt;Lucas Luiz Romero")*(28/1083),IF(C4129="Técnico I",SUMIFS($D:$D,$A:$A,$A4129,$B:$B,"&lt;&gt;Patrícia Karla de Sousa Araújo",$B:$B,"&lt;&gt;Lorena Dias de Araujo",$B:$B,"&lt;&gt;Lucas Luiz Romero")*(23/1083),IF(C4129="JR",SUMIFS($D:$D,$A:$A,$A4129,$B:$B,"&lt;&gt;Patrícia Karla de Sousa Araújo",$B:$B,"&lt;&gt;Lorena Dias de Araujo",$B:$B,"&lt;&gt;Lucas Luiz Romero")*(20/1083),IF(C4129="Estágio",SUMIFS($D:$D,$A:$A,$A4129,$B:$B,"&lt;&gt;Patrícia Karla de Sousa Araújo",$B:$B,"&lt;&gt;Lorena Dias de Araujo",$B:$B,"&lt;&gt;Lucas Luiz Romero")*(10/1083),0)))))),0)</f>
        <v/>
      </c>
      <c r="K4129" s="3">
        <f>I4129-J4129</f>
        <v/>
      </c>
      <c r="L4129" s="3">
        <f>IF(K4129&lt;-5,"CRÍTICO",IF(K4129&lt;0,"ATENÇÃO",IF(K4129&lt;=5,"OPORTUNO","MUITO BOM")))</f>
        <v/>
      </c>
      <c r="M4129" s="3" t="n">
        <v>4</v>
      </c>
      <c r="N4129" s="3" t="n">
        <v>100</v>
      </c>
      <c r="O4129" s="12" t="n">
        <v>27.36842105263158</v>
      </c>
    </row>
    <row r="4130">
      <c r="A4130" s="10" t="n">
        <v>46132</v>
      </c>
      <c r="B4130" t="inlineStr">
        <is>
          <t>Emilly Kamilly Medeiros Miranda</t>
        </is>
      </c>
      <c r="C4130" s="1" t="inlineStr">
        <is>
          <t>Técnico II</t>
        </is>
      </c>
      <c r="D4130" s="3" t="n">
        <v>26</v>
      </c>
      <c r="E4130" s="3" t="n">
        <v>25</v>
      </c>
      <c r="F4130" s="3" t="n">
        <v>18.51</v>
      </c>
      <c r="G4130" s="3" t="n">
        <v>0</v>
      </c>
      <c r="H4130" s="3" t="n">
        <v>0</v>
      </c>
      <c r="I4130" s="3">
        <f>E4130+G4130+H4130</f>
        <v/>
      </c>
      <c r="J4130" s="3">
        <f>ROUND(MIN(IF(C4130="Técnico III",35,IF(C4130="Técnico II",28,IF(C4130="Técnico I",23,IF(C4130="JR",20,IF(C4130="Estágio",10,0))))),IF(C4130="Técnico III",SUMIFS($D:$D,$A:$A,$A4130,$B:$B,"&lt;&gt;Patrícia Karla de Sousa Araújo",$B:$B,"&lt;&gt;Lorena Dias de Araujo",$B:$B,"&lt;&gt;Lucas Luiz Romero")*(35/1083),IF(C4130="Técnico II",SUMIFS($D:$D,$A:$A,$A4130,$B:$B,"&lt;&gt;Patrícia Karla de Sousa Araújo",$B:$B,"&lt;&gt;Lorena Dias de Araujo",$B:$B,"&lt;&gt;Lucas Luiz Romero")*(28/1083),IF(C4130="Técnico I",SUMIFS($D:$D,$A:$A,$A4130,$B:$B,"&lt;&gt;Patrícia Karla de Sousa Araújo",$B:$B,"&lt;&gt;Lorena Dias de Araujo",$B:$B,"&lt;&gt;Lucas Luiz Romero")*(23/1083),IF(C4130="JR",SUMIFS($D:$D,$A:$A,$A4130,$B:$B,"&lt;&gt;Patrícia Karla de Sousa Araújo",$B:$B,"&lt;&gt;Lorena Dias de Araujo",$B:$B,"&lt;&gt;Lucas Luiz Romero")*(20/1083),IF(C4130="Estágio",SUMIFS($D:$D,$A:$A,$A4130,$B:$B,"&lt;&gt;Patrícia Karla de Sousa Araújo",$B:$B,"&lt;&gt;Lorena Dias de Araujo",$B:$B,"&lt;&gt;Lucas Luiz Romero")*(10/1083),0)))))),0)</f>
        <v/>
      </c>
      <c r="K4130" s="3">
        <f>I4130-J4130</f>
        <v/>
      </c>
      <c r="L4130" s="3">
        <f>IF(K4130&lt;-5,"CRÍTICO",IF(K4130&lt;0,"ATENÇÃO",IF(K4130&lt;=5,"OPORTUNO","MUITO BOM")))</f>
        <v/>
      </c>
      <c r="M4130" s="3" t="n">
        <v>22</v>
      </c>
      <c r="N4130" s="3" t="n">
        <v>97.83</v>
      </c>
      <c r="O4130" s="12" t="n">
        <v>28.35164835164835</v>
      </c>
    </row>
    <row r="4131">
      <c r="A4131" s="10" t="n">
        <v>46132</v>
      </c>
      <c r="B4131" t="inlineStr">
        <is>
          <t>Francielson de Oliveira</t>
        </is>
      </c>
      <c r="C4131" s="1" t="inlineStr">
        <is>
          <t>Técnico III</t>
        </is>
      </c>
      <c r="D4131" s="3" t="n">
        <v>25</v>
      </c>
      <c r="E4131" s="3" t="n">
        <v>23</v>
      </c>
      <c r="F4131" s="3" t="n">
        <v>15.58</v>
      </c>
      <c r="G4131" s="3" t="n">
        <v>0</v>
      </c>
      <c r="H4131" s="3" t="n">
        <v>0</v>
      </c>
      <c r="I4131" s="3">
        <f>E4131+G4131+H4131</f>
        <v/>
      </c>
      <c r="J4131" s="3">
        <f>ROUND(MIN(IF(C4131="Técnico III",35,IF(C4131="Técnico II",28,IF(C4131="Técnico I",23,IF(C4131="JR",20,IF(C4131="Estágio",10,0))))),IF(C4131="Técnico III",SUMIFS($D:$D,$A:$A,$A4131,$B:$B,"&lt;&gt;Patrícia Karla de Sousa Araújo",$B:$B,"&lt;&gt;Lorena Dias de Araujo",$B:$B,"&lt;&gt;Lucas Luiz Romero")*(35/1083),IF(C4131="Técnico II",SUMIFS($D:$D,$A:$A,$A4131,$B:$B,"&lt;&gt;Patrícia Karla de Sousa Araújo",$B:$B,"&lt;&gt;Lorena Dias de Araujo",$B:$B,"&lt;&gt;Lucas Luiz Romero")*(28/1083),IF(C4131="Técnico I",SUMIFS($D:$D,$A:$A,$A4131,$B:$B,"&lt;&gt;Patrícia Karla de Sousa Araújo",$B:$B,"&lt;&gt;Lorena Dias de Araujo",$B:$B,"&lt;&gt;Lucas Luiz Romero")*(23/1083),IF(C4131="JR",SUMIFS($D:$D,$A:$A,$A4131,$B:$B,"&lt;&gt;Patrícia Karla de Sousa Araújo",$B:$B,"&lt;&gt;Lorena Dias de Araujo",$B:$B,"&lt;&gt;Lucas Luiz Romero")*(20/1083),IF(C4131="Estágio",SUMIFS($D:$D,$A:$A,$A4131,$B:$B,"&lt;&gt;Patrícia Karla de Sousa Araújo",$B:$B,"&lt;&gt;Lorena Dias de Araujo",$B:$B,"&lt;&gt;Lucas Luiz Romero")*(10/1083),0)))))),0)</f>
        <v/>
      </c>
      <c r="K4131" s="3">
        <f>I4131-J4131</f>
        <v/>
      </c>
      <c r="L4131" s="3">
        <f>IF(K4131&lt;-5,"CRÍTICO",IF(K4131&lt;0,"ATENÇÃO",IF(K4131&lt;=5,"OPORTUNO","MUITO BOM")))</f>
        <v/>
      </c>
      <c r="M4131" s="3" t="n">
        <v>24</v>
      </c>
      <c r="N4131" s="3" t="n">
        <v>99.26000000000001</v>
      </c>
      <c r="O4131" s="12" t="n">
        <v>29.76653696498055</v>
      </c>
    </row>
    <row r="4132">
      <c r="A4132" s="10" t="n">
        <v>46132</v>
      </c>
      <c r="B4132" t="inlineStr">
        <is>
          <t>Francilene Ferreira de Jesus</t>
        </is>
      </c>
      <c r="C4132" s="1" t="inlineStr">
        <is>
          <t>Técnico II</t>
        </is>
      </c>
      <c r="D4132" s="3" t="n">
        <v>9</v>
      </c>
      <c r="E4132" s="3" t="n">
        <v>9</v>
      </c>
      <c r="F4132" s="3" t="n">
        <v>23.51</v>
      </c>
      <c r="G4132" s="3" t="n">
        <v>0</v>
      </c>
      <c r="H4132" s="3" t="n">
        <v>0</v>
      </c>
      <c r="I4132" s="3">
        <f>E4132+G4132+H4132</f>
        <v/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/>
      </c>
      <c r="K4132" s="3">
        <f>I4132-J4132</f>
        <v/>
      </c>
      <c r="L4132" s="3">
        <f>IF(K4132&lt;-5,"CRÍTICO",IF(K4132&lt;0,"ATENÇÃO",IF(K4132&lt;=5,"OPORTUNO","MUITO BOM")))</f>
        <v/>
      </c>
      <c r="M4132" s="3" t="n">
        <v>7</v>
      </c>
      <c r="N4132" s="3" t="n">
        <v>99.19</v>
      </c>
      <c r="O4132" s="12" t="n">
        <v>29.46236559139785</v>
      </c>
    </row>
    <row r="4133">
      <c r="A4133" s="7" t="n">
        <v>46162</v>
      </c>
      <c r="B4133" s="8" t="inlineStr">
        <is>
          <t>Ana Paula Da Luz Silva Aleixo</t>
        </is>
      </c>
      <c r="C4133" s="1" t="inlineStr">
        <is>
          <t>Técnico III</t>
        </is>
      </c>
      <c r="D4133" s="3" t="n">
        <v>22</v>
      </c>
      <c r="E4133" s="3" t="n">
        <v>21</v>
      </c>
      <c r="F4133" s="3" t="n">
        <v>18.34</v>
      </c>
      <c r="G4133" s="3" t="n">
        <v>1</v>
      </c>
      <c r="H4133" s="3" t="n">
        <v>0</v>
      </c>
      <c r="I4133" s="3" t="n">
        <v>22</v>
      </c>
      <c r="J4133" s="3" t="n">
        <v>26</v>
      </c>
      <c r="K4133" s="3" t="n">
        <v>-4</v>
      </c>
      <c r="L4133" s="3" t="inlineStr">
        <is>
          <t>ATENÇÃO</t>
        </is>
      </c>
      <c r="M4133" s="3" t="n">
        <v>18</v>
      </c>
      <c r="N4133" s="3" t="n">
        <v>96.94</v>
      </c>
      <c r="O4133" s="12" t="n">
        <v>19.61325966850829</v>
      </c>
    </row>
    <row r="4134">
      <c r="A4134" s="10" t="n">
        <v>46132</v>
      </c>
      <c r="B4134" t="inlineStr">
        <is>
          <t>Isabella Borges de Oliveira</t>
        </is>
      </c>
      <c r="C4134" s="1" t="inlineStr">
        <is>
          <t>Técnico II</t>
        </is>
      </c>
      <c r="D4134" s="3" t="n">
        <v>0</v>
      </c>
      <c r="E4134" s="3" t="n">
        <v>0</v>
      </c>
      <c r="F4134" s="3" t="n">
        <v>0</v>
      </c>
      <c r="G4134" s="3" t="n">
        <v>0</v>
      </c>
      <c r="H4134" s="3" t="n">
        <v>0</v>
      </c>
      <c r="I4134" s="3" t="n">
        <v>0</v>
      </c>
      <c r="J4134" s="3" t="n">
        <v>0</v>
      </c>
      <c r="K4134" s="3" t="n">
        <v>0</v>
      </c>
      <c r="L4134" s="3">
        <f>IF(K4134&lt;-5,"CRÍTICO",IF(K4134&lt;0,"ATENÇÃO",IF(K4134&lt;=5,"OPORTUNO","MUITO BOM")))</f>
        <v/>
      </c>
      <c r="M4134" s="3" t="n">
        <v>0</v>
      </c>
      <c r="N4134" s="3" t="n">
        <v>100</v>
      </c>
      <c r="O4134" s="12" t="n">
        <v>28.92156862745098</v>
      </c>
    </row>
    <row r="4135">
      <c r="A4135" s="10" t="n">
        <v>46132</v>
      </c>
      <c r="B4135" t="inlineStr">
        <is>
          <t>Janaina Lima dos Reis Urany</t>
        </is>
      </c>
      <c r="C4135" s="1" t="inlineStr">
        <is>
          <t>Técnico III</t>
        </is>
      </c>
      <c r="D4135" s="3" t="n">
        <v>30</v>
      </c>
      <c r="E4135" s="3" t="n">
        <v>30</v>
      </c>
      <c r="F4135" s="3" t="n">
        <v>13.56</v>
      </c>
      <c r="G4135" s="3" t="n">
        <v>0</v>
      </c>
      <c r="H4135" s="3" t="n">
        <v>0</v>
      </c>
      <c r="I4135" s="3">
        <f>E4135+G4135+H4135</f>
        <v/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/>
      </c>
      <c r="K4135" s="3">
        <f>I4135-J4135</f>
        <v/>
      </c>
      <c r="L4135" s="3">
        <f>IF(K4135&lt;-5,"CRÍTICO",IF(K4135&lt;0,"ATENÇÃO",IF(K4135&lt;=5,"OPORTUNO","MUITO BOM")))</f>
        <v/>
      </c>
      <c r="M4135" s="3" t="n">
        <v>27</v>
      </c>
      <c r="N4135" s="3" t="n">
        <v>99.56999999999999</v>
      </c>
      <c r="O4135" s="12" t="n">
        <v>30.63583815028902</v>
      </c>
    </row>
    <row r="4136">
      <c r="A4136" s="10" t="n">
        <v>46132</v>
      </c>
      <c r="B4136" t="inlineStr">
        <is>
          <t>Jaqueline Evangelista da Silva Martins</t>
        </is>
      </c>
      <c r="C4136" s="1" t="inlineStr">
        <is>
          <t>Técnico III</t>
        </is>
      </c>
      <c r="D4136" s="3" t="n">
        <v>0</v>
      </c>
      <c r="E4136" s="3" t="n">
        <v>0</v>
      </c>
      <c r="F4136" s="3" t="n">
        <v>0</v>
      </c>
      <c r="G4136" s="3" t="n">
        <v>0</v>
      </c>
      <c r="H4136" s="3" t="n">
        <v>0</v>
      </c>
      <c r="I4136" s="3" t="n">
        <v>0</v>
      </c>
      <c r="J4136" s="3" t="n">
        <v>0</v>
      </c>
      <c r="K4136" s="3" t="n">
        <v>0</v>
      </c>
      <c r="L4136" s="3">
        <f>IF(K4136&lt;-5,"CRÍTICO",IF(K4136&lt;0,"ATENÇÃO",IF(K4136&lt;=5,"OPORTUNO","MUITO BOM")))</f>
        <v/>
      </c>
      <c r="M4136" s="3" t="n">
        <v>0</v>
      </c>
      <c r="N4136" s="3" t="n">
        <v>95.65000000000001</v>
      </c>
      <c r="O4136" s="12" t="n">
        <v>32.43243243243244</v>
      </c>
    </row>
    <row r="4137">
      <c r="A4137" s="10" t="n">
        <v>46132</v>
      </c>
      <c r="B4137" t="inlineStr">
        <is>
          <t>Jessica Faria da Silveira</t>
        </is>
      </c>
      <c r="C4137" s="1" t="inlineStr">
        <is>
          <t>Técnico II</t>
        </is>
      </c>
      <c r="D4137" s="3" t="n">
        <v>28</v>
      </c>
      <c r="E4137" s="3" t="n">
        <v>23</v>
      </c>
      <c r="F4137" s="3" t="n">
        <v>16.49</v>
      </c>
      <c r="G4137" s="3" t="n">
        <v>0</v>
      </c>
      <c r="H4137" s="3" t="n">
        <v>0</v>
      </c>
      <c r="I4137" s="3">
        <f>E4137+G4137+H4137</f>
        <v/>
      </c>
      <c r="J4137" s="3">
        <f>ROUND(MIN(IF(C4137="Técnico III",35,IF(C4137="Técnico II",28,IF(C4137="Técnico I",23,IF(C4137="JR",20,IF(C4137="Estágio",10,0))))),IF(C4137="Técnico III",SUMIFS($D:$D,$A:$A,$A4137,$B:$B,"&lt;&gt;Patrícia Karla de Sousa Araújo",$B:$B,"&lt;&gt;Lorena Dias de Araujo",$B:$B,"&lt;&gt;Lucas Luiz Romero")*(35/1083),IF(C4137="Técnico II",SUMIFS($D:$D,$A:$A,$A4137,$B:$B,"&lt;&gt;Patrícia Karla de Sousa Araújo",$B:$B,"&lt;&gt;Lorena Dias de Araujo",$B:$B,"&lt;&gt;Lucas Luiz Romero")*(28/1083),IF(C4137="Técnico I",SUMIFS($D:$D,$A:$A,$A4137,$B:$B,"&lt;&gt;Patrícia Karla de Sousa Araújo",$B:$B,"&lt;&gt;Lorena Dias de Araujo",$B:$B,"&lt;&gt;Lucas Luiz Romero")*(23/1083),IF(C4137="JR",SUMIFS($D:$D,$A:$A,$A4137,$B:$B,"&lt;&gt;Patrícia Karla de Sousa Araújo",$B:$B,"&lt;&gt;Lorena Dias de Araujo",$B:$B,"&lt;&gt;Lucas Luiz Romero")*(20/1083),IF(C4137="Estágio",SUMIFS($D:$D,$A:$A,$A4137,$B:$B,"&lt;&gt;Patrícia Karla de Sousa Araújo",$B:$B,"&lt;&gt;Lorena Dias de Araujo",$B:$B,"&lt;&gt;Lucas Luiz Romero")*(10/1083),0)))))),0)</f>
        <v/>
      </c>
      <c r="K4137" s="3">
        <f>I4137-J4137</f>
        <v/>
      </c>
      <c r="L4137" s="3">
        <f>IF(K4137&lt;-5,"CRÍTICO",IF(K4137&lt;0,"ATENÇÃO",IF(K4137&lt;=5,"OPORTUNO","MUITO BOM")))</f>
        <v/>
      </c>
      <c r="M4137" s="3" t="n">
        <v>19</v>
      </c>
      <c r="N4137" s="3" t="n">
        <v>98.81</v>
      </c>
      <c r="O4137" s="12" t="n">
        <v>26.25698324022346</v>
      </c>
    </row>
    <row r="4138">
      <c r="A4138" s="10" t="n">
        <v>46132</v>
      </c>
      <c r="B4138" t="inlineStr">
        <is>
          <t>Jéssica Fé Moura</t>
        </is>
      </c>
      <c r="C4138" s="1" t="inlineStr">
        <is>
          <t>Técnico III</t>
        </is>
      </c>
      <c r="D4138" s="3" t="n">
        <v>0</v>
      </c>
      <c r="E4138" s="3" t="n">
        <v>0</v>
      </c>
      <c r="F4138" s="3" t="n">
        <v>0</v>
      </c>
      <c r="G4138" s="3" t="n">
        <v>0</v>
      </c>
      <c r="H4138" s="3" t="n">
        <v>0</v>
      </c>
      <c r="I4138" s="3" t="n">
        <v>0</v>
      </c>
      <c r="J4138" s="3" t="n">
        <v>0</v>
      </c>
      <c r="K4138" s="3" t="n">
        <v>0</v>
      </c>
      <c r="L4138" s="3">
        <f>IF(K4138&lt;-5,"CRÍTICO",IF(K4138&lt;0,"ATENÇÃO",IF(K4138&lt;=5,"OPORTUNO","MUITO BOM")))</f>
        <v/>
      </c>
      <c r="M4138" s="3" t="n">
        <v>0</v>
      </c>
      <c r="N4138" s="3" t="n">
        <v>0</v>
      </c>
      <c r="O4138" s="12" t="n">
        <v>0</v>
      </c>
    </row>
    <row r="4139">
      <c r="A4139" s="10" t="n">
        <v>46132</v>
      </c>
      <c r="B4139" t="inlineStr">
        <is>
          <t>Karina Gonçalves Martins</t>
        </is>
      </c>
      <c r="C4139" s="1" t="inlineStr">
        <is>
          <t>JR</t>
        </is>
      </c>
      <c r="D4139" s="3" t="n">
        <v>6</v>
      </c>
      <c r="E4139" s="3" t="n">
        <v>6</v>
      </c>
      <c r="F4139" s="3" t="n">
        <v>24.11</v>
      </c>
      <c r="G4139" s="3" t="n">
        <v>0</v>
      </c>
      <c r="H4139" s="3" t="n">
        <v>0</v>
      </c>
      <c r="I4139" s="3">
        <f>E4139+G4139+H4139</f>
        <v/>
      </c>
      <c r="J4139" s="3">
        <f>ROUND(MIN(IF(C4139="Técnico III",35,IF(C4139="Técnico II",28,IF(C4139="Técnico I",23,IF(C4139="JR",20,IF(C4139="Estágio",10,0))))),IF(C4139="Técnico III",SUMIFS($D:$D,$A:$A,$A4139,$B:$B,"&lt;&gt;Patrícia Karla de Sousa Araújo",$B:$B,"&lt;&gt;Lorena Dias de Araujo",$B:$B,"&lt;&gt;Lucas Luiz Romero")*(35/1083),IF(C4139="Técnico II",SUMIFS($D:$D,$A:$A,$A4139,$B:$B,"&lt;&gt;Patrícia Karla de Sousa Araújo",$B:$B,"&lt;&gt;Lorena Dias de Araujo",$B:$B,"&lt;&gt;Lucas Luiz Romero")*(28/1083),IF(C4139="Técnico I",SUMIFS($D:$D,$A:$A,$A4139,$B:$B,"&lt;&gt;Patrícia Karla de Sousa Araújo",$B:$B,"&lt;&gt;Lorena Dias de Araujo",$B:$B,"&lt;&gt;Lucas Luiz Romero")*(23/1083),IF(C4139="JR",SUMIFS($D:$D,$A:$A,$A4139,$B:$B,"&lt;&gt;Patrícia Karla de Sousa Araújo",$B:$B,"&lt;&gt;Lorena Dias de Araujo",$B:$B,"&lt;&gt;Lucas Luiz Romero")*(20/1083),IF(C4139="Estágio",SUMIFS($D:$D,$A:$A,$A4139,$B:$B,"&lt;&gt;Patrícia Karla de Sousa Araújo",$B:$B,"&lt;&gt;Lorena Dias de Araujo",$B:$B,"&lt;&gt;Lucas Luiz Romero")*(10/1083),0)))))),0)</f>
        <v/>
      </c>
      <c r="K4139" s="3">
        <f>I4139-J4139</f>
        <v/>
      </c>
      <c r="L4139" s="3">
        <f>IF(K4139&lt;-5,"CRÍTICO",IF(K4139&lt;0,"ATENÇÃO",IF(K4139&lt;=5,"OPORTUNO","MUITO BOM")))</f>
        <v/>
      </c>
      <c r="M4139" s="3" t="n">
        <v>5</v>
      </c>
      <c r="N4139" s="3" t="n">
        <v>97.17</v>
      </c>
      <c r="O4139" s="12" t="n">
        <v>28.81844380403458</v>
      </c>
    </row>
    <row r="4140">
      <c r="A4140" s="10" t="n">
        <v>46132</v>
      </c>
      <c r="B4140" t="inlineStr">
        <is>
          <t>Kerollen Cristielly de Jesus Siqueira</t>
        </is>
      </c>
      <c r="C4140" s="1" t="inlineStr">
        <is>
          <t>Técnico III</t>
        </is>
      </c>
      <c r="D4140" s="3" t="n">
        <v>0</v>
      </c>
      <c r="E4140" s="3" t="n">
        <v>0</v>
      </c>
      <c r="F4140" s="3" t="n">
        <v>0</v>
      </c>
      <c r="G4140" s="3" t="n">
        <v>0</v>
      </c>
      <c r="H4140" s="3" t="n">
        <v>0</v>
      </c>
      <c r="I4140" s="3" t="n">
        <v>0</v>
      </c>
      <c r="J4140" s="3" t="n">
        <v>0</v>
      </c>
      <c r="K4140" s="3" t="n">
        <v>0</v>
      </c>
      <c r="L4140" s="3">
        <f>IF(K4140&lt;-5,"CRÍTICO",IF(K4140&lt;0,"ATENÇÃO",IF(K4140&lt;=5,"OPORTUNO","MUITO BOM")))</f>
        <v/>
      </c>
      <c r="M4140" s="3" t="n">
        <v>17</v>
      </c>
      <c r="N4140" s="3" t="n">
        <v>96.81</v>
      </c>
      <c r="O4140" s="12" t="n">
        <v>48.01864801864802</v>
      </c>
    </row>
    <row r="4141">
      <c r="A4141" s="10" t="n">
        <v>46132</v>
      </c>
      <c r="B4141" t="inlineStr">
        <is>
          <t>Leandro de Souza Silva</t>
        </is>
      </c>
      <c r="C4141" s="1" t="inlineStr">
        <is>
          <t>JR</t>
        </is>
      </c>
      <c r="D4141" s="3" t="n">
        <v>8</v>
      </c>
      <c r="E4141" s="3" t="n">
        <v>8</v>
      </c>
      <c r="F4141" s="3" t="n">
        <v>22.12</v>
      </c>
      <c r="G4141" s="3" t="n">
        <v>0</v>
      </c>
      <c r="H4141" s="3" t="n">
        <v>0</v>
      </c>
      <c r="I4141" s="3">
        <f>E4141+G4141+H4141</f>
        <v/>
      </c>
      <c r="J4141" s="3">
        <f>ROUND(MIN(IF(C4141="Técnico III",35,IF(C4141="Técnico II",28,IF(C4141="Técnico I",23,IF(C4141="JR",20,IF(C4141="Estágio",10,0))))),IF(C4141="Técnico III",SUMIFS($D:$D,$A:$A,$A4141,$B:$B,"&lt;&gt;Patrícia Karla de Sousa Araújo",$B:$B,"&lt;&gt;Lorena Dias de Araujo",$B:$B,"&lt;&gt;Lucas Luiz Romero")*(35/1083),IF(C4141="Técnico II",SUMIFS($D:$D,$A:$A,$A4141,$B:$B,"&lt;&gt;Patrícia Karla de Sousa Araújo",$B:$B,"&lt;&gt;Lorena Dias de Araujo",$B:$B,"&lt;&gt;Lucas Luiz Romero")*(28/1083),IF(C4141="Técnico I",SUMIFS($D:$D,$A:$A,$A4141,$B:$B,"&lt;&gt;Patrícia Karla de Sousa Araújo",$B:$B,"&lt;&gt;Lorena Dias de Araujo",$B:$B,"&lt;&gt;Lucas Luiz Romero")*(23/1083),IF(C4141="JR",SUMIFS($D:$D,$A:$A,$A4141,$B:$B,"&lt;&gt;Patrícia Karla de Sousa Araújo",$B:$B,"&lt;&gt;Lorena Dias de Araujo",$B:$B,"&lt;&gt;Lucas Luiz Romero")*(20/1083),IF(C4141="Estágio",SUMIFS($D:$D,$A:$A,$A4141,$B:$B,"&lt;&gt;Patrícia Karla de Sousa Araújo",$B:$B,"&lt;&gt;Lorena Dias de Araujo",$B:$B,"&lt;&gt;Lucas Luiz Romero")*(10/1083),0)))))),0)</f>
        <v/>
      </c>
      <c r="K4141" s="3">
        <f>I4141-J4141</f>
        <v/>
      </c>
      <c r="L4141" s="3">
        <f>IF(K4141&lt;-5,"CRÍTICO",IF(K4141&lt;0,"ATENÇÃO",IF(K4141&lt;=5,"OPORTUNO","MUITO BOM")))</f>
        <v/>
      </c>
      <c r="M4141" s="3" t="n">
        <v>6</v>
      </c>
      <c r="N4141" s="3" t="n">
        <v>98.15000000000001</v>
      </c>
      <c r="O4141" s="12" t="n">
        <v>27.1551724137931</v>
      </c>
    </row>
    <row r="4142">
      <c r="A4142" s="10" t="n">
        <v>46132</v>
      </c>
      <c r="B4142" t="inlineStr">
        <is>
          <t>Leandro Oliveira de Sousa</t>
        </is>
      </c>
      <c r="C4142" s="1" t="inlineStr">
        <is>
          <t>Técnico III</t>
        </is>
      </c>
      <c r="D4142" s="3" t="n">
        <v>27</v>
      </c>
      <c r="E4142" s="3" t="n">
        <v>23</v>
      </c>
      <c r="F4142" s="3" t="n">
        <v>16.42</v>
      </c>
      <c r="G4142" s="3" t="n">
        <v>0</v>
      </c>
      <c r="H4142" s="3" t="n">
        <v>0</v>
      </c>
      <c r="I4142" s="3">
        <f>E4142+G4142+H4142</f>
        <v/>
      </c>
      <c r="J4142" s="3">
        <f>ROUND(MIN(IF(C4142="Técnico III",35,IF(C4142="Técnico II",28,IF(C4142="Técnico I",23,IF(C4142="JR",20,IF(C4142="Estágio",10,0))))),IF(C4142="Técnico III",SUMIFS($D:$D,$A:$A,$A4142,$B:$B,"&lt;&gt;Patrícia Karla de Sousa Araújo",$B:$B,"&lt;&gt;Lorena Dias de Araujo",$B:$B,"&lt;&gt;Lucas Luiz Romero")*(35/1083),IF(C4142="Técnico II",SUMIFS($D:$D,$A:$A,$A4142,$B:$B,"&lt;&gt;Patrícia Karla de Sousa Araújo",$B:$B,"&lt;&gt;Lorena Dias de Araujo",$B:$B,"&lt;&gt;Lucas Luiz Romero")*(28/1083),IF(C4142="Técnico I",SUMIFS($D:$D,$A:$A,$A4142,$B:$B,"&lt;&gt;Patrícia Karla de Sousa Araújo",$B:$B,"&lt;&gt;Lorena Dias de Araujo",$B:$B,"&lt;&gt;Lucas Luiz Romero")*(23/1083),IF(C4142="JR",SUMIFS($D:$D,$A:$A,$A4142,$B:$B,"&lt;&gt;Patrícia Karla de Sousa Araújo",$B:$B,"&lt;&gt;Lorena Dias de Araujo",$B:$B,"&lt;&gt;Lucas Luiz Romero")*(20/1083),IF(C4142="Estágio",SUMIFS($D:$D,$A:$A,$A4142,$B:$B,"&lt;&gt;Patrícia Karla de Sousa Araújo",$B:$B,"&lt;&gt;Lorena Dias de Araujo",$B:$B,"&lt;&gt;Lucas Luiz Romero")*(10/1083),0)))))),0)</f>
        <v/>
      </c>
      <c r="K4142" s="3">
        <f>I4142-J4142</f>
        <v/>
      </c>
      <c r="L4142" s="3">
        <f>IF(K4142&lt;-5,"CRÍTICO",IF(K4142&lt;0,"ATENÇÃO",IF(K4142&lt;=5,"OPORTUNO","MUITO BOM")))</f>
        <v/>
      </c>
      <c r="M4142" s="3" t="n">
        <v>22</v>
      </c>
      <c r="N4142" s="3" t="n">
        <v>99.15000000000001</v>
      </c>
      <c r="O4142" s="12" t="n">
        <v>27.58620689655172</v>
      </c>
    </row>
    <row r="4143">
      <c r="A4143" s="10" t="n">
        <v>46132</v>
      </c>
      <c r="B4143" t="inlineStr">
        <is>
          <t>Lizandra Gomes Duarte</t>
        </is>
      </c>
      <c r="C4143" s="1" t="inlineStr">
        <is>
          <t>Técnico II</t>
        </is>
      </c>
      <c r="D4143" s="3" t="n">
        <v>19</v>
      </c>
      <c r="E4143" s="3" t="n">
        <v>19</v>
      </c>
      <c r="F4143" s="3" t="n">
        <v>20.49</v>
      </c>
      <c r="G4143" s="3" t="n">
        <v>0</v>
      </c>
      <c r="H4143" s="3" t="n">
        <v>0</v>
      </c>
      <c r="I4143" s="3">
        <f>E4143+G4143+H4143</f>
        <v/>
      </c>
      <c r="J4143" s="3">
        <f>ROUND(MIN(IF(C4143="Técnico III",35,IF(C4143="Técnico II",28,IF(C4143="Técnico I",23,IF(C4143="JR",20,IF(C4143="Estágio",10,0))))),IF(C4143="Técnico III",SUMIFS($D:$D,$A:$A,$A4143,$B:$B,"&lt;&gt;Patrícia Karla de Sousa Araújo",$B:$B,"&lt;&gt;Lorena Dias de Araujo",$B:$B,"&lt;&gt;Lucas Luiz Romero")*(35/1083),IF(C4143="Técnico II",SUMIFS($D:$D,$A:$A,$A4143,$B:$B,"&lt;&gt;Patrícia Karla de Sousa Araújo",$B:$B,"&lt;&gt;Lorena Dias de Araujo",$B:$B,"&lt;&gt;Lucas Luiz Romero")*(28/1083),IF(C4143="Técnico I",SUMIFS($D:$D,$A:$A,$A4143,$B:$B,"&lt;&gt;Patrícia Karla de Sousa Araújo",$B:$B,"&lt;&gt;Lorena Dias de Araujo",$B:$B,"&lt;&gt;Lucas Luiz Romero")*(23/1083),IF(C4143="JR",SUMIFS($D:$D,$A:$A,$A4143,$B:$B,"&lt;&gt;Patrícia Karla de Sousa Araújo",$B:$B,"&lt;&gt;Lorena Dias de Araujo",$B:$B,"&lt;&gt;Lucas Luiz Romero")*(20/1083),IF(C4143="Estágio",SUMIFS($D:$D,$A:$A,$A4143,$B:$B,"&lt;&gt;Patrícia Karla de Sousa Araújo",$B:$B,"&lt;&gt;Lorena Dias de Araujo",$B:$B,"&lt;&gt;Lucas Luiz Romero")*(10/1083),0)))))),0)</f>
        <v/>
      </c>
      <c r="K4143" s="3">
        <f>I4143-J4143</f>
        <v/>
      </c>
      <c r="L4143" s="3">
        <f>IF(K4143&lt;-5,"CRÍTICO",IF(K4143&lt;0,"ATENÇÃO",IF(K4143&lt;=5,"OPORTUNO","MUITO BOM")))</f>
        <v/>
      </c>
      <c r="M4143" s="3" t="n">
        <v>9</v>
      </c>
      <c r="N4143" s="3" t="n">
        <v>99.17</v>
      </c>
      <c r="O4143" s="12" t="n">
        <v>29.75206611570248</v>
      </c>
    </row>
    <row r="4144">
      <c r="A4144" s="10" t="n">
        <v>46132</v>
      </c>
      <c r="B4144" t="inlineStr">
        <is>
          <t>Lorena Dias de Araujo</t>
        </is>
      </c>
      <c r="C4144" s="1" t="inlineStr">
        <is>
          <t>Técnico II</t>
        </is>
      </c>
      <c r="D4144" s="3" t="n">
        <v>0</v>
      </c>
      <c r="E4144" s="3" t="n">
        <v>0</v>
      </c>
      <c r="F4144" s="3" t="n">
        <v>0</v>
      </c>
      <c r="G4144" s="3" t="n">
        <v>0</v>
      </c>
      <c r="H4144" s="3" t="n">
        <v>0</v>
      </c>
      <c r="I4144" s="3" t="n">
        <v>0</v>
      </c>
      <c r="J4144" s="3" t="n">
        <v>0</v>
      </c>
      <c r="K4144" s="3" t="n">
        <v>0</v>
      </c>
      <c r="L4144" s="3">
        <f>IF(K4144&lt;-5,"CRÍTICO",IF(K4144&lt;0,"ATENÇÃO",IF(K4144&lt;=5,"OPORTUNO","MUITO BOM")))</f>
        <v/>
      </c>
      <c r="M4144" s="3" t="n">
        <v>0</v>
      </c>
      <c r="N4144" s="3" t="n">
        <v>98.73</v>
      </c>
      <c r="O4144" s="12" t="n">
        <v>28.96174863387978</v>
      </c>
    </row>
    <row r="4145">
      <c r="A4145" s="10" t="n">
        <v>46132</v>
      </c>
      <c r="B4145" t="inlineStr">
        <is>
          <t>Lucas Luiz Romero</t>
        </is>
      </c>
      <c r="C4145" s="1" t="inlineStr">
        <is>
          <t>Técnico III</t>
        </is>
      </c>
      <c r="D4145" s="3" t="n">
        <v>0</v>
      </c>
      <c r="E4145" s="3" t="n">
        <v>0</v>
      </c>
      <c r="F4145" s="3" t="n">
        <v>0</v>
      </c>
      <c r="G4145" s="3" t="n">
        <v>0</v>
      </c>
      <c r="H4145" s="3" t="n">
        <v>0</v>
      </c>
      <c r="I4145" s="3" t="n">
        <v>0</v>
      </c>
      <c r="J4145" s="3" t="n">
        <v>0</v>
      </c>
      <c r="K4145" s="3" t="n">
        <v>0</v>
      </c>
      <c r="L4145" s="3">
        <f>IF(K4145&lt;-5,"CRÍTICO",IF(K4145&lt;0,"ATENÇÃO",IF(K4145&lt;=5,"OPORTUNO","MUITO BOM")))</f>
        <v/>
      </c>
      <c r="M4145" s="3" t="n">
        <v>0</v>
      </c>
      <c r="N4145" s="3" t="n">
        <v>88.68000000000001</v>
      </c>
      <c r="O4145" s="12" t="n">
        <v>22.03389830508474</v>
      </c>
    </row>
    <row r="4146">
      <c r="A4146" s="10" t="n">
        <v>46132</v>
      </c>
      <c r="B4146" t="inlineStr">
        <is>
          <t>Luiz Fernando de Carvalho Junior</t>
        </is>
      </c>
      <c r="C4146" s="1" t="inlineStr">
        <is>
          <t>Técnico I</t>
        </is>
      </c>
      <c r="D4146" s="3" t="n">
        <v>13</v>
      </c>
      <c r="E4146" s="3" t="n">
        <v>11</v>
      </c>
      <c r="F4146" s="3" t="n">
        <v>18.36</v>
      </c>
      <c r="G4146" s="3" t="n">
        <v>0</v>
      </c>
      <c r="H4146" s="3" t="n">
        <v>0</v>
      </c>
      <c r="I4146" s="3">
        <f>E4146+G4146+H4146</f>
        <v/>
      </c>
      <c r="J4146" s="3">
        <f>ROUND(MIN(IF(C4146="Técnico III",35,IF(C4146="Técnico II",28,IF(C4146="Técnico I",23,IF(C4146="JR",20,IF(C4146="Estágio",10,0))))),IF(C4146="Técnico III",SUMIFS($D:$D,$A:$A,$A4146,$B:$B,"&lt;&gt;Patrícia Karla de Sousa Araújo",$B:$B,"&lt;&gt;Lorena Dias de Araujo",$B:$B,"&lt;&gt;Lucas Luiz Romero")*(35/1083),IF(C4146="Técnico II",SUMIFS($D:$D,$A:$A,$A4146,$B:$B,"&lt;&gt;Patrícia Karla de Sousa Araújo",$B:$B,"&lt;&gt;Lorena Dias de Araujo",$B:$B,"&lt;&gt;Lucas Luiz Romero")*(28/1083),IF(C4146="Técnico I",SUMIFS($D:$D,$A:$A,$A4146,$B:$B,"&lt;&gt;Patrícia Karla de Sousa Araújo",$B:$B,"&lt;&gt;Lorena Dias de Araujo",$B:$B,"&lt;&gt;Lucas Luiz Romero")*(23/1083),IF(C4146="JR",SUMIFS($D:$D,$A:$A,$A4146,$B:$B,"&lt;&gt;Patrícia Karla de Sousa Araújo",$B:$B,"&lt;&gt;Lorena Dias de Araujo",$B:$B,"&lt;&gt;Lucas Luiz Romero")*(20/1083),IF(C4146="Estágio",SUMIFS($D:$D,$A:$A,$A4146,$B:$B,"&lt;&gt;Patrícia Karla de Sousa Araújo",$B:$B,"&lt;&gt;Lorena Dias de Araujo",$B:$B,"&lt;&gt;Lucas Luiz Romero")*(10/1083),0)))))),0)</f>
        <v/>
      </c>
      <c r="K4146" s="3">
        <f>I4146-J4146</f>
        <v/>
      </c>
      <c r="L4146" s="3">
        <f>IF(K4146&lt;-5,"CRÍTICO",IF(K4146&lt;0,"ATENÇÃO",IF(K4146&lt;=5,"OPORTUNO","MUITO BOM")))</f>
        <v/>
      </c>
      <c r="M4146" s="3" t="n">
        <v>13</v>
      </c>
      <c r="N4146" s="3" t="n">
        <v>97.37</v>
      </c>
      <c r="O4146" s="12" t="n">
        <v>25.76530612244898</v>
      </c>
    </row>
    <row r="4147">
      <c r="A4147" s="10" t="n">
        <v>46132</v>
      </c>
      <c r="B4147" t="inlineStr">
        <is>
          <t>Maria Eduarda Sousa Costa</t>
        </is>
      </c>
      <c r="C4147" s="1" t="inlineStr">
        <is>
          <t>Estágio</t>
        </is>
      </c>
      <c r="D4147" s="3" t="n">
        <v>10</v>
      </c>
      <c r="E4147" s="3" t="n">
        <v>10</v>
      </c>
      <c r="F4147" s="3" t="n">
        <v>25.55</v>
      </c>
      <c r="G4147" s="3" t="n">
        <v>0</v>
      </c>
      <c r="H4147" s="3" t="n">
        <v>0</v>
      </c>
      <c r="I4147" s="3">
        <f>E4147+G4147+H4147</f>
        <v/>
      </c>
      <c r="J4147" s="3">
        <f>ROUND(MIN(IF(C4147="Técnico III",35,IF(C4147="Técnico II",28,IF(C4147="Técnico I",23,IF(C4147="JR",20,IF(C4147="Estágio",10,0))))),IF(C4147="Técnico III",SUMIFS($D:$D,$A:$A,$A4147,$B:$B,"&lt;&gt;Patrícia Karla de Sousa Araújo",$B:$B,"&lt;&gt;Lorena Dias de Araujo",$B:$B,"&lt;&gt;Lucas Luiz Romero")*(35/1083),IF(C4147="Técnico II",SUMIFS($D:$D,$A:$A,$A4147,$B:$B,"&lt;&gt;Patrícia Karla de Sousa Araújo",$B:$B,"&lt;&gt;Lorena Dias de Araujo",$B:$B,"&lt;&gt;Lucas Luiz Romero")*(28/1083),IF(C4147="Técnico I",SUMIFS($D:$D,$A:$A,$A4147,$B:$B,"&lt;&gt;Patrícia Karla de Sousa Araújo",$B:$B,"&lt;&gt;Lorena Dias de Araujo",$B:$B,"&lt;&gt;Lucas Luiz Romero")*(23/1083),IF(C4147="JR",SUMIFS($D:$D,$A:$A,$A4147,$B:$B,"&lt;&gt;Patrícia Karla de Sousa Araújo",$B:$B,"&lt;&gt;Lorena Dias de Araujo",$B:$B,"&lt;&gt;Lucas Luiz Romero")*(20/1083),IF(C4147="Estágio",SUMIFS($D:$D,$A:$A,$A4147,$B:$B,"&lt;&gt;Patrícia Karla de Sousa Araújo",$B:$B,"&lt;&gt;Lorena Dias de Araujo",$B:$B,"&lt;&gt;Lucas Luiz Romero")*(10/1083),0)))))),0)</f>
        <v/>
      </c>
      <c r="K4147" s="3">
        <f>I4147-J4147</f>
        <v/>
      </c>
      <c r="L4147" s="3">
        <f>IF(K4147&lt;-5,"CRÍTICO",IF(K4147&lt;0,"ATENÇÃO",IF(K4147&lt;=5,"OPORTUNO","MUITO BOM")))</f>
        <v/>
      </c>
      <c r="M4147" s="3" t="n">
        <v>8</v>
      </c>
      <c r="N4147" s="3" t="n">
        <v>100</v>
      </c>
      <c r="O4147" s="12" t="n">
        <v>25</v>
      </c>
    </row>
    <row r="4148">
      <c r="A4148" s="7" t="n">
        <v>46162</v>
      </c>
      <c r="B4148" s="8" t="inlineStr">
        <is>
          <t>Cristiane Ramos da Silva Rocha</t>
        </is>
      </c>
      <c r="C4148" s="1" t="inlineStr">
        <is>
          <t>Técnico III</t>
        </is>
      </c>
      <c r="D4148" s="3" t="n">
        <v>31</v>
      </c>
      <c r="E4148" s="3" t="n">
        <v>26</v>
      </c>
      <c r="F4148" s="3" t="n">
        <v>14</v>
      </c>
      <c r="G4148" s="3" t="n">
        <v>0</v>
      </c>
      <c r="H4148" s="3" t="n">
        <v>0</v>
      </c>
      <c r="I4148" s="3" t="n">
        <v>26</v>
      </c>
      <c r="J4148" s="3" t="n">
        <v>26</v>
      </c>
      <c r="K4148" s="3" t="n">
        <v>0</v>
      </c>
      <c r="L4148" s="3" t="inlineStr">
        <is>
          <t>BOM</t>
        </is>
      </c>
      <c r="M4148" s="3" t="n">
        <v>21</v>
      </c>
      <c r="N4148" s="3" t="n">
        <v>92.81</v>
      </c>
      <c r="O4148" s="12" t="n">
        <v>25.47770700636943</v>
      </c>
    </row>
    <row r="4149">
      <c r="A4149" s="10" t="n">
        <v>46132</v>
      </c>
      <c r="B4149" t="inlineStr">
        <is>
          <t>Maysa Victoria Dias Moura</t>
        </is>
      </c>
      <c r="C4149" s="1" t="inlineStr">
        <is>
          <t>Técnico III</t>
        </is>
      </c>
      <c r="D4149" s="3" t="n">
        <v>27</v>
      </c>
      <c r="E4149" s="3" t="n">
        <v>26</v>
      </c>
      <c r="F4149" s="3" t="n">
        <v>15.38</v>
      </c>
      <c r="G4149" s="3" t="n">
        <v>0</v>
      </c>
      <c r="H4149" s="3" t="n">
        <v>0</v>
      </c>
      <c r="I4149" s="3">
        <f>E4149+G4149+H4149</f>
        <v/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/>
      </c>
      <c r="K4149" s="3">
        <f>I4149-J4149</f>
        <v/>
      </c>
      <c r="L4149" s="3">
        <f>IF(K4149&lt;-5,"CRÍTICO",IF(K4149&lt;0,"ATENÇÃO",IF(K4149&lt;=5,"OPORTUNO","MUITO BOM")))</f>
        <v/>
      </c>
      <c r="M4149" s="3" t="n">
        <v>22</v>
      </c>
      <c r="N4149" s="3" t="n">
        <v>95.48999999999999</v>
      </c>
      <c r="O4149" s="12" t="n">
        <v>28.37022132796781</v>
      </c>
    </row>
    <row r="4150">
      <c r="A4150" s="7" t="n">
        <v>46162</v>
      </c>
      <c r="B4150" s="8" t="inlineStr">
        <is>
          <t>Davylla Rodrigues Freitas Silva</t>
        </is>
      </c>
      <c r="C4150" s="1" t="inlineStr">
        <is>
          <t>Técnico III</t>
        </is>
      </c>
      <c r="D4150" s="3" t="n">
        <v>0</v>
      </c>
      <c r="E4150" s="3" t="n">
        <v>0</v>
      </c>
      <c r="F4150" s="3" t="n">
        <v>0</v>
      </c>
      <c r="G4150" s="3" t="n">
        <v>0</v>
      </c>
      <c r="H4150" s="3" t="n">
        <v>0</v>
      </c>
      <c r="I4150" s="3" t="n">
        <v>0</v>
      </c>
      <c r="J4150" s="3" t="n">
        <v>0</v>
      </c>
      <c r="K4150" s="3" t="n">
        <v>0</v>
      </c>
      <c r="L4150" s="3" t="inlineStr">
        <is>
          <t>BOM</t>
        </is>
      </c>
      <c r="M4150" s="3" t="n">
        <v>0</v>
      </c>
      <c r="N4150" s="3" t="n">
        <v>99.19</v>
      </c>
      <c r="O4150" s="12" t="n">
        <v>28.40466926070039</v>
      </c>
    </row>
    <row r="4151">
      <c r="A4151" s="10" t="n">
        <v>46132</v>
      </c>
      <c r="B4151" t="inlineStr">
        <is>
          <t>Milena Sales</t>
        </is>
      </c>
      <c r="C4151" s="1" t="inlineStr">
        <is>
          <t>JR</t>
        </is>
      </c>
      <c r="D4151" s="3" t="n">
        <v>10</v>
      </c>
      <c r="E4151" s="3" t="n">
        <v>8</v>
      </c>
      <c r="F4151" s="3" t="n">
        <v>15.55</v>
      </c>
      <c r="G4151" s="3" t="n">
        <v>0</v>
      </c>
      <c r="H4151" s="3" t="n">
        <v>0</v>
      </c>
      <c r="I4151" s="3">
        <f>E4151+G4151+H4151</f>
        <v/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/>
      </c>
      <c r="K4151" s="3">
        <f>I4151-J4151</f>
        <v/>
      </c>
      <c r="L4151" s="3">
        <f>IF(K4151&lt;-5,"CRÍTICO",IF(K4151&lt;0,"ATENÇÃO",IF(K4151&lt;=5,"OPORTUNO","MUITO BOM")))</f>
        <v/>
      </c>
      <c r="M4151" s="3" t="n">
        <v>7</v>
      </c>
      <c r="N4151" s="3" t="n">
        <v>96.15000000000001</v>
      </c>
      <c r="O4151" s="12" t="n">
        <v>24.04580152671756</v>
      </c>
    </row>
    <row r="4152">
      <c r="A4152" s="10" t="n">
        <v>46132</v>
      </c>
      <c r="B4152" t="inlineStr">
        <is>
          <t>Patrícia Karla de Sousa Araújo</t>
        </is>
      </c>
      <c r="C4152" s="1" t="inlineStr">
        <is>
          <t>Técnico II</t>
        </is>
      </c>
      <c r="D4152" s="3" t="n">
        <v>16</v>
      </c>
      <c r="E4152" s="3" t="n">
        <v>12</v>
      </c>
      <c r="F4152" s="3" t="n">
        <v>20.08</v>
      </c>
      <c r="G4152" s="3" t="n">
        <v>0</v>
      </c>
      <c r="H4152" s="3" t="n">
        <v>0</v>
      </c>
      <c r="I4152" s="3">
        <f>E4152+G4152+H4152</f>
        <v/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/>
      </c>
      <c r="K4152" s="3">
        <f>I4152-J4152</f>
        <v/>
      </c>
      <c r="L4152" s="3">
        <f>IF(K4152&lt;-5,"CRÍTICO",IF(K4152&lt;0,"ATENÇÃO",IF(K4152&lt;=5,"OPORTUNO","MUITO BOM")))</f>
        <v/>
      </c>
      <c r="M4152" s="3" t="n">
        <v>14</v>
      </c>
      <c r="N4152" s="3" t="n">
        <v>99.02</v>
      </c>
      <c r="O4152" s="12" t="n">
        <v>34.7972972972973</v>
      </c>
    </row>
    <row r="4153">
      <c r="A4153" s="10" t="n">
        <v>46132</v>
      </c>
      <c r="B4153" t="inlineStr">
        <is>
          <t>Paulo Ricardo Santos</t>
        </is>
      </c>
      <c r="C4153" s="1" t="inlineStr">
        <is>
          <t>JR</t>
        </is>
      </c>
      <c r="D4153" s="3" t="n">
        <v>10</v>
      </c>
      <c r="E4153" s="3" t="n">
        <v>10</v>
      </c>
      <c r="F4153" s="3" t="n">
        <v>13.27</v>
      </c>
      <c r="G4153" s="3" t="n">
        <v>0</v>
      </c>
      <c r="H4153" s="3" t="n">
        <v>0</v>
      </c>
      <c r="I4153" s="3">
        <f>E4153+G4153+H4153</f>
        <v/>
      </c>
      <c r="J4153" s="3">
        <f>ROUND(MIN(IF(C4153="Técnico III",35,IF(C4153="Técnico II",28,IF(C4153="Técnico I",23,IF(C4153="JR",20,IF(C4153="Estágio",10,0))))),IF(C4153="Técnico III",SUMIFS($D:$D,$A:$A,$A4153,$B:$B,"&lt;&gt;Patrícia Karla de Sousa Araújo",$B:$B,"&lt;&gt;Lorena Dias de Araujo",$B:$B,"&lt;&gt;Lucas Luiz Romero")*(35/1083),IF(C4153="Técnico II",SUMIFS($D:$D,$A:$A,$A4153,$B:$B,"&lt;&gt;Patrícia Karla de Sousa Araújo",$B:$B,"&lt;&gt;Lorena Dias de Araujo",$B:$B,"&lt;&gt;Lucas Luiz Romero")*(28/1083),IF(C4153="Técnico I",SUMIFS($D:$D,$A:$A,$A4153,$B:$B,"&lt;&gt;Patrícia Karla de Sousa Araújo",$B:$B,"&lt;&gt;Lorena Dias de Araujo",$B:$B,"&lt;&gt;Lucas Luiz Romero")*(23/1083),IF(C4153="JR",SUMIFS($D:$D,$A:$A,$A4153,$B:$B,"&lt;&gt;Patrícia Karla de Sousa Araújo",$B:$B,"&lt;&gt;Lorena Dias de Araujo",$B:$B,"&lt;&gt;Lucas Luiz Romero")*(20/1083),IF(C4153="Estágio",SUMIFS($D:$D,$A:$A,$A4153,$B:$B,"&lt;&gt;Patrícia Karla de Sousa Araújo",$B:$B,"&lt;&gt;Lorena Dias de Araujo",$B:$B,"&lt;&gt;Lucas Luiz Romero")*(10/1083),0)))))),0)</f>
        <v/>
      </c>
      <c r="K4153" s="3">
        <f>I4153-J4153</f>
        <v/>
      </c>
      <c r="L4153" s="3">
        <f>IF(K4153&lt;-5,"CRÍTICO",IF(K4153&lt;0,"ATENÇÃO",IF(K4153&lt;=5,"OPORTUNO","MUITO BOM")))</f>
        <v/>
      </c>
      <c r="M4153" s="3" t="n">
        <v>10</v>
      </c>
      <c r="N4153" s="3" t="n">
        <v>98.84</v>
      </c>
      <c r="O4153" s="12" t="n">
        <v>31.86813186813187</v>
      </c>
    </row>
    <row r="4154">
      <c r="A4154" s="10" t="n">
        <v>46132</v>
      </c>
      <c r="B4154" t="inlineStr">
        <is>
          <t>Pedro Luiz Mota Sousa</t>
        </is>
      </c>
      <c r="C4154" s="1" t="inlineStr">
        <is>
          <t>JR</t>
        </is>
      </c>
      <c r="D4154" s="3" t="n">
        <v>9</v>
      </c>
      <c r="E4154" s="3" t="n">
        <v>9</v>
      </c>
      <c r="F4154" s="3" t="n">
        <v>18.37</v>
      </c>
      <c r="G4154" s="3" t="n">
        <v>0</v>
      </c>
      <c r="H4154" s="3" t="n">
        <v>0</v>
      </c>
      <c r="I4154" s="3">
        <f>E4154+G4154+H4154</f>
        <v/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/>
      </c>
      <c r="K4154" s="3">
        <f>I4154-J4154</f>
        <v/>
      </c>
      <c r="L4154" s="3">
        <f>IF(K4154&lt;-5,"CRÍTICO",IF(K4154&lt;0,"ATENÇÃO",IF(K4154&lt;=5,"OPORTUNO","MUITO BOM")))</f>
        <v/>
      </c>
      <c r="M4154" s="3" t="n">
        <v>8</v>
      </c>
      <c r="N4154" s="3" t="n">
        <v>100</v>
      </c>
      <c r="O4154" s="12" t="n">
        <v>34.66666666666667</v>
      </c>
    </row>
    <row r="4155">
      <c r="A4155" s="7" t="n">
        <v>46162</v>
      </c>
      <c r="B4155" s="8" t="inlineStr">
        <is>
          <t>Francielson de Oliveira</t>
        </is>
      </c>
      <c r="C4155" s="1" t="inlineStr">
        <is>
          <t>Técnico III</t>
        </is>
      </c>
      <c r="D4155" s="3" t="n">
        <v>0</v>
      </c>
      <c r="E4155" s="3" t="n">
        <v>0</v>
      </c>
      <c r="F4155" s="3" t="n">
        <v>0</v>
      </c>
      <c r="G4155" s="3" t="n">
        <v>0</v>
      </c>
      <c r="H4155" s="3" t="n">
        <v>0</v>
      </c>
      <c r="I4155" s="3" t="n">
        <v>0</v>
      </c>
      <c r="J4155" s="3" t="n">
        <v>0</v>
      </c>
      <c r="K4155" s="3" t="n">
        <v>0</v>
      </c>
      <c r="L4155" s="3" t="inlineStr">
        <is>
          <t>BOM</t>
        </is>
      </c>
      <c r="M4155" s="3" t="n">
        <v>0</v>
      </c>
      <c r="N4155" s="3" t="n">
        <v>100</v>
      </c>
      <c r="O4155" s="12" t="n">
        <v>13.51351351351351</v>
      </c>
    </row>
    <row r="4156">
      <c r="A4156" s="10" t="n">
        <v>46132</v>
      </c>
      <c r="B4156" t="inlineStr">
        <is>
          <t>Raane Batista Matos</t>
        </is>
      </c>
      <c r="C4156" s="1" t="inlineStr">
        <is>
          <t>Técnico I</t>
        </is>
      </c>
      <c r="D4156" s="3" t="n">
        <v>11</v>
      </c>
      <c r="E4156" s="3" t="n">
        <v>11</v>
      </c>
      <c r="F4156" s="3" t="n">
        <v>13.35</v>
      </c>
      <c r="G4156" s="3" t="n">
        <v>0</v>
      </c>
      <c r="H4156" s="3" t="n">
        <v>0</v>
      </c>
      <c r="I4156" s="3">
        <f>E4156+G4156+H4156</f>
        <v/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/>
      </c>
      <c r="K4156" s="3">
        <f>I4156-J4156</f>
        <v/>
      </c>
      <c r="L4156" s="3">
        <f>IF(K4156&lt;-5,"CRÍTICO",IF(K4156&lt;0,"ATENÇÃO",IF(K4156&lt;=5,"OPORTUNO","MUITO BOM")))</f>
        <v/>
      </c>
      <c r="M4156" s="3" t="n">
        <v>6</v>
      </c>
      <c r="N4156" s="3" t="n">
        <v>98.31999999999999</v>
      </c>
      <c r="O4156" s="12" t="n">
        <v>26.85851318944844</v>
      </c>
    </row>
    <row r="4157">
      <c r="A4157" s="10" t="n">
        <v>46132</v>
      </c>
      <c r="B4157" t="inlineStr">
        <is>
          <t>Rafael Gomes de Morais</t>
        </is>
      </c>
      <c r="C4157" s="1" t="inlineStr">
        <is>
          <t>Técnico III</t>
        </is>
      </c>
      <c r="D4157" s="3" t="n">
        <v>32</v>
      </c>
      <c r="E4157" s="3" t="n">
        <v>30</v>
      </c>
      <c r="F4157" s="3" t="n">
        <v>11.55</v>
      </c>
      <c r="G4157" s="3" t="n">
        <v>0</v>
      </c>
      <c r="H4157" s="3" t="n">
        <v>0</v>
      </c>
      <c r="I4157" s="3">
        <f>E4157+G4157+H4157</f>
        <v/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/>
      </c>
      <c r="K4157" s="3">
        <f>I4157-J4157</f>
        <v/>
      </c>
      <c r="L4157" s="3">
        <f>IF(K4157&lt;-5,"CRÍTICO",IF(K4157&lt;0,"ATENÇÃO",IF(K4157&lt;=5,"OPORTUNO","MUITO BOM")))</f>
        <v/>
      </c>
      <c r="M4157" s="3" t="n">
        <v>19</v>
      </c>
      <c r="N4157" s="3" t="n">
        <v>100</v>
      </c>
      <c r="O4157" s="12" t="n">
        <v>31.13553113553114</v>
      </c>
    </row>
    <row r="4158">
      <c r="A4158" s="10" t="n">
        <v>46132</v>
      </c>
      <c r="B4158" t="inlineStr">
        <is>
          <t>Sara Maria Monteiro Lopes</t>
        </is>
      </c>
      <c r="C4158" s="1" t="inlineStr">
        <is>
          <t>Técnico I</t>
        </is>
      </c>
      <c r="D4158" s="3" t="n">
        <v>7</v>
      </c>
      <c r="E4158" s="3" t="n">
        <v>7</v>
      </c>
      <c r="F4158" s="3" t="n">
        <v>24.17</v>
      </c>
      <c r="G4158" s="3" t="n">
        <v>0</v>
      </c>
      <c r="H4158" s="3" t="n">
        <v>0</v>
      </c>
      <c r="I4158" s="3">
        <f>E4158+G4158+H4158</f>
        <v/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/>
      </c>
      <c r="K4158" s="3">
        <f>I4158-J4158</f>
        <v/>
      </c>
      <c r="L4158" s="3">
        <f>IF(K4158&lt;-5,"CRÍTICO",IF(K4158&lt;0,"ATENÇÃO",IF(K4158&lt;=5,"OPORTUNO","MUITO BOM")))</f>
        <v/>
      </c>
      <c r="M4158" s="3" t="n">
        <v>7</v>
      </c>
      <c r="N4158" s="3" t="n">
        <v>100</v>
      </c>
      <c r="O4158" s="12" t="n">
        <v>26.36986301369863</v>
      </c>
    </row>
    <row r="4159">
      <c r="A4159" s="10" t="n">
        <v>46132</v>
      </c>
      <c r="B4159" t="inlineStr">
        <is>
          <t>Sarah Steffanie de Lima Borges</t>
        </is>
      </c>
      <c r="C4159" s="1" t="inlineStr">
        <is>
          <t>Técnico III</t>
        </is>
      </c>
      <c r="D4159" s="3" t="n">
        <v>26</v>
      </c>
      <c r="E4159" s="3" t="n">
        <v>23</v>
      </c>
      <c r="F4159" s="3" t="n">
        <v>15.04</v>
      </c>
      <c r="G4159" s="3" t="n">
        <v>0</v>
      </c>
      <c r="H4159" s="3" t="n">
        <v>0</v>
      </c>
      <c r="I4159" s="3">
        <f>E4159+G4159+H4159</f>
        <v/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/>
      </c>
      <c r="K4159" s="3">
        <f>I4159-J4159</f>
        <v/>
      </c>
      <c r="L4159" s="3">
        <f>IF(K4159&lt;-5,"CRÍTICO",IF(K4159&lt;0,"ATENÇÃO",IF(K4159&lt;=5,"OPORTUNO","MUITO BOM")))</f>
        <v/>
      </c>
      <c r="M4159" s="3" t="n">
        <v>19</v>
      </c>
      <c r="N4159" s="3" t="n">
        <v>99.20999999999999</v>
      </c>
      <c r="O4159" s="12" t="n">
        <v>25.18891687657431</v>
      </c>
    </row>
    <row r="4160">
      <c r="A4160" s="10" t="n">
        <v>46134</v>
      </c>
      <c r="B4160" t="inlineStr">
        <is>
          <t>Alisson de Freitas Silva</t>
        </is>
      </c>
      <c r="C4160" s="1" t="inlineStr">
        <is>
          <t>Técnico II</t>
        </is>
      </c>
      <c r="D4160" s="3" t="n">
        <v>42</v>
      </c>
      <c r="E4160" s="3" t="n">
        <v>38</v>
      </c>
      <c r="F4160" s="3" t="n">
        <v>10.58</v>
      </c>
      <c r="G4160" s="3" t="n">
        <v>0</v>
      </c>
      <c r="H4160" s="3" t="n">
        <v>0</v>
      </c>
      <c r="I4160" s="3">
        <f>E4160+G4160+H4160</f>
        <v/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/>
      </c>
      <c r="K4160" s="3">
        <f>I4160-J4160</f>
        <v/>
      </c>
      <c r="L4160" s="3">
        <f>IF(K4160&lt;-5,"CRÍTICO",IF(K4160&lt;0,"ATENÇÃO",IF(K4160&lt;=5,"OPORTUNO","MUITO BOM")))</f>
        <v/>
      </c>
      <c r="M4160" s="3" t="n">
        <v>30</v>
      </c>
      <c r="N4160" s="3" t="n">
        <v>100</v>
      </c>
      <c r="O4160" s="12" t="n">
        <v>32.76450511945392</v>
      </c>
    </row>
    <row r="4161">
      <c r="A4161" s="10" t="n">
        <v>46134</v>
      </c>
      <c r="B4161" t="inlineStr">
        <is>
          <t>Amanda Moura Ferreira</t>
        </is>
      </c>
      <c r="C4161" s="1" t="inlineStr">
        <is>
          <t>Técnico III</t>
        </is>
      </c>
      <c r="D4161" s="3" t="n">
        <v>0</v>
      </c>
      <c r="E4161" s="3" t="n">
        <v>0</v>
      </c>
      <c r="F4161" s="3" t="n">
        <v>0</v>
      </c>
      <c r="G4161" s="3" t="n">
        <v>0</v>
      </c>
      <c r="H4161" s="3" t="n">
        <v>0</v>
      </c>
      <c r="I4161" s="3" t="n">
        <v>0</v>
      </c>
      <c r="J4161" s="3" t="n">
        <v>0</v>
      </c>
      <c r="K4161" s="3" t="n">
        <v>0</v>
      </c>
      <c r="L4161" s="3">
        <f>IF(K4161&lt;-5,"CRÍTICO",IF(K4161&lt;0,"ATENÇÃO",IF(K4161&lt;=5,"OPORTUNO","MUITO BOM")))</f>
        <v/>
      </c>
      <c r="M4161" s="3" t="n">
        <v>21</v>
      </c>
      <c r="N4161" s="3" t="n">
        <v>98.66</v>
      </c>
      <c r="O4161" s="12" t="n">
        <v>35.41666666666667</v>
      </c>
    </row>
    <row r="4162">
      <c r="A4162" s="10" t="n">
        <v>46134</v>
      </c>
      <c r="B4162" t="inlineStr">
        <is>
          <t>Ana Karollyne Souza Faria</t>
        </is>
      </c>
      <c r="C4162" s="1" t="inlineStr">
        <is>
          <t>Técnico I</t>
        </is>
      </c>
      <c r="D4162" s="3" t="n">
        <v>33</v>
      </c>
      <c r="E4162" s="3" t="n">
        <v>30</v>
      </c>
      <c r="F4162" s="3" t="n">
        <v>12.16</v>
      </c>
      <c r="G4162" s="3" t="n">
        <v>0</v>
      </c>
      <c r="H4162" s="3" t="n">
        <v>0</v>
      </c>
      <c r="I4162" s="3">
        <f>E4162+G4162+H4162</f>
        <v/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/>
      </c>
      <c r="K4162" s="3">
        <f>I4162-J4162</f>
        <v/>
      </c>
      <c r="L4162" s="3">
        <f>IF(K4162&lt;-5,"CRÍTICO",IF(K4162&lt;0,"ATENÇÃO",IF(K4162&lt;=5,"OPORTUNO","MUITO BOM")))</f>
        <v/>
      </c>
      <c r="M4162" s="3" t="n">
        <v>32</v>
      </c>
      <c r="N4162" s="3" t="n">
        <v>99.31999999999999</v>
      </c>
      <c r="O4162" s="12" t="n">
        <v>30.6483300589391</v>
      </c>
    </row>
    <row r="4163">
      <c r="A4163" s="10" t="n">
        <v>46134</v>
      </c>
      <c r="B4163" t="inlineStr">
        <is>
          <t>Ana Paula Da Luz Silva Aleixo</t>
        </is>
      </c>
      <c r="C4163" s="1" t="inlineStr">
        <is>
          <t>Técnico III</t>
        </is>
      </c>
      <c r="D4163" s="3" t="n">
        <v>16</v>
      </c>
      <c r="E4163" s="3" t="n">
        <v>15</v>
      </c>
      <c r="F4163" s="3" t="n">
        <v>26.58</v>
      </c>
      <c r="G4163" s="3" t="n">
        <v>0</v>
      </c>
      <c r="H4163" s="3" t="n">
        <v>0</v>
      </c>
      <c r="I4163" s="3">
        <f>E4163+G4163+H4163</f>
        <v/>
      </c>
      <c r="J4163" s="3">
        <f>ROUND(MIN(IF(C4163="Técnico III",35,IF(C4163="Técnico II",28,IF(C4163="Técnico I",23,IF(C4163="JR",20,IF(C4163="Estágio",10,0))))),IF(C4163="Técnico III",SUMIFS($D:$D,$A:$A,$A4163,$B:$B,"&lt;&gt;Patrícia Karla de Sousa Araújo",$B:$B,"&lt;&gt;Lorena Dias de Araujo",$B:$B,"&lt;&gt;Lucas Luiz Romero")*(35/1083),IF(C4163="Técnico II",SUMIFS($D:$D,$A:$A,$A4163,$B:$B,"&lt;&gt;Patrícia Karla de Sousa Araújo",$B:$B,"&lt;&gt;Lorena Dias de Araujo",$B:$B,"&lt;&gt;Lucas Luiz Romero")*(28/1083),IF(C4163="Técnico I",SUMIFS($D:$D,$A:$A,$A4163,$B:$B,"&lt;&gt;Patrícia Karla de Sousa Araújo",$B:$B,"&lt;&gt;Lorena Dias de Araujo",$B:$B,"&lt;&gt;Lucas Luiz Romero")*(23/1083),IF(C4163="JR",SUMIFS($D:$D,$A:$A,$A4163,$B:$B,"&lt;&gt;Patrícia Karla de Sousa Araújo",$B:$B,"&lt;&gt;Lorena Dias de Araujo",$B:$B,"&lt;&gt;Lucas Luiz Romero")*(20/1083),IF(C4163="Estágio",SUMIFS($D:$D,$A:$A,$A4163,$B:$B,"&lt;&gt;Patrícia Karla de Sousa Araújo",$B:$B,"&lt;&gt;Lorena Dias de Araujo",$B:$B,"&lt;&gt;Lucas Luiz Romero")*(10/1083),0)))))),0)</f>
        <v/>
      </c>
      <c r="K4163" s="3">
        <f>I4163-J4163</f>
        <v/>
      </c>
      <c r="L4163" s="3">
        <f>IF(K4163&lt;-5,"CRÍTICO",IF(K4163&lt;0,"ATENÇÃO",IF(K4163&lt;=5,"OPORTUNO","MUITO BOM")))</f>
        <v/>
      </c>
      <c r="M4163" s="3" t="n">
        <v>13</v>
      </c>
      <c r="N4163" s="3" t="n">
        <v>100</v>
      </c>
      <c r="O4163" s="12" t="n">
        <v>27.80373831775701</v>
      </c>
    </row>
    <row r="4164">
      <c r="A4164" s="10" t="n">
        <v>46134</v>
      </c>
      <c r="B4164" t="inlineStr">
        <is>
          <t>Anna Luiza Rezende Tavares</t>
        </is>
      </c>
      <c r="C4164" s="1" t="inlineStr">
        <is>
          <t>Estágio</t>
        </is>
      </c>
      <c r="D4164" s="3" t="n">
        <v>28</v>
      </c>
      <c r="E4164" s="3" t="n">
        <v>25</v>
      </c>
      <c r="F4164" s="3" t="n">
        <v>14.12</v>
      </c>
      <c r="G4164" s="3" t="n">
        <v>0</v>
      </c>
      <c r="H4164" s="3" t="n">
        <v>0</v>
      </c>
      <c r="I4164" s="3">
        <f>E4164+G4164+H4164</f>
        <v/>
      </c>
      <c r="J4164" s="3">
        <f>ROUND(MIN(IF(C4164="Técnico III",35,IF(C4164="Técnico II",28,IF(C4164="Técnico I",23,IF(C4164="JR",20,IF(C4164="Estágio",10,0))))),IF(C4164="Técnico III",SUMIFS($D:$D,$A:$A,$A4164,$B:$B,"&lt;&gt;Patrícia Karla de Sousa Araújo",$B:$B,"&lt;&gt;Lorena Dias de Araujo",$B:$B,"&lt;&gt;Lucas Luiz Romero")*(35/1083),IF(C4164="Técnico II",SUMIFS($D:$D,$A:$A,$A4164,$B:$B,"&lt;&gt;Patrícia Karla de Sousa Araújo",$B:$B,"&lt;&gt;Lorena Dias de Araujo",$B:$B,"&lt;&gt;Lucas Luiz Romero")*(28/1083),IF(C4164="Técnico I",SUMIFS($D:$D,$A:$A,$A4164,$B:$B,"&lt;&gt;Patrícia Karla de Sousa Araújo",$B:$B,"&lt;&gt;Lorena Dias de Araujo",$B:$B,"&lt;&gt;Lucas Luiz Romero")*(23/1083),IF(C4164="JR",SUMIFS($D:$D,$A:$A,$A4164,$B:$B,"&lt;&gt;Patrícia Karla de Sousa Araújo",$B:$B,"&lt;&gt;Lorena Dias de Araujo",$B:$B,"&lt;&gt;Lucas Luiz Romero")*(20/1083),IF(C4164="Estágio",SUMIFS($D:$D,$A:$A,$A4164,$B:$B,"&lt;&gt;Patrícia Karla de Sousa Araújo",$B:$B,"&lt;&gt;Lorena Dias de Araujo",$B:$B,"&lt;&gt;Lucas Luiz Romero")*(10/1083),0)))))),0)</f>
        <v/>
      </c>
      <c r="K4164" s="3">
        <f>I4164-J4164</f>
        <v/>
      </c>
      <c r="L4164" s="3">
        <f>IF(K4164&lt;-5,"CRÍTICO",IF(K4164&lt;0,"ATENÇÃO",IF(K4164&lt;=5,"OPORTUNO","MUITO BOM")))</f>
        <v/>
      </c>
      <c r="M4164" s="3" t="n">
        <v>22</v>
      </c>
      <c r="N4164" s="3" t="n">
        <v>96.73999999999999</v>
      </c>
      <c r="O4164" s="12" t="n">
        <v>28.67647058823529</v>
      </c>
    </row>
    <row r="4165">
      <c r="A4165" s="10" t="n">
        <v>46134</v>
      </c>
      <c r="B4165" t="inlineStr">
        <is>
          <t>Brenda de Menezes Silva</t>
        </is>
      </c>
      <c r="C4165" s="1" t="inlineStr">
        <is>
          <t>Técnico II</t>
        </is>
      </c>
      <c r="D4165" s="3" t="n">
        <v>0</v>
      </c>
      <c r="E4165" s="3" t="n">
        <v>0</v>
      </c>
      <c r="F4165" s="3" t="n">
        <v>0</v>
      </c>
      <c r="G4165" s="3" t="n">
        <v>0</v>
      </c>
      <c r="H4165" s="3" t="n">
        <v>0</v>
      </c>
      <c r="I4165" s="3" t="n">
        <v>0</v>
      </c>
      <c r="J4165" s="3" t="n">
        <v>0</v>
      </c>
      <c r="K4165" s="3" t="n">
        <v>0</v>
      </c>
      <c r="L4165" s="3">
        <f>IF(K4165&lt;-5,"CRÍTICO",IF(K4165&lt;0,"ATENÇÃO",IF(K4165&lt;=5,"OPORTUNO","MUITO BOM")))</f>
        <v/>
      </c>
      <c r="M4165" s="3" t="n">
        <v>0</v>
      </c>
      <c r="N4165" s="3" t="n">
        <v>98.81999999999999</v>
      </c>
      <c r="O4165" s="12" t="n">
        <v>30.74141048824593</v>
      </c>
    </row>
    <row r="4166">
      <c r="A4166" s="10" t="n">
        <v>46134</v>
      </c>
      <c r="B4166" t="inlineStr">
        <is>
          <t>Carlos Mateus Cassimiro Nunes</t>
        </is>
      </c>
      <c r="C4166" s="1" t="inlineStr">
        <is>
          <t>Técnico II</t>
        </is>
      </c>
      <c r="D4166" s="3" t="n">
        <v>0</v>
      </c>
      <c r="E4166" s="3" t="n">
        <v>0</v>
      </c>
      <c r="F4166" s="3" t="n">
        <v>0</v>
      </c>
      <c r="G4166" s="3" t="n">
        <v>0</v>
      </c>
      <c r="H4166" s="3" t="n">
        <v>0</v>
      </c>
      <c r="I4166" s="3" t="n">
        <v>0</v>
      </c>
      <c r="J4166" s="3" t="n">
        <v>0</v>
      </c>
      <c r="K4166" s="3" t="n">
        <v>0</v>
      </c>
      <c r="L4166" s="3">
        <f>IF(K4166&lt;-5,"CRÍTICO",IF(K4166&lt;0,"ATENÇÃO",IF(K4166&lt;=5,"OPORTUNO","MUITO BOM")))</f>
        <v/>
      </c>
      <c r="M4166" s="3" t="n">
        <v>0</v>
      </c>
      <c r="N4166" s="3" t="n">
        <v>98.2</v>
      </c>
      <c r="O4166" s="12" t="n">
        <v>27.17086834733893</v>
      </c>
    </row>
    <row r="4167">
      <c r="A4167" s="10" t="n">
        <v>46134</v>
      </c>
      <c r="B4167" t="inlineStr">
        <is>
          <t>Claudio de Sousa Velasco Filho</t>
        </is>
      </c>
      <c r="C4167" s="1" t="inlineStr">
        <is>
          <t>Estágio</t>
        </is>
      </c>
      <c r="D4167" s="3" t="n">
        <v>5</v>
      </c>
      <c r="E4167" s="3" t="n">
        <v>5</v>
      </c>
      <c r="F4167" s="3" t="n">
        <v>33.49</v>
      </c>
      <c r="G4167" s="3" t="n">
        <v>0</v>
      </c>
      <c r="H4167" s="3" t="n">
        <v>0</v>
      </c>
      <c r="I4167" s="3">
        <f>E4167+G4167+H4167</f>
        <v/>
      </c>
      <c r="J4167" s="3">
        <f>ROUND(MIN(IF(C4167="Técnico III",35,IF(C4167="Técnico II",28,IF(C4167="Técnico I",23,IF(C4167="JR",20,IF(C4167="Estágio",10,0))))),IF(C4167="Técnico III",SUMIFS($D:$D,$A:$A,$A4167,$B:$B,"&lt;&gt;Patrícia Karla de Sousa Araújo",$B:$B,"&lt;&gt;Lorena Dias de Araujo",$B:$B,"&lt;&gt;Lucas Luiz Romero")*(35/1083),IF(C4167="Técnico II",SUMIFS($D:$D,$A:$A,$A4167,$B:$B,"&lt;&gt;Patrícia Karla de Sousa Araújo",$B:$B,"&lt;&gt;Lorena Dias de Araujo",$B:$B,"&lt;&gt;Lucas Luiz Romero")*(28/1083),IF(C4167="Técnico I",SUMIFS($D:$D,$A:$A,$A4167,$B:$B,"&lt;&gt;Patrícia Karla de Sousa Araújo",$B:$B,"&lt;&gt;Lorena Dias de Araujo",$B:$B,"&lt;&gt;Lucas Luiz Romero")*(23/1083),IF(C4167="JR",SUMIFS($D:$D,$A:$A,$A4167,$B:$B,"&lt;&gt;Patrícia Karla de Sousa Araújo",$B:$B,"&lt;&gt;Lorena Dias de Araujo",$B:$B,"&lt;&gt;Lucas Luiz Romero")*(20/1083),IF(C4167="Estágio",SUMIFS($D:$D,$A:$A,$A4167,$B:$B,"&lt;&gt;Patrícia Karla de Sousa Araújo",$B:$B,"&lt;&gt;Lorena Dias de Araujo",$B:$B,"&lt;&gt;Lucas Luiz Romero")*(10/1083),0)))))),0)</f>
        <v/>
      </c>
      <c r="K4167" s="3">
        <f>I4167-J4167</f>
        <v/>
      </c>
      <c r="L4167" s="3">
        <f>IF(K4167&lt;-5,"CRÍTICO",IF(K4167&lt;0,"ATENÇÃO",IF(K4167&lt;=5,"OPORTUNO","MUITO BOM")))</f>
        <v/>
      </c>
      <c r="M4167" s="3" t="n">
        <v>4</v>
      </c>
      <c r="N4167" s="3" t="n">
        <v>100</v>
      </c>
      <c r="O4167" s="12" t="n">
        <v>23.13432835820895</v>
      </c>
    </row>
    <row r="4168">
      <c r="A4168" s="10" t="n">
        <v>46134</v>
      </c>
      <c r="B4168" t="inlineStr">
        <is>
          <t>Clessiane Pereira dos Santos</t>
        </is>
      </c>
      <c r="C4168" s="1" t="inlineStr">
        <is>
          <t>Técnico I</t>
        </is>
      </c>
      <c r="D4168" s="3" t="n">
        <v>16</v>
      </c>
      <c r="E4168" s="3" t="n">
        <v>13</v>
      </c>
      <c r="F4168" s="3" t="n">
        <v>15.45</v>
      </c>
      <c r="G4168" s="3" t="n">
        <v>0</v>
      </c>
      <c r="H4168" s="3" t="n">
        <v>0</v>
      </c>
      <c r="I4168" s="3">
        <f>E4168+G4168+H4168</f>
        <v/>
      </c>
      <c r="J4168" s="3">
        <f>ROUND(MIN(IF(C4168="Técnico III",35,IF(C4168="Técnico II",28,IF(C4168="Técnico I",23,IF(C4168="JR",20,IF(C4168="Estágio",10,0))))),IF(C4168="Técnico III",SUMIFS($D:$D,$A:$A,$A4168,$B:$B,"&lt;&gt;Patrícia Karla de Sousa Araújo",$B:$B,"&lt;&gt;Lorena Dias de Araujo",$B:$B,"&lt;&gt;Lucas Luiz Romero")*(35/1083),IF(C4168="Técnico II",SUMIFS($D:$D,$A:$A,$A4168,$B:$B,"&lt;&gt;Patrícia Karla de Sousa Araújo",$B:$B,"&lt;&gt;Lorena Dias de Araujo",$B:$B,"&lt;&gt;Lucas Luiz Romero")*(28/1083),IF(C4168="Técnico I",SUMIFS($D:$D,$A:$A,$A4168,$B:$B,"&lt;&gt;Patrícia Karla de Sousa Araújo",$B:$B,"&lt;&gt;Lorena Dias de Araujo",$B:$B,"&lt;&gt;Lucas Luiz Romero")*(23/1083),IF(C4168="JR",SUMIFS($D:$D,$A:$A,$A4168,$B:$B,"&lt;&gt;Patrícia Karla de Sousa Araújo",$B:$B,"&lt;&gt;Lorena Dias de Araujo",$B:$B,"&lt;&gt;Lucas Luiz Romero")*(20/1083),IF(C4168="Estágio",SUMIFS($D:$D,$A:$A,$A4168,$B:$B,"&lt;&gt;Patrícia Karla de Sousa Araújo",$B:$B,"&lt;&gt;Lorena Dias de Araujo",$B:$B,"&lt;&gt;Lucas Luiz Romero")*(10/1083),0)))))),0)</f>
        <v/>
      </c>
      <c r="K4168" s="3">
        <f>I4168-J4168</f>
        <v/>
      </c>
      <c r="L4168" s="3">
        <f>IF(K4168&lt;-5,"CRÍTICO",IF(K4168&lt;0,"ATENÇÃO",IF(K4168&lt;=5,"OPORTUNO","MUITO BOM")))</f>
        <v/>
      </c>
      <c r="M4168" s="3" t="n">
        <v>13</v>
      </c>
      <c r="N4168" s="3" t="n">
        <v>96.3</v>
      </c>
      <c r="O4168" s="12" t="n">
        <v>32.21957040572792</v>
      </c>
    </row>
    <row r="4169">
      <c r="A4169" s="10" t="n">
        <v>46134</v>
      </c>
      <c r="B4169" t="inlineStr">
        <is>
          <t>Cristiane Ramos da Silva Rocha</t>
        </is>
      </c>
      <c r="C4169" s="1" t="inlineStr">
        <is>
          <t>Técnico III</t>
        </is>
      </c>
      <c r="D4169" s="3" t="n">
        <v>24</v>
      </c>
      <c r="E4169" s="3" t="n">
        <v>23</v>
      </c>
      <c r="F4169" s="3" t="n">
        <v>16.43</v>
      </c>
      <c r="G4169" s="3" t="n">
        <v>0</v>
      </c>
      <c r="H4169" s="3" t="n">
        <v>0</v>
      </c>
      <c r="I4169" s="3">
        <f>E4169+G4169+H4169</f>
        <v/>
      </c>
      <c r="J4169" s="3">
        <f>ROUND(MIN(IF(C4169="Técnico III",35,IF(C4169="Técnico II",28,IF(C4169="Técnico I",23,IF(C4169="JR",20,IF(C4169="Estágio",10,0))))),IF(C4169="Técnico III",SUMIFS($D:$D,$A:$A,$A4169,$B:$B,"&lt;&gt;Patrícia Karla de Sousa Araújo",$B:$B,"&lt;&gt;Lorena Dias de Araujo",$B:$B,"&lt;&gt;Lucas Luiz Romero")*(35/1083),IF(C4169="Técnico II",SUMIFS($D:$D,$A:$A,$A4169,$B:$B,"&lt;&gt;Patrícia Karla de Sousa Araújo",$B:$B,"&lt;&gt;Lorena Dias de Araujo",$B:$B,"&lt;&gt;Lucas Luiz Romero")*(28/1083),IF(C4169="Técnico I",SUMIFS($D:$D,$A:$A,$A4169,$B:$B,"&lt;&gt;Patrícia Karla de Sousa Araújo",$B:$B,"&lt;&gt;Lorena Dias de Araujo",$B:$B,"&lt;&gt;Lucas Luiz Romero")*(23/1083),IF(C4169="JR",SUMIFS($D:$D,$A:$A,$A4169,$B:$B,"&lt;&gt;Patrícia Karla de Sousa Araújo",$B:$B,"&lt;&gt;Lorena Dias de Araujo",$B:$B,"&lt;&gt;Lucas Luiz Romero")*(20/1083),IF(C4169="Estágio",SUMIFS($D:$D,$A:$A,$A4169,$B:$B,"&lt;&gt;Patrícia Karla de Sousa Araújo",$B:$B,"&lt;&gt;Lorena Dias de Araujo",$B:$B,"&lt;&gt;Lucas Luiz Romero")*(10/1083),0)))))),0)</f>
        <v/>
      </c>
      <c r="K4169" s="3">
        <f>I4169-J4169</f>
        <v/>
      </c>
      <c r="L4169" s="3">
        <f>IF(K4169&lt;-5,"CRÍTICO",IF(K4169&lt;0,"ATENÇÃO",IF(K4169&lt;=5,"OPORTUNO","MUITO BOM")))</f>
        <v/>
      </c>
      <c r="M4169" s="3" t="n">
        <v>19</v>
      </c>
      <c r="N4169" s="3" t="n">
        <v>93.75</v>
      </c>
      <c r="O4169" s="12" t="n">
        <v>26.81992337164751</v>
      </c>
    </row>
    <row r="4170">
      <c r="A4170" s="10" t="n">
        <v>46134</v>
      </c>
      <c r="B4170" t="inlineStr">
        <is>
          <t>Damyllis Lorraine de Oliveira Gonçalves</t>
        </is>
      </c>
      <c r="C4170" s="1" t="inlineStr">
        <is>
          <t>Técnico II</t>
        </is>
      </c>
      <c r="D4170" s="3" t="n">
        <v>26</v>
      </c>
      <c r="E4170" s="3" t="n">
        <v>25</v>
      </c>
      <c r="F4170" s="3" t="n">
        <v>20.07</v>
      </c>
      <c r="G4170" s="3" t="n">
        <v>0</v>
      </c>
      <c r="H4170" s="3" t="n">
        <v>0</v>
      </c>
      <c r="I4170" s="3" t="n">
        <v>0</v>
      </c>
      <c r="J4170" s="3" t="n">
        <v>0</v>
      </c>
      <c r="K4170" s="3" t="n">
        <v>0</v>
      </c>
      <c r="L4170" s="3">
        <f>IF(K4170&lt;-5,"CRÍTICO",IF(K4170&lt;0,"ATENÇÃO",IF(K4170&lt;=5,"OPORTUNO","MUITO BOM")))</f>
        <v/>
      </c>
      <c r="M4170" s="3" t="n">
        <v>21</v>
      </c>
      <c r="N4170" s="3" t="n">
        <v>97.86</v>
      </c>
      <c r="O4170" s="12" t="n">
        <v>31.01851851851852</v>
      </c>
    </row>
    <row r="4171">
      <c r="A4171" s="10" t="n">
        <v>46134</v>
      </c>
      <c r="B4171" t="inlineStr">
        <is>
          <t>Daniel Gomes da Silva</t>
        </is>
      </c>
      <c r="C4171" s="1" t="inlineStr">
        <is>
          <t>Técnico I</t>
        </is>
      </c>
      <c r="D4171" s="3" t="n">
        <v>18</v>
      </c>
      <c r="E4171" s="3" t="n">
        <v>16</v>
      </c>
      <c r="F4171" s="3" t="n">
        <v>22.13</v>
      </c>
      <c r="G4171" s="3" t="n">
        <v>0</v>
      </c>
      <c r="H4171" s="3" t="n">
        <v>0</v>
      </c>
      <c r="I4171" s="3">
        <f>E4171+G4171+H4171</f>
        <v/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/>
      </c>
      <c r="K4171" s="3">
        <f>I4171-J4171</f>
        <v/>
      </c>
      <c r="L4171" s="3">
        <f>IF(K4171&lt;-5,"CRÍTICO",IF(K4171&lt;0,"ATENÇÃO",IF(K4171&lt;=5,"OPORTUNO","MUITO BOM")))</f>
        <v/>
      </c>
      <c r="M4171" s="3" t="n">
        <v>8</v>
      </c>
      <c r="N4171" s="3" t="n">
        <v>100</v>
      </c>
      <c r="O4171" s="12" t="n">
        <v>36.59420289855073</v>
      </c>
    </row>
    <row r="4172">
      <c r="A4172" s="10" t="n">
        <v>46134</v>
      </c>
      <c r="B4172" t="inlineStr">
        <is>
          <t>Davylla Rodrigues Freitas Silva</t>
        </is>
      </c>
      <c r="C4172" s="1" t="inlineStr">
        <is>
          <t>Técnico III</t>
        </is>
      </c>
      <c r="D4172" s="3" t="n">
        <v>17</v>
      </c>
      <c r="E4172" s="3" t="n">
        <v>16</v>
      </c>
      <c r="F4172" s="3" t="n">
        <v>31.59</v>
      </c>
      <c r="G4172" s="3" t="n">
        <v>0</v>
      </c>
      <c r="H4172" s="3" t="n">
        <v>0</v>
      </c>
      <c r="I4172" s="3" t="n">
        <v>0</v>
      </c>
      <c r="J4172" s="3" t="n">
        <v>0</v>
      </c>
      <c r="K4172" s="3" t="n">
        <v>0</v>
      </c>
      <c r="L4172" s="3">
        <f>IF(K4172&lt;-5,"CRÍTICO",IF(K4172&lt;0,"ATENÇÃO",IF(K4172&lt;=5,"OPORTUNO","MUITO BOM")))</f>
        <v/>
      </c>
      <c r="M4172" s="3" t="n">
        <v>16</v>
      </c>
      <c r="N4172" s="3" t="n">
        <v>100</v>
      </c>
      <c r="O4172" s="12" t="n">
        <v>38.65384615384615</v>
      </c>
    </row>
    <row r="4173">
      <c r="A4173" s="10" t="n">
        <v>46134</v>
      </c>
      <c r="B4173" t="inlineStr">
        <is>
          <t>Emilly Caylane Costa</t>
        </is>
      </c>
      <c r="C4173" s="1" t="inlineStr">
        <is>
          <t>Estágio</t>
        </is>
      </c>
      <c r="D4173" s="3" t="n">
        <v>7</v>
      </c>
      <c r="E4173" s="3" t="n">
        <v>7</v>
      </c>
      <c r="F4173" s="3" t="n">
        <v>30.04</v>
      </c>
      <c r="G4173" s="3" t="n">
        <v>0</v>
      </c>
      <c r="H4173" s="3" t="n">
        <v>0</v>
      </c>
      <c r="I4173" s="3">
        <f>E4173+G4173+H4173</f>
        <v/>
      </c>
      <c r="J4173" s="3">
        <f>ROUND(MIN(IF(C4173="Técnico III",35,IF(C4173="Técnico II",28,IF(C4173="Técnico I",23,IF(C4173="JR",20,IF(C4173="Estágio",10,0))))),IF(C4173="Técnico III",SUMIFS($D:$D,$A:$A,$A4173,$B:$B,"&lt;&gt;Patrícia Karla de Sousa Araújo",$B:$B,"&lt;&gt;Lorena Dias de Araujo",$B:$B,"&lt;&gt;Lucas Luiz Romero")*(35/1083),IF(C4173="Técnico II",SUMIFS($D:$D,$A:$A,$A4173,$B:$B,"&lt;&gt;Patrícia Karla de Sousa Araújo",$B:$B,"&lt;&gt;Lorena Dias de Araujo",$B:$B,"&lt;&gt;Lucas Luiz Romero")*(28/1083),IF(C4173="Técnico I",SUMIFS($D:$D,$A:$A,$A4173,$B:$B,"&lt;&gt;Patrícia Karla de Sousa Araújo",$B:$B,"&lt;&gt;Lorena Dias de Araujo",$B:$B,"&lt;&gt;Lucas Luiz Romero")*(23/1083),IF(C4173="JR",SUMIFS($D:$D,$A:$A,$A4173,$B:$B,"&lt;&gt;Patrícia Karla de Sousa Araújo",$B:$B,"&lt;&gt;Lorena Dias de Araujo",$B:$B,"&lt;&gt;Lucas Luiz Romero")*(20/1083),IF(C4173="Estágio",SUMIFS($D:$D,$A:$A,$A4173,$B:$B,"&lt;&gt;Patrícia Karla de Sousa Araújo",$B:$B,"&lt;&gt;Lorena Dias de Araujo",$B:$B,"&lt;&gt;Lucas Luiz Romero")*(10/1083),0)))))),0)</f>
        <v/>
      </c>
      <c r="K4173" s="3">
        <f>I4173-J4173</f>
        <v/>
      </c>
      <c r="L4173" s="3">
        <f>IF(K4173&lt;-5,"CRÍTICO",IF(K4173&lt;0,"ATENÇÃO",IF(K4173&lt;=5,"OPORTUNO","MUITO BOM")))</f>
        <v/>
      </c>
      <c r="M4173" s="3" t="n">
        <v>5</v>
      </c>
      <c r="N4173" s="3" t="n">
        <v>100</v>
      </c>
      <c r="O4173" s="12" t="n">
        <v>27.36842105263158</v>
      </c>
    </row>
    <row r="4174">
      <c r="A4174" s="10" t="n">
        <v>46134</v>
      </c>
      <c r="B4174" t="inlineStr">
        <is>
          <t>Emilly Kamilly Medeiros Miranda</t>
        </is>
      </c>
      <c r="C4174" s="1" t="inlineStr">
        <is>
          <t>Técnico II</t>
        </is>
      </c>
      <c r="D4174" s="3" t="n">
        <v>30</v>
      </c>
      <c r="E4174" s="3" t="n">
        <v>29</v>
      </c>
      <c r="F4174" s="3" t="n">
        <v>14.13</v>
      </c>
      <c r="G4174" s="3" t="n">
        <v>0</v>
      </c>
      <c r="H4174" s="3" t="n">
        <v>0</v>
      </c>
      <c r="I4174" s="3">
        <f>E4174+G4174+H4174</f>
        <v/>
      </c>
      <c r="J4174" s="3">
        <f>ROUND(MIN(IF(C4174="Técnico III",35,IF(C4174="Técnico II",28,IF(C4174="Técnico I",23,IF(C4174="JR",20,IF(C4174="Estágio",10,0))))),IF(C4174="Técnico III",SUMIFS($D:$D,$A:$A,$A4174,$B:$B,"&lt;&gt;Patrícia Karla de Sousa Araújo",$B:$B,"&lt;&gt;Lorena Dias de Araujo",$B:$B,"&lt;&gt;Lucas Luiz Romero")*(35/1083),IF(C4174="Técnico II",SUMIFS($D:$D,$A:$A,$A4174,$B:$B,"&lt;&gt;Patrícia Karla de Sousa Araújo",$B:$B,"&lt;&gt;Lorena Dias de Araujo",$B:$B,"&lt;&gt;Lucas Luiz Romero")*(28/1083),IF(C4174="Técnico I",SUMIFS($D:$D,$A:$A,$A4174,$B:$B,"&lt;&gt;Patrícia Karla de Sousa Araújo",$B:$B,"&lt;&gt;Lorena Dias de Araujo",$B:$B,"&lt;&gt;Lucas Luiz Romero")*(23/1083),IF(C4174="JR",SUMIFS($D:$D,$A:$A,$A4174,$B:$B,"&lt;&gt;Patrícia Karla de Sousa Araújo",$B:$B,"&lt;&gt;Lorena Dias de Araujo",$B:$B,"&lt;&gt;Lucas Luiz Romero")*(20/1083),IF(C4174="Estágio",SUMIFS($D:$D,$A:$A,$A4174,$B:$B,"&lt;&gt;Patrícia Karla de Sousa Araújo",$B:$B,"&lt;&gt;Lorena Dias de Araujo",$B:$B,"&lt;&gt;Lucas Luiz Romero")*(10/1083),0)))))),0)</f>
        <v/>
      </c>
      <c r="K4174" s="3">
        <f>I4174-J4174</f>
        <v/>
      </c>
      <c r="L4174" s="3">
        <f>IF(K4174&lt;-5,"CRÍTICO",IF(K4174&lt;0,"ATENÇÃO",IF(K4174&lt;=5,"OPORTUNO","MUITO BOM")))</f>
        <v/>
      </c>
      <c r="M4174" s="3" t="n">
        <v>27</v>
      </c>
      <c r="N4174" s="3" t="n">
        <v>97.83</v>
      </c>
      <c r="O4174" s="12" t="n">
        <v>28.35164835164835</v>
      </c>
    </row>
    <row r="4175">
      <c r="A4175" s="10" t="n">
        <v>46134</v>
      </c>
      <c r="B4175" t="inlineStr">
        <is>
          <t>Francielson de Oliveira</t>
        </is>
      </c>
      <c r="C4175" s="1" t="inlineStr">
        <is>
          <t>Técnico III</t>
        </is>
      </c>
      <c r="D4175" s="3" t="n">
        <v>19</v>
      </c>
      <c r="E4175" s="3" t="n">
        <v>19</v>
      </c>
      <c r="F4175" s="3" t="n">
        <v>18.3</v>
      </c>
      <c r="G4175" s="3" t="n">
        <v>0</v>
      </c>
      <c r="H4175" s="3" t="n">
        <v>0</v>
      </c>
      <c r="I4175" s="3">
        <f>E4175+G4175+H4175</f>
        <v/>
      </c>
      <c r="J4175" s="3">
        <f>ROUND(MIN(IF(C4175="Técnico III",35,IF(C4175="Técnico II",28,IF(C4175="Técnico I",23,IF(C4175="JR",20,IF(C4175="Estágio",10,0))))),IF(C4175="Técnico III",SUMIFS($D:$D,$A:$A,$A4175,$B:$B,"&lt;&gt;Patrícia Karla de Sousa Araújo",$B:$B,"&lt;&gt;Lorena Dias de Araujo",$B:$B,"&lt;&gt;Lucas Luiz Romero")*(35/1083),IF(C4175="Técnico II",SUMIFS($D:$D,$A:$A,$A4175,$B:$B,"&lt;&gt;Patrícia Karla de Sousa Araújo",$B:$B,"&lt;&gt;Lorena Dias de Araujo",$B:$B,"&lt;&gt;Lucas Luiz Romero")*(28/1083),IF(C4175="Técnico I",SUMIFS($D:$D,$A:$A,$A4175,$B:$B,"&lt;&gt;Patrícia Karla de Sousa Araújo",$B:$B,"&lt;&gt;Lorena Dias de Araujo",$B:$B,"&lt;&gt;Lucas Luiz Romero")*(23/1083),IF(C4175="JR",SUMIFS($D:$D,$A:$A,$A4175,$B:$B,"&lt;&gt;Patrícia Karla de Sousa Araújo",$B:$B,"&lt;&gt;Lorena Dias de Araujo",$B:$B,"&lt;&gt;Lucas Luiz Romero")*(20/1083),IF(C4175="Estágio",SUMIFS($D:$D,$A:$A,$A4175,$B:$B,"&lt;&gt;Patrícia Karla de Sousa Araújo",$B:$B,"&lt;&gt;Lorena Dias de Araujo",$B:$B,"&lt;&gt;Lucas Luiz Romero")*(10/1083),0)))))),0)</f>
        <v/>
      </c>
      <c r="K4175" s="3">
        <f>I4175-J4175</f>
        <v/>
      </c>
      <c r="L4175" s="3">
        <f>IF(K4175&lt;-5,"CRÍTICO",IF(K4175&lt;0,"ATENÇÃO",IF(K4175&lt;=5,"OPORTUNO","MUITO BOM")))</f>
        <v/>
      </c>
      <c r="M4175" s="3" t="n">
        <v>19</v>
      </c>
      <c r="N4175" s="3" t="n">
        <v>99.26000000000001</v>
      </c>
      <c r="O4175" s="12" t="n">
        <v>29.76653696498055</v>
      </c>
    </row>
    <row r="4176">
      <c r="A4176" s="10" t="n">
        <v>46134</v>
      </c>
      <c r="B4176" t="inlineStr">
        <is>
          <t>Francilene Ferreira de Jesus</t>
        </is>
      </c>
      <c r="C4176" s="1" t="inlineStr">
        <is>
          <t>Técnico II</t>
        </is>
      </c>
      <c r="D4176" s="3" t="n">
        <v>21</v>
      </c>
      <c r="E4176" s="3" t="n">
        <v>19</v>
      </c>
      <c r="F4176" s="3" t="n">
        <v>20.57</v>
      </c>
      <c r="G4176" s="3" t="n">
        <v>0</v>
      </c>
      <c r="H4176" s="3" t="n">
        <v>0</v>
      </c>
      <c r="I4176" s="3">
        <f>E4176+G4176+H4176</f>
        <v/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/>
      </c>
      <c r="K4176" s="3">
        <f>I4176-J4176</f>
        <v/>
      </c>
      <c r="L4176" s="3">
        <f>IF(K4176&lt;-5,"CRÍTICO",IF(K4176&lt;0,"ATENÇÃO",IF(K4176&lt;=5,"OPORTUNO","MUITO BOM")))</f>
        <v/>
      </c>
      <c r="M4176" s="3" t="n">
        <v>17</v>
      </c>
      <c r="N4176" s="3" t="n">
        <v>99.19</v>
      </c>
      <c r="O4176" s="12" t="n">
        <v>29.46236559139785</v>
      </c>
    </row>
    <row r="4177">
      <c r="A4177" s="7" t="n">
        <v>46162</v>
      </c>
      <c r="B4177" s="8" t="inlineStr">
        <is>
          <t>Janaina Lima dos Reis Urany</t>
        </is>
      </c>
      <c r="C4177" s="1" t="inlineStr">
        <is>
          <t>Técnico III</t>
        </is>
      </c>
      <c r="D4177" s="3" t="n">
        <v>38</v>
      </c>
      <c r="E4177" s="3" t="n">
        <v>35</v>
      </c>
      <c r="F4177" s="3" t="n">
        <v>13.25</v>
      </c>
      <c r="G4177" s="3" t="n">
        <v>3</v>
      </c>
      <c r="H4177" s="3" t="n">
        <v>0</v>
      </c>
      <c r="I4177" s="3" t="n">
        <v>38</v>
      </c>
      <c r="J4177" s="3" t="n">
        <v>26</v>
      </c>
      <c r="K4177" s="3" t="n">
        <v>12</v>
      </c>
      <c r="L4177" s="3" t="inlineStr">
        <is>
          <t>EXCELENTE</t>
        </is>
      </c>
      <c r="M4177" s="3" t="n">
        <v>34</v>
      </c>
      <c r="N4177" s="3" t="n">
        <v>99</v>
      </c>
      <c r="O4177" s="12" t="n">
        <v>22.27414330218069</v>
      </c>
    </row>
    <row r="4178">
      <c r="A4178" s="10" t="n">
        <v>46134</v>
      </c>
      <c r="B4178" t="inlineStr">
        <is>
          <t>Isabella Borges de Oliveira</t>
        </is>
      </c>
      <c r="C4178" s="1" t="inlineStr">
        <is>
          <t>Técnico II</t>
        </is>
      </c>
      <c r="D4178" s="3" t="n">
        <v>19</v>
      </c>
      <c r="E4178" s="3" t="n">
        <v>18</v>
      </c>
      <c r="F4178" s="3" t="n">
        <v>26.53</v>
      </c>
      <c r="G4178" s="3" t="n">
        <v>0</v>
      </c>
      <c r="H4178" s="3" t="n">
        <v>0</v>
      </c>
      <c r="I4178" s="3">
        <f>E4178+G4178+H4178</f>
        <v/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/>
      </c>
      <c r="K4178" s="3">
        <f>I4178-J4178</f>
        <v/>
      </c>
      <c r="L4178" s="3">
        <f>IF(K4178&lt;-5,"CRÍTICO",IF(K4178&lt;0,"ATENÇÃO",IF(K4178&lt;=5,"OPORTUNO","MUITO BOM")))</f>
        <v/>
      </c>
      <c r="M4178" s="3" t="n">
        <v>20</v>
      </c>
      <c r="N4178" s="3" t="n">
        <v>100</v>
      </c>
      <c r="O4178" s="12" t="n">
        <v>28.92156862745098</v>
      </c>
    </row>
    <row r="4179">
      <c r="A4179" s="10" t="n">
        <v>46134</v>
      </c>
      <c r="B4179" t="inlineStr">
        <is>
          <t>Janaina Lima dos Reis Urany</t>
        </is>
      </c>
      <c r="C4179" s="1" t="inlineStr">
        <is>
          <t>Técnico III</t>
        </is>
      </c>
      <c r="D4179" s="3" t="n">
        <v>33</v>
      </c>
      <c r="E4179" s="3" t="n">
        <v>30</v>
      </c>
      <c r="F4179" s="3" t="n">
        <v>15.55</v>
      </c>
      <c r="G4179" s="3" t="n">
        <v>0</v>
      </c>
      <c r="H4179" s="3" t="n">
        <v>0</v>
      </c>
      <c r="I4179" s="3">
        <f>E4179+G4179+H4179</f>
        <v/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/>
      </c>
      <c r="K4179" s="3">
        <f>I4179-J4179</f>
        <v/>
      </c>
      <c r="L4179" s="3">
        <f>IF(K4179&lt;-5,"CRÍTICO",IF(K4179&lt;0,"ATENÇÃO",IF(K4179&lt;=5,"OPORTUNO","MUITO BOM")))</f>
        <v/>
      </c>
      <c r="M4179" s="3" t="n">
        <v>27</v>
      </c>
      <c r="N4179" s="3" t="n">
        <v>99.56999999999999</v>
      </c>
      <c r="O4179" s="12" t="n">
        <v>30.63583815028902</v>
      </c>
    </row>
    <row r="4180">
      <c r="A4180" s="10" t="n">
        <v>46134</v>
      </c>
      <c r="B4180" t="inlineStr">
        <is>
          <t>Jaqueline Evangelista da Silva Martins</t>
        </is>
      </c>
      <c r="C4180" s="1" t="inlineStr">
        <is>
          <t>Técnico III</t>
        </is>
      </c>
      <c r="D4180" s="3" t="n">
        <v>0</v>
      </c>
      <c r="E4180" s="3" t="n">
        <v>0</v>
      </c>
      <c r="F4180" s="3" t="n">
        <v>0</v>
      </c>
      <c r="G4180" s="3" t="n">
        <v>0</v>
      </c>
      <c r="H4180" s="3" t="n">
        <v>0</v>
      </c>
      <c r="I4180" s="3" t="n">
        <v>0</v>
      </c>
      <c r="J4180" s="3" t="n">
        <v>0</v>
      </c>
      <c r="K4180" s="3" t="n">
        <v>0</v>
      </c>
      <c r="L4180" s="3">
        <f>IF(K4180&lt;-5,"CRÍTICO",IF(K4180&lt;0,"ATENÇÃO",IF(K4180&lt;=5,"OPORTUNO","MUITO BOM")))</f>
        <v/>
      </c>
      <c r="M4180" s="3" t="n">
        <v>0</v>
      </c>
      <c r="N4180" s="3" t="n">
        <v>95.65000000000001</v>
      </c>
      <c r="O4180" s="12" t="n">
        <v>32.43243243243244</v>
      </c>
    </row>
    <row r="4181">
      <c r="A4181" s="10" t="n">
        <v>46134</v>
      </c>
      <c r="B4181" t="inlineStr">
        <is>
          <t>Jessica Faria da Silveira</t>
        </is>
      </c>
      <c r="C4181" s="1" t="inlineStr">
        <is>
          <t>Técnico II</t>
        </is>
      </c>
      <c r="D4181" s="3" t="n">
        <v>27</v>
      </c>
      <c r="E4181" s="3" t="n">
        <v>21</v>
      </c>
      <c r="F4181" s="3" t="n">
        <v>13.34</v>
      </c>
      <c r="G4181" s="3" t="n">
        <v>0</v>
      </c>
      <c r="H4181" s="3" t="n">
        <v>0</v>
      </c>
      <c r="I4181" s="3">
        <f>E4181+G4181+H4181</f>
        <v/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/>
      </c>
      <c r="K4181" s="3">
        <f>I4181-J4181</f>
        <v/>
      </c>
      <c r="L4181" s="3">
        <f>IF(K4181&lt;-5,"CRÍTICO",IF(K4181&lt;0,"ATENÇÃO",IF(K4181&lt;=5,"OPORTUNO","MUITO BOM")))</f>
        <v/>
      </c>
      <c r="M4181" s="3" t="n">
        <v>20</v>
      </c>
      <c r="N4181" s="3" t="n">
        <v>98.81</v>
      </c>
      <c r="O4181" s="12" t="n">
        <v>26.25698324022346</v>
      </c>
    </row>
    <row r="4182">
      <c r="A4182" s="10" t="n">
        <v>46134</v>
      </c>
      <c r="B4182" t="inlineStr">
        <is>
          <t>Jéssica Fé Moura</t>
        </is>
      </c>
      <c r="C4182" s="1" t="inlineStr">
        <is>
          <t>Técnico III</t>
        </is>
      </c>
      <c r="D4182" s="3" t="n">
        <v>0</v>
      </c>
      <c r="E4182" s="3" t="n">
        <v>0</v>
      </c>
      <c r="F4182" s="3" t="n">
        <v>0</v>
      </c>
      <c r="G4182" s="3" t="n">
        <v>0</v>
      </c>
      <c r="H4182" s="3" t="n">
        <v>0</v>
      </c>
      <c r="I4182" s="3" t="n">
        <v>0</v>
      </c>
      <c r="J4182" s="3" t="n">
        <v>0</v>
      </c>
      <c r="K4182" s="3" t="n">
        <v>0</v>
      </c>
      <c r="L4182" s="3">
        <f>IF(K4182&lt;-5,"CRÍTICO",IF(K4182&lt;0,"ATENÇÃO",IF(K4182&lt;=5,"OPORTUNO","MUITO BOM")))</f>
        <v/>
      </c>
      <c r="M4182" s="3" t="n">
        <v>0</v>
      </c>
      <c r="N4182" s="3" t="n">
        <v>0</v>
      </c>
      <c r="O4182" s="12" t="n">
        <v>0</v>
      </c>
    </row>
    <row r="4183">
      <c r="A4183" s="10" t="n">
        <v>46134</v>
      </c>
      <c r="B4183" t="inlineStr">
        <is>
          <t>Karina Gonçalves Martins</t>
        </is>
      </c>
      <c r="C4183" s="1" t="inlineStr">
        <is>
          <t>JR</t>
        </is>
      </c>
      <c r="D4183" s="3" t="n">
        <v>10</v>
      </c>
      <c r="E4183" s="3" t="n">
        <v>9</v>
      </c>
      <c r="F4183" s="3" t="n">
        <v>34.12</v>
      </c>
      <c r="G4183" s="3" t="n">
        <v>0</v>
      </c>
      <c r="H4183" s="3" t="n">
        <v>0</v>
      </c>
      <c r="I4183" s="3">
        <f>E4183+G4183+H4183</f>
        <v/>
      </c>
      <c r="J4183" s="3">
        <f>ROUND(MIN(IF(C4183="Técnico III",35,IF(C4183="Técnico II",28,IF(C4183="Técnico I",23,IF(C4183="JR",20,IF(C4183="Estágio",10,0))))),IF(C4183="Técnico III",SUMIFS($D:$D,$A:$A,$A4183,$B:$B,"&lt;&gt;Patrícia Karla de Sousa Araújo",$B:$B,"&lt;&gt;Lorena Dias de Araujo",$B:$B,"&lt;&gt;Lucas Luiz Romero")*(35/1083),IF(C4183="Técnico II",SUMIFS($D:$D,$A:$A,$A4183,$B:$B,"&lt;&gt;Patrícia Karla de Sousa Araújo",$B:$B,"&lt;&gt;Lorena Dias de Araujo",$B:$B,"&lt;&gt;Lucas Luiz Romero")*(28/1083),IF(C4183="Técnico I",SUMIFS($D:$D,$A:$A,$A4183,$B:$B,"&lt;&gt;Patrícia Karla de Sousa Araújo",$B:$B,"&lt;&gt;Lorena Dias de Araujo",$B:$B,"&lt;&gt;Lucas Luiz Romero")*(23/1083),IF(C4183="JR",SUMIFS($D:$D,$A:$A,$A4183,$B:$B,"&lt;&gt;Patrícia Karla de Sousa Araújo",$B:$B,"&lt;&gt;Lorena Dias de Araujo",$B:$B,"&lt;&gt;Lucas Luiz Romero")*(20/1083),IF(C4183="Estágio",SUMIFS($D:$D,$A:$A,$A4183,$B:$B,"&lt;&gt;Patrícia Karla de Sousa Araújo",$B:$B,"&lt;&gt;Lorena Dias de Araujo",$B:$B,"&lt;&gt;Lucas Luiz Romero")*(10/1083),0)))))),0)</f>
        <v/>
      </c>
      <c r="K4183" s="3">
        <f>I4183-J4183</f>
        <v/>
      </c>
      <c r="L4183" s="3">
        <f>IF(K4183&lt;-5,"CRÍTICO",IF(K4183&lt;0,"ATENÇÃO",IF(K4183&lt;=5,"OPORTUNO","MUITO BOM")))</f>
        <v/>
      </c>
      <c r="M4183" s="3" t="n">
        <v>10</v>
      </c>
      <c r="N4183" s="3" t="n">
        <v>97.17</v>
      </c>
      <c r="O4183" s="12" t="n">
        <v>28.81844380403458</v>
      </c>
    </row>
    <row r="4184">
      <c r="A4184" s="10" t="n">
        <v>46134</v>
      </c>
      <c r="B4184" t="inlineStr">
        <is>
          <t>Kerollen Cristielly de Jesus Siqueira</t>
        </is>
      </c>
      <c r="C4184" s="1" t="inlineStr">
        <is>
          <t>Técnico III</t>
        </is>
      </c>
      <c r="D4184" s="3" t="n">
        <v>0</v>
      </c>
      <c r="E4184" s="3" t="n">
        <v>0</v>
      </c>
      <c r="F4184" s="3" t="n">
        <v>0</v>
      </c>
      <c r="G4184" s="3" t="n">
        <v>0</v>
      </c>
      <c r="H4184" s="3" t="n">
        <v>0</v>
      </c>
      <c r="I4184" s="3" t="n">
        <v>0</v>
      </c>
      <c r="J4184" s="3" t="n">
        <v>0</v>
      </c>
      <c r="K4184" s="3" t="n">
        <v>0</v>
      </c>
      <c r="L4184" s="3">
        <f>IF(K4184&lt;-5,"CRÍTICO",IF(K4184&lt;0,"ATENÇÃO",IF(K4184&lt;=5,"OPORTUNO","MUITO BOM")))</f>
        <v/>
      </c>
      <c r="M4184" s="3" t="n">
        <v>20</v>
      </c>
      <c r="N4184" s="3" t="n">
        <v>96.81</v>
      </c>
      <c r="O4184" s="12" t="n">
        <v>48.01864801864802</v>
      </c>
    </row>
    <row r="4185">
      <c r="A4185" s="10" t="n">
        <v>46134</v>
      </c>
      <c r="B4185" t="inlineStr">
        <is>
          <t>Leandro de Souza Silva</t>
        </is>
      </c>
      <c r="C4185" s="1" t="inlineStr">
        <is>
          <t>JR</t>
        </is>
      </c>
      <c r="D4185" s="3" t="n">
        <v>6</v>
      </c>
      <c r="E4185" s="3" t="n">
        <v>5</v>
      </c>
      <c r="F4185" s="3" t="n">
        <v>52.11</v>
      </c>
      <c r="G4185" s="3" t="n">
        <v>0</v>
      </c>
      <c r="H4185" s="3" t="n">
        <v>0</v>
      </c>
      <c r="I4185" s="3">
        <f>E4185+G4185+H4185</f>
        <v/>
      </c>
      <c r="J4185" s="3">
        <f>ROUND(MIN(IF(C4185="Técnico III",35,IF(C4185="Técnico II",28,IF(C4185="Técnico I",23,IF(C4185="JR",20,IF(C4185="Estágio",10,0))))),IF(C4185="Técnico III",SUMIFS($D:$D,$A:$A,$A4185,$B:$B,"&lt;&gt;Patrícia Karla de Sousa Araújo",$B:$B,"&lt;&gt;Lorena Dias de Araujo",$B:$B,"&lt;&gt;Lucas Luiz Romero")*(35/1083),IF(C4185="Técnico II",SUMIFS($D:$D,$A:$A,$A4185,$B:$B,"&lt;&gt;Patrícia Karla de Sousa Araújo",$B:$B,"&lt;&gt;Lorena Dias de Araujo",$B:$B,"&lt;&gt;Lucas Luiz Romero")*(28/1083),IF(C4185="Técnico I",SUMIFS($D:$D,$A:$A,$A4185,$B:$B,"&lt;&gt;Patrícia Karla de Sousa Araújo",$B:$B,"&lt;&gt;Lorena Dias de Araujo",$B:$B,"&lt;&gt;Lucas Luiz Romero")*(23/1083),IF(C4185="JR",SUMIFS($D:$D,$A:$A,$A4185,$B:$B,"&lt;&gt;Patrícia Karla de Sousa Araújo",$B:$B,"&lt;&gt;Lorena Dias de Araujo",$B:$B,"&lt;&gt;Lucas Luiz Romero")*(20/1083),IF(C4185="Estágio",SUMIFS($D:$D,$A:$A,$A4185,$B:$B,"&lt;&gt;Patrícia Karla de Sousa Araújo",$B:$B,"&lt;&gt;Lorena Dias de Araujo",$B:$B,"&lt;&gt;Lucas Luiz Romero")*(10/1083),0)))))),0)</f>
        <v/>
      </c>
      <c r="K4185" s="3">
        <f>I4185-J4185</f>
        <v/>
      </c>
      <c r="L4185" s="3">
        <f>IF(K4185&lt;-5,"CRÍTICO",IF(K4185&lt;0,"ATENÇÃO",IF(K4185&lt;=5,"OPORTUNO","MUITO BOM")))</f>
        <v/>
      </c>
      <c r="M4185" s="3" t="n">
        <v>5</v>
      </c>
      <c r="N4185" s="3" t="n">
        <v>98.15000000000001</v>
      </c>
      <c r="O4185" s="12" t="n">
        <v>27.1551724137931</v>
      </c>
    </row>
    <row r="4186">
      <c r="A4186" s="10" t="n">
        <v>46134</v>
      </c>
      <c r="B4186" t="inlineStr">
        <is>
          <t>Leandro Oliveira de Sousa</t>
        </is>
      </c>
      <c r="C4186" s="1" t="inlineStr">
        <is>
          <t>Técnico III</t>
        </is>
      </c>
      <c r="D4186" s="3" t="n">
        <v>26</v>
      </c>
      <c r="E4186" s="3" t="n">
        <v>23</v>
      </c>
      <c r="F4186" s="3" t="n">
        <v>12.33</v>
      </c>
      <c r="G4186" s="3" t="n">
        <v>0</v>
      </c>
      <c r="H4186" s="3" t="n">
        <v>0</v>
      </c>
      <c r="I4186" s="3">
        <f>E4186+G4186+H4186</f>
        <v/>
      </c>
      <c r="J4186" s="3">
        <f>ROUND(MIN(IF(C4186="Técnico III",35,IF(C4186="Técnico II",28,IF(C4186="Técnico I",23,IF(C4186="JR",20,IF(C4186="Estágio",10,0))))),IF(C4186="Técnico III",SUMIFS($D:$D,$A:$A,$A4186,$B:$B,"&lt;&gt;Patrícia Karla de Sousa Araújo",$B:$B,"&lt;&gt;Lorena Dias de Araujo",$B:$B,"&lt;&gt;Lucas Luiz Romero")*(35/1083),IF(C4186="Técnico II",SUMIFS($D:$D,$A:$A,$A4186,$B:$B,"&lt;&gt;Patrícia Karla de Sousa Araújo",$B:$B,"&lt;&gt;Lorena Dias de Araujo",$B:$B,"&lt;&gt;Lucas Luiz Romero")*(28/1083),IF(C4186="Técnico I",SUMIFS($D:$D,$A:$A,$A4186,$B:$B,"&lt;&gt;Patrícia Karla de Sousa Araújo",$B:$B,"&lt;&gt;Lorena Dias de Araujo",$B:$B,"&lt;&gt;Lucas Luiz Romero")*(23/1083),IF(C4186="JR",SUMIFS($D:$D,$A:$A,$A4186,$B:$B,"&lt;&gt;Patrícia Karla de Sousa Araújo",$B:$B,"&lt;&gt;Lorena Dias de Araujo",$B:$B,"&lt;&gt;Lucas Luiz Romero")*(20/1083),IF(C4186="Estágio",SUMIFS($D:$D,$A:$A,$A4186,$B:$B,"&lt;&gt;Patrícia Karla de Sousa Araújo",$B:$B,"&lt;&gt;Lorena Dias de Araujo",$B:$B,"&lt;&gt;Lucas Luiz Romero")*(10/1083),0)))))),0)</f>
        <v/>
      </c>
      <c r="K4186" s="3">
        <f>I4186-J4186</f>
        <v/>
      </c>
      <c r="L4186" s="3">
        <f>IF(K4186&lt;-5,"CRÍTICO",IF(K4186&lt;0,"ATENÇÃO",IF(K4186&lt;=5,"OPORTUNO","MUITO BOM")))</f>
        <v/>
      </c>
      <c r="M4186" s="3" t="n">
        <v>25</v>
      </c>
      <c r="N4186" s="3" t="n">
        <v>99.15000000000001</v>
      </c>
      <c r="O4186" s="12" t="n">
        <v>27.58620689655172</v>
      </c>
    </row>
    <row r="4187">
      <c r="A4187" s="10" t="n">
        <v>46134</v>
      </c>
      <c r="B4187" t="inlineStr">
        <is>
          <t>Lizandra Gomes Duarte</t>
        </is>
      </c>
      <c r="C4187" s="1" t="inlineStr">
        <is>
          <t>Técnico II</t>
        </is>
      </c>
      <c r="D4187" s="3" t="n">
        <v>25</v>
      </c>
      <c r="E4187" s="3" t="n">
        <v>21</v>
      </c>
      <c r="F4187" s="3" t="n">
        <v>15.41</v>
      </c>
      <c r="G4187" s="3" t="n">
        <v>0</v>
      </c>
      <c r="H4187" s="3" t="n">
        <v>0</v>
      </c>
      <c r="I4187" s="3">
        <f>E4187+G4187+H4187</f>
        <v/>
      </c>
      <c r="J4187" s="3">
        <f>ROUND(MIN(IF(C4187="Técnico III",35,IF(C4187="Técnico II",28,IF(C4187="Técnico I",23,IF(C4187="JR",20,IF(C4187="Estágio",10,0))))),IF(C4187="Técnico III",SUMIFS($D:$D,$A:$A,$A4187,$B:$B,"&lt;&gt;Patrícia Karla de Sousa Araújo",$B:$B,"&lt;&gt;Lorena Dias de Araujo",$B:$B,"&lt;&gt;Lucas Luiz Romero")*(35/1083),IF(C4187="Técnico II",SUMIFS($D:$D,$A:$A,$A4187,$B:$B,"&lt;&gt;Patrícia Karla de Sousa Araújo",$B:$B,"&lt;&gt;Lorena Dias de Araujo",$B:$B,"&lt;&gt;Lucas Luiz Romero")*(28/1083),IF(C4187="Técnico I",SUMIFS($D:$D,$A:$A,$A4187,$B:$B,"&lt;&gt;Patrícia Karla de Sousa Araújo",$B:$B,"&lt;&gt;Lorena Dias de Araujo",$B:$B,"&lt;&gt;Lucas Luiz Romero")*(23/1083),IF(C4187="JR",SUMIFS($D:$D,$A:$A,$A4187,$B:$B,"&lt;&gt;Patrícia Karla de Sousa Araújo",$B:$B,"&lt;&gt;Lorena Dias de Araujo",$B:$B,"&lt;&gt;Lucas Luiz Romero")*(20/1083),IF(C4187="Estágio",SUMIFS($D:$D,$A:$A,$A4187,$B:$B,"&lt;&gt;Patrícia Karla de Sousa Araújo",$B:$B,"&lt;&gt;Lorena Dias de Araujo",$B:$B,"&lt;&gt;Lucas Luiz Romero")*(10/1083),0)))))),0)</f>
        <v/>
      </c>
      <c r="K4187" s="3">
        <f>I4187-J4187</f>
        <v/>
      </c>
      <c r="L4187" s="3">
        <f>IF(K4187&lt;-5,"CRÍTICO",IF(K4187&lt;0,"ATENÇÃO",IF(K4187&lt;=5,"OPORTUNO","MUITO BOM")))</f>
        <v/>
      </c>
      <c r="M4187" s="3" t="n">
        <v>21</v>
      </c>
      <c r="N4187" s="3" t="n">
        <v>99.17</v>
      </c>
      <c r="O4187" s="12" t="n">
        <v>29.75206611570248</v>
      </c>
    </row>
    <row r="4188">
      <c r="A4188" s="10" t="n">
        <v>46134</v>
      </c>
      <c r="B4188" t="inlineStr">
        <is>
          <t>Lorena Dias de Araujo</t>
        </is>
      </c>
      <c r="C4188" s="1" t="inlineStr">
        <is>
          <t>Técnico II</t>
        </is>
      </c>
      <c r="D4188" s="3" t="n">
        <v>0</v>
      </c>
      <c r="E4188" s="3" t="n">
        <v>0</v>
      </c>
      <c r="F4188" s="3" t="n">
        <v>0</v>
      </c>
      <c r="G4188" s="3" t="n">
        <v>0</v>
      </c>
      <c r="H4188" s="3" t="n">
        <v>0</v>
      </c>
      <c r="I4188" s="3" t="n">
        <v>0</v>
      </c>
      <c r="J4188" s="3" t="n">
        <v>0</v>
      </c>
      <c r="K4188" s="3" t="n">
        <v>0</v>
      </c>
      <c r="L4188" s="3">
        <f>IF(K4188&lt;-5,"CRÍTICO",IF(K4188&lt;0,"ATENÇÃO",IF(K4188&lt;=5,"OPORTUNO","MUITO BOM")))</f>
        <v/>
      </c>
      <c r="M4188" s="3" t="n">
        <v>0</v>
      </c>
      <c r="N4188" s="3" t="n">
        <v>98.73</v>
      </c>
      <c r="O4188" s="12" t="n">
        <v>28.96174863387978</v>
      </c>
    </row>
    <row r="4189">
      <c r="A4189" s="10" t="n">
        <v>46134</v>
      </c>
      <c r="B4189" t="inlineStr">
        <is>
          <t>Lucas Luiz Romero</t>
        </is>
      </c>
      <c r="C4189" s="1" t="inlineStr">
        <is>
          <t>Técnico III</t>
        </is>
      </c>
      <c r="D4189" s="3" t="n">
        <v>0</v>
      </c>
      <c r="E4189" s="3" t="n">
        <v>0</v>
      </c>
      <c r="F4189" s="3" t="n">
        <v>0</v>
      </c>
      <c r="G4189" s="3" t="n">
        <v>0</v>
      </c>
      <c r="H4189" s="3" t="n">
        <v>0</v>
      </c>
      <c r="I4189" s="3" t="n">
        <v>0</v>
      </c>
      <c r="J4189" s="3" t="n">
        <v>0</v>
      </c>
      <c r="K4189" s="3" t="n">
        <v>0</v>
      </c>
      <c r="L4189" s="3">
        <f>IF(K4189&lt;-5,"CRÍTICO",IF(K4189&lt;0,"ATENÇÃO",IF(K4189&lt;=5,"OPORTUNO","MUITO BOM")))</f>
        <v/>
      </c>
      <c r="M4189" s="3" t="n">
        <v>0</v>
      </c>
      <c r="N4189" s="3" t="n">
        <v>88.68000000000001</v>
      </c>
      <c r="O4189" s="12" t="n">
        <v>22.03389830508474</v>
      </c>
    </row>
    <row r="4190">
      <c r="A4190" s="10" t="n">
        <v>46134</v>
      </c>
      <c r="B4190" t="inlineStr">
        <is>
          <t>Luiz Fernando de Carvalho Junior</t>
        </is>
      </c>
      <c r="C4190" s="1" t="inlineStr">
        <is>
          <t>Técnico I</t>
        </is>
      </c>
      <c r="D4190" s="3" t="n">
        <v>19</v>
      </c>
      <c r="E4190" s="3" t="n">
        <v>19</v>
      </c>
      <c r="F4190" s="3" t="n">
        <v>20.37</v>
      </c>
      <c r="G4190" s="3" t="n">
        <v>0</v>
      </c>
      <c r="H4190" s="3" t="n">
        <v>0</v>
      </c>
      <c r="I4190" s="3">
        <f>E4190+G4190+H4190</f>
        <v/>
      </c>
      <c r="J4190" s="3">
        <f>ROUND(MIN(IF(C4190="Técnico III",35,IF(C4190="Técnico II",28,IF(C4190="Técnico I",23,IF(C4190="JR",20,IF(C4190="Estágio",10,0))))),IF(C4190="Técnico III",SUMIFS($D:$D,$A:$A,$A4190,$B:$B,"&lt;&gt;Patrícia Karla de Sousa Araújo",$B:$B,"&lt;&gt;Lorena Dias de Araujo",$B:$B,"&lt;&gt;Lucas Luiz Romero")*(35/1083),IF(C4190="Técnico II",SUMIFS($D:$D,$A:$A,$A4190,$B:$B,"&lt;&gt;Patrícia Karla de Sousa Araújo",$B:$B,"&lt;&gt;Lorena Dias de Araujo",$B:$B,"&lt;&gt;Lucas Luiz Romero")*(28/1083),IF(C4190="Técnico I",SUMIFS($D:$D,$A:$A,$A4190,$B:$B,"&lt;&gt;Patrícia Karla de Sousa Araújo",$B:$B,"&lt;&gt;Lorena Dias de Araujo",$B:$B,"&lt;&gt;Lucas Luiz Romero")*(23/1083),IF(C4190="JR",SUMIFS($D:$D,$A:$A,$A4190,$B:$B,"&lt;&gt;Patrícia Karla de Sousa Araújo",$B:$B,"&lt;&gt;Lorena Dias de Araujo",$B:$B,"&lt;&gt;Lucas Luiz Romero")*(20/1083),IF(C4190="Estágio",SUMIFS($D:$D,$A:$A,$A4190,$B:$B,"&lt;&gt;Patrícia Karla de Sousa Araújo",$B:$B,"&lt;&gt;Lorena Dias de Araujo",$B:$B,"&lt;&gt;Lucas Luiz Romero")*(10/1083),0)))))),0)</f>
        <v/>
      </c>
      <c r="K4190" s="3">
        <f>I4190-J4190</f>
        <v/>
      </c>
      <c r="L4190" s="3">
        <f>IF(K4190&lt;-5,"CRÍTICO",IF(K4190&lt;0,"ATENÇÃO",IF(K4190&lt;=5,"OPORTUNO","MUITO BOM")))</f>
        <v/>
      </c>
      <c r="M4190" s="3" t="n">
        <v>15</v>
      </c>
      <c r="N4190" s="3" t="n">
        <v>97.37</v>
      </c>
      <c r="O4190" s="12" t="n">
        <v>25.76530612244898</v>
      </c>
    </row>
    <row r="4191">
      <c r="A4191" s="10" t="n">
        <v>46134</v>
      </c>
      <c r="B4191" t="inlineStr">
        <is>
          <t>Maria Eduarda Sousa Costa</t>
        </is>
      </c>
      <c r="C4191" s="1" t="inlineStr">
        <is>
          <t>Estágio</t>
        </is>
      </c>
      <c r="D4191" s="3" t="n">
        <v>6</v>
      </c>
      <c r="E4191" s="3" t="n">
        <v>2</v>
      </c>
      <c r="F4191" s="3" t="n">
        <v>2.34</v>
      </c>
      <c r="G4191" s="3" t="n">
        <v>0</v>
      </c>
      <c r="H4191" s="3" t="n">
        <v>0</v>
      </c>
      <c r="I4191" s="3">
        <f>E4191+G4191+H4191</f>
        <v/>
      </c>
      <c r="J4191" s="3">
        <f>ROUND(MIN(IF(C4191="Técnico III",35,IF(C4191="Técnico II",28,IF(C4191="Técnico I",23,IF(C4191="JR",20,IF(C4191="Estágio",10,0))))),IF(C4191="Técnico III",SUMIFS($D:$D,$A:$A,$A4191,$B:$B,"&lt;&gt;Patrícia Karla de Sousa Araújo",$B:$B,"&lt;&gt;Lorena Dias de Araujo",$B:$B,"&lt;&gt;Lucas Luiz Romero")*(35/1083),IF(C4191="Técnico II",SUMIFS($D:$D,$A:$A,$A4191,$B:$B,"&lt;&gt;Patrícia Karla de Sousa Araújo",$B:$B,"&lt;&gt;Lorena Dias de Araujo",$B:$B,"&lt;&gt;Lucas Luiz Romero")*(28/1083),IF(C4191="Técnico I",SUMIFS($D:$D,$A:$A,$A4191,$B:$B,"&lt;&gt;Patrícia Karla de Sousa Araújo",$B:$B,"&lt;&gt;Lorena Dias de Araujo",$B:$B,"&lt;&gt;Lucas Luiz Romero")*(23/1083),IF(C4191="JR",SUMIFS($D:$D,$A:$A,$A4191,$B:$B,"&lt;&gt;Patrícia Karla de Sousa Araújo",$B:$B,"&lt;&gt;Lorena Dias de Araujo",$B:$B,"&lt;&gt;Lucas Luiz Romero")*(20/1083),IF(C4191="Estágio",SUMIFS($D:$D,$A:$A,$A4191,$B:$B,"&lt;&gt;Patrícia Karla de Sousa Araújo",$B:$B,"&lt;&gt;Lorena Dias de Araujo",$B:$B,"&lt;&gt;Lucas Luiz Romero")*(10/1083),0)))))),0)</f>
        <v/>
      </c>
      <c r="K4191" s="3">
        <f>I4191-J4191</f>
        <v/>
      </c>
      <c r="L4191" s="3">
        <f>IF(K4191&lt;-5,"CRÍTICO",IF(K4191&lt;0,"ATENÇÃO",IF(K4191&lt;=5,"OPORTUNO","MUITO BOM")))</f>
        <v/>
      </c>
      <c r="M4191" s="3" t="n">
        <v>0</v>
      </c>
      <c r="N4191" s="3" t="n">
        <v>100</v>
      </c>
      <c r="O4191" s="12" t="n">
        <v>25</v>
      </c>
    </row>
    <row r="4192">
      <c r="A4192" s="7" t="n">
        <v>46162</v>
      </c>
      <c r="B4192" s="8" t="inlineStr">
        <is>
          <t>Jaqueline Evangelista da Silva Martins</t>
        </is>
      </c>
      <c r="C4192" s="1" t="inlineStr">
        <is>
          <t>Técnico III</t>
        </is>
      </c>
      <c r="D4192" s="3" t="n">
        <v>24</v>
      </c>
      <c r="E4192" s="3" t="n">
        <v>21</v>
      </c>
      <c r="F4192" s="3" t="n">
        <v>15.53</v>
      </c>
      <c r="G4192" s="3" t="n">
        <v>2</v>
      </c>
      <c r="H4192" s="3" t="n">
        <v>0</v>
      </c>
      <c r="I4192" s="3" t="n">
        <v>23</v>
      </c>
      <c r="J4192" s="3" t="n">
        <v>26</v>
      </c>
      <c r="K4192" s="3" t="n">
        <v>-3</v>
      </c>
      <c r="L4192" s="3" t="inlineStr">
        <is>
          <t>ATENÇÃO</t>
        </is>
      </c>
      <c r="M4192" s="3" t="n">
        <v>19</v>
      </c>
      <c r="N4192" s="3" t="n">
        <v>97.04000000000001</v>
      </c>
      <c r="O4192" s="12" t="n">
        <v>29.82885085574572</v>
      </c>
    </row>
    <row r="4193">
      <c r="A4193" s="10" t="n">
        <v>46134</v>
      </c>
      <c r="B4193" t="inlineStr">
        <is>
          <t>Maysa Victoria Dias Moura</t>
        </is>
      </c>
      <c r="C4193" s="1" t="inlineStr">
        <is>
          <t>Técnico III</t>
        </is>
      </c>
      <c r="D4193" s="3" t="n">
        <v>28</v>
      </c>
      <c r="E4193" s="3" t="n">
        <v>23</v>
      </c>
      <c r="F4193" s="3" t="n">
        <v>11.51</v>
      </c>
      <c r="G4193" s="3" t="n">
        <v>0</v>
      </c>
      <c r="H4193" s="3" t="n">
        <v>0</v>
      </c>
      <c r="I4193" s="3">
        <f>E4193+G4193+H4193</f>
        <v/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/>
      </c>
      <c r="K4193" s="3">
        <f>I4193-J4193</f>
        <v/>
      </c>
      <c r="L4193" s="3">
        <f>IF(K4193&lt;-5,"CRÍTICO",IF(K4193&lt;0,"ATENÇÃO",IF(K4193&lt;=5,"OPORTUNO","MUITO BOM")))</f>
        <v/>
      </c>
      <c r="M4193" s="3" t="n">
        <v>16</v>
      </c>
      <c r="N4193" s="3" t="n">
        <v>95.48999999999999</v>
      </c>
      <c r="O4193" s="12" t="n">
        <v>28.37022132796781</v>
      </c>
    </row>
    <row r="4194">
      <c r="A4194" s="7" t="n">
        <v>46162</v>
      </c>
      <c r="B4194" s="8" t="inlineStr">
        <is>
          <t>Jéssica Fé Moura</t>
        </is>
      </c>
      <c r="C4194" s="1" t="inlineStr">
        <is>
          <t>Técnico III</t>
        </is>
      </c>
      <c r="D4194" s="3" t="n">
        <v>0</v>
      </c>
      <c r="E4194" s="3" t="n">
        <v>0</v>
      </c>
      <c r="F4194" s="3" t="n">
        <v>0</v>
      </c>
      <c r="G4194" s="3" t="n">
        <v>0</v>
      </c>
      <c r="H4194" s="3" t="n">
        <v>0</v>
      </c>
      <c r="I4194" s="3" t="n">
        <v>0</v>
      </c>
      <c r="J4194" s="3" t="n">
        <v>0</v>
      </c>
      <c r="K4194" s="3" t="n">
        <v>0</v>
      </c>
      <c r="L4194" s="3" t="inlineStr">
        <is>
          <t>BOM</t>
        </is>
      </c>
      <c r="M4194" s="3" t="n">
        <v>0</v>
      </c>
      <c r="N4194" s="3" t="n">
        <v>0</v>
      </c>
      <c r="O4194" s="12" t="n">
        <v>0</v>
      </c>
    </row>
    <row r="4195">
      <c r="A4195" s="10" t="n">
        <v>46134</v>
      </c>
      <c r="B4195" t="inlineStr">
        <is>
          <t>Milena Sales</t>
        </is>
      </c>
      <c r="C4195" s="1" t="inlineStr">
        <is>
          <t>JR</t>
        </is>
      </c>
      <c r="D4195" s="3" t="n">
        <v>31</v>
      </c>
      <c r="E4195" s="3" t="n">
        <v>18</v>
      </c>
      <c r="F4195" s="3" t="n">
        <v>8.539999999999999</v>
      </c>
      <c r="G4195" s="3" t="n">
        <v>0</v>
      </c>
      <c r="H4195" s="3" t="n">
        <v>0</v>
      </c>
      <c r="I4195" s="3">
        <f>E4195+G4195+H4195</f>
        <v/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/>
      </c>
      <c r="K4195" s="3">
        <f>I4195-J4195</f>
        <v/>
      </c>
      <c r="L4195" s="3">
        <f>IF(K4195&lt;-5,"CRÍTICO",IF(K4195&lt;0,"ATENÇÃO",IF(K4195&lt;=5,"OPORTUNO","MUITO BOM")))</f>
        <v/>
      </c>
      <c r="M4195" s="3" t="n">
        <v>10</v>
      </c>
      <c r="N4195" s="3" t="n">
        <v>96.15000000000001</v>
      </c>
      <c r="O4195" s="12" t="n">
        <v>24.04580152671756</v>
      </c>
    </row>
    <row r="4196">
      <c r="A4196" s="10" t="n">
        <v>46134</v>
      </c>
      <c r="B4196" t="inlineStr">
        <is>
          <t>Patrícia Karla de Sousa Araújo</t>
        </is>
      </c>
      <c r="C4196" s="1" t="inlineStr">
        <is>
          <t>Técnico II</t>
        </is>
      </c>
      <c r="D4196" s="3" t="n">
        <v>9</v>
      </c>
      <c r="E4196" s="3" t="n">
        <v>8</v>
      </c>
      <c r="F4196" s="3" t="n">
        <v>20.21</v>
      </c>
      <c r="G4196" s="3" t="n">
        <v>0</v>
      </c>
      <c r="H4196" s="3" t="n">
        <v>0</v>
      </c>
      <c r="I4196" s="3">
        <f>E4196+G4196+H4196</f>
        <v/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/>
      </c>
      <c r="K4196" s="3">
        <f>I4196-J4196</f>
        <v/>
      </c>
      <c r="L4196" s="3">
        <f>IF(K4196&lt;-5,"CRÍTICO",IF(K4196&lt;0,"ATENÇÃO",IF(K4196&lt;=5,"OPORTUNO","MUITO BOM")))</f>
        <v/>
      </c>
      <c r="M4196" s="3" t="n">
        <v>8</v>
      </c>
      <c r="N4196" s="3" t="n">
        <v>99.02</v>
      </c>
      <c r="O4196" s="12" t="n">
        <v>34.7972972972973</v>
      </c>
    </row>
    <row r="4197">
      <c r="A4197" s="10" t="n">
        <v>46134</v>
      </c>
      <c r="B4197" t="inlineStr">
        <is>
          <t>Paulo Ricardo Santos</t>
        </is>
      </c>
      <c r="C4197" s="1" t="inlineStr">
        <is>
          <t>JR</t>
        </is>
      </c>
      <c r="D4197" s="3" t="n">
        <v>4</v>
      </c>
      <c r="E4197" s="3" t="n">
        <v>4</v>
      </c>
      <c r="F4197" s="3" t="n">
        <v>32.34</v>
      </c>
      <c r="G4197" s="3" t="n">
        <v>0</v>
      </c>
      <c r="H4197" s="3" t="n">
        <v>0</v>
      </c>
      <c r="I4197" s="3">
        <f>E4197+G4197+H4197</f>
        <v/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/>
      </c>
      <c r="K4197" s="3">
        <f>I4197-J4197</f>
        <v/>
      </c>
      <c r="L4197" s="3">
        <f>IF(K4197&lt;-5,"CRÍTICO",IF(K4197&lt;0,"ATENÇÃO",IF(K4197&lt;=5,"OPORTUNO","MUITO BOM")))</f>
        <v/>
      </c>
      <c r="M4197" s="3" t="n">
        <v>3</v>
      </c>
      <c r="N4197" s="3" t="n">
        <v>98.84</v>
      </c>
      <c r="O4197" s="12" t="n">
        <v>31.86813186813187</v>
      </c>
    </row>
    <row r="4198">
      <c r="A4198" s="10" t="n">
        <v>46134</v>
      </c>
      <c r="B4198" t="inlineStr">
        <is>
          <t>Pedro Luiz Mota Sousa</t>
        </is>
      </c>
      <c r="C4198" s="1" t="inlineStr">
        <is>
          <t>JR</t>
        </is>
      </c>
      <c r="D4198" s="3" t="n">
        <v>7</v>
      </c>
      <c r="E4198" s="3" t="n">
        <v>7</v>
      </c>
      <c r="F4198" s="3" t="n">
        <v>18.42</v>
      </c>
      <c r="G4198" s="3" t="n">
        <v>0</v>
      </c>
      <c r="H4198" s="3" t="n">
        <v>0</v>
      </c>
      <c r="I4198" s="3">
        <f>E4198+G4198+H4198</f>
        <v/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/>
      </c>
      <c r="K4198" s="3">
        <f>I4198-J4198</f>
        <v/>
      </c>
      <c r="L4198" s="3">
        <f>IF(K4198&lt;-5,"CRÍTICO",IF(K4198&lt;0,"ATENÇÃO",IF(K4198&lt;=5,"OPORTUNO","MUITO BOM")))</f>
        <v/>
      </c>
      <c r="M4198" s="3" t="n">
        <v>8</v>
      </c>
      <c r="N4198" s="3" t="n">
        <v>100</v>
      </c>
      <c r="O4198" s="12" t="n">
        <v>34.66666666666667</v>
      </c>
    </row>
    <row r="4199">
      <c r="A4199" s="7" t="n">
        <v>46162</v>
      </c>
      <c r="B4199" s="8" t="inlineStr">
        <is>
          <t>Kerollen Cristielly de Jesus Siqueira</t>
        </is>
      </c>
      <c r="C4199" s="1" t="inlineStr">
        <is>
          <t>Técnico III</t>
        </is>
      </c>
      <c r="D4199" s="3" t="n">
        <v>17</v>
      </c>
      <c r="E4199" s="3" t="n">
        <v>16</v>
      </c>
      <c r="F4199" s="3" t="n">
        <v>23.31</v>
      </c>
      <c r="G4199" s="3" t="n">
        <v>1</v>
      </c>
      <c r="H4199" s="3" t="n">
        <v>0</v>
      </c>
      <c r="I4199" s="3" t="n">
        <v>17</v>
      </c>
      <c r="J4199" s="3" t="n">
        <v>26</v>
      </c>
      <c r="K4199" s="3" t="n">
        <v>-9</v>
      </c>
      <c r="L4199" s="3" t="inlineStr">
        <is>
          <t>CRÍTICO</t>
        </is>
      </c>
      <c r="M4199" s="3" t="n">
        <v>18</v>
      </c>
      <c r="N4199" s="3" t="n">
        <v>96.84</v>
      </c>
      <c r="O4199" s="12" t="n">
        <v>16.33802816901408</v>
      </c>
    </row>
    <row r="4200">
      <c r="A4200" s="10" t="n">
        <v>46134</v>
      </c>
      <c r="B4200" t="inlineStr">
        <is>
          <t>Raane Batista Matos</t>
        </is>
      </c>
      <c r="C4200" s="1" t="inlineStr">
        <is>
          <t>Técnico I</t>
        </is>
      </c>
      <c r="D4200" s="3" t="n">
        <v>21</v>
      </c>
      <c r="E4200" s="3" t="n">
        <v>18</v>
      </c>
      <c r="F4200" s="3" t="n">
        <v>12.11</v>
      </c>
      <c r="G4200" s="3" t="n">
        <v>0</v>
      </c>
      <c r="H4200" s="3" t="n">
        <v>0</v>
      </c>
      <c r="I4200" s="3">
        <f>E4200+G4200+H4200</f>
        <v/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/>
      </c>
      <c r="K4200" s="3">
        <f>I4200-J4200</f>
        <v/>
      </c>
      <c r="L4200" s="3">
        <f>IF(K4200&lt;-5,"CRÍTICO",IF(K4200&lt;0,"ATENÇÃO",IF(K4200&lt;=5,"OPORTUNO","MUITO BOM")))</f>
        <v/>
      </c>
      <c r="M4200" s="3" t="n">
        <v>16</v>
      </c>
      <c r="N4200" s="3" t="n">
        <v>98.31999999999999</v>
      </c>
      <c r="O4200" s="12" t="n">
        <v>26.85851318944844</v>
      </c>
    </row>
    <row r="4201">
      <c r="A4201" s="10" t="n">
        <v>46134</v>
      </c>
      <c r="B4201" t="inlineStr">
        <is>
          <t>Rafael Gomes de Morais</t>
        </is>
      </c>
      <c r="C4201" s="1" t="inlineStr">
        <is>
          <t>Técnico III</t>
        </is>
      </c>
      <c r="D4201" s="3" t="n">
        <v>33</v>
      </c>
      <c r="E4201" s="3" t="n">
        <v>28</v>
      </c>
      <c r="F4201" s="3" t="n">
        <v>11.53</v>
      </c>
      <c r="G4201" s="3" t="n">
        <v>0</v>
      </c>
      <c r="H4201" s="3" t="n">
        <v>0</v>
      </c>
      <c r="I4201" s="3">
        <f>E4201+G4201+H4201</f>
        <v/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/>
      </c>
      <c r="K4201" s="3">
        <f>I4201-J4201</f>
        <v/>
      </c>
      <c r="L4201" s="3">
        <f>IF(K4201&lt;-5,"CRÍTICO",IF(K4201&lt;0,"ATENÇÃO",IF(K4201&lt;=5,"OPORTUNO","MUITO BOM")))</f>
        <v/>
      </c>
      <c r="M4201" s="3" t="n">
        <v>19</v>
      </c>
      <c r="N4201" s="3" t="n">
        <v>100</v>
      </c>
      <c r="O4201" s="12" t="n">
        <v>31.13553113553114</v>
      </c>
    </row>
    <row r="4202">
      <c r="A4202" s="10" t="n">
        <v>46134</v>
      </c>
      <c r="B4202" t="inlineStr">
        <is>
          <t>Sara Maria Monteiro Lopes</t>
        </is>
      </c>
      <c r="C4202" s="1" t="inlineStr">
        <is>
          <t>Técnico I</t>
        </is>
      </c>
      <c r="D4202" s="3" t="n">
        <v>17</v>
      </c>
      <c r="E4202" s="3" t="n">
        <v>17</v>
      </c>
      <c r="F4202" s="3" t="n">
        <v>19.03</v>
      </c>
      <c r="G4202" s="3" t="n">
        <v>0</v>
      </c>
      <c r="H4202" s="3" t="n">
        <v>0</v>
      </c>
      <c r="I4202" s="3">
        <f>E4202+G4202+H4202</f>
        <v/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/>
      </c>
      <c r="K4202" s="3">
        <f>I4202-J4202</f>
        <v/>
      </c>
      <c r="L4202" s="3">
        <f>IF(K4202&lt;-5,"CRÍTICO",IF(K4202&lt;0,"ATENÇÃO",IF(K4202&lt;=5,"OPORTUNO","MUITO BOM")))</f>
        <v/>
      </c>
      <c r="M4202" s="3" t="n">
        <v>12</v>
      </c>
      <c r="N4202" s="3" t="n">
        <v>100</v>
      </c>
      <c r="O4202" s="12" t="n">
        <v>26.36986301369863</v>
      </c>
    </row>
    <row r="4203">
      <c r="A4203" s="10" t="n">
        <v>46134</v>
      </c>
      <c r="B4203" t="inlineStr">
        <is>
          <t>Sarah Steffanie de Lima Borges</t>
        </is>
      </c>
      <c r="C4203" s="1" t="inlineStr">
        <is>
          <t>Técnico III</t>
        </is>
      </c>
      <c r="D4203" s="3" t="n">
        <v>24</v>
      </c>
      <c r="E4203" s="3" t="n">
        <v>23</v>
      </c>
      <c r="F4203" s="3" t="n">
        <v>19.16</v>
      </c>
      <c r="G4203" s="3" t="n">
        <v>0</v>
      </c>
      <c r="H4203" s="3" t="n">
        <v>0</v>
      </c>
      <c r="I4203" s="3">
        <f>E4203+G4203+H4203</f>
        <v/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/>
      </c>
      <c r="K4203" s="3">
        <f>I4203-J4203</f>
        <v/>
      </c>
      <c r="L4203" s="3">
        <f>IF(K4203&lt;-5,"CRÍTICO",IF(K4203&lt;0,"ATENÇÃO",IF(K4203&lt;=5,"OPORTUNO","MUITO BOM")))</f>
        <v/>
      </c>
      <c r="M4203" s="3" t="n">
        <v>16</v>
      </c>
      <c r="N4203" s="3" t="n">
        <v>99.20999999999999</v>
      </c>
      <c r="O4203" s="12" t="n">
        <v>25.18891687657431</v>
      </c>
    </row>
    <row r="4204">
      <c r="A4204" s="10" t="n">
        <v>46135</v>
      </c>
      <c r="B4204" t="inlineStr">
        <is>
          <t>Alisson de Freitas Silva</t>
        </is>
      </c>
      <c r="C4204" s="1" t="inlineStr">
        <is>
          <t>Técnico II</t>
        </is>
      </c>
      <c r="D4204" s="3" t="n">
        <v>27</v>
      </c>
      <c r="E4204" s="3" t="n">
        <v>24</v>
      </c>
      <c r="F4204" s="3" t="n">
        <v>13.44</v>
      </c>
      <c r="G4204" s="3" t="n">
        <v>0</v>
      </c>
      <c r="H4204" s="3" t="n">
        <v>0</v>
      </c>
      <c r="I4204" s="3">
        <f>E4204+G4204+H4204</f>
        <v/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/>
      </c>
      <c r="K4204" s="3">
        <f>I4204-J4204</f>
        <v/>
      </c>
      <c r="L4204" s="3">
        <f>IF(K4204&lt;-5,"CRÍTICO",IF(K4204&lt;0,"ATENÇÃO",IF(K4204&lt;=5,"OPORTUNO","MUITO BOM")))</f>
        <v/>
      </c>
      <c r="M4204" s="3" t="n">
        <v>22</v>
      </c>
      <c r="N4204" s="3" t="n">
        <v>100</v>
      </c>
      <c r="O4204" s="12" t="n">
        <v>32.76450511945392</v>
      </c>
    </row>
    <row r="4205">
      <c r="A4205" s="10" t="n">
        <v>46135</v>
      </c>
      <c r="B4205" t="inlineStr">
        <is>
          <t>Amanda Moura Ferreira</t>
        </is>
      </c>
      <c r="C4205" s="1" t="inlineStr">
        <is>
          <t>Técnico III</t>
        </is>
      </c>
      <c r="D4205" s="3" t="n">
        <v>0</v>
      </c>
      <c r="E4205" s="3" t="n">
        <v>0</v>
      </c>
      <c r="F4205" s="3" t="n">
        <v>0</v>
      </c>
      <c r="G4205" s="3" t="n">
        <v>0</v>
      </c>
      <c r="H4205" s="3" t="n">
        <v>0</v>
      </c>
      <c r="I4205" s="3" t="n">
        <v>0</v>
      </c>
      <c r="J4205" s="3" t="n">
        <v>0</v>
      </c>
      <c r="K4205" s="3" t="n">
        <v>0</v>
      </c>
      <c r="L4205" s="3">
        <f>IF(K4205&lt;-5,"CRÍTICO",IF(K4205&lt;0,"ATENÇÃO",IF(K4205&lt;=5,"OPORTUNO","MUITO BOM")))</f>
        <v/>
      </c>
      <c r="M4205" s="3" t="n">
        <v>18</v>
      </c>
      <c r="N4205" s="3" t="n">
        <v>98.66</v>
      </c>
      <c r="O4205" s="12" t="n">
        <v>35.41666666666667</v>
      </c>
    </row>
    <row r="4206">
      <c r="A4206" s="10" t="n">
        <v>46135</v>
      </c>
      <c r="B4206" t="inlineStr">
        <is>
          <t>Ana Karollyne Souza Faria</t>
        </is>
      </c>
      <c r="C4206" s="1" t="inlineStr">
        <is>
          <t>Técnico I</t>
        </is>
      </c>
      <c r="D4206" s="3" t="n">
        <v>31</v>
      </c>
      <c r="E4206" s="3" t="n">
        <v>27</v>
      </c>
      <c r="F4206" s="3" t="n">
        <v>14.15</v>
      </c>
      <c r="G4206" s="3" t="n">
        <v>0</v>
      </c>
      <c r="H4206" s="3" t="n">
        <v>0</v>
      </c>
      <c r="I4206" s="3">
        <f>E4206+G4206+H4206</f>
        <v/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/>
      </c>
      <c r="K4206" s="3">
        <f>I4206-J4206</f>
        <v/>
      </c>
      <c r="L4206" s="3">
        <f>IF(K4206&lt;-5,"CRÍTICO",IF(K4206&lt;0,"ATENÇÃO",IF(K4206&lt;=5,"OPORTUNO","MUITO BOM")))</f>
        <v/>
      </c>
      <c r="M4206" s="3" t="n">
        <v>21</v>
      </c>
      <c r="N4206" s="3" t="n">
        <v>99.31999999999999</v>
      </c>
      <c r="O4206" s="12" t="n">
        <v>30.6483300589391</v>
      </c>
    </row>
    <row r="4207">
      <c r="A4207" s="10" t="n">
        <v>46135</v>
      </c>
      <c r="B4207" t="inlineStr">
        <is>
          <t>Ana Paula Da Luz Silva Aleixo</t>
        </is>
      </c>
      <c r="C4207" s="1" t="inlineStr">
        <is>
          <t>Técnico III</t>
        </is>
      </c>
      <c r="D4207" s="3" t="n">
        <v>21</v>
      </c>
      <c r="E4207" s="3" t="n">
        <v>19</v>
      </c>
      <c r="F4207" s="3" t="n">
        <v>21.51</v>
      </c>
      <c r="G4207" s="3" t="n">
        <v>0</v>
      </c>
      <c r="H4207" s="3" t="n">
        <v>0</v>
      </c>
      <c r="I4207" s="3">
        <f>E4207+G4207+H4207</f>
        <v/>
      </c>
      <c r="J4207" s="3">
        <f>ROUND(MIN(IF(C4207="Técnico III",35,IF(C4207="Técnico II",28,IF(C4207="Técnico I",23,IF(C4207="JR",20,IF(C4207="Estágio",10,0))))),IF(C4207="Técnico III",SUMIFS($D:$D,$A:$A,$A4207,$B:$B,"&lt;&gt;Patrícia Karla de Sousa Araújo",$B:$B,"&lt;&gt;Lorena Dias de Araujo",$B:$B,"&lt;&gt;Lucas Luiz Romero")*(35/1083),IF(C4207="Técnico II",SUMIFS($D:$D,$A:$A,$A4207,$B:$B,"&lt;&gt;Patrícia Karla de Sousa Araújo",$B:$B,"&lt;&gt;Lorena Dias de Araujo",$B:$B,"&lt;&gt;Lucas Luiz Romero")*(28/1083),IF(C4207="Técnico I",SUMIFS($D:$D,$A:$A,$A4207,$B:$B,"&lt;&gt;Patrícia Karla de Sousa Araújo",$B:$B,"&lt;&gt;Lorena Dias de Araujo",$B:$B,"&lt;&gt;Lucas Luiz Romero")*(23/1083),IF(C4207="JR",SUMIFS($D:$D,$A:$A,$A4207,$B:$B,"&lt;&gt;Patrícia Karla de Sousa Araújo",$B:$B,"&lt;&gt;Lorena Dias de Araujo",$B:$B,"&lt;&gt;Lucas Luiz Romero")*(20/1083),IF(C4207="Estágio",SUMIFS($D:$D,$A:$A,$A4207,$B:$B,"&lt;&gt;Patrícia Karla de Sousa Araújo",$B:$B,"&lt;&gt;Lorena Dias de Araujo",$B:$B,"&lt;&gt;Lucas Luiz Romero")*(10/1083),0)))))),0)</f>
        <v/>
      </c>
      <c r="K4207" s="3">
        <f>I4207-J4207</f>
        <v/>
      </c>
      <c r="L4207" s="3">
        <f>IF(K4207&lt;-5,"CRÍTICO",IF(K4207&lt;0,"ATENÇÃO",IF(K4207&lt;=5,"OPORTUNO","MUITO BOM")))</f>
        <v/>
      </c>
      <c r="M4207" s="3" t="n">
        <v>19</v>
      </c>
      <c r="N4207" s="3" t="n">
        <v>100</v>
      </c>
      <c r="O4207" s="12" t="n">
        <v>27.80373831775701</v>
      </c>
    </row>
    <row r="4208">
      <c r="A4208" s="10" t="n">
        <v>46135</v>
      </c>
      <c r="B4208" t="inlineStr">
        <is>
          <t>Anna Luiza Rezende Tavares</t>
        </is>
      </c>
      <c r="C4208" s="1" t="inlineStr">
        <is>
          <t>Estágio</t>
        </is>
      </c>
      <c r="D4208" s="3" t="n">
        <v>34</v>
      </c>
      <c r="E4208" s="3" t="n">
        <v>29</v>
      </c>
      <c r="F4208" s="3" t="n">
        <v>15.51</v>
      </c>
      <c r="G4208" s="3" t="n">
        <v>0</v>
      </c>
      <c r="H4208" s="3" t="n">
        <v>0</v>
      </c>
      <c r="I4208" s="3">
        <f>E4208+G4208+H4208</f>
        <v/>
      </c>
      <c r="J4208" s="3">
        <f>ROUND(MIN(IF(C4208="Técnico III",35,IF(C4208="Técnico II",28,IF(C4208="Técnico I",23,IF(C4208="JR",20,IF(C4208="Estágio",10,0))))),IF(C4208="Técnico III",SUMIFS($D:$D,$A:$A,$A4208,$B:$B,"&lt;&gt;Patrícia Karla de Sousa Araújo",$B:$B,"&lt;&gt;Lorena Dias de Araujo",$B:$B,"&lt;&gt;Lucas Luiz Romero")*(35/1083),IF(C4208="Técnico II",SUMIFS($D:$D,$A:$A,$A4208,$B:$B,"&lt;&gt;Patrícia Karla de Sousa Araújo",$B:$B,"&lt;&gt;Lorena Dias de Araujo",$B:$B,"&lt;&gt;Lucas Luiz Romero")*(28/1083),IF(C4208="Técnico I",SUMIFS($D:$D,$A:$A,$A4208,$B:$B,"&lt;&gt;Patrícia Karla de Sousa Araújo",$B:$B,"&lt;&gt;Lorena Dias de Araujo",$B:$B,"&lt;&gt;Lucas Luiz Romero")*(23/1083),IF(C4208="JR",SUMIFS($D:$D,$A:$A,$A4208,$B:$B,"&lt;&gt;Patrícia Karla de Sousa Araújo",$B:$B,"&lt;&gt;Lorena Dias de Araujo",$B:$B,"&lt;&gt;Lucas Luiz Romero")*(20/1083),IF(C4208="Estágio",SUMIFS($D:$D,$A:$A,$A4208,$B:$B,"&lt;&gt;Patrícia Karla de Sousa Araújo",$B:$B,"&lt;&gt;Lorena Dias de Araujo",$B:$B,"&lt;&gt;Lucas Luiz Romero")*(10/1083),0)))))),0)</f>
        <v/>
      </c>
      <c r="K4208" s="3">
        <f>I4208-J4208</f>
        <v/>
      </c>
      <c r="L4208" s="3">
        <f>IF(K4208&lt;-5,"CRÍTICO",IF(K4208&lt;0,"ATENÇÃO",IF(K4208&lt;=5,"OPORTUNO","MUITO BOM")))</f>
        <v/>
      </c>
      <c r="M4208" s="3" t="n">
        <v>30</v>
      </c>
      <c r="N4208" s="3" t="n">
        <v>96.73999999999999</v>
      </c>
      <c r="O4208" s="12" t="n">
        <v>28.67647058823529</v>
      </c>
    </row>
    <row r="4209">
      <c r="A4209" s="10" t="n">
        <v>46135</v>
      </c>
      <c r="B4209" t="inlineStr">
        <is>
          <t>Brenda de Menezes Silva</t>
        </is>
      </c>
      <c r="C4209" s="1" t="inlineStr">
        <is>
          <t>Técnico II</t>
        </is>
      </c>
      <c r="D4209" s="3" t="n">
        <v>0</v>
      </c>
      <c r="E4209" s="3" t="n">
        <v>0</v>
      </c>
      <c r="F4209" s="3" t="n">
        <v>0</v>
      </c>
      <c r="G4209" s="3" t="n">
        <v>0</v>
      </c>
      <c r="H4209" s="3" t="n">
        <v>0</v>
      </c>
      <c r="I4209" s="3" t="n">
        <v>0</v>
      </c>
      <c r="J4209" s="3" t="n">
        <v>0</v>
      </c>
      <c r="K4209" s="3" t="n">
        <v>0</v>
      </c>
      <c r="L4209" s="3">
        <f>IF(K4209&lt;-5,"CRÍTICO",IF(K4209&lt;0,"ATENÇÃO",IF(K4209&lt;=5,"OPORTUNO","MUITO BOM")))</f>
        <v/>
      </c>
      <c r="M4209" s="3" t="n">
        <v>0</v>
      </c>
      <c r="N4209" s="3" t="n">
        <v>98.81999999999999</v>
      </c>
      <c r="O4209" s="12" t="n">
        <v>30.74141048824593</v>
      </c>
    </row>
    <row r="4210">
      <c r="A4210" s="10" t="n">
        <v>46135</v>
      </c>
      <c r="B4210" t="inlineStr">
        <is>
          <t>Carlos Mateus Cassimiro Nunes</t>
        </is>
      </c>
      <c r="C4210" s="1" t="inlineStr">
        <is>
          <t>Técnico II</t>
        </is>
      </c>
      <c r="D4210" s="3" t="n">
        <v>0</v>
      </c>
      <c r="E4210" s="3" t="n">
        <v>0</v>
      </c>
      <c r="F4210" s="3" t="n">
        <v>0</v>
      </c>
      <c r="G4210" s="3" t="n">
        <v>0</v>
      </c>
      <c r="H4210" s="3" t="n">
        <v>0</v>
      </c>
      <c r="I4210" s="3" t="n">
        <v>0</v>
      </c>
      <c r="J4210" s="3" t="n">
        <v>0</v>
      </c>
      <c r="K4210" s="3" t="n">
        <v>0</v>
      </c>
      <c r="L4210" s="3">
        <f>IF(K4210&lt;-5,"CRÍTICO",IF(K4210&lt;0,"ATENÇÃO",IF(K4210&lt;=5,"OPORTUNO","MUITO BOM")))</f>
        <v/>
      </c>
      <c r="M4210" s="3" t="n">
        <v>0</v>
      </c>
      <c r="N4210" s="3" t="n">
        <v>98.2</v>
      </c>
      <c r="O4210" s="12" t="n">
        <v>27.17086834733893</v>
      </c>
    </row>
    <row r="4211">
      <c r="A4211" s="10" t="n">
        <v>46135</v>
      </c>
      <c r="B4211" t="inlineStr">
        <is>
          <t>Claudio de Sousa Velasco Filho</t>
        </is>
      </c>
      <c r="C4211" s="1" t="inlineStr">
        <is>
          <t>Estágio</t>
        </is>
      </c>
      <c r="D4211" s="3" t="n">
        <v>9</v>
      </c>
      <c r="E4211" s="3" t="n">
        <v>7</v>
      </c>
      <c r="F4211" s="3" t="n">
        <v>17.05</v>
      </c>
      <c r="G4211" s="3" t="n">
        <v>0</v>
      </c>
      <c r="H4211" s="3" t="n">
        <v>0</v>
      </c>
      <c r="I4211" s="3">
        <f>E4211+G4211+H4211</f>
        <v/>
      </c>
      <c r="J4211" s="3">
        <f>ROUND(MIN(IF(C4211="Técnico III",35,IF(C4211="Técnico II",28,IF(C4211="Técnico I",23,IF(C4211="JR",20,IF(C4211="Estágio",10,0))))),IF(C4211="Técnico III",SUMIFS($D:$D,$A:$A,$A4211,$B:$B,"&lt;&gt;Patrícia Karla de Sousa Araújo",$B:$B,"&lt;&gt;Lorena Dias de Araujo",$B:$B,"&lt;&gt;Lucas Luiz Romero")*(35/1083),IF(C4211="Técnico II",SUMIFS($D:$D,$A:$A,$A4211,$B:$B,"&lt;&gt;Patrícia Karla de Sousa Araújo",$B:$B,"&lt;&gt;Lorena Dias de Araujo",$B:$B,"&lt;&gt;Lucas Luiz Romero")*(28/1083),IF(C4211="Técnico I",SUMIFS($D:$D,$A:$A,$A4211,$B:$B,"&lt;&gt;Patrícia Karla de Sousa Araújo",$B:$B,"&lt;&gt;Lorena Dias de Araujo",$B:$B,"&lt;&gt;Lucas Luiz Romero")*(23/1083),IF(C4211="JR",SUMIFS($D:$D,$A:$A,$A4211,$B:$B,"&lt;&gt;Patrícia Karla de Sousa Araújo",$B:$B,"&lt;&gt;Lorena Dias de Araujo",$B:$B,"&lt;&gt;Lucas Luiz Romero")*(20/1083),IF(C4211="Estágio",SUMIFS($D:$D,$A:$A,$A4211,$B:$B,"&lt;&gt;Patrícia Karla de Sousa Araújo",$B:$B,"&lt;&gt;Lorena Dias de Araujo",$B:$B,"&lt;&gt;Lucas Luiz Romero")*(10/1083),0)))))),0)</f>
        <v/>
      </c>
      <c r="K4211" s="3">
        <f>I4211-J4211</f>
        <v/>
      </c>
      <c r="L4211" s="3">
        <f>IF(K4211&lt;-5,"CRÍTICO",IF(K4211&lt;0,"ATENÇÃO",IF(K4211&lt;=5,"OPORTUNO","MUITO BOM")))</f>
        <v/>
      </c>
      <c r="M4211" s="3" t="n">
        <v>6</v>
      </c>
      <c r="N4211" s="3" t="n">
        <v>100</v>
      </c>
      <c r="O4211" s="12" t="n">
        <v>23.13432835820895</v>
      </c>
    </row>
    <row r="4212">
      <c r="A4212" s="10" t="n">
        <v>46135</v>
      </c>
      <c r="B4212" t="inlineStr">
        <is>
          <t>Clessiane Pereira dos Santos</t>
        </is>
      </c>
      <c r="C4212" s="1" t="inlineStr">
        <is>
          <t>Técnico I</t>
        </is>
      </c>
      <c r="D4212" s="3" t="n">
        <v>13</v>
      </c>
      <c r="E4212" s="3" t="n">
        <v>13</v>
      </c>
      <c r="F4212" s="3" t="n">
        <v>20.26</v>
      </c>
      <c r="G4212" s="3" t="n">
        <v>0</v>
      </c>
      <c r="H4212" s="3" t="n">
        <v>0</v>
      </c>
      <c r="I4212" s="3">
        <f>E4212+G4212+H4212</f>
        <v/>
      </c>
      <c r="J4212" s="3">
        <f>ROUND(MIN(IF(C4212="Técnico III",35,IF(C4212="Técnico II",28,IF(C4212="Técnico I",23,IF(C4212="JR",20,IF(C4212="Estágio",10,0))))),IF(C4212="Técnico III",SUMIFS($D:$D,$A:$A,$A4212,$B:$B,"&lt;&gt;Patrícia Karla de Sousa Araújo",$B:$B,"&lt;&gt;Lorena Dias de Araujo",$B:$B,"&lt;&gt;Lucas Luiz Romero")*(35/1083),IF(C4212="Técnico II",SUMIFS($D:$D,$A:$A,$A4212,$B:$B,"&lt;&gt;Patrícia Karla de Sousa Araújo",$B:$B,"&lt;&gt;Lorena Dias de Araujo",$B:$B,"&lt;&gt;Lucas Luiz Romero")*(28/1083),IF(C4212="Técnico I",SUMIFS($D:$D,$A:$A,$A4212,$B:$B,"&lt;&gt;Patrícia Karla de Sousa Araújo",$B:$B,"&lt;&gt;Lorena Dias de Araujo",$B:$B,"&lt;&gt;Lucas Luiz Romero")*(23/1083),IF(C4212="JR",SUMIFS($D:$D,$A:$A,$A4212,$B:$B,"&lt;&gt;Patrícia Karla de Sousa Araújo",$B:$B,"&lt;&gt;Lorena Dias de Araujo",$B:$B,"&lt;&gt;Lucas Luiz Romero")*(20/1083),IF(C4212="Estágio",SUMIFS($D:$D,$A:$A,$A4212,$B:$B,"&lt;&gt;Patrícia Karla de Sousa Araújo",$B:$B,"&lt;&gt;Lorena Dias de Araujo",$B:$B,"&lt;&gt;Lucas Luiz Romero")*(10/1083),0)))))),0)</f>
        <v/>
      </c>
      <c r="K4212" s="3">
        <f>I4212-J4212</f>
        <v/>
      </c>
      <c r="L4212" s="3">
        <f>IF(K4212&lt;-5,"CRÍTICO",IF(K4212&lt;0,"ATENÇÃO",IF(K4212&lt;=5,"OPORTUNO","MUITO BOM")))</f>
        <v/>
      </c>
      <c r="M4212" s="3" t="n">
        <v>13</v>
      </c>
      <c r="N4212" s="3" t="n">
        <v>96.3</v>
      </c>
      <c r="O4212" s="12" t="n">
        <v>32.21957040572792</v>
      </c>
    </row>
    <row r="4213">
      <c r="A4213" s="10" t="n">
        <v>46135</v>
      </c>
      <c r="B4213" t="inlineStr">
        <is>
          <t>Cristiane Ramos da Silva Rocha</t>
        </is>
      </c>
      <c r="C4213" s="1" t="inlineStr">
        <is>
          <t>Técnico III</t>
        </is>
      </c>
      <c r="D4213" s="3" t="n">
        <v>25</v>
      </c>
      <c r="E4213" s="3" t="n">
        <v>21</v>
      </c>
      <c r="F4213" s="3" t="n">
        <v>12.06</v>
      </c>
      <c r="G4213" s="3" t="n">
        <v>0</v>
      </c>
      <c r="H4213" s="3" t="n">
        <v>0</v>
      </c>
      <c r="I4213" s="3">
        <f>E4213+G4213+H4213</f>
        <v/>
      </c>
      <c r="J4213" s="3">
        <f>ROUND(MIN(IF(C4213="Técnico III",35,IF(C4213="Técnico II",28,IF(C4213="Técnico I",23,IF(C4213="JR",20,IF(C4213="Estágio",10,0))))),IF(C4213="Técnico III",SUMIFS($D:$D,$A:$A,$A4213,$B:$B,"&lt;&gt;Patrícia Karla de Sousa Araújo",$B:$B,"&lt;&gt;Lorena Dias de Araujo",$B:$B,"&lt;&gt;Lucas Luiz Romero")*(35/1083),IF(C4213="Técnico II",SUMIFS($D:$D,$A:$A,$A4213,$B:$B,"&lt;&gt;Patrícia Karla de Sousa Araújo",$B:$B,"&lt;&gt;Lorena Dias de Araujo",$B:$B,"&lt;&gt;Lucas Luiz Romero")*(28/1083),IF(C4213="Técnico I",SUMIFS($D:$D,$A:$A,$A4213,$B:$B,"&lt;&gt;Patrícia Karla de Sousa Araújo",$B:$B,"&lt;&gt;Lorena Dias de Araujo",$B:$B,"&lt;&gt;Lucas Luiz Romero")*(23/1083),IF(C4213="JR",SUMIFS($D:$D,$A:$A,$A4213,$B:$B,"&lt;&gt;Patrícia Karla de Sousa Araújo",$B:$B,"&lt;&gt;Lorena Dias de Araujo",$B:$B,"&lt;&gt;Lucas Luiz Romero")*(20/1083),IF(C4213="Estágio",SUMIFS($D:$D,$A:$A,$A4213,$B:$B,"&lt;&gt;Patrícia Karla de Sousa Araújo",$B:$B,"&lt;&gt;Lorena Dias de Araujo",$B:$B,"&lt;&gt;Lucas Luiz Romero")*(10/1083),0)))))),0)</f>
        <v/>
      </c>
      <c r="K4213" s="3">
        <f>I4213-J4213</f>
        <v/>
      </c>
      <c r="L4213" s="3">
        <f>IF(K4213&lt;-5,"CRÍTICO",IF(K4213&lt;0,"ATENÇÃO",IF(K4213&lt;=5,"OPORTUNO","MUITO BOM")))</f>
        <v/>
      </c>
      <c r="M4213" s="3" t="n">
        <v>17</v>
      </c>
      <c r="N4213" s="3" t="n">
        <v>93.75</v>
      </c>
      <c r="O4213" s="12" t="n">
        <v>26.81992337164751</v>
      </c>
    </row>
    <row r="4214">
      <c r="A4214" s="10" t="n">
        <v>46135</v>
      </c>
      <c r="B4214" t="inlineStr">
        <is>
          <t>Damyllis Lorraine de Oliveira Gonçalves</t>
        </is>
      </c>
      <c r="C4214" s="1" t="inlineStr">
        <is>
          <t>Técnico II</t>
        </is>
      </c>
      <c r="D4214" s="3" t="n">
        <v>28</v>
      </c>
      <c r="E4214" s="3" t="n">
        <v>23</v>
      </c>
      <c r="F4214" s="3" t="n">
        <v>18.42</v>
      </c>
      <c r="G4214" s="3" t="n">
        <v>0</v>
      </c>
      <c r="H4214" s="3" t="n">
        <v>0</v>
      </c>
      <c r="I4214" s="3" t="n">
        <v>0</v>
      </c>
      <c r="J4214" s="3" t="n">
        <v>0</v>
      </c>
      <c r="K4214" s="3" t="n">
        <v>0</v>
      </c>
      <c r="L4214" s="3">
        <f>IF(K4214&lt;-5,"CRÍTICO",IF(K4214&lt;0,"ATENÇÃO",IF(K4214&lt;=5,"OPORTUNO","MUITO BOM")))</f>
        <v/>
      </c>
      <c r="M4214" s="3" t="n">
        <v>22</v>
      </c>
      <c r="N4214" s="3" t="n">
        <v>97.86</v>
      </c>
      <c r="O4214" s="12" t="n">
        <v>31.01851851851852</v>
      </c>
    </row>
    <row r="4215">
      <c r="A4215" s="10" t="n">
        <v>46135</v>
      </c>
      <c r="B4215" t="inlineStr">
        <is>
          <t>Daniel Gomes da Silva</t>
        </is>
      </c>
      <c r="C4215" s="1" t="inlineStr">
        <is>
          <t>Técnico I</t>
        </is>
      </c>
      <c r="D4215" s="3" t="n">
        <v>18</v>
      </c>
      <c r="E4215" s="3" t="n">
        <v>18</v>
      </c>
      <c r="F4215" s="3" t="n">
        <v>16.58</v>
      </c>
      <c r="G4215" s="3" t="n">
        <v>0</v>
      </c>
      <c r="H4215" s="3" t="n">
        <v>0</v>
      </c>
      <c r="I4215" s="3">
        <f>E4215+G4215+H4215</f>
        <v/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/>
      </c>
      <c r="K4215" s="3">
        <f>I4215-J4215</f>
        <v/>
      </c>
      <c r="L4215" s="3">
        <f>IF(K4215&lt;-5,"CRÍTICO",IF(K4215&lt;0,"ATENÇÃO",IF(K4215&lt;=5,"OPORTUNO","MUITO BOM")))</f>
        <v/>
      </c>
      <c r="M4215" s="3" t="n">
        <v>15</v>
      </c>
      <c r="N4215" s="3" t="n">
        <v>100</v>
      </c>
      <c r="O4215" s="12" t="n">
        <v>36.59420289855073</v>
      </c>
    </row>
    <row r="4216">
      <c r="A4216" s="10" t="n">
        <v>46135</v>
      </c>
      <c r="B4216" t="inlineStr">
        <is>
          <t>Davylla Rodrigues Freitas Silva</t>
        </is>
      </c>
      <c r="C4216" s="1" t="inlineStr">
        <is>
          <t>Técnico III</t>
        </is>
      </c>
      <c r="D4216" s="3" t="n">
        <v>16</v>
      </c>
      <c r="E4216" s="3" t="n">
        <v>15</v>
      </c>
      <c r="F4216" s="3" t="n">
        <v>22.2</v>
      </c>
      <c r="G4216" s="3" t="n">
        <v>0</v>
      </c>
      <c r="H4216" s="3" t="n">
        <v>0</v>
      </c>
      <c r="I4216" s="3" t="n">
        <v>0</v>
      </c>
      <c r="J4216" s="3" t="n">
        <v>0</v>
      </c>
      <c r="K4216" s="3" t="n">
        <v>0</v>
      </c>
      <c r="L4216" s="3">
        <f>IF(K4216&lt;-5,"CRÍTICO",IF(K4216&lt;0,"ATENÇÃO",IF(K4216&lt;=5,"OPORTUNO","MUITO BOM")))</f>
        <v/>
      </c>
      <c r="M4216" s="3" t="n">
        <v>16</v>
      </c>
      <c r="N4216" s="3" t="n">
        <v>100</v>
      </c>
      <c r="O4216" s="12" t="n">
        <v>38.65384615384615</v>
      </c>
    </row>
    <row r="4217">
      <c r="A4217" s="10" t="n">
        <v>46135</v>
      </c>
      <c r="B4217" t="inlineStr">
        <is>
          <t>Emilly Caylane Costa</t>
        </is>
      </c>
      <c r="C4217" s="1" t="inlineStr">
        <is>
          <t>Estágio</t>
        </is>
      </c>
      <c r="D4217" s="3" t="n">
        <v>9</v>
      </c>
      <c r="E4217" s="3" t="n">
        <v>9</v>
      </c>
      <c r="F4217" s="3" t="n">
        <v>34.17</v>
      </c>
      <c r="G4217" s="3" t="n">
        <v>0</v>
      </c>
      <c r="H4217" s="3" t="n">
        <v>0</v>
      </c>
      <c r="I4217" s="3">
        <f>E4217+G4217+H4217</f>
        <v/>
      </c>
      <c r="J4217" s="3">
        <f>ROUND(MIN(IF(C4217="Técnico III",35,IF(C4217="Técnico II",28,IF(C4217="Técnico I",23,IF(C4217="JR",20,IF(C4217="Estágio",10,0))))),IF(C4217="Técnico III",SUMIFS($D:$D,$A:$A,$A4217,$B:$B,"&lt;&gt;Patrícia Karla de Sousa Araújo",$B:$B,"&lt;&gt;Lorena Dias de Araujo",$B:$B,"&lt;&gt;Lucas Luiz Romero")*(35/1083),IF(C4217="Técnico II",SUMIFS($D:$D,$A:$A,$A4217,$B:$B,"&lt;&gt;Patrícia Karla de Sousa Araújo",$B:$B,"&lt;&gt;Lorena Dias de Araujo",$B:$B,"&lt;&gt;Lucas Luiz Romero")*(28/1083),IF(C4217="Técnico I",SUMIFS($D:$D,$A:$A,$A4217,$B:$B,"&lt;&gt;Patrícia Karla de Sousa Araújo",$B:$B,"&lt;&gt;Lorena Dias de Araujo",$B:$B,"&lt;&gt;Lucas Luiz Romero")*(23/1083),IF(C4217="JR",SUMIFS($D:$D,$A:$A,$A4217,$B:$B,"&lt;&gt;Patrícia Karla de Sousa Araújo",$B:$B,"&lt;&gt;Lorena Dias de Araujo",$B:$B,"&lt;&gt;Lucas Luiz Romero")*(20/1083),IF(C4217="Estágio",SUMIFS($D:$D,$A:$A,$A4217,$B:$B,"&lt;&gt;Patrícia Karla de Sousa Araújo",$B:$B,"&lt;&gt;Lorena Dias de Araujo",$B:$B,"&lt;&gt;Lucas Luiz Romero")*(10/1083),0)))))),0)</f>
        <v/>
      </c>
      <c r="K4217" s="3">
        <f>I4217-J4217</f>
        <v/>
      </c>
      <c r="L4217" s="3">
        <f>IF(K4217&lt;-5,"CRÍTICO",IF(K4217&lt;0,"ATENÇÃO",IF(K4217&lt;=5,"OPORTUNO","MUITO BOM")))</f>
        <v/>
      </c>
      <c r="M4217" s="3" t="n">
        <v>8</v>
      </c>
      <c r="N4217" s="3" t="n">
        <v>100</v>
      </c>
      <c r="O4217" s="12" t="n">
        <v>27.36842105263158</v>
      </c>
    </row>
    <row r="4218">
      <c r="A4218" s="10" t="n">
        <v>46135</v>
      </c>
      <c r="B4218" t="inlineStr">
        <is>
          <t>Emilly Kamilly Medeiros Miranda</t>
        </is>
      </c>
      <c r="C4218" s="1" t="inlineStr">
        <is>
          <t>Técnico II</t>
        </is>
      </c>
      <c r="D4218" s="3" t="n">
        <v>24</v>
      </c>
      <c r="E4218" s="3" t="n">
        <v>22</v>
      </c>
      <c r="F4218" s="3" t="n">
        <v>17.34</v>
      </c>
      <c r="G4218" s="3" t="n">
        <v>0</v>
      </c>
      <c r="H4218" s="3" t="n">
        <v>0</v>
      </c>
      <c r="I4218" s="3">
        <f>E4218+G4218+H4218</f>
        <v/>
      </c>
      <c r="J4218" s="3">
        <f>ROUND(MIN(IF(C4218="Técnico III",35,IF(C4218="Técnico II",28,IF(C4218="Técnico I",23,IF(C4218="JR",20,IF(C4218="Estágio",10,0))))),IF(C4218="Técnico III",SUMIFS($D:$D,$A:$A,$A4218,$B:$B,"&lt;&gt;Patrícia Karla de Sousa Araújo",$B:$B,"&lt;&gt;Lorena Dias de Araujo",$B:$B,"&lt;&gt;Lucas Luiz Romero")*(35/1083),IF(C4218="Técnico II",SUMIFS($D:$D,$A:$A,$A4218,$B:$B,"&lt;&gt;Patrícia Karla de Sousa Araújo",$B:$B,"&lt;&gt;Lorena Dias de Araujo",$B:$B,"&lt;&gt;Lucas Luiz Romero")*(28/1083),IF(C4218="Técnico I",SUMIFS($D:$D,$A:$A,$A4218,$B:$B,"&lt;&gt;Patrícia Karla de Sousa Araújo",$B:$B,"&lt;&gt;Lorena Dias de Araujo",$B:$B,"&lt;&gt;Lucas Luiz Romero")*(23/1083),IF(C4218="JR",SUMIFS($D:$D,$A:$A,$A4218,$B:$B,"&lt;&gt;Patrícia Karla de Sousa Araújo",$B:$B,"&lt;&gt;Lorena Dias de Araujo",$B:$B,"&lt;&gt;Lucas Luiz Romero")*(20/1083),IF(C4218="Estágio",SUMIFS($D:$D,$A:$A,$A4218,$B:$B,"&lt;&gt;Patrícia Karla de Sousa Araújo",$B:$B,"&lt;&gt;Lorena Dias de Araujo",$B:$B,"&lt;&gt;Lucas Luiz Romero")*(10/1083),0)))))),0)</f>
        <v/>
      </c>
      <c r="K4218" s="3">
        <f>I4218-J4218</f>
        <v/>
      </c>
      <c r="L4218" s="3">
        <f>IF(K4218&lt;-5,"CRÍTICO",IF(K4218&lt;0,"ATENÇÃO",IF(K4218&lt;=5,"OPORTUNO","MUITO BOM")))</f>
        <v/>
      </c>
      <c r="M4218" s="3" t="n">
        <v>24</v>
      </c>
      <c r="N4218" s="3" t="n">
        <v>97.83</v>
      </c>
      <c r="O4218" s="12" t="n">
        <v>28.35164835164835</v>
      </c>
    </row>
    <row r="4219">
      <c r="A4219" s="10" t="n">
        <v>46135</v>
      </c>
      <c r="B4219" t="inlineStr">
        <is>
          <t>Francielson de Oliveira</t>
        </is>
      </c>
      <c r="C4219" s="1" t="inlineStr">
        <is>
          <t>Técnico III</t>
        </is>
      </c>
      <c r="D4219" s="3" t="n">
        <v>27</v>
      </c>
      <c r="E4219" s="3" t="n">
        <v>25</v>
      </c>
      <c r="F4219" s="3" t="n">
        <v>15.16</v>
      </c>
      <c r="G4219" s="3" t="n">
        <v>0</v>
      </c>
      <c r="H4219" s="3" t="n">
        <v>0</v>
      </c>
      <c r="I4219" s="3">
        <f>E4219+G4219+H4219</f>
        <v/>
      </c>
      <c r="J4219" s="3">
        <f>ROUND(MIN(IF(C4219="Técnico III",35,IF(C4219="Técnico II",28,IF(C4219="Técnico I",23,IF(C4219="JR",20,IF(C4219="Estágio",10,0))))),IF(C4219="Técnico III",SUMIFS($D:$D,$A:$A,$A4219,$B:$B,"&lt;&gt;Patrícia Karla de Sousa Araújo",$B:$B,"&lt;&gt;Lorena Dias de Araujo",$B:$B,"&lt;&gt;Lucas Luiz Romero")*(35/1083),IF(C4219="Técnico II",SUMIFS($D:$D,$A:$A,$A4219,$B:$B,"&lt;&gt;Patrícia Karla de Sousa Araújo",$B:$B,"&lt;&gt;Lorena Dias de Araujo",$B:$B,"&lt;&gt;Lucas Luiz Romero")*(28/1083),IF(C4219="Técnico I",SUMIFS($D:$D,$A:$A,$A4219,$B:$B,"&lt;&gt;Patrícia Karla de Sousa Araújo",$B:$B,"&lt;&gt;Lorena Dias de Araujo",$B:$B,"&lt;&gt;Lucas Luiz Romero")*(23/1083),IF(C4219="JR",SUMIFS($D:$D,$A:$A,$A4219,$B:$B,"&lt;&gt;Patrícia Karla de Sousa Araújo",$B:$B,"&lt;&gt;Lorena Dias de Araujo",$B:$B,"&lt;&gt;Lucas Luiz Romero")*(20/1083),IF(C4219="Estágio",SUMIFS($D:$D,$A:$A,$A4219,$B:$B,"&lt;&gt;Patrícia Karla de Sousa Araújo",$B:$B,"&lt;&gt;Lorena Dias de Araujo",$B:$B,"&lt;&gt;Lucas Luiz Romero")*(10/1083),0)))))),0)</f>
        <v/>
      </c>
      <c r="K4219" s="3">
        <f>I4219-J4219</f>
        <v/>
      </c>
      <c r="L4219" s="3">
        <f>IF(K4219&lt;-5,"CRÍTICO",IF(K4219&lt;0,"ATENÇÃO",IF(K4219&lt;=5,"OPORTUNO","MUITO BOM")))</f>
        <v/>
      </c>
      <c r="M4219" s="3" t="n">
        <v>25</v>
      </c>
      <c r="N4219" s="3" t="n">
        <v>99.26000000000001</v>
      </c>
      <c r="O4219" s="12" t="n">
        <v>29.76653696498055</v>
      </c>
    </row>
    <row r="4220">
      <c r="A4220" s="10" t="n">
        <v>46135</v>
      </c>
      <c r="B4220" t="inlineStr">
        <is>
          <t>Francilene Ferreira de Jesus</t>
        </is>
      </c>
      <c r="C4220" s="1" t="inlineStr">
        <is>
          <t>Técnico II</t>
        </is>
      </c>
      <c r="D4220" s="3" t="n">
        <v>37</v>
      </c>
      <c r="E4220" s="3" t="n">
        <v>32</v>
      </c>
      <c r="F4220" s="3" t="n">
        <v>15.21</v>
      </c>
      <c r="G4220" s="3" t="n">
        <v>0</v>
      </c>
      <c r="H4220" s="3" t="n">
        <v>0</v>
      </c>
      <c r="I4220" s="3">
        <f>E4220+G4220+H4220</f>
        <v/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/>
      </c>
      <c r="K4220" s="3">
        <f>I4220-J4220</f>
        <v/>
      </c>
      <c r="L4220" s="3">
        <f>IF(K4220&lt;-5,"CRÍTICO",IF(K4220&lt;0,"ATENÇÃO",IF(K4220&lt;=5,"OPORTUNO","MUITO BOM")))</f>
        <v/>
      </c>
      <c r="M4220" s="3" t="n">
        <v>24</v>
      </c>
      <c r="N4220" s="3" t="n">
        <v>99.19</v>
      </c>
      <c r="O4220" s="12" t="n">
        <v>29.46236559139785</v>
      </c>
    </row>
    <row r="4221">
      <c r="A4221" s="7" t="n">
        <v>46162</v>
      </c>
      <c r="B4221" s="8" t="inlineStr">
        <is>
          <t>Leandro Oliveira de Sousa</t>
        </is>
      </c>
      <c r="C4221" s="1" t="inlineStr">
        <is>
          <t>Técnico III</t>
        </is>
      </c>
      <c r="D4221" s="3" t="n">
        <v>34</v>
      </c>
      <c r="E4221" s="3" t="n">
        <v>29</v>
      </c>
      <c r="F4221" s="3" t="n">
        <v>12.33</v>
      </c>
      <c r="G4221" s="3" t="n">
        <v>0</v>
      </c>
      <c r="H4221" s="3" t="n">
        <v>0</v>
      </c>
      <c r="I4221" s="3" t="n">
        <v>29</v>
      </c>
      <c r="J4221" s="3" t="n">
        <v>26</v>
      </c>
      <c r="K4221" s="3" t="n">
        <v>3</v>
      </c>
      <c r="L4221" s="3" t="inlineStr">
        <is>
          <t>BOM</t>
        </is>
      </c>
      <c r="M4221" s="3" t="n">
        <v>28</v>
      </c>
      <c r="N4221" s="3" t="n">
        <v>100</v>
      </c>
      <c r="O4221" s="12" t="n">
        <v>18.24480369515012</v>
      </c>
    </row>
    <row r="4222">
      <c r="A4222" s="10" t="n">
        <v>46135</v>
      </c>
      <c r="B4222" t="inlineStr">
        <is>
          <t>Isabella Borges de Oliveira</t>
        </is>
      </c>
      <c r="C4222" s="1" t="inlineStr">
        <is>
          <t>Técnico II</t>
        </is>
      </c>
      <c r="D4222" s="3" t="n">
        <v>20</v>
      </c>
      <c r="E4222" s="3" t="n">
        <v>18</v>
      </c>
      <c r="F4222" s="3" t="n">
        <v>18.23</v>
      </c>
      <c r="G4222" s="3" t="n">
        <v>0</v>
      </c>
      <c r="H4222" s="3" t="n">
        <v>0</v>
      </c>
      <c r="I4222" s="3">
        <f>E4222+G4222+H4222</f>
        <v/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/>
      </c>
      <c r="K4222" s="3">
        <f>I4222-J4222</f>
        <v/>
      </c>
      <c r="L4222" s="3">
        <f>IF(K4222&lt;-5,"CRÍTICO",IF(K4222&lt;0,"ATENÇÃO",IF(K4222&lt;=5,"OPORTUNO","MUITO BOM")))</f>
        <v/>
      </c>
      <c r="M4222" s="3" t="n">
        <v>16</v>
      </c>
      <c r="N4222" s="3" t="n">
        <v>100</v>
      </c>
      <c r="O4222" s="12" t="n">
        <v>28.92156862745098</v>
      </c>
    </row>
    <row r="4223">
      <c r="A4223" s="10" t="n">
        <v>46135</v>
      </c>
      <c r="B4223" t="inlineStr">
        <is>
          <t>Janaina Lima dos Reis Urany</t>
        </is>
      </c>
      <c r="C4223" s="1" t="inlineStr">
        <is>
          <t>Técnico III</t>
        </is>
      </c>
      <c r="D4223" s="3" t="n">
        <v>29</v>
      </c>
      <c r="E4223" s="3" t="n">
        <v>28</v>
      </c>
      <c r="F4223" s="3" t="n">
        <v>14.14</v>
      </c>
      <c r="G4223" s="3" t="n">
        <v>0</v>
      </c>
      <c r="H4223" s="3" t="n">
        <v>0</v>
      </c>
      <c r="I4223" s="3">
        <f>E4223+G4223+H4223</f>
        <v/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/>
      </c>
      <c r="K4223" s="3">
        <f>I4223-J4223</f>
        <v/>
      </c>
      <c r="L4223" s="3">
        <f>IF(K4223&lt;-5,"CRÍTICO",IF(K4223&lt;0,"ATENÇÃO",IF(K4223&lt;=5,"OPORTUNO","MUITO BOM")))</f>
        <v/>
      </c>
      <c r="M4223" s="3" t="n">
        <v>31</v>
      </c>
      <c r="N4223" s="3" t="n">
        <v>99.56999999999999</v>
      </c>
      <c r="O4223" s="12" t="n">
        <v>30.63583815028902</v>
      </c>
    </row>
    <row r="4224">
      <c r="A4224" s="10" t="n">
        <v>46135</v>
      </c>
      <c r="B4224" t="inlineStr">
        <is>
          <t>Jaqueline Evangelista da Silva Martins</t>
        </is>
      </c>
      <c r="C4224" s="1" t="inlineStr">
        <is>
          <t>Técnico III</t>
        </is>
      </c>
      <c r="D4224" s="3" t="n">
        <v>0</v>
      </c>
      <c r="E4224" s="3" t="n">
        <v>0</v>
      </c>
      <c r="F4224" s="3" t="n">
        <v>0</v>
      </c>
      <c r="G4224" s="3" t="n">
        <v>0</v>
      </c>
      <c r="H4224" s="3" t="n">
        <v>0</v>
      </c>
      <c r="I4224" s="3" t="n">
        <v>0</v>
      </c>
      <c r="J4224" s="3" t="n">
        <v>0</v>
      </c>
      <c r="K4224" s="3" t="n">
        <v>0</v>
      </c>
      <c r="L4224" s="3">
        <f>IF(K4224&lt;-5,"CRÍTICO",IF(K4224&lt;0,"ATENÇÃO",IF(K4224&lt;=5,"OPORTUNO","MUITO BOM")))</f>
        <v/>
      </c>
      <c r="M4224" s="3" t="n">
        <v>0</v>
      </c>
      <c r="N4224" s="3" t="n">
        <v>95.65000000000001</v>
      </c>
      <c r="O4224" s="12" t="n">
        <v>32.43243243243244</v>
      </c>
    </row>
    <row r="4225">
      <c r="A4225" s="10" t="n">
        <v>46135</v>
      </c>
      <c r="B4225" t="inlineStr">
        <is>
          <t>Jessica Faria da Silveira</t>
        </is>
      </c>
      <c r="C4225" s="1" t="inlineStr">
        <is>
          <t>Técnico II</t>
        </is>
      </c>
      <c r="D4225" s="3" t="n">
        <v>26</v>
      </c>
      <c r="E4225" s="3" t="n">
        <v>23</v>
      </c>
      <c r="F4225" s="3" t="n">
        <v>12.11</v>
      </c>
      <c r="G4225" s="3" t="n">
        <v>0</v>
      </c>
      <c r="H4225" s="3" t="n">
        <v>0</v>
      </c>
      <c r="I4225" s="3">
        <f>E4225+G4225+H4225</f>
        <v/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/>
      </c>
      <c r="K4225" s="3">
        <f>I4225-J4225</f>
        <v/>
      </c>
      <c r="L4225" s="3">
        <f>IF(K4225&lt;-5,"CRÍTICO",IF(K4225&lt;0,"ATENÇÃO",IF(K4225&lt;=5,"OPORTUNO","MUITO BOM")))</f>
        <v/>
      </c>
      <c r="M4225" s="3" t="n">
        <v>20</v>
      </c>
      <c r="N4225" s="3" t="n">
        <v>98.81</v>
      </c>
      <c r="O4225" s="12" t="n">
        <v>26.25698324022346</v>
      </c>
    </row>
    <row r="4226">
      <c r="A4226" s="10" t="n">
        <v>46135</v>
      </c>
      <c r="B4226" t="inlineStr">
        <is>
          <t>Jéssica Fé Moura</t>
        </is>
      </c>
      <c r="C4226" s="1" t="inlineStr">
        <is>
          <t>Técnico III</t>
        </is>
      </c>
      <c r="D4226" s="3" t="n">
        <v>0</v>
      </c>
      <c r="E4226" s="3" t="n">
        <v>0</v>
      </c>
      <c r="F4226" s="3" t="n">
        <v>0</v>
      </c>
      <c r="G4226" s="3" t="n">
        <v>0</v>
      </c>
      <c r="H4226" s="3" t="n">
        <v>0</v>
      </c>
      <c r="I4226" s="3" t="n">
        <v>0</v>
      </c>
      <c r="J4226" s="3" t="n">
        <v>0</v>
      </c>
      <c r="K4226" s="3" t="n">
        <v>0</v>
      </c>
      <c r="L4226" s="3">
        <f>IF(K4226&lt;-5,"CRÍTICO",IF(K4226&lt;0,"ATENÇÃO",IF(K4226&lt;=5,"OPORTUNO","MUITO BOM")))</f>
        <v/>
      </c>
      <c r="M4226" s="3" t="n">
        <v>0</v>
      </c>
      <c r="N4226" s="3" t="n">
        <v>0</v>
      </c>
      <c r="O4226" s="12" t="n">
        <v>0</v>
      </c>
    </row>
    <row r="4227">
      <c r="A4227" s="10" t="n">
        <v>46135</v>
      </c>
      <c r="B4227" t="inlineStr">
        <is>
          <t>Karina Gonçalves Martins</t>
        </is>
      </c>
      <c r="C4227" s="1" t="inlineStr">
        <is>
          <t>JR</t>
        </is>
      </c>
      <c r="D4227" s="3" t="n">
        <v>7</v>
      </c>
      <c r="E4227" s="3" t="n">
        <v>7</v>
      </c>
      <c r="F4227" s="3" t="n">
        <v>32.38</v>
      </c>
      <c r="G4227" s="3" t="n">
        <v>0</v>
      </c>
      <c r="H4227" s="3" t="n">
        <v>0</v>
      </c>
      <c r="I4227" s="3">
        <f>E4227+G4227+H4227</f>
        <v/>
      </c>
      <c r="J4227" s="3">
        <f>ROUND(MIN(IF(C4227="Técnico III",35,IF(C4227="Técnico II",28,IF(C4227="Técnico I",23,IF(C4227="JR",20,IF(C4227="Estágio",10,0))))),IF(C4227="Técnico III",SUMIFS($D:$D,$A:$A,$A4227,$B:$B,"&lt;&gt;Patrícia Karla de Sousa Araújo",$B:$B,"&lt;&gt;Lorena Dias de Araujo",$B:$B,"&lt;&gt;Lucas Luiz Romero")*(35/1083),IF(C4227="Técnico II",SUMIFS($D:$D,$A:$A,$A4227,$B:$B,"&lt;&gt;Patrícia Karla de Sousa Araújo",$B:$B,"&lt;&gt;Lorena Dias de Araujo",$B:$B,"&lt;&gt;Lucas Luiz Romero")*(28/1083),IF(C4227="Técnico I",SUMIFS($D:$D,$A:$A,$A4227,$B:$B,"&lt;&gt;Patrícia Karla de Sousa Araújo",$B:$B,"&lt;&gt;Lorena Dias de Araujo",$B:$B,"&lt;&gt;Lucas Luiz Romero")*(23/1083),IF(C4227="JR",SUMIFS($D:$D,$A:$A,$A4227,$B:$B,"&lt;&gt;Patrícia Karla de Sousa Araújo",$B:$B,"&lt;&gt;Lorena Dias de Araujo",$B:$B,"&lt;&gt;Lucas Luiz Romero")*(20/1083),IF(C4227="Estágio",SUMIFS($D:$D,$A:$A,$A4227,$B:$B,"&lt;&gt;Patrícia Karla de Sousa Araújo",$B:$B,"&lt;&gt;Lorena Dias de Araujo",$B:$B,"&lt;&gt;Lucas Luiz Romero")*(10/1083),0)))))),0)</f>
        <v/>
      </c>
      <c r="K4227" s="3">
        <f>I4227-J4227</f>
        <v/>
      </c>
      <c r="L4227" s="3">
        <f>IF(K4227&lt;-5,"CRÍTICO",IF(K4227&lt;0,"ATENÇÃO",IF(K4227&lt;=5,"OPORTUNO","MUITO BOM")))</f>
        <v/>
      </c>
      <c r="M4227" s="3" t="n">
        <v>7</v>
      </c>
      <c r="N4227" s="3" t="n">
        <v>97.17</v>
      </c>
      <c r="O4227" s="12" t="n">
        <v>28.81844380403458</v>
      </c>
    </row>
    <row r="4228">
      <c r="A4228" s="10" t="n">
        <v>46135</v>
      </c>
      <c r="B4228" t="inlineStr">
        <is>
          <t>Kerollen Cristielly de Jesus Siqueira</t>
        </is>
      </c>
      <c r="C4228" s="1" t="inlineStr">
        <is>
          <t>Técnico III</t>
        </is>
      </c>
      <c r="D4228" s="3" t="n">
        <v>0</v>
      </c>
      <c r="E4228" s="3" t="n">
        <v>0</v>
      </c>
      <c r="F4228" s="3" t="n">
        <v>0</v>
      </c>
      <c r="G4228" s="3" t="n">
        <v>0</v>
      </c>
      <c r="H4228" s="3" t="n">
        <v>0</v>
      </c>
      <c r="I4228" s="3" t="n">
        <v>0</v>
      </c>
      <c r="J4228" s="3" t="n">
        <v>0</v>
      </c>
      <c r="K4228" s="3" t="n">
        <v>0</v>
      </c>
      <c r="L4228" s="3">
        <f>IF(K4228&lt;-5,"CRÍTICO",IF(K4228&lt;0,"ATENÇÃO",IF(K4228&lt;=5,"OPORTUNO","MUITO BOM")))</f>
        <v/>
      </c>
      <c r="M4228" s="3" t="n">
        <v>30</v>
      </c>
      <c r="N4228" s="3" t="n">
        <v>96.81</v>
      </c>
      <c r="O4228" s="12" t="n">
        <v>48.01864801864802</v>
      </c>
    </row>
    <row r="4229">
      <c r="A4229" s="10" t="n">
        <v>46135</v>
      </c>
      <c r="B4229" t="inlineStr">
        <is>
          <t>Leandro de Souza Silva</t>
        </is>
      </c>
      <c r="C4229" s="1" t="inlineStr">
        <is>
          <t>JR</t>
        </is>
      </c>
      <c r="D4229" s="3" t="n">
        <v>20</v>
      </c>
      <c r="E4229" s="3" t="n">
        <v>18</v>
      </c>
      <c r="F4229" s="3" t="n">
        <v>17.09</v>
      </c>
      <c r="G4229" s="3" t="n">
        <v>0</v>
      </c>
      <c r="H4229" s="3" t="n">
        <v>0</v>
      </c>
      <c r="I4229" s="3">
        <f>E4229+G4229+H4229</f>
        <v/>
      </c>
      <c r="J4229" s="3">
        <f>ROUND(MIN(IF(C4229="Técnico III",35,IF(C4229="Técnico II",28,IF(C4229="Técnico I",23,IF(C4229="JR",20,IF(C4229="Estágio",10,0))))),IF(C4229="Técnico III",SUMIFS($D:$D,$A:$A,$A4229,$B:$B,"&lt;&gt;Patrícia Karla de Sousa Araújo",$B:$B,"&lt;&gt;Lorena Dias de Araujo",$B:$B,"&lt;&gt;Lucas Luiz Romero")*(35/1083),IF(C4229="Técnico II",SUMIFS($D:$D,$A:$A,$A4229,$B:$B,"&lt;&gt;Patrícia Karla de Sousa Araújo",$B:$B,"&lt;&gt;Lorena Dias de Araujo",$B:$B,"&lt;&gt;Lucas Luiz Romero")*(28/1083),IF(C4229="Técnico I",SUMIFS($D:$D,$A:$A,$A4229,$B:$B,"&lt;&gt;Patrícia Karla de Sousa Araújo",$B:$B,"&lt;&gt;Lorena Dias de Araujo",$B:$B,"&lt;&gt;Lucas Luiz Romero")*(23/1083),IF(C4229="JR",SUMIFS($D:$D,$A:$A,$A4229,$B:$B,"&lt;&gt;Patrícia Karla de Sousa Araújo",$B:$B,"&lt;&gt;Lorena Dias de Araujo",$B:$B,"&lt;&gt;Lucas Luiz Romero")*(20/1083),IF(C4229="Estágio",SUMIFS($D:$D,$A:$A,$A4229,$B:$B,"&lt;&gt;Patrícia Karla de Sousa Araújo",$B:$B,"&lt;&gt;Lorena Dias de Araujo",$B:$B,"&lt;&gt;Lucas Luiz Romero")*(10/1083),0)))))),0)</f>
        <v/>
      </c>
      <c r="K4229" s="3">
        <f>I4229-J4229</f>
        <v/>
      </c>
      <c r="L4229" s="3">
        <f>IF(K4229&lt;-5,"CRÍTICO",IF(K4229&lt;0,"ATENÇÃO",IF(K4229&lt;=5,"OPORTUNO","MUITO BOM")))</f>
        <v/>
      </c>
      <c r="M4229" s="3" t="n">
        <v>18</v>
      </c>
      <c r="N4229" s="3" t="n">
        <v>98.15000000000001</v>
      </c>
      <c r="O4229" s="12" t="n">
        <v>27.1551724137931</v>
      </c>
    </row>
    <row r="4230">
      <c r="A4230" s="10" t="n">
        <v>46135</v>
      </c>
      <c r="B4230" t="inlineStr">
        <is>
          <t>Leandro Oliveira de Sousa</t>
        </is>
      </c>
      <c r="C4230" s="1" t="inlineStr">
        <is>
          <t>Técnico III</t>
        </is>
      </c>
      <c r="D4230" s="3" t="n">
        <v>24</v>
      </c>
      <c r="E4230" s="3" t="n">
        <v>22</v>
      </c>
      <c r="F4230" s="3" t="n">
        <v>17.04</v>
      </c>
      <c r="G4230" s="3" t="n">
        <v>0</v>
      </c>
      <c r="H4230" s="3" t="n">
        <v>0</v>
      </c>
      <c r="I4230" s="3">
        <f>E4230+G4230+H4230</f>
        <v/>
      </c>
      <c r="J4230" s="3">
        <f>ROUND(MIN(IF(C4230="Técnico III",35,IF(C4230="Técnico II",28,IF(C4230="Técnico I",23,IF(C4230="JR",20,IF(C4230="Estágio",10,0))))),IF(C4230="Técnico III",SUMIFS($D:$D,$A:$A,$A4230,$B:$B,"&lt;&gt;Patrícia Karla de Sousa Araújo",$B:$B,"&lt;&gt;Lorena Dias de Araujo",$B:$B,"&lt;&gt;Lucas Luiz Romero")*(35/1083),IF(C4230="Técnico II",SUMIFS($D:$D,$A:$A,$A4230,$B:$B,"&lt;&gt;Patrícia Karla de Sousa Araújo",$B:$B,"&lt;&gt;Lorena Dias de Araujo",$B:$B,"&lt;&gt;Lucas Luiz Romero")*(28/1083),IF(C4230="Técnico I",SUMIFS($D:$D,$A:$A,$A4230,$B:$B,"&lt;&gt;Patrícia Karla de Sousa Araújo",$B:$B,"&lt;&gt;Lorena Dias de Araujo",$B:$B,"&lt;&gt;Lucas Luiz Romero")*(23/1083),IF(C4230="JR",SUMIFS($D:$D,$A:$A,$A4230,$B:$B,"&lt;&gt;Patrícia Karla de Sousa Araújo",$B:$B,"&lt;&gt;Lorena Dias de Araujo",$B:$B,"&lt;&gt;Lucas Luiz Romero")*(20/1083),IF(C4230="Estágio",SUMIFS($D:$D,$A:$A,$A4230,$B:$B,"&lt;&gt;Patrícia Karla de Sousa Araújo",$B:$B,"&lt;&gt;Lorena Dias de Araujo",$B:$B,"&lt;&gt;Lucas Luiz Romero")*(10/1083),0)))))),0)</f>
        <v/>
      </c>
      <c r="K4230" s="3">
        <f>I4230-J4230</f>
        <v/>
      </c>
      <c r="L4230" s="3">
        <f>IF(K4230&lt;-5,"CRÍTICO",IF(K4230&lt;0,"ATENÇÃO",IF(K4230&lt;=5,"OPORTUNO","MUITO BOM")))</f>
        <v/>
      </c>
      <c r="M4230" s="3" t="n">
        <v>20</v>
      </c>
      <c r="N4230" s="3" t="n">
        <v>99.15000000000001</v>
      </c>
      <c r="O4230" s="12" t="n">
        <v>27.58620689655172</v>
      </c>
    </row>
    <row r="4231">
      <c r="A4231" s="10" t="n">
        <v>46135</v>
      </c>
      <c r="B4231" t="inlineStr">
        <is>
          <t>Lizandra Gomes Duarte</t>
        </is>
      </c>
      <c r="C4231" s="1" t="inlineStr">
        <is>
          <t>Técnico II</t>
        </is>
      </c>
      <c r="D4231" s="3" t="n">
        <v>23</v>
      </c>
      <c r="E4231" s="3" t="n">
        <v>21</v>
      </c>
      <c r="F4231" s="3" t="n">
        <v>20.36</v>
      </c>
      <c r="G4231" s="3" t="n">
        <v>0</v>
      </c>
      <c r="H4231" s="3" t="n">
        <v>0</v>
      </c>
      <c r="I4231" s="3">
        <f>E4231+G4231+H4231</f>
        <v/>
      </c>
      <c r="J4231" s="3">
        <f>ROUND(MIN(IF(C4231="Técnico III",35,IF(C4231="Técnico II",28,IF(C4231="Técnico I",23,IF(C4231="JR",20,IF(C4231="Estágio",10,0))))),IF(C4231="Técnico III",SUMIFS($D:$D,$A:$A,$A4231,$B:$B,"&lt;&gt;Patrícia Karla de Sousa Araújo",$B:$B,"&lt;&gt;Lorena Dias de Araujo",$B:$B,"&lt;&gt;Lucas Luiz Romero")*(35/1083),IF(C4231="Técnico II",SUMIFS($D:$D,$A:$A,$A4231,$B:$B,"&lt;&gt;Patrícia Karla de Sousa Araújo",$B:$B,"&lt;&gt;Lorena Dias de Araujo",$B:$B,"&lt;&gt;Lucas Luiz Romero")*(28/1083),IF(C4231="Técnico I",SUMIFS($D:$D,$A:$A,$A4231,$B:$B,"&lt;&gt;Patrícia Karla de Sousa Araújo",$B:$B,"&lt;&gt;Lorena Dias de Araujo",$B:$B,"&lt;&gt;Lucas Luiz Romero")*(23/1083),IF(C4231="JR",SUMIFS($D:$D,$A:$A,$A4231,$B:$B,"&lt;&gt;Patrícia Karla de Sousa Araújo",$B:$B,"&lt;&gt;Lorena Dias de Araujo",$B:$B,"&lt;&gt;Lucas Luiz Romero")*(20/1083),IF(C4231="Estágio",SUMIFS($D:$D,$A:$A,$A4231,$B:$B,"&lt;&gt;Patrícia Karla de Sousa Araújo",$B:$B,"&lt;&gt;Lorena Dias de Araujo",$B:$B,"&lt;&gt;Lucas Luiz Romero")*(10/1083),0)))))),0)</f>
        <v/>
      </c>
      <c r="K4231" s="3">
        <f>I4231-J4231</f>
        <v/>
      </c>
      <c r="L4231" s="3">
        <f>IF(K4231&lt;-5,"CRÍTICO",IF(K4231&lt;0,"ATENÇÃO",IF(K4231&lt;=5,"OPORTUNO","MUITO BOM")))</f>
        <v/>
      </c>
      <c r="M4231" s="3" t="n">
        <v>17</v>
      </c>
      <c r="N4231" s="3" t="n">
        <v>99.17</v>
      </c>
      <c r="O4231" s="12" t="n">
        <v>29.75206611570248</v>
      </c>
    </row>
    <row r="4232">
      <c r="A4232" s="10" t="n">
        <v>46135</v>
      </c>
      <c r="B4232" t="inlineStr">
        <is>
          <t>Lorena Dias de Araujo</t>
        </is>
      </c>
      <c r="C4232" s="1" t="inlineStr">
        <is>
          <t>Técnico II</t>
        </is>
      </c>
      <c r="D4232" s="3" t="n">
        <v>0</v>
      </c>
      <c r="E4232" s="3" t="n">
        <v>0</v>
      </c>
      <c r="F4232" s="3" t="n">
        <v>0</v>
      </c>
      <c r="G4232" s="3" t="n">
        <v>0</v>
      </c>
      <c r="H4232" s="3" t="n">
        <v>0</v>
      </c>
      <c r="I4232" s="3" t="n">
        <v>0</v>
      </c>
      <c r="J4232" s="3" t="n">
        <v>0</v>
      </c>
      <c r="K4232" s="3" t="n">
        <v>0</v>
      </c>
      <c r="L4232" s="3">
        <f>IF(K4232&lt;-5,"CRÍTICO",IF(K4232&lt;0,"ATENÇÃO",IF(K4232&lt;=5,"OPORTUNO","MUITO BOM")))</f>
        <v/>
      </c>
      <c r="M4232" s="3" t="n">
        <v>0</v>
      </c>
      <c r="N4232" s="3" t="n">
        <v>98.73</v>
      </c>
      <c r="O4232" s="12" t="n">
        <v>28.96174863387978</v>
      </c>
    </row>
    <row r="4233">
      <c r="A4233" s="10" t="n">
        <v>46135</v>
      </c>
      <c r="B4233" t="inlineStr">
        <is>
          <t>Lucas Luiz Romero</t>
        </is>
      </c>
      <c r="C4233" s="1" t="inlineStr">
        <is>
          <t>Técnico III</t>
        </is>
      </c>
      <c r="D4233" s="3" t="n">
        <v>0</v>
      </c>
      <c r="E4233" s="3" t="n">
        <v>0</v>
      </c>
      <c r="F4233" s="3" t="n">
        <v>0</v>
      </c>
      <c r="G4233" s="3" t="n">
        <v>0</v>
      </c>
      <c r="H4233" s="3" t="n">
        <v>0</v>
      </c>
      <c r="I4233" s="3" t="n">
        <v>0</v>
      </c>
      <c r="J4233" s="3" t="n">
        <v>0</v>
      </c>
      <c r="K4233" s="3" t="n">
        <v>0</v>
      </c>
      <c r="L4233" s="3">
        <f>IF(K4233&lt;-5,"CRÍTICO",IF(K4233&lt;0,"ATENÇÃO",IF(K4233&lt;=5,"OPORTUNO","MUITO BOM")))</f>
        <v/>
      </c>
      <c r="M4233" s="3" t="n">
        <v>0</v>
      </c>
      <c r="N4233" s="3" t="n">
        <v>88.68000000000001</v>
      </c>
      <c r="O4233" s="12" t="n">
        <v>22.03389830508474</v>
      </c>
    </row>
    <row r="4234">
      <c r="A4234" s="10" t="n">
        <v>46135</v>
      </c>
      <c r="B4234" t="inlineStr">
        <is>
          <t>Luiz Fernando de Carvalho Junior</t>
        </is>
      </c>
      <c r="C4234" s="1" t="inlineStr">
        <is>
          <t>Técnico I</t>
        </is>
      </c>
      <c r="D4234" s="3" t="n">
        <v>21</v>
      </c>
      <c r="E4234" s="3" t="n">
        <v>20</v>
      </c>
      <c r="F4234" s="3" t="n">
        <v>20.13</v>
      </c>
      <c r="G4234" s="3" t="n">
        <v>0</v>
      </c>
      <c r="H4234" s="3" t="n">
        <v>0</v>
      </c>
      <c r="I4234" s="3">
        <f>E4234+G4234+H4234</f>
        <v/>
      </c>
      <c r="J4234" s="3">
        <f>ROUND(MIN(IF(C4234="Técnico III",35,IF(C4234="Técnico II",28,IF(C4234="Técnico I",23,IF(C4234="JR",20,IF(C4234="Estágio",10,0))))),IF(C4234="Técnico III",SUMIFS($D:$D,$A:$A,$A4234,$B:$B,"&lt;&gt;Patrícia Karla de Sousa Araújo",$B:$B,"&lt;&gt;Lorena Dias de Araujo",$B:$B,"&lt;&gt;Lucas Luiz Romero")*(35/1083),IF(C4234="Técnico II",SUMIFS($D:$D,$A:$A,$A4234,$B:$B,"&lt;&gt;Patrícia Karla de Sousa Araújo",$B:$B,"&lt;&gt;Lorena Dias de Araujo",$B:$B,"&lt;&gt;Lucas Luiz Romero")*(28/1083),IF(C4234="Técnico I",SUMIFS($D:$D,$A:$A,$A4234,$B:$B,"&lt;&gt;Patrícia Karla de Sousa Araújo",$B:$B,"&lt;&gt;Lorena Dias de Araujo",$B:$B,"&lt;&gt;Lucas Luiz Romero")*(23/1083),IF(C4234="JR",SUMIFS($D:$D,$A:$A,$A4234,$B:$B,"&lt;&gt;Patrícia Karla de Sousa Araújo",$B:$B,"&lt;&gt;Lorena Dias de Araujo",$B:$B,"&lt;&gt;Lucas Luiz Romero")*(20/1083),IF(C4234="Estágio",SUMIFS($D:$D,$A:$A,$A4234,$B:$B,"&lt;&gt;Patrícia Karla de Sousa Araújo",$B:$B,"&lt;&gt;Lorena Dias de Araujo",$B:$B,"&lt;&gt;Lucas Luiz Romero")*(10/1083),0)))))),0)</f>
        <v/>
      </c>
      <c r="K4234" s="3">
        <f>I4234-J4234</f>
        <v/>
      </c>
      <c r="L4234" s="3">
        <f>IF(K4234&lt;-5,"CRÍTICO",IF(K4234&lt;0,"ATENÇÃO",IF(K4234&lt;=5,"OPORTUNO","MUITO BOM")))</f>
        <v/>
      </c>
      <c r="M4234" s="3" t="n">
        <v>22</v>
      </c>
      <c r="N4234" s="3" t="n">
        <v>97.37</v>
      </c>
      <c r="O4234" s="12" t="n">
        <v>25.76530612244898</v>
      </c>
    </row>
    <row r="4235">
      <c r="A4235" s="10" t="n">
        <v>46135</v>
      </c>
      <c r="B4235" t="inlineStr">
        <is>
          <t>Maria Eduarda Sousa Costa</t>
        </is>
      </c>
      <c r="C4235" s="1" t="inlineStr">
        <is>
          <t>Estágio</t>
        </is>
      </c>
      <c r="D4235" s="3" t="n">
        <v>35</v>
      </c>
      <c r="E4235" s="3" t="n">
        <v>16</v>
      </c>
      <c r="F4235" s="3" t="n">
        <v>3.4</v>
      </c>
      <c r="G4235" s="3" t="n">
        <v>0</v>
      </c>
      <c r="H4235" s="3" t="n">
        <v>0</v>
      </c>
      <c r="I4235" s="3">
        <f>E4235+G4235+H4235</f>
        <v/>
      </c>
      <c r="J4235" s="3">
        <f>ROUND(MIN(IF(C4235="Técnico III",35,IF(C4235="Técnico II",28,IF(C4235="Técnico I",23,IF(C4235="JR",20,IF(C4235="Estágio",10,0))))),IF(C4235="Técnico III",SUMIFS($D:$D,$A:$A,$A4235,$B:$B,"&lt;&gt;Patrícia Karla de Sousa Araújo",$B:$B,"&lt;&gt;Lorena Dias de Araujo",$B:$B,"&lt;&gt;Lucas Luiz Romero")*(35/1083),IF(C4235="Técnico II",SUMIFS($D:$D,$A:$A,$A4235,$B:$B,"&lt;&gt;Patrícia Karla de Sousa Araújo",$B:$B,"&lt;&gt;Lorena Dias de Araujo",$B:$B,"&lt;&gt;Lucas Luiz Romero")*(28/1083),IF(C4235="Técnico I",SUMIFS($D:$D,$A:$A,$A4235,$B:$B,"&lt;&gt;Patrícia Karla de Sousa Araújo",$B:$B,"&lt;&gt;Lorena Dias de Araujo",$B:$B,"&lt;&gt;Lucas Luiz Romero")*(23/1083),IF(C4235="JR",SUMIFS($D:$D,$A:$A,$A4235,$B:$B,"&lt;&gt;Patrícia Karla de Sousa Araújo",$B:$B,"&lt;&gt;Lorena Dias de Araujo",$B:$B,"&lt;&gt;Lucas Luiz Romero")*(20/1083),IF(C4235="Estágio",SUMIFS($D:$D,$A:$A,$A4235,$B:$B,"&lt;&gt;Patrícia Karla de Sousa Araújo",$B:$B,"&lt;&gt;Lorena Dias de Araujo",$B:$B,"&lt;&gt;Lucas Luiz Romero")*(10/1083),0)))))),0)</f>
        <v/>
      </c>
      <c r="K4235" s="3">
        <f>I4235-J4235</f>
        <v/>
      </c>
      <c r="L4235" s="3">
        <f>IF(K4235&lt;-5,"CRÍTICO",IF(K4235&lt;0,"ATENÇÃO",IF(K4235&lt;=5,"OPORTUNO","MUITO BOM")))</f>
        <v/>
      </c>
      <c r="M4235" s="3" t="n">
        <v>0</v>
      </c>
      <c r="N4235" s="3" t="n">
        <v>100</v>
      </c>
      <c r="O4235" s="12" t="n">
        <v>25</v>
      </c>
    </row>
    <row r="4236">
      <c r="A4236" s="7" t="n">
        <v>46162</v>
      </c>
      <c r="B4236" s="8" t="inlineStr">
        <is>
          <t>Lucas Luiz Romero</t>
        </is>
      </c>
      <c r="C4236" s="1" t="inlineStr">
        <is>
          <t>Técnico III</t>
        </is>
      </c>
      <c r="D4236" s="3" t="n">
        <v>26</v>
      </c>
      <c r="E4236" s="3" t="n">
        <v>21</v>
      </c>
      <c r="F4236" s="3" t="n">
        <v>15.25</v>
      </c>
      <c r="G4236" s="3" t="n">
        <v>0</v>
      </c>
      <c r="H4236" s="3" t="n">
        <v>0</v>
      </c>
      <c r="I4236" s="3" t="n">
        <v>21</v>
      </c>
      <c r="J4236" s="3" t="n">
        <v>26</v>
      </c>
      <c r="K4236" s="3" t="n">
        <v>-5</v>
      </c>
      <c r="L4236" s="3" t="inlineStr">
        <is>
          <t>ATENÇÃO</t>
        </is>
      </c>
      <c r="M4236" s="3" t="n">
        <v>18</v>
      </c>
      <c r="N4236" s="3" t="n">
        <v>100</v>
      </c>
      <c r="O4236" s="12" t="n">
        <v>15.78947368421053</v>
      </c>
    </row>
    <row r="4237">
      <c r="A4237" s="10" t="n">
        <v>46135</v>
      </c>
      <c r="B4237" t="inlineStr">
        <is>
          <t>Maysa Victoria Dias Moura</t>
        </is>
      </c>
      <c r="C4237" s="1" t="inlineStr">
        <is>
          <t>Técnico III</t>
        </is>
      </c>
      <c r="D4237" s="3" t="n">
        <v>23</v>
      </c>
      <c r="E4237" s="3" t="n">
        <v>23</v>
      </c>
      <c r="F4237" s="3" t="n">
        <v>15.14</v>
      </c>
      <c r="G4237" s="3" t="n">
        <v>0</v>
      </c>
      <c r="H4237" s="3" t="n">
        <v>0</v>
      </c>
      <c r="I4237" s="3">
        <f>E4237+G4237+H4237</f>
        <v/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/>
      </c>
      <c r="K4237" s="3">
        <f>I4237-J4237</f>
        <v/>
      </c>
      <c r="L4237" s="3">
        <f>IF(K4237&lt;-5,"CRÍTICO",IF(K4237&lt;0,"ATENÇÃO",IF(K4237&lt;=5,"OPORTUNO","MUITO BOM")))</f>
        <v/>
      </c>
      <c r="M4237" s="3" t="n">
        <v>20</v>
      </c>
      <c r="N4237" s="3" t="n">
        <v>95.48999999999999</v>
      </c>
      <c r="O4237" s="12" t="n">
        <v>28.37022132796781</v>
      </c>
    </row>
    <row r="4238">
      <c r="A4238" s="7" t="n">
        <v>46162</v>
      </c>
      <c r="B4238" s="8" t="inlineStr">
        <is>
          <t>Maysa Victoria Dias Moura</t>
        </is>
      </c>
      <c r="C4238" s="1" t="inlineStr">
        <is>
          <t>Técnico III</t>
        </is>
      </c>
      <c r="D4238" s="3" t="n">
        <v>27</v>
      </c>
      <c r="E4238" s="3" t="n">
        <v>25</v>
      </c>
      <c r="F4238" s="3" t="n">
        <v>15.01</v>
      </c>
      <c r="G4238" s="3" t="n">
        <v>2</v>
      </c>
      <c r="H4238" s="3" t="n">
        <v>0</v>
      </c>
      <c r="I4238" s="3" t="n">
        <v>27</v>
      </c>
      <c r="J4238" s="3" t="n">
        <v>26</v>
      </c>
      <c r="K4238" s="3" t="n">
        <v>1</v>
      </c>
      <c r="L4238" s="3" t="inlineStr">
        <is>
          <t>BOM</t>
        </is>
      </c>
      <c r="M4238" s="3" t="n">
        <v>23</v>
      </c>
      <c r="N4238" s="3" t="n">
        <v>96.38</v>
      </c>
      <c r="O4238" s="12" t="n">
        <v>23.1981981981982</v>
      </c>
    </row>
    <row r="4239">
      <c r="A4239" s="10" t="n">
        <v>46135</v>
      </c>
      <c r="B4239" t="inlineStr">
        <is>
          <t>Milena Sales</t>
        </is>
      </c>
      <c r="C4239" s="1" t="inlineStr">
        <is>
          <t>JR</t>
        </is>
      </c>
      <c r="D4239" s="3" t="n">
        <v>34</v>
      </c>
      <c r="E4239" s="3" t="n">
        <v>19</v>
      </c>
      <c r="F4239" s="3" t="n">
        <v>9.1</v>
      </c>
      <c r="G4239" s="3" t="n">
        <v>0</v>
      </c>
      <c r="H4239" s="3" t="n">
        <v>0</v>
      </c>
      <c r="I4239" s="3">
        <f>E4239+G4239+H4239</f>
        <v/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/>
      </c>
      <c r="K4239" s="3">
        <f>I4239-J4239</f>
        <v/>
      </c>
      <c r="L4239" s="3">
        <f>IF(K4239&lt;-5,"CRÍTICO",IF(K4239&lt;0,"ATENÇÃO",IF(K4239&lt;=5,"OPORTUNO","MUITO BOM")))</f>
        <v/>
      </c>
      <c r="M4239" s="3" t="n">
        <v>16</v>
      </c>
      <c r="N4239" s="3" t="n">
        <v>96.15000000000001</v>
      </c>
      <c r="O4239" s="12" t="n">
        <v>24.04580152671756</v>
      </c>
    </row>
    <row r="4240">
      <c r="A4240" s="10" t="n">
        <v>46135</v>
      </c>
      <c r="B4240" t="inlineStr">
        <is>
          <t>Patrícia Karla de Sousa Araújo</t>
        </is>
      </c>
      <c r="C4240" s="1" t="inlineStr">
        <is>
          <t>Técnico II</t>
        </is>
      </c>
      <c r="D4240" s="3" t="n">
        <v>0</v>
      </c>
      <c r="E4240" s="3" t="n">
        <v>0</v>
      </c>
      <c r="F4240" s="3" t="n">
        <v>0</v>
      </c>
      <c r="G4240" s="3" t="n">
        <v>0</v>
      </c>
      <c r="H4240" s="3" t="n">
        <v>0</v>
      </c>
      <c r="I4240" s="3" t="n">
        <v>0</v>
      </c>
      <c r="J4240" s="3" t="n">
        <v>0</v>
      </c>
      <c r="K4240" s="3" t="n">
        <v>0</v>
      </c>
      <c r="L4240" s="3">
        <f>IF(K4240&lt;-5,"CRÍTICO",IF(K4240&lt;0,"ATENÇÃO",IF(K4240&lt;=5,"OPORTUNO","MUITO BOM")))</f>
        <v/>
      </c>
      <c r="M4240" s="3" t="n">
        <v>0</v>
      </c>
      <c r="N4240" s="3" t="n">
        <v>99.02</v>
      </c>
      <c r="O4240" s="12" t="n">
        <v>34.7972972972973</v>
      </c>
    </row>
    <row r="4241">
      <c r="A4241" s="10" t="n">
        <v>46135</v>
      </c>
      <c r="B4241" t="inlineStr">
        <is>
          <t>Paulo Ricardo Santos</t>
        </is>
      </c>
      <c r="C4241" s="1" t="inlineStr">
        <is>
          <t>JR</t>
        </is>
      </c>
      <c r="D4241" s="3" t="n">
        <v>0</v>
      </c>
      <c r="E4241" s="3" t="n">
        <v>0</v>
      </c>
      <c r="F4241" s="3" t="n">
        <v>0</v>
      </c>
      <c r="G4241" s="3" t="n">
        <v>0</v>
      </c>
      <c r="H4241" s="3" t="n">
        <v>0</v>
      </c>
      <c r="I4241" s="3" t="n">
        <v>0</v>
      </c>
      <c r="J4241" s="3" t="n">
        <v>0</v>
      </c>
      <c r="K4241" s="3" t="n">
        <v>0</v>
      </c>
      <c r="L4241" s="3">
        <f>IF(K4241&lt;-5,"CRÍTICO",IF(K4241&lt;0,"ATENÇÃO",IF(K4241&lt;=5,"OPORTUNO","MUITO BOM")))</f>
        <v/>
      </c>
      <c r="M4241" s="3" t="n">
        <v>0</v>
      </c>
      <c r="N4241" s="3" t="n">
        <v>98.84</v>
      </c>
      <c r="O4241" s="12" t="n">
        <v>31.86813186813187</v>
      </c>
    </row>
    <row r="4242">
      <c r="A4242" s="10" t="n">
        <v>46135</v>
      </c>
      <c r="B4242" t="inlineStr">
        <is>
          <t>Pedro Luiz Mota Sousa</t>
        </is>
      </c>
      <c r="C4242" s="1" t="inlineStr">
        <is>
          <t>JR</t>
        </is>
      </c>
      <c r="D4242" s="3" t="n">
        <v>12</v>
      </c>
      <c r="E4242" s="3" t="n">
        <v>11</v>
      </c>
      <c r="F4242" s="3" t="n">
        <v>21.54</v>
      </c>
      <c r="G4242" s="3" t="n">
        <v>0</v>
      </c>
      <c r="H4242" s="3" t="n">
        <v>0</v>
      </c>
      <c r="I4242" s="3">
        <f>E4242+G4242+H4242</f>
        <v/>
      </c>
      <c r="J4242" s="3">
        <f>ROUND(MIN(IF(C4242="Técnico III",35,IF(C4242="Técnico II",28,IF(C4242="Técnico I",23,IF(C4242="JR",20,IF(C4242="Estágio",10,0))))),IF(C4242="Técnico III",SUMIFS($D:$D,$A:$A,$A4242,$B:$B,"&lt;&gt;Patrícia Karla de Sousa Araújo",$B:$B,"&lt;&gt;Lorena Dias de Araujo",$B:$B,"&lt;&gt;Lucas Luiz Romero")*(35/1083),IF(C4242="Técnico II",SUMIFS($D:$D,$A:$A,$A4242,$B:$B,"&lt;&gt;Patrícia Karla de Sousa Araújo",$B:$B,"&lt;&gt;Lorena Dias de Araujo",$B:$B,"&lt;&gt;Lucas Luiz Romero")*(28/1083),IF(C4242="Técnico I",SUMIFS($D:$D,$A:$A,$A4242,$B:$B,"&lt;&gt;Patrícia Karla de Sousa Araújo",$B:$B,"&lt;&gt;Lorena Dias de Araujo",$B:$B,"&lt;&gt;Lucas Luiz Romero")*(23/1083),IF(C4242="JR",SUMIFS($D:$D,$A:$A,$A4242,$B:$B,"&lt;&gt;Patrícia Karla de Sousa Araújo",$B:$B,"&lt;&gt;Lorena Dias de Araujo",$B:$B,"&lt;&gt;Lucas Luiz Romero")*(20/1083),IF(C4242="Estágio",SUMIFS($D:$D,$A:$A,$A4242,$B:$B,"&lt;&gt;Patrícia Karla de Sousa Araújo",$B:$B,"&lt;&gt;Lorena Dias de Araujo",$B:$B,"&lt;&gt;Lucas Luiz Romero")*(10/1083),0)))))),0)</f>
        <v/>
      </c>
      <c r="K4242" s="3">
        <f>I4242-J4242</f>
        <v/>
      </c>
      <c r="L4242" s="3">
        <f>IF(K4242&lt;-5,"CRÍTICO",IF(K4242&lt;0,"ATENÇÃO",IF(K4242&lt;=5,"OPORTUNO","MUITO BOM")))</f>
        <v/>
      </c>
      <c r="M4242" s="3" t="n">
        <v>10</v>
      </c>
      <c r="N4242" s="3" t="n">
        <v>100</v>
      </c>
      <c r="O4242" s="12" t="n">
        <v>34.66666666666667</v>
      </c>
    </row>
    <row r="4243">
      <c r="A4243" s="7" t="n">
        <v>46162</v>
      </c>
      <c r="B4243" s="8" t="inlineStr">
        <is>
          <t>Rafael Gomes de Morais</t>
        </is>
      </c>
      <c r="C4243" s="1" t="inlineStr">
        <is>
          <t>Técnico III</t>
        </is>
      </c>
      <c r="D4243" s="3" t="n">
        <v>37</v>
      </c>
      <c r="E4243" s="3" t="n">
        <v>33</v>
      </c>
      <c r="F4243" s="3" t="n">
        <v>15.26</v>
      </c>
      <c r="G4243" s="3" t="n">
        <v>0</v>
      </c>
      <c r="H4243" s="3" t="n">
        <v>0</v>
      </c>
      <c r="I4243" s="3" t="n">
        <v>33</v>
      </c>
      <c r="J4243" s="3" t="n">
        <v>26</v>
      </c>
      <c r="K4243" s="3" t="n">
        <v>7</v>
      </c>
      <c r="L4243" s="3" t="inlineStr">
        <is>
          <t>EXCELENTE</t>
        </is>
      </c>
      <c r="M4243" s="3" t="n">
        <v>28</v>
      </c>
      <c r="N4243" s="3" t="n">
        <v>99.39</v>
      </c>
      <c r="O4243" s="12" t="n">
        <v>25.20325203252033</v>
      </c>
    </row>
    <row r="4244">
      <c r="A4244" s="10" t="n">
        <v>46135</v>
      </c>
      <c r="B4244" t="inlineStr">
        <is>
          <t>Raane Batista Matos</t>
        </is>
      </c>
      <c r="C4244" s="1" t="inlineStr">
        <is>
          <t>Técnico I</t>
        </is>
      </c>
      <c r="D4244" s="3" t="n">
        <v>30</v>
      </c>
      <c r="E4244" s="3" t="n">
        <v>27</v>
      </c>
      <c r="F4244" s="3" t="n">
        <v>11.43</v>
      </c>
      <c r="G4244" s="3" t="n">
        <v>0</v>
      </c>
      <c r="H4244" s="3" t="n">
        <v>0</v>
      </c>
      <c r="I4244" s="3">
        <f>E4244+G4244+H4244</f>
        <v/>
      </c>
      <c r="J4244" s="3">
        <f>ROUND(MIN(IF(C4244="Técnico III",35,IF(C4244="Técnico II",28,IF(C4244="Técnico I",23,IF(C4244="JR",20,IF(C4244="Estágio",10,0))))),IF(C4244="Técnico III",SUMIFS($D:$D,$A:$A,$A4244,$B:$B,"&lt;&gt;Patrícia Karla de Sousa Araújo",$B:$B,"&lt;&gt;Lorena Dias de Araujo",$B:$B,"&lt;&gt;Lucas Luiz Romero")*(35/1083),IF(C4244="Técnico II",SUMIFS($D:$D,$A:$A,$A4244,$B:$B,"&lt;&gt;Patrícia Karla de Sousa Araújo",$B:$B,"&lt;&gt;Lorena Dias de Araujo",$B:$B,"&lt;&gt;Lucas Luiz Romero")*(28/1083),IF(C4244="Técnico I",SUMIFS($D:$D,$A:$A,$A4244,$B:$B,"&lt;&gt;Patrícia Karla de Sousa Araújo",$B:$B,"&lt;&gt;Lorena Dias de Araujo",$B:$B,"&lt;&gt;Lucas Luiz Romero")*(23/1083),IF(C4244="JR",SUMIFS($D:$D,$A:$A,$A4244,$B:$B,"&lt;&gt;Patrícia Karla de Sousa Araújo",$B:$B,"&lt;&gt;Lorena Dias de Araujo",$B:$B,"&lt;&gt;Lucas Luiz Romero")*(20/1083),IF(C4244="Estágio",SUMIFS($D:$D,$A:$A,$A4244,$B:$B,"&lt;&gt;Patrícia Karla de Sousa Araújo",$B:$B,"&lt;&gt;Lorena Dias de Araujo",$B:$B,"&lt;&gt;Lucas Luiz Romero")*(10/1083),0)))))),0)</f>
        <v/>
      </c>
      <c r="K4244" s="3">
        <f>I4244-J4244</f>
        <v/>
      </c>
      <c r="L4244" s="3">
        <f>IF(K4244&lt;-5,"CRÍTICO",IF(K4244&lt;0,"ATENÇÃO",IF(K4244&lt;=5,"OPORTUNO","MUITO BOM")))</f>
        <v/>
      </c>
      <c r="M4244" s="3" t="n">
        <v>23</v>
      </c>
      <c r="N4244" s="3" t="n">
        <v>98.31999999999999</v>
      </c>
      <c r="O4244" s="12" t="n">
        <v>26.85851318944844</v>
      </c>
    </row>
    <row r="4245">
      <c r="A4245" s="10" t="n">
        <v>46135</v>
      </c>
      <c r="B4245" t="inlineStr">
        <is>
          <t>Rafael Gomes de Morais</t>
        </is>
      </c>
      <c r="C4245" s="1" t="inlineStr">
        <is>
          <t>Técnico III</t>
        </is>
      </c>
      <c r="D4245" s="3" t="n">
        <v>32</v>
      </c>
      <c r="E4245" s="3" t="n">
        <v>30</v>
      </c>
      <c r="F4245" s="3" t="n">
        <v>15.17</v>
      </c>
      <c r="G4245" s="3" t="n">
        <v>0</v>
      </c>
      <c r="H4245" s="3" t="n">
        <v>0</v>
      </c>
      <c r="I4245" s="3">
        <f>E4245+G4245+H4245</f>
        <v/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/>
      </c>
      <c r="K4245" s="3">
        <f>I4245-J4245</f>
        <v/>
      </c>
      <c r="L4245" s="3">
        <f>IF(K4245&lt;-5,"CRÍTICO",IF(K4245&lt;0,"ATENÇÃO",IF(K4245&lt;=5,"OPORTUNO","MUITO BOM")))</f>
        <v/>
      </c>
      <c r="M4245" s="3" t="n">
        <v>20</v>
      </c>
      <c r="N4245" s="3" t="n">
        <v>100</v>
      </c>
      <c r="O4245" s="12" t="n">
        <v>31.13553113553114</v>
      </c>
    </row>
    <row r="4246">
      <c r="A4246" s="10" t="n">
        <v>46135</v>
      </c>
      <c r="B4246" t="inlineStr">
        <is>
          <t>Sara Maria Monteiro Lopes</t>
        </is>
      </c>
      <c r="C4246" s="1" t="inlineStr">
        <is>
          <t>Técnico I</t>
        </is>
      </c>
      <c r="D4246" s="3" t="n">
        <v>21</v>
      </c>
      <c r="E4246" s="3" t="n">
        <v>17</v>
      </c>
      <c r="F4246" s="3" t="n">
        <v>13.43</v>
      </c>
      <c r="G4246" s="3" t="n">
        <v>0</v>
      </c>
      <c r="H4246" s="3" t="n">
        <v>0</v>
      </c>
      <c r="I4246" s="3">
        <f>E4246+G4246+H4246</f>
        <v/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/>
      </c>
      <c r="K4246" s="3">
        <f>I4246-J4246</f>
        <v/>
      </c>
      <c r="L4246" s="3">
        <f>IF(K4246&lt;-5,"CRÍTICO",IF(K4246&lt;0,"ATENÇÃO",IF(K4246&lt;=5,"OPORTUNO","MUITO BOM")))</f>
        <v/>
      </c>
      <c r="M4246" s="3" t="n">
        <v>19</v>
      </c>
      <c r="N4246" s="3" t="n">
        <v>100</v>
      </c>
      <c r="O4246" s="12" t="n">
        <v>26.36986301369863</v>
      </c>
    </row>
    <row r="4247">
      <c r="A4247" s="10" t="n">
        <v>46135</v>
      </c>
      <c r="B4247" t="inlineStr">
        <is>
          <t>Sarah Steffanie de Lima Borges</t>
        </is>
      </c>
      <c r="C4247" s="1" t="inlineStr">
        <is>
          <t>Técnico III</t>
        </is>
      </c>
      <c r="D4247" s="3" t="n">
        <v>25</v>
      </c>
      <c r="E4247" s="3" t="n">
        <v>23</v>
      </c>
      <c r="F4247" s="3" t="n">
        <v>23.59</v>
      </c>
      <c r="G4247" s="3" t="n">
        <v>0</v>
      </c>
      <c r="H4247" s="3" t="n">
        <v>0</v>
      </c>
      <c r="I4247" s="3">
        <f>E4247+G4247+H4247</f>
        <v/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/>
      </c>
      <c r="K4247" s="3">
        <f>I4247-J4247</f>
        <v/>
      </c>
      <c r="L4247" s="3">
        <f>IF(K4247&lt;-5,"CRÍTICO",IF(K4247&lt;0,"ATENÇÃO",IF(K4247&lt;=5,"OPORTUNO","MUITO BOM")))</f>
        <v/>
      </c>
      <c r="M4247" s="3" t="n">
        <v>21</v>
      </c>
      <c r="N4247" s="3" t="n">
        <v>99.20999999999999</v>
      </c>
      <c r="O4247" s="12" t="n">
        <v>25.18891687657431</v>
      </c>
    </row>
    <row r="4248">
      <c r="A4248" s="10" t="n">
        <v>46136</v>
      </c>
      <c r="B4248" t="inlineStr">
        <is>
          <t>Alisson de Freitas Silva</t>
        </is>
      </c>
      <c r="C4248" s="1" t="inlineStr">
        <is>
          <t>Técnico II</t>
        </is>
      </c>
      <c r="D4248" s="3" t="n">
        <v>39</v>
      </c>
      <c r="E4248" s="3" t="n">
        <v>28</v>
      </c>
      <c r="F4248" s="3" t="n">
        <v>10.5</v>
      </c>
      <c r="G4248" s="3" t="n">
        <v>0</v>
      </c>
      <c r="H4248" s="3" t="n">
        <v>0</v>
      </c>
      <c r="I4248" s="3">
        <f>E4248+G4248+H4248</f>
        <v/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/>
      </c>
      <c r="K4248" s="3">
        <f>I4248-J4248</f>
        <v/>
      </c>
      <c r="L4248" s="3">
        <f>IF(K4248&lt;-5,"CRÍTICO",IF(K4248&lt;0,"ATENÇÃO",IF(K4248&lt;=5,"OPORTUNO","MUITO BOM")))</f>
        <v/>
      </c>
      <c r="M4248" s="3" t="n">
        <v>24</v>
      </c>
      <c r="N4248" s="3" t="n">
        <v>100</v>
      </c>
      <c r="O4248" s="12" t="n">
        <v>32.76450511945392</v>
      </c>
    </row>
    <row r="4249">
      <c r="A4249" s="10" t="n">
        <v>46136</v>
      </c>
      <c r="B4249" t="inlineStr">
        <is>
          <t>Amanda Moura Ferreira</t>
        </is>
      </c>
      <c r="C4249" s="1" t="inlineStr">
        <is>
          <t>Técnico III</t>
        </is>
      </c>
      <c r="D4249" s="3" t="n">
        <v>0</v>
      </c>
      <c r="E4249" s="3" t="n">
        <v>0</v>
      </c>
      <c r="F4249" s="3" t="n">
        <v>0</v>
      </c>
      <c r="G4249" s="3" t="n">
        <v>0</v>
      </c>
      <c r="H4249" s="3" t="n">
        <v>0</v>
      </c>
      <c r="I4249" s="3" t="n">
        <v>0</v>
      </c>
      <c r="J4249" s="3" t="n">
        <v>0</v>
      </c>
      <c r="K4249" s="3" t="n">
        <v>0</v>
      </c>
      <c r="L4249" s="3">
        <f>IF(K4249&lt;-5,"CRÍTICO",IF(K4249&lt;0,"ATENÇÃO",IF(K4249&lt;=5,"OPORTUNO","MUITO BOM")))</f>
        <v/>
      </c>
      <c r="M4249" s="3" t="n">
        <v>14</v>
      </c>
      <c r="N4249" s="3" t="n">
        <v>98.66</v>
      </c>
      <c r="O4249" s="12" t="n">
        <v>35.41666666666667</v>
      </c>
    </row>
    <row r="4250">
      <c r="A4250" s="10" t="n">
        <v>46136</v>
      </c>
      <c r="B4250" t="inlineStr">
        <is>
          <t>Ana Karollyne Souza Faria</t>
        </is>
      </c>
      <c r="C4250" s="1" t="inlineStr">
        <is>
          <t>Técnico I</t>
        </is>
      </c>
      <c r="D4250" s="3" t="n">
        <v>23</v>
      </c>
      <c r="E4250" s="3" t="n">
        <v>23</v>
      </c>
      <c r="F4250" s="3" t="n">
        <v>21.42</v>
      </c>
      <c r="G4250" s="3" t="n">
        <v>0</v>
      </c>
      <c r="H4250" s="3" t="n">
        <v>0</v>
      </c>
      <c r="I4250" s="3">
        <f>E4250+G4250+H4250</f>
        <v/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/>
      </c>
      <c r="K4250" s="3">
        <f>I4250-J4250</f>
        <v/>
      </c>
      <c r="L4250" s="3">
        <f>IF(K4250&lt;-5,"CRÍTICO",IF(K4250&lt;0,"ATENÇÃO",IF(K4250&lt;=5,"OPORTUNO","MUITO BOM")))</f>
        <v/>
      </c>
      <c r="M4250" s="3" t="n">
        <v>24</v>
      </c>
      <c r="N4250" s="3" t="n">
        <v>99.31999999999999</v>
      </c>
      <c r="O4250" s="12" t="n">
        <v>30.6483300589391</v>
      </c>
    </row>
    <row r="4251">
      <c r="A4251" s="10" t="n">
        <v>46136</v>
      </c>
      <c r="B4251" t="inlineStr">
        <is>
          <t>Ana Paula Da Luz Silva Aleixo</t>
        </is>
      </c>
      <c r="C4251" s="1" t="inlineStr">
        <is>
          <t>Técnico III</t>
        </is>
      </c>
      <c r="D4251" s="3" t="n">
        <v>25</v>
      </c>
      <c r="E4251" s="3" t="n">
        <v>22</v>
      </c>
      <c r="F4251" s="3" t="n">
        <v>15.15</v>
      </c>
      <c r="G4251" s="3" t="n">
        <v>0</v>
      </c>
      <c r="H4251" s="3" t="n">
        <v>0</v>
      </c>
      <c r="I4251" s="3">
        <f>E4251+G4251+H4251</f>
        <v/>
      </c>
      <c r="J4251" s="3">
        <f>ROUND(MIN(IF(C4251="Técnico III",35,IF(C4251="Técnico II",28,IF(C4251="Técnico I",23,IF(C4251="JR",20,IF(C4251="Estágio",10,0))))),IF(C4251="Técnico III",SUMIFS($D:$D,$A:$A,$A4251,$B:$B,"&lt;&gt;Patrícia Karla de Sousa Araújo",$B:$B,"&lt;&gt;Lorena Dias de Araujo",$B:$B,"&lt;&gt;Lucas Luiz Romero")*(35/1083),IF(C4251="Técnico II",SUMIFS($D:$D,$A:$A,$A4251,$B:$B,"&lt;&gt;Patrícia Karla de Sousa Araújo",$B:$B,"&lt;&gt;Lorena Dias de Araujo",$B:$B,"&lt;&gt;Lucas Luiz Romero")*(28/1083),IF(C4251="Técnico I",SUMIFS($D:$D,$A:$A,$A4251,$B:$B,"&lt;&gt;Patrícia Karla de Sousa Araújo",$B:$B,"&lt;&gt;Lorena Dias de Araujo",$B:$B,"&lt;&gt;Lucas Luiz Romero")*(23/1083),IF(C4251="JR",SUMIFS($D:$D,$A:$A,$A4251,$B:$B,"&lt;&gt;Patrícia Karla de Sousa Araújo",$B:$B,"&lt;&gt;Lorena Dias de Araujo",$B:$B,"&lt;&gt;Lucas Luiz Romero")*(20/1083),IF(C4251="Estágio",SUMIFS($D:$D,$A:$A,$A4251,$B:$B,"&lt;&gt;Patrícia Karla de Sousa Araújo",$B:$B,"&lt;&gt;Lorena Dias de Araujo",$B:$B,"&lt;&gt;Lucas Luiz Romero")*(10/1083),0)))))),0)</f>
        <v/>
      </c>
      <c r="K4251" s="3">
        <f>I4251-J4251</f>
        <v/>
      </c>
      <c r="L4251" s="3">
        <f>IF(K4251&lt;-5,"CRÍTICO",IF(K4251&lt;0,"ATENÇÃO",IF(K4251&lt;=5,"OPORTUNO","MUITO BOM")))</f>
        <v/>
      </c>
      <c r="M4251" s="3" t="n">
        <v>21</v>
      </c>
      <c r="N4251" s="3" t="n">
        <v>100</v>
      </c>
      <c r="O4251" s="12" t="n">
        <v>27.80373831775701</v>
      </c>
    </row>
    <row r="4252">
      <c r="A4252" s="10" t="n">
        <v>46136</v>
      </c>
      <c r="B4252" t="inlineStr">
        <is>
          <t>Anna Luiza Rezende Tavares</t>
        </is>
      </c>
      <c r="C4252" s="1" t="inlineStr">
        <is>
          <t>Estágio</t>
        </is>
      </c>
      <c r="D4252" s="3" t="n">
        <v>32</v>
      </c>
      <c r="E4252" s="3" t="n">
        <v>31</v>
      </c>
      <c r="F4252" s="3" t="n">
        <v>13.52</v>
      </c>
      <c r="G4252" s="3" t="n">
        <v>0</v>
      </c>
      <c r="H4252" s="3" t="n">
        <v>0</v>
      </c>
      <c r="I4252" s="3">
        <f>E4252+G4252+H4252</f>
        <v/>
      </c>
      <c r="J4252" s="3">
        <f>ROUND(MIN(IF(C4252="Técnico III",35,IF(C4252="Técnico II",28,IF(C4252="Técnico I",23,IF(C4252="JR",20,IF(C4252="Estágio",10,0))))),IF(C4252="Técnico III",SUMIFS($D:$D,$A:$A,$A4252,$B:$B,"&lt;&gt;Patrícia Karla de Sousa Araújo",$B:$B,"&lt;&gt;Lorena Dias de Araujo",$B:$B,"&lt;&gt;Lucas Luiz Romero")*(35/1083),IF(C4252="Técnico II",SUMIFS($D:$D,$A:$A,$A4252,$B:$B,"&lt;&gt;Patrícia Karla de Sousa Araújo",$B:$B,"&lt;&gt;Lorena Dias de Araujo",$B:$B,"&lt;&gt;Lucas Luiz Romero")*(28/1083),IF(C4252="Técnico I",SUMIFS($D:$D,$A:$A,$A4252,$B:$B,"&lt;&gt;Patrícia Karla de Sousa Araújo",$B:$B,"&lt;&gt;Lorena Dias de Araujo",$B:$B,"&lt;&gt;Lucas Luiz Romero")*(23/1083),IF(C4252="JR",SUMIFS($D:$D,$A:$A,$A4252,$B:$B,"&lt;&gt;Patrícia Karla de Sousa Araújo",$B:$B,"&lt;&gt;Lorena Dias de Araujo",$B:$B,"&lt;&gt;Lucas Luiz Romero")*(20/1083),IF(C4252="Estágio",SUMIFS($D:$D,$A:$A,$A4252,$B:$B,"&lt;&gt;Patrícia Karla de Sousa Araújo",$B:$B,"&lt;&gt;Lorena Dias de Araujo",$B:$B,"&lt;&gt;Lucas Luiz Romero")*(10/1083),0)))))),0)</f>
        <v/>
      </c>
      <c r="K4252" s="3">
        <f>I4252-J4252</f>
        <v/>
      </c>
      <c r="L4252" s="3">
        <f>IF(K4252&lt;-5,"CRÍTICO",IF(K4252&lt;0,"ATENÇÃO",IF(K4252&lt;=5,"OPORTUNO","MUITO BOM")))</f>
        <v/>
      </c>
      <c r="M4252" s="3" t="n">
        <v>29</v>
      </c>
      <c r="N4252" s="3" t="n">
        <v>96.73999999999999</v>
      </c>
      <c r="O4252" s="12" t="n">
        <v>28.67647058823529</v>
      </c>
    </row>
    <row r="4253">
      <c r="A4253" s="10" t="n">
        <v>46136</v>
      </c>
      <c r="B4253" t="inlineStr">
        <is>
          <t>Brenda de Menezes Silva</t>
        </is>
      </c>
      <c r="C4253" s="1" t="inlineStr">
        <is>
          <t>Técnico II</t>
        </is>
      </c>
      <c r="D4253" s="3" t="n">
        <v>0</v>
      </c>
      <c r="E4253" s="3" t="n">
        <v>0</v>
      </c>
      <c r="F4253" s="3" t="n">
        <v>0</v>
      </c>
      <c r="G4253" s="3" t="n">
        <v>0</v>
      </c>
      <c r="H4253" s="3" t="n">
        <v>0</v>
      </c>
      <c r="I4253" s="3" t="n">
        <v>0</v>
      </c>
      <c r="J4253" s="3" t="n">
        <v>0</v>
      </c>
      <c r="K4253" s="3" t="n">
        <v>0</v>
      </c>
      <c r="L4253" s="3">
        <f>IF(K4253&lt;-5,"CRÍTICO",IF(K4253&lt;0,"ATENÇÃO",IF(K4253&lt;=5,"OPORTUNO","MUITO BOM")))</f>
        <v/>
      </c>
      <c r="M4253" s="3" t="n">
        <v>0</v>
      </c>
      <c r="N4253" s="3" t="n">
        <v>98.81999999999999</v>
      </c>
      <c r="O4253" s="12" t="n">
        <v>30.74141048824593</v>
      </c>
    </row>
    <row r="4254">
      <c r="A4254" s="10" t="n">
        <v>46136</v>
      </c>
      <c r="B4254" t="inlineStr">
        <is>
          <t>Carlos Mateus Cassimiro Nunes</t>
        </is>
      </c>
      <c r="C4254" s="1" t="inlineStr">
        <is>
          <t>Técnico II</t>
        </is>
      </c>
      <c r="D4254" s="3" t="n">
        <v>0</v>
      </c>
      <c r="E4254" s="3" t="n">
        <v>0</v>
      </c>
      <c r="F4254" s="3" t="n">
        <v>0</v>
      </c>
      <c r="G4254" s="3" t="n">
        <v>0</v>
      </c>
      <c r="H4254" s="3" t="n">
        <v>0</v>
      </c>
      <c r="I4254" s="3" t="n">
        <v>0</v>
      </c>
      <c r="J4254" s="3" t="n">
        <v>0</v>
      </c>
      <c r="K4254" s="3" t="n">
        <v>0</v>
      </c>
      <c r="L4254" s="3">
        <f>IF(K4254&lt;-5,"CRÍTICO",IF(K4254&lt;0,"ATENÇÃO",IF(K4254&lt;=5,"OPORTUNO","MUITO BOM")))</f>
        <v/>
      </c>
      <c r="M4254" s="3" t="n">
        <v>2</v>
      </c>
      <c r="N4254" s="3" t="n">
        <v>98.2</v>
      </c>
      <c r="O4254" s="12" t="n">
        <v>27.17086834733893</v>
      </c>
    </row>
    <row r="4255">
      <c r="A4255" s="10" t="n">
        <v>46136</v>
      </c>
      <c r="B4255" t="inlineStr">
        <is>
          <t>Claudio de Sousa Velasco Filho</t>
        </is>
      </c>
      <c r="C4255" s="1" t="inlineStr">
        <is>
          <t>Estágio</t>
        </is>
      </c>
      <c r="D4255" s="3" t="n">
        <v>10</v>
      </c>
      <c r="E4255" s="3" t="n">
        <v>10</v>
      </c>
      <c r="F4255" s="3" t="n">
        <v>15.43</v>
      </c>
      <c r="G4255" s="3" t="n">
        <v>0</v>
      </c>
      <c r="H4255" s="3" t="n">
        <v>0</v>
      </c>
      <c r="I4255" s="3">
        <f>E4255+G4255+H4255</f>
        <v/>
      </c>
      <c r="J4255" s="3">
        <f>ROUND(MIN(IF(C4255="Técnico III",35,IF(C4255="Técnico II",28,IF(C4255="Técnico I",23,IF(C4255="JR",20,IF(C4255="Estágio",10,0))))),IF(C4255="Técnico III",SUMIFS($D:$D,$A:$A,$A4255,$B:$B,"&lt;&gt;Patrícia Karla de Sousa Araújo",$B:$B,"&lt;&gt;Lorena Dias de Araujo",$B:$B,"&lt;&gt;Lucas Luiz Romero")*(35/1083),IF(C4255="Técnico II",SUMIFS($D:$D,$A:$A,$A4255,$B:$B,"&lt;&gt;Patrícia Karla de Sousa Araújo",$B:$B,"&lt;&gt;Lorena Dias de Araujo",$B:$B,"&lt;&gt;Lucas Luiz Romero")*(28/1083),IF(C4255="Técnico I",SUMIFS($D:$D,$A:$A,$A4255,$B:$B,"&lt;&gt;Patrícia Karla de Sousa Araújo",$B:$B,"&lt;&gt;Lorena Dias de Araujo",$B:$B,"&lt;&gt;Lucas Luiz Romero")*(23/1083),IF(C4255="JR",SUMIFS($D:$D,$A:$A,$A4255,$B:$B,"&lt;&gt;Patrícia Karla de Sousa Araújo",$B:$B,"&lt;&gt;Lorena Dias de Araujo",$B:$B,"&lt;&gt;Lucas Luiz Romero")*(20/1083),IF(C4255="Estágio",SUMIFS($D:$D,$A:$A,$A4255,$B:$B,"&lt;&gt;Patrícia Karla de Sousa Araújo",$B:$B,"&lt;&gt;Lorena Dias de Araujo",$B:$B,"&lt;&gt;Lucas Luiz Romero")*(10/1083),0)))))),0)</f>
        <v/>
      </c>
      <c r="K4255" s="3">
        <f>I4255-J4255</f>
        <v/>
      </c>
      <c r="L4255" s="3">
        <f>IF(K4255&lt;-5,"CRÍTICO",IF(K4255&lt;0,"ATENÇÃO",IF(K4255&lt;=5,"OPORTUNO","MUITO BOM")))</f>
        <v/>
      </c>
      <c r="M4255" s="3" t="n">
        <v>7</v>
      </c>
      <c r="N4255" s="3" t="n">
        <v>100</v>
      </c>
      <c r="O4255" s="12" t="n">
        <v>23.13432835820895</v>
      </c>
    </row>
    <row r="4256">
      <c r="A4256" s="10" t="n">
        <v>46136</v>
      </c>
      <c r="B4256" t="inlineStr">
        <is>
          <t>Clessiane Pereira dos Santos</t>
        </is>
      </c>
      <c r="C4256" s="1" t="inlineStr">
        <is>
          <t>Técnico I</t>
        </is>
      </c>
      <c r="D4256" s="3" t="n">
        <v>15</v>
      </c>
      <c r="E4256" s="3" t="n">
        <v>12</v>
      </c>
      <c r="F4256" s="3" t="n">
        <v>16.5</v>
      </c>
      <c r="G4256" s="3" t="n">
        <v>0</v>
      </c>
      <c r="H4256" s="3" t="n">
        <v>0</v>
      </c>
      <c r="I4256" s="3">
        <f>E4256+G4256+H4256</f>
        <v/>
      </c>
      <c r="J4256" s="3">
        <f>ROUND(MIN(IF(C4256="Técnico III",35,IF(C4256="Técnico II",28,IF(C4256="Técnico I",23,IF(C4256="JR",20,IF(C4256="Estágio",10,0))))),IF(C4256="Técnico III",SUMIFS($D:$D,$A:$A,$A4256,$B:$B,"&lt;&gt;Patrícia Karla de Sousa Araújo",$B:$B,"&lt;&gt;Lorena Dias de Araujo",$B:$B,"&lt;&gt;Lucas Luiz Romero")*(35/1083),IF(C4256="Técnico II",SUMIFS($D:$D,$A:$A,$A4256,$B:$B,"&lt;&gt;Patrícia Karla de Sousa Araújo",$B:$B,"&lt;&gt;Lorena Dias de Araujo",$B:$B,"&lt;&gt;Lucas Luiz Romero")*(28/1083),IF(C4256="Técnico I",SUMIFS($D:$D,$A:$A,$A4256,$B:$B,"&lt;&gt;Patrícia Karla de Sousa Araújo",$B:$B,"&lt;&gt;Lorena Dias de Araujo",$B:$B,"&lt;&gt;Lucas Luiz Romero")*(23/1083),IF(C4256="JR",SUMIFS($D:$D,$A:$A,$A4256,$B:$B,"&lt;&gt;Patrícia Karla de Sousa Araújo",$B:$B,"&lt;&gt;Lorena Dias de Araujo",$B:$B,"&lt;&gt;Lucas Luiz Romero")*(20/1083),IF(C4256="Estágio",SUMIFS($D:$D,$A:$A,$A4256,$B:$B,"&lt;&gt;Patrícia Karla de Sousa Araújo",$B:$B,"&lt;&gt;Lorena Dias de Araujo",$B:$B,"&lt;&gt;Lucas Luiz Romero")*(10/1083),0)))))),0)</f>
        <v/>
      </c>
      <c r="K4256" s="3">
        <f>I4256-J4256</f>
        <v/>
      </c>
      <c r="L4256" s="3">
        <f>IF(K4256&lt;-5,"CRÍTICO",IF(K4256&lt;0,"ATENÇÃO",IF(K4256&lt;=5,"OPORTUNO","MUITO BOM")))</f>
        <v/>
      </c>
      <c r="M4256" s="3" t="n">
        <v>14</v>
      </c>
      <c r="N4256" s="3" t="n">
        <v>96.3</v>
      </c>
      <c r="O4256" s="12" t="n">
        <v>32.21957040572792</v>
      </c>
    </row>
    <row r="4257">
      <c r="A4257" s="10" t="n">
        <v>46136</v>
      </c>
      <c r="B4257" t="inlineStr">
        <is>
          <t>Cristiane Ramos da Silva Rocha</t>
        </is>
      </c>
      <c r="C4257" s="1" t="inlineStr">
        <is>
          <t>Técnico III</t>
        </is>
      </c>
      <c r="D4257" s="3" t="n">
        <v>23</v>
      </c>
      <c r="E4257" s="3" t="n">
        <v>23</v>
      </c>
      <c r="F4257" s="3" t="n">
        <v>13.21</v>
      </c>
      <c r="G4257" s="3" t="n">
        <v>0</v>
      </c>
      <c r="H4257" s="3" t="n">
        <v>0</v>
      </c>
      <c r="I4257" s="3">
        <f>E4257+G4257+H4257</f>
        <v/>
      </c>
      <c r="J4257" s="3">
        <f>ROUND(MIN(IF(C4257="Técnico III",35,IF(C4257="Técnico II",28,IF(C4257="Técnico I",23,IF(C4257="JR",20,IF(C4257="Estágio",10,0))))),IF(C4257="Técnico III",SUMIFS($D:$D,$A:$A,$A4257,$B:$B,"&lt;&gt;Patrícia Karla de Sousa Araújo",$B:$B,"&lt;&gt;Lorena Dias de Araujo",$B:$B,"&lt;&gt;Lucas Luiz Romero")*(35/1083),IF(C4257="Técnico II",SUMIFS($D:$D,$A:$A,$A4257,$B:$B,"&lt;&gt;Patrícia Karla de Sousa Araújo",$B:$B,"&lt;&gt;Lorena Dias de Araujo",$B:$B,"&lt;&gt;Lucas Luiz Romero")*(28/1083),IF(C4257="Técnico I",SUMIFS($D:$D,$A:$A,$A4257,$B:$B,"&lt;&gt;Patrícia Karla de Sousa Araújo",$B:$B,"&lt;&gt;Lorena Dias de Araujo",$B:$B,"&lt;&gt;Lucas Luiz Romero")*(23/1083),IF(C4257="JR",SUMIFS($D:$D,$A:$A,$A4257,$B:$B,"&lt;&gt;Patrícia Karla de Sousa Araújo",$B:$B,"&lt;&gt;Lorena Dias de Araujo",$B:$B,"&lt;&gt;Lucas Luiz Romero")*(20/1083),IF(C4257="Estágio",SUMIFS($D:$D,$A:$A,$A4257,$B:$B,"&lt;&gt;Patrícia Karla de Sousa Araújo",$B:$B,"&lt;&gt;Lorena Dias de Araujo",$B:$B,"&lt;&gt;Lucas Luiz Romero")*(10/1083),0)))))),0)</f>
        <v/>
      </c>
      <c r="K4257" s="3">
        <f>I4257-J4257</f>
        <v/>
      </c>
      <c r="L4257" s="3">
        <f>IF(K4257&lt;-5,"CRÍTICO",IF(K4257&lt;0,"ATENÇÃO",IF(K4257&lt;=5,"OPORTUNO","MUITO BOM")))</f>
        <v/>
      </c>
      <c r="M4257" s="3" t="n">
        <v>23</v>
      </c>
      <c r="N4257" s="3" t="n">
        <v>93.75</v>
      </c>
      <c r="O4257" s="12" t="n">
        <v>26.81992337164751</v>
      </c>
    </row>
    <row r="4258">
      <c r="A4258" s="10" t="n">
        <v>46136</v>
      </c>
      <c r="B4258" t="inlineStr">
        <is>
          <t>Damyllis Lorraine de Oliveira Gonçalves</t>
        </is>
      </c>
      <c r="C4258" s="1" t="inlineStr">
        <is>
          <t>Técnico II</t>
        </is>
      </c>
      <c r="D4258" s="3" t="n">
        <v>0</v>
      </c>
      <c r="E4258" s="3" t="n">
        <v>0</v>
      </c>
      <c r="F4258" s="3" t="n">
        <v>0</v>
      </c>
      <c r="G4258" s="3" t="n">
        <v>0</v>
      </c>
      <c r="H4258" s="3" t="n">
        <v>0</v>
      </c>
      <c r="I4258" s="3" t="n">
        <v>0</v>
      </c>
      <c r="J4258" s="3" t="n">
        <v>0</v>
      </c>
      <c r="K4258" s="3" t="n">
        <v>0</v>
      </c>
      <c r="L4258" s="3">
        <f>IF(K4258&lt;-5,"CRÍTICO",IF(K4258&lt;0,"ATENÇÃO",IF(K4258&lt;=5,"OPORTUNO","MUITO BOM")))</f>
        <v/>
      </c>
      <c r="M4258" s="3" t="n">
        <v>0</v>
      </c>
      <c r="N4258" s="3" t="n">
        <v>97.86</v>
      </c>
      <c r="O4258" s="12" t="n">
        <v>31.01851851851852</v>
      </c>
    </row>
    <row r="4259">
      <c r="A4259" s="10" t="n">
        <v>46136</v>
      </c>
      <c r="B4259" t="inlineStr">
        <is>
          <t>Daniel Gomes da Silva</t>
        </is>
      </c>
      <c r="C4259" s="1" t="inlineStr">
        <is>
          <t>Técnico I</t>
        </is>
      </c>
      <c r="D4259" s="3" t="n">
        <v>25</v>
      </c>
      <c r="E4259" s="3" t="n">
        <v>23</v>
      </c>
      <c r="F4259" s="3" t="n">
        <v>13.59</v>
      </c>
      <c r="G4259" s="3" t="n">
        <v>0</v>
      </c>
      <c r="H4259" s="3" t="n">
        <v>0</v>
      </c>
      <c r="I4259" s="3">
        <f>E4259+G4259+H4259</f>
        <v/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/>
      </c>
      <c r="K4259" s="3">
        <f>I4259-J4259</f>
        <v/>
      </c>
      <c r="L4259" s="3">
        <f>IF(K4259&lt;-5,"CRÍTICO",IF(K4259&lt;0,"ATENÇÃO",IF(K4259&lt;=5,"OPORTUNO","MUITO BOM")))</f>
        <v/>
      </c>
      <c r="M4259" s="3" t="n">
        <v>10</v>
      </c>
      <c r="N4259" s="3" t="n">
        <v>100</v>
      </c>
      <c r="O4259" s="12" t="n">
        <v>36.59420289855073</v>
      </c>
    </row>
    <row r="4260">
      <c r="A4260" s="10" t="n">
        <v>46136</v>
      </c>
      <c r="B4260" t="inlineStr">
        <is>
          <t>Davylla Rodrigues Freitas Silva</t>
        </is>
      </c>
      <c r="C4260" s="1" t="inlineStr">
        <is>
          <t>Técnico III</t>
        </is>
      </c>
      <c r="D4260" s="3" t="n">
        <v>22</v>
      </c>
      <c r="E4260" s="3" t="n">
        <v>22</v>
      </c>
      <c r="F4260" s="3" t="n">
        <v>22.04</v>
      </c>
      <c r="G4260" s="3" t="n">
        <v>0</v>
      </c>
      <c r="H4260" s="3" t="n">
        <v>0</v>
      </c>
      <c r="I4260" s="3" t="n">
        <v>0</v>
      </c>
      <c r="J4260" s="3" t="n">
        <v>0</v>
      </c>
      <c r="K4260" s="3" t="n">
        <v>0</v>
      </c>
      <c r="L4260" s="3">
        <f>IF(K4260&lt;-5,"CRÍTICO",IF(K4260&lt;0,"ATENÇÃO",IF(K4260&lt;=5,"OPORTUNO","MUITO BOM")))</f>
        <v/>
      </c>
      <c r="M4260" s="3" t="n">
        <v>23</v>
      </c>
      <c r="N4260" s="3" t="n">
        <v>100</v>
      </c>
      <c r="O4260" s="12" t="n">
        <v>38.65384615384615</v>
      </c>
    </row>
    <row r="4261">
      <c r="A4261" s="10" t="n">
        <v>46136</v>
      </c>
      <c r="B4261" t="inlineStr">
        <is>
          <t>Emilly Caylane Costa</t>
        </is>
      </c>
      <c r="C4261" s="1" t="inlineStr">
        <is>
          <t>Estágio</t>
        </is>
      </c>
      <c r="D4261" s="3" t="n">
        <v>9</v>
      </c>
      <c r="E4261" s="3" t="n">
        <v>8</v>
      </c>
      <c r="F4261" s="3" t="n">
        <v>23.56</v>
      </c>
      <c r="G4261" s="3" t="n">
        <v>0</v>
      </c>
      <c r="H4261" s="3" t="n">
        <v>0</v>
      </c>
      <c r="I4261" s="3">
        <f>E4261+G4261+H4261</f>
        <v/>
      </c>
      <c r="J4261" s="3">
        <f>ROUND(MIN(IF(C4261="Técnico III",35,IF(C4261="Técnico II",28,IF(C4261="Técnico I",23,IF(C4261="JR",20,IF(C4261="Estágio",10,0))))),IF(C4261="Técnico III",SUMIFS($D:$D,$A:$A,$A4261,$B:$B,"&lt;&gt;Patrícia Karla de Sousa Araújo",$B:$B,"&lt;&gt;Lorena Dias de Araujo",$B:$B,"&lt;&gt;Lucas Luiz Romero")*(35/1083),IF(C4261="Técnico II",SUMIFS($D:$D,$A:$A,$A4261,$B:$B,"&lt;&gt;Patrícia Karla de Sousa Araújo",$B:$B,"&lt;&gt;Lorena Dias de Araujo",$B:$B,"&lt;&gt;Lucas Luiz Romero")*(28/1083),IF(C4261="Técnico I",SUMIFS($D:$D,$A:$A,$A4261,$B:$B,"&lt;&gt;Patrícia Karla de Sousa Araújo",$B:$B,"&lt;&gt;Lorena Dias de Araujo",$B:$B,"&lt;&gt;Lucas Luiz Romero")*(23/1083),IF(C4261="JR",SUMIFS($D:$D,$A:$A,$A4261,$B:$B,"&lt;&gt;Patrícia Karla de Sousa Araújo",$B:$B,"&lt;&gt;Lorena Dias de Araujo",$B:$B,"&lt;&gt;Lucas Luiz Romero")*(20/1083),IF(C4261="Estágio",SUMIFS($D:$D,$A:$A,$A4261,$B:$B,"&lt;&gt;Patrícia Karla de Sousa Araújo",$B:$B,"&lt;&gt;Lorena Dias de Araujo",$B:$B,"&lt;&gt;Lucas Luiz Romero")*(10/1083),0)))))),0)</f>
        <v/>
      </c>
      <c r="K4261" s="3">
        <f>I4261-J4261</f>
        <v/>
      </c>
      <c r="L4261" s="3">
        <f>IF(K4261&lt;-5,"CRÍTICO",IF(K4261&lt;0,"ATENÇÃO",IF(K4261&lt;=5,"OPORTUNO","MUITO BOM")))</f>
        <v/>
      </c>
      <c r="M4261" s="3" t="n">
        <v>5</v>
      </c>
      <c r="N4261" s="3" t="n">
        <v>100</v>
      </c>
      <c r="O4261" s="12" t="n">
        <v>27.36842105263158</v>
      </c>
    </row>
    <row r="4262">
      <c r="A4262" s="10" t="n">
        <v>46136</v>
      </c>
      <c r="B4262" t="inlineStr">
        <is>
          <t>Emilly Kamilly Medeiros Miranda</t>
        </is>
      </c>
      <c r="C4262" s="1" t="inlineStr">
        <is>
          <t>Técnico II</t>
        </is>
      </c>
      <c r="D4262" s="3" t="n">
        <v>24</v>
      </c>
      <c r="E4262" s="3" t="n">
        <v>23</v>
      </c>
      <c r="F4262" s="3" t="n">
        <v>17.21</v>
      </c>
      <c r="G4262" s="3" t="n">
        <v>0</v>
      </c>
      <c r="H4262" s="3" t="n">
        <v>0</v>
      </c>
      <c r="I4262" s="3">
        <f>E4262+G4262+H4262</f>
        <v/>
      </c>
      <c r="J4262" s="3">
        <f>ROUND(MIN(IF(C4262="Técnico III",35,IF(C4262="Técnico II",28,IF(C4262="Técnico I",23,IF(C4262="JR",20,IF(C4262="Estágio",10,0))))),IF(C4262="Técnico III",SUMIFS($D:$D,$A:$A,$A4262,$B:$B,"&lt;&gt;Patrícia Karla de Sousa Araújo",$B:$B,"&lt;&gt;Lorena Dias de Araujo",$B:$B,"&lt;&gt;Lucas Luiz Romero")*(35/1083),IF(C4262="Técnico II",SUMIFS($D:$D,$A:$A,$A4262,$B:$B,"&lt;&gt;Patrícia Karla de Sousa Araújo",$B:$B,"&lt;&gt;Lorena Dias de Araujo",$B:$B,"&lt;&gt;Lucas Luiz Romero")*(28/1083),IF(C4262="Técnico I",SUMIFS($D:$D,$A:$A,$A4262,$B:$B,"&lt;&gt;Patrícia Karla de Sousa Araújo",$B:$B,"&lt;&gt;Lorena Dias de Araujo",$B:$B,"&lt;&gt;Lucas Luiz Romero")*(23/1083),IF(C4262="JR",SUMIFS($D:$D,$A:$A,$A4262,$B:$B,"&lt;&gt;Patrícia Karla de Sousa Araújo",$B:$B,"&lt;&gt;Lorena Dias de Araujo",$B:$B,"&lt;&gt;Lucas Luiz Romero")*(20/1083),IF(C4262="Estágio",SUMIFS($D:$D,$A:$A,$A4262,$B:$B,"&lt;&gt;Patrícia Karla de Sousa Araújo",$B:$B,"&lt;&gt;Lorena Dias de Araujo",$B:$B,"&lt;&gt;Lucas Luiz Romero")*(10/1083),0)))))),0)</f>
        <v/>
      </c>
      <c r="K4262" s="3">
        <f>I4262-J4262</f>
        <v/>
      </c>
      <c r="L4262" s="3">
        <f>IF(K4262&lt;-5,"CRÍTICO",IF(K4262&lt;0,"ATENÇÃO",IF(K4262&lt;=5,"OPORTUNO","MUITO BOM")))</f>
        <v/>
      </c>
      <c r="M4262" s="3" t="n">
        <v>19</v>
      </c>
      <c r="N4262" s="3" t="n">
        <v>97.83</v>
      </c>
      <c r="O4262" s="12" t="n">
        <v>28.35164835164835</v>
      </c>
    </row>
    <row r="4263">
      <c r="A4263" s="10" t="n">
        <v>46136</v>
      </c>
      <c r="B4263" t="inlineStr">
        <is>
          <t>Francielson de Oliveira</t>
        </is>
      </c>
      <c r="C4263" s="1" t="inlineStr">
        <is>
          <t>Técnico III</t>
        </is>
      </c>
      <c r="D4263" s="3" t="n">
        <v>24</v>
      </c>
      <c r="E4263" s="3" t="n">
        <v>23</v>
      </c>
      <c r="F4263" s="3" t="n">
        <v>15.15</v>
      </c>
      <c r="G4263" s="3" t="n">
        <v>0</v>
      </c>
      <c r="H4263" s="3" t="n">
        <v>0</v>
      </c>
      <c r="I4263" s="3">
        <f>E4263+G4263+H4263</f>
        <v/>
      </c>
      <c r="J4263" s="3">
        <f>ROUND(MIN(IF(C4263="Técnico III",35,IF(C4263="Técnico II",28,IF(C4263="Técnico I",23,IF(C4263="JR",20,IF(C4263="Estágio",10,0))))),IF(C4263="Técnico III",SUMIFS($D:$D,$A:$A,$A4263,$B:$B,"&lt;&gt;Patrícia Karla de Sousa Araújo",$B:$B,"&lt;&gt;Lorena Dias de Araujo",$B:$B,"&lt;&gt;Lucas Luiz Romero")*(35/1083),IF(C4263="Técnico II",SUMIFS($D:$D,$A:$A,$A4263,$B:$B,"&lt;&gt;Patrícia Karla de Sousa Araújo",$B:$B,"&lt;&gt;Lorena Dias de Araujo",$B:$B,"&lt;&gt;Lucas Luiz Romero")*(28/1083),IF(C4263="Técnico I",SUMIFS($D:$D,$A:$A,$A4263,$B:$B,"&lt;&gt;Patrícia Karla de Sousa Araújo",$B:$B,"&lt;&gt;Lorena Dias de Araujo",$B:$B,"&lt;&gt;Lucas Luiz Romero")*(23/1083),IF(C4263="JR",SUMIFS($D:$D,$A:$A,$A4263,$B:$B,"&lt;&gt;Patrícia Karla de Sousa Araújo",$B:$B,"&lt;&gt;Lorena Dias de Araujo",$B:$B,"&lt;&gt;Lucas Luiz Romero")*(20/1083),IF(C4263="Estágio",SUMIFS($D:$D,$A:$A,$A4263,$B:$B,"&lt;&gt;Patrícia Karla de Sousa Araújo",$B:$B,"&lt;&gt;Lorena Dias de Araujo",$B:$B,"&lt;&gt;Lucas Luiz Romero")*(10/1083),0)))))),0)</f>
        <v/>
      </c>
      <c r="K4263" s="3">
        <f>I4263-J4263</f>
        <v/>
      </c>
      <c r="L4263" s="3">
        <f>IF(K4263&lt;-5,"CRÍTICO",IF(K4263&lt;0,"ATENÇÃO",IF(K4263&lt;=5,"OPORTUNO","MUITO BOM")))</f>
        <v/>
      </c>
      <c r="M4263" s="3" t="n">
        <v>22</v>
      </c>
      <c r="N4263" s="3" t="n">
        <v>99.26000000000001</v>
      </c>
      <c r="O4263" s="12" t="n">
        <v>29.76653696498055</v>
      </c>
    </row>
    <row r="4264">
      <c r="A4264" s="10" t="n">
        <v>46136</v>
      </c>
      <c r="B4264" t="inlineStr">
        <is>
          <t>Francilene Ferreira de Jesus</t>
        </is>
      </c>
      <c r="C4264" s="1" t="inlineStr">
        <is>
          <t>Técnico II</t>
        </is>
      </c>
      <c r="D4264" s="3" t="n">
        <v>26</v>
      </c>
      <c r="E4264" s="3" t="n">
        <v>25</v>
      </c>
      <c r="F4264" s="3" t="n">
        <v>18.38</v>
      </c>
      <c r="G4264" s="3" t="n">
        <v>0</v>
      </c>
      <c r="H4264" s="3" t="n">
        <v>0</v>
      </c>
      <c r="I4264" s="3">
        <f>E4264+G4264+H4264</f>
        <v/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/>
      </c>
      <c r="K4264" s="3">
        <f>I4264-J4264</f>
        <v/>
      </c>
      <c r="L4264" s="3">
        <f>IF(K4264&lt;-5,"CRÍTICO",IF(K4264&lt;0,"ATENÇÃO",IF(K4264&lt;=5,"OPORTUNO","MUITO BOM")))</f>
        <v/>
      </c>
      <c r="M4264" s="3" t="n">
        <v>24</v>
      </c>
      <c r="N4264" s="3" t="n">
        <v>99.19</v>
      </c>
      <c r="O4264" s="12" t="n">
        <v>29.46236559139785</v>
      </c>
    </row>
    <row r="4265">
      <c r="A4265" s="7" t="n">
        <v>46162</v>
      </c>
      <c r="B4265" s="8" t="inlineStr">
        <is>
          <t>Sarah Steffanie de Lima Borges</t>
        </is>
      </c>
      <c r="C4265" s="1" t="inlineStr">
        <is>
          <t>Técnico III</t>
        </is>
      </c>
      <c r="D4265" s="3" t="n">
        <v>25</v>
      </c>
      <c r="E4265" s="3" t="n">
        <v>23</v>
      </c>
      <c r="F4265" s="3" t="n">
        <v>12.07</v>
      </c>
      <c r="G4265" s="3" t="n">
        <v>1</v>
      </c>
      <c r="H4265" s="3" t="n">
        <v>0</v>
      </c>
      <c r="I4265" s="3" t="n">
        <v>24</v>
      </c>
      <c r="J4265" s="3" t="n">
        <v>26</v>
      </c>
      <c r="K4265" s="3" t="n">
        <v>-2</v>
      </c>
      <c r="L4265" s="3" t="inlineStr">
        <is>
          <t>ATENÇÃO</t>
        </is>
      </c>
      <c r="M4265" s="3" t="n">
        <v>21</v>
      </c>
      <c r="N4265" s="3" t="n">
        <v>97</v>
      </c>
      <c r="O4265" s="12" t="n">
        <v>20.32520325203252</v>
      </c>
    </row>
    <row r="4266">
      <c r="A4266" s="10" t="n">
        <v>46136</v>
      </c>
      <c r="B4266" t="inlineStr">
        <is>
          <t>Isabella Borges de Oliveira</t>
        </is>
      </c>
      <c r="C4266" s="1" t="inlineStr">
        <is>
          <t>Técnico II</t>
        </is>
      </c>
      <c r="D4266" s="3" t="n">
        <v>22</v>
      </c>
      <c r="E4266" s="3" t="n">
        <v>19</v>
      </c>
      <c r="F4266" s="3" t="n">
        <v>21.45</v>
      </c>
      <c r="G4266" s="3" t="n">
        <v>0</v>
      </c>
      <c r="H4266" s="3" t="n">
        <v>0</v>
      </c>
      <c r="I4266" s="3">
        <f>E4266+G4266+H4266</f>
        <v/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/>
      </c>
      <c r="K4266" s="3">
        <f>I4266-J4266</f>
        <v/>
      </c>
      <c r="L4266" s="3">
        <f>IF(K4266&lt;-5,"CRÍTICO",IF(K4266&lt;0,"ATENÇÃO",IF(K4266&lt;=5,"OPORTUNO","MUITO BOM")))</f>
        <v/>
      </c>
      <c r="M4266" s="3" t="n">
        <v>19</v>
      </c>
      <c r="N4266" s="3" t="n">
        <v>100</v>
      </c>
      <c r="O4266" s="12" t="n">
        <v>28.92156862745098</v>
      </c>
    </row>
    <row r="4267">
      <c r="A4267" s="10" t="n">
        <v>46136</v>
      </c>
      <c r="B4267" t="inlineStr">
        <is>
          <t>Janaina Lima dos Reis Urany</t>
        </is>
      </c>
      <c r="C4267" s="1" t="inlineStr">
        <is>
          <t>Técnico III</t>
        </is>
      </c>
      <c r="D4267" s="3" t="n">
        <v>39</v>
      </c>
      <c r="E4267" s="3" t="n">
        <v>35</v>
      </c>
      <c r="F4267" s="3" t="n">
        <v>11.57</v>
      </c>
      <c r="G4267" s="3" t="n">
        <v>0</v>
      </c>
      <c r="H4267" s="3" t="n">
        <v>0</v>
      </c>
      <c r="I4267" s="3">
        <f>E4267+G4267+H4267</f>
        <v/>
      </c>
      <c r="J4267" s="3">
        <f>ROUND(MIN(IF(C4267="Técnico III",35,IF(C4267="Técnico II",28,IF(C4267="Técnico I",23,IF(C4267="JR",20,IF(C4267="Estágio",10,0))))),IF(C4267="Técnico III",SUMIFS($D:$D,$A:$A,$A4267,$B:$B,"&lt;&gt;Patrícia Karla de Sousa Araújo",$B:$B,"&lt;&gt;Lorena Dias de Araujo",$B:$B,"&lt;&gt;Lucas Luiz Romero")*(35/1083),IF(C4267="Técnico II",SUMIFS($D:$D,$A:$A,$A4267,$B:$B,"&lt;&gt;Patrícia Karla de Sousa Araújo",$B:$B,"&lt;&gt;Lorena Dias de Araujo",$B:$B,"&lt;&gt;Lucas Luiz Romero")*(28/1083),IF(C4267="Técnico I",SUMIFS($D:$D,$A:$A,$A4267,$B:$B,"&lt;&gt;Patrícia Karla de Sousa Araújo",$B:$B,"&lt;&gt;Lorena Dias de Araujo",$B:$B,"&lt;&gt;Lucas Luiz Romero")*(23/1083),IF(C4267="JR",SUMIFS($D:$D,$A:$A,$A4267,$B:$B,"&lt;&gt;Patrícia Karla de Sousa Araújo",$B:$B,"&lt;&gt;Lorena Dias de Araujo",$B:$B,"&lt;&gt;Lucas Luiz Romero")*(20/1083),IF(C4267="Estágio",SUMIFS($D:$D,$A:$A,$A4267,$B:$B,"&lt;&gt;Patrícia Karla de Sousa Araújo",$B:$B,"&lt;&gt;Lorena Dias de Araujo",$B:$B,"&lt;&gt;Lucas Luiz Romero")*(10/1083),0)))))),0)</f>
        <v/>
      </c>
      <c r="K4267" s="3">
        <f>I4267-J4267</f>
        <v/>
      </c>
      <c r="L4267" s="3">
        <f>IF(K4267&lt;-5,"CRÍTICO",IF(K4267&lt;0,"ATENÇÃO",IF(K4267&lt;=5,"OPORTUNO","MUITO BOM")))</f>
        <v/>
      </c>
      <c r="M4267" s="3" t="n">
        <v>28</v>
      </c>
      <c r="N4267" s="3" t="n">
        <v>99.56999999999999</v>
      </c>
      <c r="O4267" s="12" t="n">
        <v>30.63583815028902</v>
      </c>
    </row>
    <row r="4268">
      <c r="A4268" s="10" t="n">
        <v>46136</v>
      </c>
      <c r="B4268" t="inlineStr">
        <is>
          <t>Jaqueline Evangelista da Silva Martins</t>
        </is>
      </c>
      <c r="C4268" s="1" t="inlineStr">
        <is>
          <t>Técnico III</t>
        </is>
      </c>
      <c r="D4268" s="3" t="n">
        <v>0</v>
      </c>
      <c r="E4268" s="3" t="n">
        <v>0</v>
      </c>
      <c r="F4268" s="3" t="n">
        <v>0</v>
      </c>
      <c r="G4268" s="3" t="n">
        <v>0</v>
      </c>
      <c r="H4268" s="3" t="n">
        <v>0</v>
      </c>
      <c r="I4268" s="3" t="n">
        <v>0</v>
      </c>
      <c r="J4268" s="3" t="n">
        <v>0</v>
      </c>
      <c r="K4268" s="3" t="n">
        <v>0</v>
      </c>
      <c r="L4268" s="3">
        <f>IF(K4268&lt;-5,"CRÍTICO",IF(K4268&lt;0,"ATENÇÃO",IF(K4268&lt;=5,"OPORTUNO","MUITO BOM")))</f>
        <v/>
      </c>
      <c r="M4268" s="3" t="n">
        <v>0</v>
      </c>
      <c r="N4268" s="3" t="n">
        <v>95.65000000000001</v>
      </c>
      <c r="O4268" s="12" t="n">
        <v>32.43243243243244</v>
      </c>
    </row>
    <row r="4269">
      <c r="A4269" s="10" t="n">
        <v>46136</v>
      </c>
      <c r="B4269" t="inlineStr">
        <is>
          <t>Jessica Faria da Silveira</t>
        </is>
      </c>
      <c r="C4269" s="1" t="inlineStr">
        <is>
          <t>Técnico II</t>
        </is>
      </c>
      <c r="D4269" s="3" t="n">
        <v>24</v>
      </c>
      <c r="E4269" s="3" t="n">
        <v>17</v>
      </c>
      <c r="F4269" s="3" t="n">
        <v>17.29</v>
      </c>
      <c r="G4269" s="3" t="n">
        <v>0</v>
      </c>
      <c r="H4269" s="3" t="n">
        <v>0</v>
      </c>
      <c r="I4269" s="3">
        <f>E4269+G4269+H4269</f>
        <v/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/>
      </c>
      <c r="K4269" s="3">
        <f>I4269-J4269</f>
        <v/>
      </c>
      <c r="L4269" s="3">
        <f>IF(K4269&lt;-5,"CRÍTICO",IF(K4269&lt;0,"ATENÇÃO",IF(K4269&lt;=5,"OPORTUNO","MUITO BOM")))</f>
        <v/>
      </c>
      <c r="M4269" s="3" t="n">
        <v>14</v>
      </c>
      <c r="N4269" s="3" t="n">
        <v>98.81</v>
      </c>
      <c r="O4269" s="12" t="n">
        <v>26.25698324022346</v>
      </c>
    </row>
    <row r="4270">
      <c r="A4270" s="10" t="n">
        <v>46136</v>
      </c>
      <c r="B4270" t="inlineStr">
        <is>
          <t>Jéssica Fé Moura</t>
        </is>
      </c>
      <c r="C4270" s="1" t="inlineStr">
        <is>
          <t>Técnico III</t>
        </is>
      </c>
      <c r="D4270" s="3" t="n">
        <v>0</v>
      </c>
      <c r="E4270" s="3" t="n">
        <v>0</v>
      </c>
      <c r="F4270" s="3" t="n">
        <v>0</v>
      </c>
      <c r="G4270" s="3" t="n">
        <v>0</v>
      </c>
      <c r="H4270" s="3" t="n">
        <v>0</v>
      </c>
      <c r="I4270" s="3" t="n">
        <v>0</v>
      </c>
      <c r="J4270" s="3" t="n">
        <v>0</v>
      </c>
      <c r="K4270" s="3" t="n">
        <v>0</v>
      </c>
      <c r="L4270" s="3">
        <f>IF(K4270&lt;-5,"CRÍTICO",IF(K4270&lt;0,"ATENÇÃO",IF(K4270&lt;=5,"OPORTUNO","MUITO BOM")))</f>
        <v/>
      </c>
      <c r="M4270" s="3" t="n">
        <v>0</v>
      </c>
      <c r="N4270" s="3" t="n">
        <v>0</v>
      </c>
      <c r="O4270" s="12" t="n">
        <v>0</v>
      </c>
    </row>
    <row r="4271">
      <c r="A4271" s="10" t="n">
        <v>46136</v>
      </c>
      <c r="B4271" t="inlineStr">
        <is>
          <t>Karina Gonçalves Martins</t>
        </is>
      </c>
      <c r="C4271" s="1" t="inlineStr">
        <is>
          <t>JR</t>
        </is>
      </c>
      <c r="D4271" s="3" t="n">
        <v>15</v>
      </c>
      <c r="E4271" s="3" t="n">
        <v>15</v>
      </c>
      <c r="F4271" s="3" t="n">
        <v>17.25</v>
      </c>
      <c r="G4271" s="3" t="n">
        <v>0</v>
      </c>
      <c r="H4271" s="3" t="n">
        <v>0</v>
      </c>
      <c r="I4271" s="3">
        <f>E4271+G4271+H4271</f>
        <v/>
      </c>
      <c r="J4271" s="3">
        <f>ROUND(MIN(IF(C4271="Técnico III",35,IF(C4271="Técnico II",28,IF(C4271="Técnico I",23,IF(C4271="JR",20,IF(C4271="Estágio",10,0))))),IF(C4271="Técnico III",SUMIFS($D:$D,$A:$A,$A4271,$B:$B,"&lt;&gt;Patrícia Karla de Sousa Araújo",$B:$B,"&lt;&gt;Lorena Dias de Araujo",$B:$B,"&lt;&gt;Lucas Luiz Romero")*(35/1083),IF(C4271="Técnico II",SUMIFS($D:$D,$A:$A,$A4271,$B:$B,"&lt;&gt;Patrícia Karla de Sousa Araújo",$B:$B,"&lt;&gt;Lorena Dias de Araujo",$B:$B,"&lt;&gt;Lucas Luiz Romero")*(28/1083),IF(C4271="Técnico I",SUMIFS($D:$D,$A:$A,$A4271,$B:$B,"&lt;&gt;Patrícia Karla de Sousa Araújo",$B:$B,"&lt;&gt;Lorena Dias de Araujo",$B:$B,"&lt;&gt;Lucas Luiz Romero")*(23/1083),IF(C4271="JR",SUMIFS($D:$D,$A:$A,$A4271,$B:$B,"&lt;&gt;Patrícia Karla de Sousa Araújo",$B:$B,"&lt;&gt;Lorena Dias de Araujo",$B:$B,"&lt;&gt;Lucas Luiz Romero")*(20/1083),IF(C4271="Estágio",SUMIFS($D:$D,$A:$A,$A4271,$B:$B,"&lt;&gt;Patrícia Karla de Sousa Araújo",$B:$B,"&lt;&gt;Lorena Dias de Araujo",$B:$B,"&lt;&gt;Lucas Luiz Romero")*(10/1083),0)))))),0)</f>
        <v/>
      </c>
      <c r="K4271" s="3">
        <f>I4271-J4271</f>
        <v/>
      </c>
      <c r="L4271" s="3">
        <f>IF(K4271&lt;-5,"CRÍTICO",IF(K4271&lt;0,"ATENÇÃO",IF(K4271&lt;=5,"OPORTUNO","MUITO BOM")))</f>
        <v/>
      </c>
      <c r="M4271" s="3" t="n">
        <v>14</v>
      </c>
      <c r="N4271" s="3" t="n">
        <v>97.17</v>
      </c>
      <c r="O4271" s="12" t="n">
        <v>28.81844380403458</v>
      </c>
    </row>
    <row r="4272">
      <c r="A4272" s="10" t="n">
        <v>46136</v>
      </c>
      <c r="B4272" t="inlineStr">
        <is>
          <t>Kerollen Cristielly de Jesus Siqueira</t>
        </is>
      </c>
      <c r="C4272" s="1" t="inlineStr">
        <is>
          <t>Técnico III</t>
        </is>
      </c>
      <c r="D4272" s="3" t="n">
        <v>0</v>
      </c>
      <c r="E4272" s="3" t="n">
        <v>0</v>
      </c>
      <c r="F4272" s="3" t="n">
        <v>0</v>
      </c>
      <c r="G4272" s="3" t="n">
        <v>0</v>
      </c>
      <c r="H4272" s="3" t="n">
        <v>0</v>
      </c>
      <c r="I4272" s="3" t="n">
        <v>0</v>
      </c>
      <c r="J4272" s="3" t="n">
        <v>0</v>
      </c>
      <c r="K4272" s="3" t="n">
        <v>0</v>
      </c>
      <c r="L4272" s="3">
        <f>IF(K4272&lt;-5,"CRÍTICO",IF(K4272&lt;0,"ATENÇÃO",IF(K4272&lt;=5,"OPORTUNO","MUITO BOM")))</f>
        <v/>
      </c>
      <c r="M4272" s="3" t="n">
        <v>28</v>
      </c>
      <c r="N4272" s="3" t="n">
        <v>96.81</v>
      </c>
      <c r="O4272" s="12" t="n">
        <v>48.01864801864802</v>
      </c>
    </row>
    <row r="4273">
      <c r="A4273" s="10" t="n">
        <v>46136</v>
      </c>
      <c r="B4273" t="inlineStr">
        <is>
          <t>Leandro de Souza Silva</t>
        </is>
      </c>
      <c r="C4273" s="1" t="inlineStr">
        <is>
          <t>JR</t>
        </is>
      </c>
      <c r="D4273" s="3" t="n">
        <v>11</v>
      </c>
      <c r="E4273" s="3" t="n">
        <v>11</v>
      </c>
      <c r="F4273" s="3" t="n">
        <v>42.04</v>
      </c>
      <c r="G4273" s="3" t="n">
        <v>0</v>
      </c>
      <c r="H4273" s="3" t="n">
        <v>0</v>
      </c>
      <c r="I4273" s="3">
        <f>E4273+G4273+H4273</f>
        <v/>
      </c>
      <c r="J4273" s="3">
        <f>ROUND(MIN(IF(C4273="Técnico III",35,IF(C4273="Técnico II",28,IF(C4273="Técnico I",23,IF(C4273="JR",20,IF(C4273="Estágio",10,0))))),IF(C4273="Técnico III",SUMIFS($D:$D,$A:$A,$A4273,$B:$B,"&lt;&gt;Patrícia Karla de Sousa Araújo",$B:$B,"&lt;&gt;Lorena Dias de Araujo",$B:$B,"&lt;&gt;Lucas Luiz Romero")*(35/1083),IF(C4273="Técnico II",SUMIFS($D:$D,$A:$A,$A4273,$B:$B,"&lt;&gt;Patrícia Karla de Sousa Araújo",$B:$B,"&lt;&gt;Lorena Dias de Araujo",$B:$B,"&lt;&gt;Lucas Luiz Romero")*(28/1083),IF(C4273="Técnico I",SUMIFS($D:$D,$A:$A,$A4273,$B:$B,"&lt;&gt;Patrícia Karla de Sousa Araújo",$B:$B,"&lt;&gt;Lorena Dias de Araujo",$B:$B,"&lt;&gt;Lucas Luiz Romero")*(23/1083),IF(C4273="JR",SUMIFS($D:$D,$A:$A,$A4273,$B:$B,"&lt;&gt;Patrícia Karla de Sousa Araújo",$B:$B,"&lt;&gt;Lorena Dias de Araujo",$B:$B,"&lt;&gt;Lucas Luiz Romero")*(20/1083),IF(C4273="Estágio",SUMIFS($D:$D,$A:$A,$A4273,$B:$B,"&lt;&gt;Patrícia Karla de Sousa Araújo",$B:$B,"&lt;&gt;Lorena Dias de Araujo",$B:$B,"&lt;&gt;Lucas Luiz Romero")*(10/1083),0)))))),0)</f>
        <v/>
      </c>
      <c r="K4273" s="3">
        <f>I4273-J4273</f>
        <v/>
      </c>
      <c r="L4273" s="3">
        <f>IF(K4273&lt;-5,"CRÍTICO",IF(K4273&lt;0,"ATENÇÃO",IF(K4273&lt;=5,"OPORTUNO","MUITO BOM")))</f>
        <v/>
      </c>
      <c r="M4273" s="3" t="n">
        <v>11</v>
      </c>
      <c r="N4273" s="3" t="n">
        <v>98.15000000000001</v>
      </c>
      <c r="O4273" s="12" t="n">
        <v>27.1551724137931</v>
      </c>
    </row>
    <row r="4274">
      <c r="A4274" s="10" t="n">
        <v>46136</v>
      </c>
      <c r="B4274" t="inlineStr">
        <is>
          <t>Leandro Oliveira de Sousa</t>
        </is>
      </c>
      <c r="C4274" s="1" t="inlineStr">
        <is>
          <t>Técnico III</t>
        </is>
      </c>
      <c r="D4274" s="3" t="n">
        <v>21</v>
      </c>
      <c r="E4274" s="3" t="n">
        <v>19</v>
      </c>
      <c r="F4274" s="3" t="n">
        <v>25.15</v>
      </c>
      <c r="G4274" s="3" t="n">
        <v>0</v>
      </c>
      <c r="H4274" s="3" t="n">
        <v>0</v>
      </c>
      <c r="I4274" s="3">
        <f>E4274+G4274+H4274</f>
        <v/>
      </c>
      <c r="J4274" s="3">
        <f>ROUND(MIN(IF(C4274="Técnico III",35,IF(C4274="Técnico II",28,IF(C4274="Técnico I",23,IF(C4274="JR",20,IF(C4274="Estágio",10,0))))),IF(C4274="Técnico III",SUMIFS($D:$D,$A:$A,$A4274,$B:$B,"&lt;&gt;Patrícia Karla de Sousa Araújo",$B:$B,"&lt;&gt;Lorena Dias de Araujo",$B:$B,"&lt;&gt;Lucas Luiz Romero")*(35/1083),IF(C4274="Técnico II",SUMIFS($D:$D,$A:$A,$A4274,$B:$B,"&lt;&gt;Patrícia Karla de Sousa Araújo",$B:$B,"&lt;&gt;Lorena Dias de Araujo",$B:$B,"&lt;&gt;Lucas Luiz Romero")*(28/1083),IF(C4274="Técnico I",SUMIFS($D:$D,$A:$A,$A4274,$B:$B,"&lt;&gt;Patrícia Karla de Sousa Araújo",$B:$B,"&lt;&gt;Lorena Dias de Araujo",$B:$B,"&lt;&gt;Lucas Luiz Romero")*(23/1083),IF(C4274="JR",SUMIFS($D:$D,$A:$A,$A4274,$B:$B,"&lt;&gt;Patrícia Karla de Sousa Araújo",$B:$B,"&lt;&gt;Lorena Dias de Araujo",$B:$B,"&lt;&gt;Lucas Luiz Romero")*(20/1083),IF(C4274="Estágio",SUMIFS($D:$D,$A:$A,$A4274,$B:$B,"&lt;&gt;Patrícia Karla de Sousa Araújo",$B:$B,"&lt;&gt;Lorena Dias de Araujo",$B:$B,"&lt;&gt;Lucas Luiz Romero")*(10/1083),0)))))),0)</f>
        <v/>
      </c>
      <c r="K4274" s="3">
        <f>I4274-J4274</f>
        <v/>
      </c>
      <c r="L4274" s="3">
        <f>IF(K4274&lt;-5,"CRÍTICO",IF(K4274&lt;0,"ATENÇÃO",IF(K4274&lt;=5,"OPORTUNO","MUITO BOM")))</f>
        <v/>
      </c>
      <c r="M4274" s="3" t="n">
        <v>19</v>
      </c>
      <c r="N4274" s="3" t="n">
        <v>99.15000000000001</v>
      </c>
      <c r="O4274" s="12" t="n">
        <v>27.58620689655172</v>
      </c>
    </row>
    <row r="4275">
      <c r="A4275" s="10" t="n">
        <v>46136</v>
      </c>
      <c r="B4275" t="inlineStr">
        <is>
          <t>Lizandra Gomes Duarte</t>
        </is>
      </c>
      <c r="C4275" s="1" t="inlineStr">
        <is>
          <t>Técnico II</t>
        </is>
      </c>
      <c r="D4275" s="3" t="n">
        <v>22</v>
      </c>
      <c r="E4275" s="3" t="n">
        <v>19</v>
      </c>
      <c r="F4275" s="3" t="n">
        <v>15.3</v>
      </c>
      <c r="G4275" s="3" t="n">
        <v>0</v>
      </c>
      <c r="H4275" s="3" t="n">
        <v>0</v>
      </c>
      <c r="I4275" s="3">
        <f>E4275+G4275+H4275</f>
        <v/>
      </c>
      <c r="J4275" s="3">
        <f>ROUND(MIN(IF(C4275="Técnico III",35,IF(C4275="Técnico II",28,IF(C4275="Técnico I",23,IF(C4275="JR",20,IF(C4275="Estágio",10,0))))),IF(C4275="Técnico III",SUMIFS($D:$D,$A:$A,$A4275,$B:$B,"&lt;&gt;Patrícia Karla de Sousa Araújo",$B:$B,"&lt;&gt;Lorena Dias de Araujo",$B:$B,"&lt;&gt;Lucas Luiz Romero")*(35/1083),IF(C4275="Técnico II",SUMIFS($D:$D,$A:$A,$A4275,$B:$B,"&lt;&gt;Patrícia Karla de Sousa Araújo",$B:$B,"&lt;&gt;Lorena Dias de Araujo",$B:$B,"&lt;&gt;Lucas Luiz Romero")*(28/1083),IF(C4275="Técnico I",SUMIFS($D:$D,$A:$A,$A4275,$B:$B,"&lt;&gt;Patrícia Karla de Sousa Araújo",$B:$B,"&lt;&gt;Lorena Dias de Araujo",$B:$B,"&lt;&gt;Lucas Luiz Romero")*(23/1083),IF(C4275="JR",SUMIFS($D:$D,$A:$A,$A4275,$B:$B,"&lt;&gt;Patrícia Karla de Sousa Araújo",$B:$B,"&lt;&gt;Lorena Dias de Araujo",$B:$B,"&lt;&gt;Lucas Luiz Romero")*(20/1083),IF(C4275="Estágio",SUMIFS($D:$D,$A:$A,$A4275,$B:$B,"&lt;&gt;Patrícia Karla de Sousa Araújo",$B:$B,"&lt;&gt;Lorena Dias de Araujo",$B:$B,"&lt;&gt;Lucas Luiz Romero")*(10/1083),0)))))),0)</f>
        <v/>
      </c>
      <c r="K4275" s="3">
        <f>I4275-J4275</f>
        <v/>
      </c>
      <c r="L4275" s="3">
        <f>IF(K4275&lt;-5,"CRÍTICO",IF(K4275&lt;0,"ATENÇÃO",IF(K4275&lt;=5,"OPORTUNO","MUITO BOM")))</f>
        <v/>
      </c>
      <c r="M4275" s="3" t="n">
        <v>9</v>
      </c>
      <c r="N4275" s="3" t="n">
        <v>99.17</v>
      </c>
      <c r="O4275" s="12" t="n">
        <v>29.75206611570248</v>
      </c>
    </row>
    <row r="4276">
      <c r="A4276" s="10" t="n">
        <v>46136</v>
      </c>
      <c r="B4276" t="inlineStr">
        <is>
          <t>Lorena Dias de Araujo</t>
        </is>
      </c>
      <c r="C4276" s="1" t="inlineStr">
        <is>
          <t>Técnico II</t>
        </is>
      </c>
      <c r="D4276" s="3" t="n">
        <v>0</v>
      </c>
      <c r="E4276" s="3" t="n">
        <v>0</v>
      </c>
      <c r="F4276" s="3" t="n">
        <v>0</v>
      </c>
      <c r="G4276" s="3" t="n">
        <v>0</v>
      </c>
      <c r="H4276" s="3" t="n">
        <v>0</v>
      </c>
      <c r="I4276" s="3" t="n">
        <v>0</v>
      </c>
      <c r="J4276" s="3" t="n">
        <v>0</v>
      </c>
      <c r="K4276" s="3" t="n">
        <v>0</v>
      </c>
      <c r="L4276" s="3">
        <f>IF(K4276&lt;-5,"CRÍTICO",IF(K4276&lt;0,"ATENÇÃO",IF(K4276&lt;=5,"OPORTUNO","MUITO BOM")))</f>
        <v/>
      </c>
      <c r="M4276" s="3" t="n">
        <v>0</v>
      </c>
      <c r="N4276" s="3" t="n">
        <v>98.73</v>
      </c>
      <c r="O4276" s="12" t="n">
        <v>28.96174863387978</v>
      </c>
    </row>
    <row r="4277">
      <c r="A4277" s="10" t="n">
        <v>46136</v>
      </c>
      <c r="B4277" t="inlineStr">
        <is>
          <t>Lucas Luiz Romero</t>
        </is>
      </c>
      <c r="C4277" s="1" t="inlineStr">
        <is>
          <t>Técnico III</t>
        </is>
      </c>
      <c r="D4277" s="3" t="n">
        <v>0</v>
      </c>
      <c r="E4277" s="3" t="n">
        <v>0</v>
      </c>
      <c r="F4277" s="3" t="n">
        <v>0</v>
      </c>
      <c r="G4277" s="3" t="n">
        <v>0</v>
      </c>
      <c r="H4277" s="3" t="n">
        <v>0</v>
      </c>
      <c r="I4277" s="3" t="n">
        <v>0</v>
      </c>
      <c r="J4277" s="3" t="n">
        <v>0</v>
      </c>
      <c r="K4277" s="3" t="n">
        <v>0</v>
      </c>
      <c r="L4277" s="3">
        <f>IF(K4277&lt;-5,"CRÍTICO",IF(K4277&lt;0,"ATENÇÃO",IF(K4277&lt;=5,"OPORTUNO","MUITO BOM")))</f>
        <v/>
      </c>
      <c r="M4277" s="3" t="n">
        <v>0</v>
      </c>
      <c r="N4277" s="3" t="n">
        <v>88.68000000000001</v>
      </c>
      <c r="O4277" s="12" t="n">
        <v>22.03389830508474</v>
      </c>
    </row>
    <row r="4278">
      <c r="A4278" s="10" t="n">
        <v>46136</v>
      </c>
      <c r="B4278" t="inlineStr">
        <is>
          <t>Luiz Fernando de Carvalho Junior</t>
        </is>
      </c>
      <c r="C4278" s="1" t="inlineStr">
        <is>
          <t>Técnico I</t>
        </is>
      </c>
      <c r="D4278" s="3" t="n">
        <v>12</v>
      </c>
      <c r="E4278" s="3" t="n">
        <v>12</v>
      </c>
      <c r="F4278" s="3" t="n">
        <v>27.07</v>
      </c>
      <c r="G4278" s="3" t="n">
        <v>0</v>
      </c>
      <c r="H4278" s="3" t="n">
        <v>0</v>
      </c>
      <c r="I4278" s="3">
        <f>E4278+G4278+H4278</f>
        <v/>
      </c>
      <c r="J4278" s="3">
        <f>ROUND(MIN(IF(C4278="Técnico III",35,IF(C4278="Técnico II",28,IF(C4278="Técnico I",23,IF(C4278="JR",20,IF(C4278="Estágio",10,0))))),IF(C4278="Técnico III",SUMIFS($D:$D,$A:$A,$A4278,$B:$B,"&lt;&gt;Patrícia Karla de Sousa Araújo",$B:$B,"&lt;&gt;Lorena Dias de Araujo",$B:$B,"&lt;&gt;Lucas Luiz Romero")*(35/1083),IF(C4278="Técnico II",SUMIFS($D:$D,$A:$A,$A4278,$B:$B,"&lt;&gt;Patrícia Karla de Sousa Araújo",$B:$B,"&lt;&gt;Lorena Dias de Araujo",$B:$B,"&lt;&gt;Lucas Luiz Romero")*(28/1083),IF(C4278="Técnico I",SUMIFS($D:$D,$A:$A,$A4278,$B:$B,"&lt;&gt;Patrícia Karla de Sousa Araújo",$B:$B,"&lt;&gt;Lorena Dias de Araujo",$B:$B,"&lt;&gt;Lucas Luiz Romero")*(23/1083),IF(C4278="JR",SUMIFS($D:$D,$A:$A,$A4278,$B:$B,"&lt;&gt;Patrícia Karla de Sousa Araújo",$B:$B,"&lt;&gt;Lorena Dias de Araujo",$B:$B,"&lt;&gt;Lucas Luiz Romero")*(20/1083),IF(C4278="Estágio",SUMIFS($D:$D,$A:$A,$A4278,$B:$B,"&lt;&gt;Patrícia Karla de Sousa Araújo",$B:$B,"&lt;&gt;Lorena Dias de Araujo",$B:$B,"&lt;&gt;Lucas Luiz Romero")*(10/1083),0)))))),0)</f>
        <v/>
      </c>
      <c r="K4278" s="3">
        <f>I4278-J4278</f>
        <v/>
      </c>
      <c r="L4278" s="3">
        <f>IF(K4278&lt;-5,"CRÍTICO",IF(K4278&lt;0,"ATENÇÃO",IF(K4278&lt;=5,"OPORTUNO","MUITO BOM")))</f>
        <v/>
      </c>
      <c r="M4278" s="3" t="n">
        <v>14</v>
      </c>
      <c r="N4278" s="3" t="n">
        <v>97.37</v>
      </c>
      <c r="O4278" s="12" t="n">
        <v>25.76530612244898</v>
      </c>
    </row>
    <row r="4279">
      <c r="A4279" s="10" t="n">
        <v>46136</v>
      </c>
      <c r="B4279" t="inlineStr">
        <is>
          <t>Maria Eduarda Sousa Costa</t>
        </is>
      </c>
      <c r="C4279" s="1" t="inlineStr">
        <is>
          <t>Estágio</t>
        </is>
      </c>
      <c r="D4279" s="3" t="n">
        <v>25</v>
      </c>
      <c r="E4279" s="3" t="n">
        <v>16</v>
      </c>
      <c r="F4279" s="3" t="n">
        <v>10.19</v>
      </c>
      <c r="G4279" s="3" t="n">
        <v>0</v>
      </c>
      <c r="H4279" s="3" t="n">
        <v>0</v>
      </c>
      <c r="I4279" s="3">
        <f>E4279+G4279+H4279</f>
        <v/>
      </c>
      <c r="J4279" s="3">
        <f>ROUND(MIN(IF(C4279="Técnico III",35,IF(C4279="Técnico II",28,IF(C4279="Técnico I",23,IF(C4279="JR",20,IF(C4279="Estágio",10,0))))),IF(C4279="Técnico III",SUMIFS($D:$D,$A:$A,$A4279,$B:$B,"&lt;&gt;Patrícia Karla de Sousa Araújo",$B:$B,"&lt;&gt;Lorena Dias de Araujo",$B:$B,"&lt;&gt;Lucas Luiz Romero")*(35/1083),IF(C4279="Técnico II",SUMIFS($D:$D,$A:$A,$A4279,$B:$B,"&lt;&gt;Patrícia Karla de Sousa Araújo",$B:$B,"&lt;&gt;Lorena Dias de Araujo",$B:$B,"&lt;&gt;Lucas Luiz Romero")*(28/1083),IF(C4279="Técnico I",SUMIFS($D:$D,$A:$A,$A4279,$B:$B,"&lt;&gt;Patrícia Karla de Sousa Araújo",$B:$B,"&lt;&gt;Lorena Dias de Araujo",$B:$B,"&lt;&gt;Lucas Luiz Romero")*(23/1083),IF(C4279="JR",SUMIFS($D:$D,$A:$A,$A4279,$B:$B,"&lt;&gt;Patrícia Karla de Sousa Araújo",$B:$B,"&lt;&gt;Lorena Dias de Araujo",$B:$B,"&lt;&gt;Lucas Luiz Romero")*(20/1083),IF(C4279="Estágio",SUMIFS($D:$D,$A:$A,$A4279,$B:$B,"&lt;&gt;Patrícia Karla de Sousa Araújo",$B:$B,"&lt;&gt;Lorena Dias de Araujo",$B:$B,"&lt;&gt;Lucas Luiz Romero")*(10/1083),0)))))),0)</f>
        <v/>
      </c>
      <c r="K4279" s="3">
        <f>I4279-J4279</f>
        <v/>
      </c>
      <c r="L4279" s="3">
        <f>IF(K4279&lt;-5,"CRÍTICO",IF(K4279&lt;0,"ATENÇÃO",IF(K4279&lt;=5,"OPORTUNO","MUITO BOM")))</f>
        <v/>
      </c>
      <c r="M4279" s="3" t="n">
        <v>5</v>
      </c>
      <c r="N4279" s="3" t="n">
        <v>100</v>
      </c>
      <c r="O4279" s="12" t="n">
        <v>25</v>
      </c>
    </row>
    <row r="4280">
      <c r="A4280" s="7" t="n">
        <v>46162</v>
      </c>
      <c r="B4280" s="8" t="inlineStr">
        <is>
          <t>Alisson de Freitas Silva</t>
        </is>
      </c>
      <c r="C4280" s="1" t="inlineStr">
        <is>
          <t>Técnico II</t>
        </is>
      </c>
      <c r="D4280" s="3" t="n">
        <v>36</v>
      </c>
      <c r="E4280" s="3" t="n">
        <v>25</v>
      </c>
      <c r="F4280" s="3" t="n">
        <v>11.43</v>
      </c>
      <c r="G4280" s="3" t="n">
        <v>6</v>
      </c>
      <c r="H4280" s="3" t="n">
        <v>0</v>
      </c>
      <c r="I4280" s="3" t="n">
        <v>31</v>
      </c>
      <c r="J4280" s="3" t="n">
        <v>21</v>
      </c>
      <c r="K4280" s="3" t="n">
        <v>10</v>
      </c>
      <c r="L4280" s="3" t="inlineStr">
        <is>
          <t>EXCELENTE</t>
        </is>
      </c>
      <c r="M4280" s="3" t="n">
        <v>20</v>
      </c>
      <c r="N4280" s="3" t="n">
        <v>99.18000000000001</v>
      </c>
      <c r="O4280" s="12" t="n">
        <v>24.5014245014245</v>
      </c>
    </row>
    <row r="4281">
      <c r="A4281" s="10" t="n">
        <v>46136</v>
      </c>
      <c r="B4281" t="inlineStr">
        <is>
          <t>Maysa Victoria Dias Moura</t>
        </is>
      </c>
      <c r="C4281" s="1" t="inlineStr">
        <is>
          <t>Técnico III</t>
        </is>
      </c>
      <c r="D4281" s="3" t="n">
        <v>30</v>
      </c>
      <c r="E4281" s="3" t="n">
        <v>28</v>
      </c>
      <c r="F4281" s="3" t="n">
        <v>10.33</v>
      </c>
      <c r="G4281" s="3" t="n">
        <v>0</v>
      </c>
      <c r="H4281" s="3" t="n">
        <v>0</v>
      </c>
      <c r="I4281" s="3">
        <f>E4281+G4281+H4281</f>
        <v/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/>
      </c>
      <c r="K4281" s="3">
        <f>I4281-J4281</f>
        <v/>
      </c>
      <c r="L4281" s="3">
        <f>IF(K4281&lt;-5,"CRÍTICO",IF(K4281&lt;0,"ATENÇÃO",IF(K4281&lt;=5,"OPORTUNO","MUITO BOM")))</f>
        <v/>
      </c>
      <c r="M4281" s="3" t="n">
        <v>20</v>
      </c>
      <c r="N4281" s="3" t="n">
        <v>95.48999999999999</v>
      </c>
      <c r="O4281" s="12" t="n">
        <v>28.37022132796781</v>
      </c>
    </row>
    <row r="4282">
      <c r="A4282" s="7" t="n">
        <v>46162</v>
      </c>
      <c r="B4282" s="8" t="inlineStr">
        <is>
          <t>Brenda de Menezes Silva</t>
        </is>
      </c>
      <c r="C4282" s="1" t="inlineStr">
        <is>
          <t>Técnico II</t>
        </is>
      </c>
      <c r="D4282" s="3" t="n">
        <v>25</v>
      </c>
      <c r="E4282" s="3" t="n">
        <v>23</v>
      </c>
      <c r="F4282" s="3" t="n">
        <v>15.11</v>
      </c>
      <c r="G4282" s="3" t="n">
        <v>2</v>
      </c>
      <c r="H4282" s="3" t="n">
        <v>0</v>
      </c>
      <c r="I4282" s="3" t="n">
        <v>25</v>
      </c>
      <c r="J4282" s="3" t="n">
        <v>21</v>
      </c>
      <c r="K4282" s="3" t="n">
        <v>4</v>
      </c>
      <c r="L4282" s="3" t="inlineStr">
        <is>
          <t>BOM</t>
        </is>
      </c>
      <c r="M4282" s="3" t="n">
        <v>29</v>
      </c>
      <c r="N4282" s="3" t="n">
        <v>99.34999999999999</v>
      </c>
      <c r="O4282" s="12" t="n">
        <v>19.85294117647059</v>
      </c>
    </row>
    <row r="4283">
      <c r="A4283" s="10" t="n">
        <v>46136</v>
      </c>
      <c r="B4283" t="inlineStr">
        <is>
          <t>Milena Sales</t>
        </is>
      </c>
      <c r="C4283" s="1" t="inlineStr">
        <is>
          <t>JR</t>
        </is>
      </c>
      <c r="D4283" s="3" t="n">
        <v>20</v>
      </c>
      <c r="E4283" s="3" t="n">
        <v>13</v>
      </c>
      <c r="F4283" s="3" t="n">
        <v>12.31</v>
      </c>
      <c r="G4283" s="3" t="n">
        <v>0</v>
      </c>
      <c r="H4283" s="3" t="n">
        <v>0</v>
      </c>
      <c r="I4283" s="3">
        <f>E4283+G4283+H4283</f>
        <v/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/>
      </c>
      <c r="K4283" s="3">
        <f>I4283-J4283</f>
        <v/>
      </c>
      <c r="L4283" s="3">
        <f>IF(K4283&lt;-5,"CRÍTICO",IF(K4283&lt;0,"ATENÇÃO",IF(K4283&lt;=5,"OPORTUNO","MUITO BOM")))</f>
        <v/>
      </c>
      <c r="M4283" s="3" t="n">
        <v>12</v>
      </c>
      <c r="N4283" s="3" t="n">
        <v>96.15000000000001</v>
      </c>
      <c r="O4283" s="12" t="n">
        <v>24.04580152671756</v>
      </c>
    </row>
    <row r="4284">
      <c r="A4284" s="10" t="n">
        <v>46136</v>
      </c>
      <c r="B4284" t="inlineStr">
        <is>
          <t>Patrícia Karla de Sousa Araújo</t>
        </is>
      </c>
      <c r="C4284" s="1" t="inlineStr">
        <is>
          <t>Técnico II</t>
        </is>
      </c>
      <c r="D4284" s="3" t="n">
        <v>21</v>
      </c>
      <c r="E4284" s="3" t="n">
        <v>20</v>
      </c>
      <c r="F4284" s="3" t="n">
        <v>17.18</v>
      </c>
      <c r="G4284" s="3" t="n">
        <v>0</v>
      </c>
      <c r="H4284" s="3" t="n">
        <v>0</v>
      </c>
      <c r="I4284" s="3">
        <f>E4284+G4284+H4284</f>
        <v/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/>
      </c>
      <c r="K4284" s="3">
        <f>I4284-J4284</f>
        <v/>
      </c>
      <c r="L4284" s="3">
        <f>IF(K4284&lt;-5,"CRÍTICO",IF(K4284&lt;0,"ATENÇÃO",IF(K4284&lt;=5,"OPORTUNO","MUITO BOM")))</f>
        <v/>
      </c>
      <c r="M4284" s="3" t="n">
        <v>17</v>
      </c>
      <c r="N4284" s="3" t="n">
        <v>99.02</v>
      </c>
      <c r="O4284" s="12" t="n">
        <v>34.7972972972973</v>
      </c>
    </row>
    <row r="4285">
      <c r="A4285" s="10" t="n">
        <v>46136</v>
      </c>
      <c r="B4285" t="inlineStr">
        <is>
          <t>Paulo Ricardo Santos</t>
        </is>
      </c>
      <c r="C4285" s="1" t="inlineStr">
        <is>
          <t>JR</t>
        </is>
      </c>
      <c r="D4285" s="3" t="n">
        <v>18</v>
      </c>
      <c r="E4285" s="3" t="n">
        <v>17</v>
      </c>
      <c r="F4285" s="3" t="n">
        <v>17.13</v>
      </c>
      <c r="G4285" s="3" t="n">
        <v>0</v>
      </c>
      <c r="H4285" s="3" t="n">
        <v>0</v>
      </c>
      <c r="I4285" s="3">
        <f>E4285+G4285+H4285</f>
        <v/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/>
      </c>
      <c r="K4285" s="3">
        <f>I4285-J4285</f>
        <v/>
      </c>
      <c r="L4285" s="3">
        <f>IF(K4285&lt;-5,"CRÍTICO",IF(K4285&lt;0,"ATENÇÃO",IF(K4285&lt;=5,"OPORTUNO","MUITO BOM")))</f>
        <v/>
      </c>
      <c r="M4285" s="3" t="n">
        <v>14</v>
      </c>
      <c r="N4285" s="3" t="n">
        <v>98.84</v>
      </c>
      <c r="O4285" s="12" t="n">
        <v>31.86813186813187</v>
      </c>
    </row>
    <row r="4286">
      <c r="A4286" s="10" t="n">
        <v>46136</v>
      </c>
      <c r="B4286" t="inlineStr">
        <is>
          <t>Pedro Luiz Mota Sousa</t>
        </is>
      </c>
      <c r="C4286" s="1" t="inlineStr">
        <is>
          <t>JR</t>
        </is>
      </c>
      <c r="D4286" s="3" t="n">
        <v>24</v>
      </c>
      <c r="E4286" s="3" t="n">
        <v>23</v>
      </c>
      <c r="F4286" s="3" t="n">
        <v>15.09</v>
      </c>
      <c r="G4286" s="3" t="n">
        <v>0</v>
      </c>
      <c r="H4286" s="3" t="n">
        <v>0</v>
      </c>
      <c r="I4286" s="3">
        <f>E4286+G4286+H4286</f>
        <v/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/>
      </c>
      <c r="K4286" s="3">
        <f>I4286-J4286</f>
        <v/>
      </c>
      <c r="L4286" s="3">
        <f>IF(K4286&lt;-5,"CRÍTICO",IF(K4286&lt;0,"ATENÇÃO",IF(K4286&lt;=5,"OPORTUNO","MUITO BOM")))</f>
        <v/>
      </c>
      <c r="M4286" s="3" t="n">
        <v>18</v>
      </c>
      <c r="N4286" s="3" t="n">
        <v>100</v>
      </c>
      <c r="O4286" s="12" t="n">
        <v>34.66666666666667</v>
      </c>
    </row>
    <row r="4287">
      <c r="A4287" s="7" t="n">
        <v>46162</v>
      </c>
      <c r="B4287" s="8" t="inlineStr">
        <is>
          <t>Carlos Mateus Cassimiro Nunes</t>
        </is>
      </c>
      <c r="C4287" s="1" t="inlineStr">
        <is>
          <t>Técnico II</t>
        </is>
      </c>
      <c r="D4287" s="3" t="n">
        <v>27</v>
      </c>
      <c r="E4287" s="3" t="n">
        <v>26</v>
      </c>
      <c r="F4287" s="3" t="n">
        <v>18.58</v>
      </c>
      <c r="G4287" s="3" t="n">
        <v>1</v>
      </c>
      <c r="H4287" s="3" t="n">
        <v>0</v>
      </c>
      <c r="I4287" s="3" t="n">
        <v>27</v>
      </c>
      <c r="J4287" s="3" t="n">
        <v>21</v>
      </c>
      <c r="K4287" s="3" t="n">
        <v>6</v>
      </c>
      <c r="L4287" s="3" t="inlineStr">
        <is>
          <t>EXCELENTE</t>
        </is>
      </c>
      <c r="M4287" s="3" t="n">
        <v>25</v>
      </c>
      <c r="N4287" s="3" t="n">
        <v>99.06999999999999</v>
      </c>
      <c r="O4287" s="12" t="n">
        <v>20.09803921568627</v>
      </c>
    </row>
    <row r="4288">
      <c r="A4288" s="10" t="n">
        <v>46136</v>
      </c>
      <c r="B4288" t="inlineStr">
        <is>
          <t>Raane Batista Matos</t>
        </is>
      </c>
      <c r="C4288" s="1" t="inlineStr">
        <is>
          <t>Técnico I</t>
        </is>
      </c>
      <c r="D4288" s="3" t="n">
        <v>17</v>
      </c>
      <c r="E4288" s="3" t="n">
        <v>17</v>
      </c>
      <c r="F4288" s="3" t="n">
        <v>13.4</v>
      </c>
      <c r="G4288" s="3" t="n">
        <v>0</v>
      </c>
      <c r="H4288" s="3" t="n">
        <v>0</v>
      </c>
      <c r="I4288" s="3">
        <f>E4288+G4288+H4288</f>
        <v/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/>
      </c>
      <c r="K4288" s="3">
        <f>I4288-J4288</f>
        <v/>
      </c>
      <c r="L4288" s="3">
        <f>IF(K4288&lt;-5,"CRÍTICO",IF(K4288&lt;0,"ATENÇÃO",IF(K4288&lt;=5,"OPORTUNO","MUITO BOM")))</f>
        <v/>
      </c>
      <c r="M4288" s="3" t="n">
        <v>12</v>
      </c>
      <c r="N4288" s="3" t="n">
        <v>98.31999999999999</v>
      </c>
      <c r="O4288" s="12" t="n">
        <v>26.85851318944844</v>
      </c>
    </row>
    <row r="4289">
      <c r="A4289" s="10" t="n">
        <v>46136</v>
      </c>
      <c r="B4289" t="inlineStr">
        <is>
          <t>Rafael Gomes de Morais</t>
        </is>
      </c>
      <c r="C4289" s="1" t="inlineStr">
        <is>
          <t>Técnico III</t>
        </is>
      </c>
      <c r="D4289" s="3" t="n">
        <v>28</v>
      </c>
      <c r="E4289" s="3" t="n">
        <v>25</v>
      </c>
      <c r="F4289" s="3" t="n">
        <v>12.25</v>
      </c>
      <c r="G4289" s="3" t="n">
        <v>0</v>
      </c>
      <c r="H4289" s="3" t="n">
        <v>0</v>
      </c>
      <c r="I4289" s="3">
        <f>E4289+G4289+H4289</f>
        <v/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/>
      </c>
      <c r="K4289" s="3">
        <f>I4289-J4289</f>
        <v/>
      </c>
      <c r="L4289" s="3">
        <f>IF(K4289&lt;-5,"CRÍTICO",IF(K4289&lt;0,"ATENÇÃO",IF(K4289&lt;=5,"OPORTUNO","MUITO BOM")))</f>
        <v/>
      </c>
      <c r="M4289" s="3" t="n">
        <v>18</v>
      </c>
      <c r="N4289" s="3" t="n">
        <v>100</v>
      </c>
      <c r="O4289" s="12" t="n">
        <v>31.13553113553114</v>
      </c>
    </row>
    <row r="4290">
      <c r="A4290" s="10" t="n">
        <v>46136</v>
      </c>
      <c r="B4290" t="inlineStr">
        <is>
          <t>Sara Maria Monteiro Lopes</t>
        </is>
      </c>
      <c r="C4290" s="1" t="inlineStr">
        <is>
          <t>Técnico I</t>
        </is>
      </c>
      <c r="D4290" s="3" t="n">
        <v>16</v>
      </c>
      <c r="E4290" s="3" t="n">
        <v>16</v>
      </c>
      <c r="F4290" s="3" t="n">
        <v>22.29</v>
      </c>
      <c r="G4290" s="3" t="n">
        <v>0</v>
      </c>
      <c r="H4290" s="3" t="n">
        <v>0</v>
      </c>
      <c r="I4290" s="3">
        <f>E4290+G4290+H4290</f>
        <v/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/>
      </c>
      <c r="K4290" s="3">
        <f>I4290-J4290</f>
        <v/>
      </c>
      <c r="L4290" s="3">
        <f>IF(K4290&lt;-5,"CRÍTICO",IF(K4290&lt;0,"ATENÇÃO",IF(K4290&lt;=5,"OPORTUNO","MUITO BOM")))</f>
        <v/>
      </c>
      <c r="M4290" s="3" t="n">
        <v>13</v>
      </c>
      <c r="N4290" s="3" t="n">
        <v>100</v>
      </c>
      <c r="O4290" s="12" t="n">
        <v>26.36986301369863</v>
      </c>
    </row>
    <row r="4291">
      <c r="A4291" s="10" t="n">
        <v>46136</v>
      </c>
      <c r="B4291" t="inlineStr">
        <is>
          <t>Sarah Steffanie de Lima Borges</t>
        </is>
      </c>
      <c r="C4291" s="1" t="inlineStr">
        <is>
          <t>Técnico III</t>
        </is>
      </c>
      <c r="D4291" s="3" t="n">
        <v>20</v>
      </c>
      <c r="E4291" s="3" t="n">
        <v>18</v>
      </c>
      <c r="F4291" s="3" t="n">
        <v>18.34</v>
      </c>
      <c r="G4291" s="3" t="n">
        <v>0</v>
      </c>
      <c r="H4291" s="3" t="n">
        <v>0</v>
      </c>
      <c r="I4291" s="3">
        <f>E4291+G4291+H4291</f>
        <v/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/>
      </c>
      <c r="K4291" s="3">
        <f>I4291-J4291</f>
        <v/>
      </c>
      <c r="L4291" s="3">
        <f>IF(K4291&lt;-5,"CRÍTICO",IF(K4291&lt;0,"ATENÇÃO",IF(K4291&lt;=5,"OPORTUNO","MUITO BOM")))</f>
        <v/>
      </c>
      <c r="M4291" s="3" t="n">
        <v>11</v>
      </c>
      <c r="N4291" s="3" t="n">
        <v>99.20999999999999</v>
      </c>
      <c r="O4291" s="12" t="n">
        <v>25.18891687657431</v>
      </c>
    </row>
    <row r="4292">
      <c r="A4292" s="10" t="n">
        <v>46139</v>
      </c>
      <c r="B4292" t="inlineStr">
        <is>
          <t>Alisson de Freitas Silva</t>
        </is>
      </c>
      <c r="C4292" s="1" t="inlineStr">
        <is>
          <t>Técnico II</t>
        </is>
      </c>
      <c r="D4292" s="3" t="n">
        <v>13</v>
      </c>
      <c r="E4292" s="3" t="n">
        <v>11</v>
      </c>
      <c r="F4292" s="3" t="n">
        <v>18.33</v>
      </c>
      <c r="G4292" s="3" t="n">
        <v>0</v>
      </c>
      <c r="H4292" s="3" t="n">
        <v>0</v>
      </c>
      <c r="I4292" s="3">
        <f>E4292+G4292+H4292</f>
        <v/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/>
      </c>
      <c r="K4292" s="3">
        <f>I4292-J4292</f>
        <v/>
      </c>
      <c r="L4292" s="3">
        <f>IF(K4292&lt;-5,"CRÍTICO",IF(K4292&lt;0,"ATENÇÃO",IF(K4292&lt;=5,"OPORTUNO","MUITO BOM")))</f>
        <v/>
      </c>
      <c r="M4292" s="3" t="n">
        <v>9</v>
      </c>
      <c r="N4292" s="3" t="n">
        <v>100</v>
      </c>
      <c r="O4292" s="12" t="n">
        <v>32.76450511945392</v>
      </c>
    </row>
    <row r="4293">
      <c r="A4293" s="10" t="n">
        <v>46139</v>
      </c>
      <c r="B4293" t="inlineStr">
        <is>
          <t>Amanda Moura Ferreira</t>
        </is>
      </c>
      <c r="C4293" s="1" t="inlineStr">
        <is>
          <t>Técnico III</t>
        </is>
      </c>
      <c r="D4293" s="3" t="n">
        <v>0</v>
      </c>
      <c r="E4293" s="3" t="n">
        <v>0</v>
      </c>
      <c r="F4293" s="3" t="n">
        <v>0</v>
      </c>
      <c r="G4293" s="3" t="n">
        <v>0</v>
      </c>
      <c r="H4293" s="3" t="n">
        <v>0</v>
      </c>
      <c r="I4293" s="3" t="n">
        <v>0</v>
      </c>
      <c r="J4293" s="3" t="n">
        <v>0</v>
      </c>
      <c r="K4293" s="3" t="n">
        <v>0</v>
      </c>
      <c r="L4293" s="3">
        <f>IF(K4293&lt;-5,"CRÍTICO",IF(K4293&lt;0,"ATENÇÃO",IF(K4293&lt;=5,"OPORTUNO","MUITO BOM")))</f>
        <v/>
      </c>
      <c r="M4293" s="3" t="n">
        <v>15</v>
      </c>
      <c r="N4293" s="3" t="n">
        <v>98.66</v>
      </c>
      <c r="O4293" s="12" t="n">
        <v>35.41666666666667</v>
      </c>
    </row>
    <row r="4294">
      <c r="A4294" s="10" t="n">
        <v>46139</v>
      </c>
      <c r="B4294" t="inlineStr">
        <is>
          <t>Ana Karollyne Souza Faria</t>
        </is>
      </c>
      <c r="C4294" s="1" t="inlineStr">
        <is>
          <t>Técnico I</t>
        </is>
      </c>
      <c r="D4294" s="3" t="n">
        <v>11</v>
      </c>
      <c r="E4294" s="3" t="n">
        <v>9</v>
      </c>
      <c r="F4294" s="3" t="n">
        <v>17.3</v>
      </c>
      <c r="G4294" s="3" t="n">
        <v>0</v>
      </c>
      <c r="H4294" s="3" t="n">
        <v>0</v>
      </c>
      <c r="I4294" s="3">
        <f>E4294+G4294+H4294</f>
        <v/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/>
      </c>
      <c r="K4294" s="3">
        <f>I4294-J4294</f>
        <v/>
      </c>
      <c r="L4294" s="3">
        <f>IF(K4294&lt;-5,"CRÍTICO",IF(K4294&lt;0,"ATENÇÃO",IF(K4294&lt;=5,"OPORTUNO","MUITO BOM")))</f>
        <v/>
      </c>
      <c r="M4294" s="3" t="n">
        <v>12</v>
      </c>
      <c r="N4294" s="3" t="n">
        <v>99.31999999999999</v>
      </c>
      <c r="O4294" s="12" t="n">
        <v>30.6483300589391</v>
      </c>
    </row>
    <row r="4295">
      <c r="A4295" s="10" t="n">
        <v>46139</v>
      </c>
      <c r="B4295" t="inlineStr">
        <is>
          <t>Ana Paula Da Luz Silva Aleixo</t>
        </is>
      </c>
      <c r="C4295" s="1" t="inlineStr">
        <is>
          <t>Técnico III</t>
        </is>
      </c>
      <c r="D4295" s="3" t="n">
        <v>12</v>
      </c>
      <c r="E4295" s="3" t="n">
        <v>10</v>
      </c>
      <c r="F4295" s="3" t="n">
        <v>13.31</v>
      </c>
      <c r="G4295" s="3" t="n">
        <v>0</v>
      </c>
      <c r="H4295" s="3" t="n">
        <v>0</v>
      </c>
      <c r="I4295" s="3">
        <f>E4295+G4295+H4295</f>
        <v/>
      </c>
      <c r="J4295" s="3">
        <f>ROUND(MIN(IF(C4295="Técnico III",35,IF(C4295="Técnico II",28,IF(C4295="Técnico I",23,IF(C4295="JR",20,IF(C4295="Estágio",10,0))))),IF(C4295="Técnico III",SUMIFS($D:$D,$A:$A,$A4295,$B:$B,"&lt;&gt;Patrícia Karla de Sousa Araújo",$B:$B,"&lt;&gt;Lorena Dias de Araujo",$B:$B,"&lt;&gt;Lucas Luiz Romero")*(35/1083),IF(C4295="Técnico II",SUMIFS($D:$D,$A:$A,$A4295,$B:$B,"&lt;&gt;Patrícia Karla de Sousa Araújo",$B:$B,"&lt;&gt;Lorena Dias de Araujo",$B:$B,"&lt;&gt;Lucas Luiz Romero")*(28/1083),IF(C4295="Técnico I",SUMIFS($D:$D,$A:$A,$A4295,$B:$B,"&lt;&gt;Patrícia Karla de Sousa Araújo",$B:$B,"&lt;&gt;Lorena Dias de Araujo",$B:$B,"&lt;&gt;Lucas Luiz Romero")*(23/1083),IF(C4295="JR",SUMIFS($D:$D,$A:$A,$A4295,$B:$B,"&lt;&gt;Patrícia Karla de Sousa Araújo",$B:$B,"&lt;&gt;Lorena Dias de Araujo",$B:$B,"&lt;&gt;Lucas Luiz Romero")*(20/1083),IF(C4295="Estágio",SUMIFS($D:$D,$A:$A,$A4295,$B:$B,"&lt;&gt;Patrícia Karla de Sousa Araújo",$B:$B,"&lt;&gt;Lorena Dias de Araujo",$B:$B,"&lt;&gt;Lucas Luiz Romero")*(10/1083),0)))))),0)</f>
        <v/>
      </c>
      <c r="K4295" s="3">
        <f>I4295-J4295</f>
        <v/>
      </c>
      <c r="L4295" s="3">
        <f>IF(K4295&lt;-5,"CRÍTICO",IF(K4295&lt;0,"ATENÇÃO",IF(K4295&lt;=5,"OPORTUNO","MUITO BOM")))</f>
        <v/>
      </c>
      <c r="M4295" s="3" t="n">
        <v>10</v>
      </c>
      <c r="N4295" s="3" t="n">
        <v>100</v>
      </c>
      <c r="O4295" s="12" t="n">
        <v>27.80373831775701</v>
      </c>
    </row>
    <row r="4296">
      <c r="A4296" s="10" t="n">
        <v>46139</v>
      </c>
      <c r="B4296" t="inlineStr">
        <is>
          <t>Anna Luiza Rezende Tavares</t>
        </is>
      </c>
      <c r="C4296" s="1" t="inlineStr">
        <is>
          <t>Estágio</t>
        </is>
      </c>
      <c r="D4296" s="3" t="n">
        <v>14</v>
      </c>
      <c r="E4296" s="3" t="n">
        <v>14</v>
      </c>
      <c r="F4296" s="3" t="n">
        <v>14.02</v>
      </c>
      <c r="G4296" s="3" t="n">
        <v>0</v>
      </c>
      <c r="H4296" s="3" t="n">
        <v>0</v>
      </c>
      <c r="I4296" s="3">
        <f>E4296+G4296+H4296</f>
        <v/>
      </c>
      <c r="J4296" s="3">
        <f>ROUND(MIN(IF(C4296="Técnico III",35,IF(C4296="Técnico II",28,IF(C4296="Técnico I",23,IF(C4296="JR",20,IF(C4296="Estágio",10,0))))),IF(C4296="Técnico III",SUMIFS($D:$D,$A:$A,$A4296,$B:$B,"&lt;&gt;Patrícia Karla de Sousa Araújo",$B:$B,"&lt;&gt;Lorena Dias de Araujo",$B:$B,"&lt;&gt;Lucas Luiz Romero")*(35/1083),IF(C4296="Técnico II",SUMIFS($D:$D,$A:$A,$A4296,$B:$B,"&lt;&gt;Patrícia Karla de Sousa Araújo",$B:$B,"&lt;&gt;Lorena Dias de Araujo",$B:$B,"&lt;&gt;Lucas Luiz Romero")*(28/1083),IF(C4296="Técnico I",SUMIFS($D:$D,$A:$A,$A4296,$B:$B,"&lt;&gt;Patrícia Karla de Sousa Araújo",$B:$B,"&lt;&gt;Lorena Dias de Araujo",$B:$B,"&lt;&gt;Lucas Luiz Romero")*(23/1083),IF(C4296="JR",SUMIFS($D:$D,$A:$A,$A4296,$B:$B,"&lt;&gt;Patrícia Karla de Sousa Araújo",$B:$B,"&lt;&gt;Lorena Dias de Araujo",$B:$B,"&lt;&gt;Lucas Luiz Romero")*(20/1083),IF(C4296="Estágio",SUMIFS($D:$D,$A:$A,$A4296,$B:$B,"&lt;&gt;Patrícia Karla de Sousa Araújo",$B:$B,"&lt;&gt;Lorena Dias de Araujo",$B:$B,"&lt;&gt;Lucas Luiz Romero")*(10/1083),0)))))),0)</f>
        <v/>
      </c>
      <c r="K4296" s="3">
        <f>I4296-J4296</f>
        <v/>
      </c>
      <c r="L4296" s="3">
        <f>IF(K4296&lt;-5,"CRÍTICO",IF(K4296&lt;0,"ATENÇÃO",IF(K4296&lt;=5,"OPORTUNO","MUITO BOM")))</f>
        <v/>
      </c>
      <c r="M4296" s="3" t="n">
        <v>14</v>
      </c>
      <c r="N4296" s="3" t="n">
        <v>96.73999999999999</v>
      </c>
      <c r="O4296" s="12" t="n">
        <v>28.67647058823529</v>
      </c>
    </row>
    <row r="4297">
      <c r="A4297" s="10" t="n">
        <v>46139</v>
      </c>
      <c r="B4297" t="inlineStr">
        <is>
          <t>Brenda de Menezes Silva</t>
        </is>
      </c>
      <c r="C4297" s="1" t="inlineStr">
        <is>
          <t>Técnico II</t>
        </is>
      </c>
      <c r="D4297" s="3" t="n">
        <v>14</v>
      </c>
      <c r="E4297" s="3" t="n">
        <v>13</v>
      </c>
      <c r="F4297" s="3" t="n">
        <v>15.11</v>
      </c>
      <c r="G4297" s="3" t="n">
        <v>0</v>
      </c>
      <c r="H4297" s="3" t="n">
        <v>0</v>
      </c>
      <c r="I4297" s="3">
        <f>E4297+G4297+H4297</f>
        <v/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/>
      </c>
      <c r="K4297" s="3">
        <f>I4297-J4297</f>
        <v/>
      </c>
      <c r="L4297" s="3">
        <f>IF(K4297&lt;-5,"CRÍTICO",IF(K4297&lt;0,"ATENÇÃO",IF(K4297&lt;=5,"OPORTUNO","MUITO BOM")))</f>
        <v/>
      </c>
      <c r="M4297" s="3" t="n">
        <v>11</v>
      </c>
      <c r="N4297" s="3" t="n">
        <v>98.81999999999999</v>
      </c>
      <c r="O4297" s="12" t="n">
        <v>30.74141048824593</v>
      </c>
    </row>
    <row r="4298">
      <c r="A4298" s="10" t="n">
        <v>46139</v>
      </c>
      <c r="B4298" t="inlineStr">
        <is>
          <t>Carlos Mateus Cassimiro Nunes</t>
        </is>
      </c>
      <c r="C4298" s="1" t="inlineStr">
        <is>
          <t>Técnico II</t>
        </is>
      </c>
      <c r="D4298" s="3" t="n">
        <v>12</v>
      </c>
      <c r="E4298" s="3" t="n">
        <v>12</v>
      </c>
      <c r="F4298" s="3" t="n">
        <v>24.05</v>
      </c>
      <c r="G4298" s="3" t="n">
        <v>0</v>
      </c>
      <c r="H4298" s="3" t="n">
        <v>0</v>
      </c>
      <c r="I4298" s="3">
        <f>E4298+G4298+H4298</f>
        <v/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/>
      </c>
      <c r="K4298" s="3">
        <f>I4298-J4298</f>
        <v/>
      </c>
      <c r="L4298" s="3">
        <f>IF(K4298&lt;-5,"CRÍTICO",IF(K4298&lt;0,"ATENÇÃO",IF(K4298&lt;=5,"OPORTUNO","MUITO BOM")))</f>
        <v/>
      </c>
      <c r="M4298" s="3" t="n">
        <v>11</v>
      </c>
      <c r="N4298" s="3" t="n">
        <v>98.2</v>
      </c>
      <c r="O4298" s="12" t="n">
        <v>27.17086834733893</v>
      </c>
    </row>
    <row r="4299">
      <c r="A4299" s="10" t="n">
        <v>46139</v>
      </c>
      <c r="B4299" t="inlineStr">
        <is>
          <t>Claudio de Sousa Velasco Filho</t>
        </is>
      </c>
      <c r="C4299" s="1" t="inlineStr">
        <is>
          <t>Estágio</t>
        </is>
      </c>
      <c r="D4299" s="3" t="n">
        <v>8</v>
      </c>
      <c r="E4299" s="3" t="n">
        <v>8</v>
      </c>
      <c r="F4299" s="3" t="n">
        <v>22.16</v>
      </c>
      <c r="G4299" s="3" t="n">
        <v>0</v>
      </c>
      <c r="H4299" s="3" t="n">
        <v>0</v>
      </c>
      <c r="I4299" s="3">
        <f>E4299+G4299+H4299</f>
        <v/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/>
      </c>
      <c r="K4299" s="3">
        <f>I4299-J4299</f>
        <v/>
      </c>
      <c r="L4299" s="3">
        <f>IF(K4299&lt;-5,"CRÍTICO",IF(K4299&lt;0,"ATENÇÃO",IF(K4299&lt;=5,"OPORTUNO","MUITO BOM")))</f>
        <v/>
      </c>
      <c r="M4299" s="3" t="n">
        <v>7</v>
      </c>
      <c r="N4299" s="3" t="n">
        <v>100</v>
      </c>
      <c r="O4299" s="12" t="n">
        <v>23.13432835820895</v>
      </c>
    </row>
    <row r="4300">
      <c r="A4300" s="10" t="n">
        <v>46139</v>
      </c>
      <c r="B4300" t="inlineStr">
        <is>
          <t>Clessiane Pereira dos Santos</t>
        </is>
      </c>
      <c r="C4300" s="1" t="inlineStr">
        <is>
          <t>Técnico I</t>
        </is>
      </c>
      <c r="D4300" s="3" t="n">
        <v>3</v>
      </c>
      <c r="E4300" s="3" t="n">
        <v>3</v>
      </c>
      <c r="F4300" s="3" t="n">
        <v>10.12</v>
      </c>
      <c r="G4300" s="3" t="n">
        <v>0</v>
      </c>
      <c r="H4300" s="3" t="n">
        <v>0</v>
      </c>
      <c r="I4300" s="3">
        <f>E4300+G4300+H4300</f>
        <v/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/>
      </c>
      <c r="K4300" s="3">
        <f>I4300-J4300</f>
        <v/>
      </c>
      <c r="L4300" s="3">
        <f>IF(K4300&lt;-5,"CRÍTICO",IF(K4300&lt;0,"ATENÇÃO",IF(K4300&lt;=5,"OPORTUNO","MUITO BOM")))</f>
        <v/>
      </c>
      <c r="M4300" s="3" t="n">
        <v>4</v>
      </c>
      <c r="N4300" s="3" t="n">
        <v>96.3</v>
      </c>
      <c r="O4300" s="12" t="n">
        <v>32.21957040572792</v>
      </c>
    </row>
    <row r="4301">
      <c r="A4301" s="10" t="n">
        <v>46139</v>
      </c>
      <c r="B4301" t="inlineStr">
        <is>
          <t>Cristiane Ramos da Silva Rocha</t>
        </is>
      </c>
      <c r="C4301" s="1" t="inlineStr">
        <is>
          <t>Técnico III</t>
        </is>
      </c>
      <c r="D4301" s="3" t="n">
        <v>15</v>
      </c>
      <c r="E4301" s="3" t="n">
        <v>14</v>
      </c>
      <c r="F4301" s="3" t="n">
        <v>10.5</v>
      </c>
      <c r="G4301" s="3" t="n">
        <v>0</v>
      </c>
      <c r="H4301" s="3" t="n">
        <v>0</v>
      </c>
      <c r="I4301" s="3">
        <f>E4301+G4301+H4301</f>
        <v/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/>
      </c>
      <c r="K4301" s="3">
        <f>I4301-J4301</f>
        <v/>
      </c>
      <c r="L4301" s="3">
        <f>IF(K4301&lt;-5,"CRÍTICO",IF(K4301&lt;0,"ATENÇÃO",IF(K4301&lt;=5,"OPORTUNO","MUITO BOM")))</f>
        <v/>
      </c>
      <c r="M4301" s="3" t="n">
        <v>13</v>
      </c>
      <c r="N4301" s="3" t="n">
        <v>93.75</v>
      </c>
      <c r="O4301" s="12" t="n">
        <v>26.81992337164751</v>
      </c>
    </row>
    <row r="4302">
      <c r="A4302" s="10" t="n">
        <v>46139</v>
      </c>
      <c r="B4302" t="inlineStr">
        <is>
          <t>Damyllis Lorraine de Oliveira Gonçalves</t>
        </is>
      </c>
      <c r="C4302" s="1" t="inlineStr">
        <is>
          <t>Técnico II</t>
        </is>
      </c>
      <c r="D4302" s="3" t="n">
        <v>15</v>
      </c>
      <c r="E4302" s="3" t="n">
        <v>13</v>
      </c>
      <c r="F4302" s="3" t="n">
        <v>12.32</v>
      </c>
      <c r="G4302" s="3" t="n">
        <v>0</v>
      </c>
      <c r="H4302" s="3" t="n">
        <v>0</v>
      </c>
      <c r="I4302" s="3" t="n">
        <v>0</v>
      </c>
      <c r="J4302" s="3" t="n">
        <v>0</v>
      </c>
      <c r="K4302" s="3" t="n">
        <v>0</v>
      </c>
      <c r="L4302" s="3">
        <f>IF(K4302&lt;-5,"CRÍTICO",IF(K4302&lt;0,"ATENÇÃO",IF(K4302&lt;=5,"OPORTUNO","MUITO BOM")))</f>
        <v/>
      </c>
      <c r="M4302" s="3" t="n">
        <v>10</v>
      </c>
      <c r="N4302" s="3" t="n">
        <v>97.86</v>
      </c>
      <c r="O4302" s="12" t="n">
        <v>31.01851851851852</v>
      </c>
    </row>
    <row r="4303">
      <c r="A4303" s="10" t="n">
        <v>46139</v>
      </c>
      <c r="B4303" t="inlineStr">
        <is>
          <t>Daniel Gomes da Silva</t>
        </is>
      </c>
      <c r="C4303" s="1" t="inlineStr">
        <is>
          <t>Técnico I</t>
        </is>
      </c>
      <c r="D4303" s="3" t="n">
        <v>12</v>
      </c>
      <c r="E4303" s="3" t="n">
        <v>12</v>
      </c>
      <c r="F4303" s="3" t="n">
        <v>18.5</v>
      </c>
      <c r="G4303" s="3" t="n">
        <v>0</v>
      </c>
      <c r="H4303" s="3" t="n">
        <v>0</v>
      </c>
      <c r="I4303" s="3">
        <f>E4303+G4303+H4303</f>
        <v/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/>
      </c>
      <c r="K4303" s="3">
        <f>I4303-J4303</f>
        <v/>
      </c>
      <c r="L4303" s="3">
        <f>IF(K4303&lt;-5,"CRÍTICO",IF(K4303&lt;0,"ATENÇÃO",IF(K4303&lt;=5,"OPORTUNO","MUITO BOM")))</f>
        <v/>
      </c>
      <c r="M4303" s="3" t="n">
        <v>8</v>
      </c>
      <c r="N4303" s="3" t="n">
        <v>100</v>
      </c>
      <c r="O4303" s="12" t="n">
        <v>36.59420289855073</v>
      </c>
    </row>
    <row r="4304">
      <c r="A4304" s="10" t="n">
        <v>46139</v>
      </c>
      <c r="B4304" t="inlineStr">
        <is>
          <t>Davylla Rodrigues Freitas Silva</t>
        </is>
      </c>
      <c r="C4304" s="1" t="inlineStr">
        <is>
          <t>Técnico III</t>
        </is>
      </c>
      <c r="D4304" s="3" t="n">
        <v>13</v>
      </c>
      <c r="E4304" s="3" t="n">
        <v>13</v>
      </c>
      <c r="F4304" s="3" t="n">
        <v>21.51</v>
      </c>
      <c r="G4304" s="3" t="n">
        <v>0</v>
      </c>
      <c r="H4304" s="3" t="n">
        <v>0</v>
      </c>
      <c r="I4304" s="3" t="n">
        <v>0</v>
      </c>
      <c r="J4304" s="3" t="n">
        <v>0</v>
      </c>
      <c r="K4304" s="3" t="n">
        <v>0</v>
      </c>
      <c r="L4304" s="3">
        <f>IF(K4304&lt;-5,"CRÍTICO",IF(K4304&lt;0,"ATENÇÃO",IF(K4304&lt;=5,"OPORTUNO","MUITO BOM")))</f>
        <v/>
      </c>
      <c r="M4304" s="3" t="n">
        <v>14</v>
      </c>
      <c r="N4304" s="3" t="n">
        <v>100</v>
      </c>
      <c r="O4304" s="12" t="n">
        <v>38.65384615384615</v>
      </c>
    </row>
    <row r="4305">
      <c r="A4305" s="10" t="n">
        <v>46139</v>
      </c>
      <c r="B4305" t="inlineStr">
        <is>
          <t>Emilly Caylane Costa</t>
        </is>
      </c>
      <c r="C4305" s="1" t="inlineStr">
        <is>
          <t>Estágio</t>
        </is>
      </c>
      <c r="D4305" s="3" t="n">
        <v>9</v>
      </c>
      <c r="E4305" s="3" t="n">
        <v>9</v>
      </c>
      <c r="F4305" s="3" t="n">
        <v>25.01</v>
      </c>
      <c r="G4305" s="3" t="n">
        <v>0</v>
      </c>
      <c r="H4305" s="3" t="n">
        <v>0</v>
      </c>
      <c r="I4305" s="3">
        <f>E4305+G4305+H4305</f>
        <v/>
      </c>
      <c r="J4305" s="3">
        <f>ROUND(MIN(IF(C4305="Técnico III",35,IF(C4305="Técnico II",28,IF(C4305="Técnico I",23,IF(C4305="JR",20,IF(C4305="Estágio",10,0))))),IF(C4305="Técnico III",SUMIFS($D:$D,$A:$A,$A4305,$B:$B,"&lt;&gt;Patrícia Karla de Sousa Araújo",$B:$B,"&lt;&gt;Lorena Dias de Araujo",$B:$B,"&lt;&gt;Lucas Luiz Romero")*(35/1083),IF(C4305="Técnico II",SUMIFS($D:$D,$A:$A,$A4305,$B:$B,"&lt;&gt;Patrícia Karla de Sousa Araújo",$B:$B,"&lt;&gt;Lorena Dias de Araujo",$B:$B,"&lt;&gt;Lucas Luiz Romero")*(28/1083),IF(C4305="Técnico I",SUMIFS($D:$D,$A:$A,$A4305,$B:$B,"&lt;&gt;Patrícia Karla de Sousa Araújo",$B:$B,"&lt;&gt;Lorena Dias de Araujo",$B:$B,"&lt;&gt;Lucas Luiz Romero")*(23/1083),IF(C4305="JR",SUMIFS($D:$D,$A:$A,$A4305,$B:$B,"&lt;&gt;Patrícia Karla de Sousa Araújo",$B:$B,"&lt;&gt;Lorena Dias de Araujo",$B:$B,"&lt;&gt;Lucas Luiz Romero")*(20/1083),IF(C4305="Estágio",SUMIFS($D:$D,$A:$A,$A4305,$B:$B,"&lt;&gt;Patrícia Karla de Sousa Araújo",$B:$B,"&lt;&gt;Lorena Dias de Araujo",$B:$B,"&lt;&gt;Lucas Luiz Romero")*(10/1083),0)))))),0)</f>
        <v/>
      </c>
      <c r="K4305" s="3">
        <f>I4305-J4305</f>
        <v/>
      </c>
      <c r="L4305" s="3">
        <f>IF(K4305&lt;-5,"CRÍTICO",IF(K4305&lt;0,"ATENÇÃO",IF(K4305&lt;=5,"OPORTUNO","MUITO BOM")))</f>
        <v/>
      </c>
      <c r="M4305" s="3" t="n">
        <v>8</v>
      </c>
      <c r="N4305" s="3" t="n">
        <v>100</v>
      </c>
      <c r="O4305" s="12" t="n">
        <v>27.36842105263158</v>
      </c>
    </row>
    <row r="4306">
      <c r="A4306" s="10" t="n">
        <v>46139</v>
      </c>
      <c r="B4306" t="inlineStr">
        <is>
          <t>Emilly Kamilly Medeiros Miranda</t>
        </is>
      </c>
      <c r="C4306" s="1" t="inlineStr">
        <is>
          <t>Técnico II</t>
        </is>
      </c>
      <c r="D4306" s="3" t="n">
        <v>18</v>
      </c>
      <c r="E4306" s="3" t="n">
        <v>16</v>
      </c>
      <c r="F4306" s="3" t="n">
        <v>15.02</v>
      </c>
      <c r="G4306" s="3" t="n">
        <v>0</v>
      </c>
      <c r="H4306" s="3" t="n">
        <v>0</v>
      </c>
      <c r="I4306" s="3">
        <f>E4306+G4306+H4306</f>
        <v/>
      </c>
      <c r="J4306" s="3">
        <f>ROUND(MIN(IF(C4306="Técnico III",35,IF(C4306="Técnico II",28,IF(C4306="Técnico I",23,IF(C4306="JR",20,IF(C4306="Estágio",10,0))))),IF(C4306="Técnico III",SUMIFS($D:$D,$A:$A,$A4306,$B:$B,"&lt;&gt;Patrícia Karla de Sousa Araújo",$B:$B,"&lt;&gt;Lorena Dias de Araujo",$B:$B,"&lt;&gt;Lucas Luiz Romero")*(35/1083),IF(C4306="Técnico II",SUMIFS($D:$D,$A:$A,$A4306,$B:$B,"&lt;&gt;Patrícia Karla de Sousa Araújo",$B:$B,"&lt;&gt;Lorena Dias de Araujo",$B:$B,"&lt;&gt;Lucas Luiz Romero")*(28/1083),IF(C4306="Técnico I",SUMIFS($D:$D,$A:$A,$A4306,$B:$B,"&lt;&gt;Patrícia Karla de Sousa Araújo",$B:$B,"&lt;&gt;Lorena Dias de Araujo",$B:$B,"&lt;&gt;Lucas Luiz Romero")*(23/1083),IF(C4306="JR",SUMIFS($D:$D,$A:$A,$A4306,$B:$B,"&lt;&gt;Patrícia Karla de Sousa Araújo",$B:$B,"&lt;&gt;Lorena Dias de Araujo",$B:$B,"&lt;&gt;Lucas Luiz Romero")*(20/1083),IF(C4306="Estágio",SUMIFS($D:$D,$A:$A,$A4306,$B:$B,"&lt;&gt;Patrícia Karla de Sousa Araújo",$B:$B,"&lt;&gt;Lorena Dias de Araujo",$B:$B,"&lt;&gt;Lucas Luiz Romero")*(10/1083),0)))))),0)</f>
        <v/>
      </c>
      <c r="K4306" s="3">
        <f>I4306-J4306</f>
        <v/>
      </c>
      <c r="L4306" s="3">
        <f>IF(K4306&lt;-5,"CRÍTICO",IF(K4306&lt;0,"ATENÇÃO",IF(K4306&lt;=5,"OPORTUNO","MUITO BOM")))</f>
        <v/>
      </c>
      <c r="M4306" s="3" t="n">
        <v>12</v>
      </c>
      <c r="N4306" s="3" t="n">
        <v>97.83</v>
      </c>
      <c r="O4306" s="12" t="n">
        <v>28.35164835164835</v>
      </c>
    </row>
    <row r="4307">
      <c r="A4307" s="10" t="n">
        <v>46139</v>
      </c>
      <c r="B4307" t="inlineStr">
        <is>
          <t>Francielson de Oliveira</t>
        </is>
      </c>
      <c r="C4307" s="1" t="inlineStr">
        <is>
          <t>Técnico III</t>
        </is>
      </c>
      <c r="D4307" s="3" t="n">
        <v>15</v>
      </c>
      <c r="E4307" s="3" t="n">
        <v>15</v>
      </c>
      <c r="F4307" s="3" t="n">
        <v>13.5</v>
      </c>
      <c r="G4307" s="3" t="n">
        <v>0</v>
      </c>
      <c r="H4307" s="3" t="n">
        <v>0</v>
      </c>
      <c r="I4307" s="3">
        <f>E4307+G4307+H4307</f>
        <v/>
      </c>
      <c r="J4307" s="3">
        <f>ROUND(MIN(IF(C4307="Técnico III",35,IF(C4307="Técnico II",28,IF(C4307="Técnico I",23,IF(C4307="JR",20,IF(C4307="Estágio",10,0))))),IF(C4307="Técnico III",SUMIFS($D:$D,$A:$A,$A4307,$B:$B,"&lt;&gt;Patrícia Karla de Sousa Araújo",$B:$B,"&lt;&gt;Lorena Dias de Araujo",$B:$B,"&lt;&gt;Lucas Luiz Romero")*(35/1083),IF(C4307="Técnico II",SUMIFS($D:$D,$A:$A,$A4307,$B:$B,"&lt;&gt;Patrícia Karla de Sousa Araújo",$B:$B,"&lt;&gt;Lorena Dias de Araujo",$B:$B,"&lt;&gt;Lucas Luiz Romero")*(28/1083),IF(C4307="Técnico I",SUMIFS($D:$D,$A:$A,$A4307,$B:$B,"&lt;&gt;Patrícia Karla de Sousa Araújo",$B:$B,"&lt;&gt;Lorena Dias de Araujo",$B:$B,"&lt;&gt;Lucas Luiz Romero")*(23/1083),IF(C4307="JR",SUMIFS($D:$D,$A:$A,$A4307,$B:$B,"&lt;&gt;Patrícia Karla de Sousa Araújo",$B:$B,"&lt;&gt;Lorena Dias de Araujo",$B:$B,"&lt;&gt;Lucas Luiz Romero")*(20/1083),IF(C4307="Estágio",SUMIFS($D:$D,$A:$A,$A4307,$B:$B,"&lt;&gt;Patrícia Karla de Sousa Araújo",$B:$B,"&lt;&gt;Lorena Dias de Araujo",$B:$B,"&lt;&gt;Lucas Luiz Romero")*(10/1083),0)))))),0)</f>
        <v/>
      </c>
      <c r="K4307" s="3">
        <f>I4307-J4307</f>
        <v/>
      </c>
      <c r="L4307" s="3">
        <f>IF(K4307&lt;-5,"CRÍTICO",IF(K4307&lt;0,"ATENÇÃO",IF(K4307&lt;=5,"OPORTUNO","MUITO BOM")))</f>
        <v/>
      </c>
      <c r="M4307" s="3" t="n">
        <v>15</v>
      </c>
      <c r="N4307" s="3" t="n">
        <v>99.26000000000001</v>
      </c>
      <c r="O4307" s="12" t="n">
        <v>29.76653696498055</v>
      </c>
    </row>
    <row r="4308">
      <c r="A4308" s="10" t="n">
        <v>46139</v>
      </c>
      <c r="B4308" t="inlineStr">
        <is>
          <t>Francilene Ferreira de Jesus</t>
        </is>
      </c>
      <c r="C4308" s="1" t="inlineStr">
        <is>
          <t>Técnico II</t>
        </is>
      </c>
      <c r="D4308" s="3" t="n">
        <v>14</v>
      </c>
      <c r="E4308" s="3" t="n">
        <v>14</v>
      </c>
      <c r="F4308" s="3" t="n">
        <v>15.32</v>
      </c>
      <c r="G4308" s="3" t="n">
        <v>0</v>
      </c>
      <c r="H4308" s="3" t="n">
        <v>0</v>
      </c>
      <c r="I4308" s="3">
        <f>E4308+G4308+H4308</f>
        <v/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/>
      </c>
      <c r="K4308" s="3">
        <f>I4308-J4308</f>
        <v/>
      </c>
      <c r="L4308" s="3">
        <f>IF(K4308&lt;-5,"CRÍTICO",IF(K4308&lt;0,"ATENÇÃO",IF(K4308&lt;=5,"OPORTUNO","MUITO BOM")))</f>
        <v/>
      </c>
      <c r="M4308" s="3" t="n">
        <v>14</v>
      </c>
      <c r="N4308" s="3" t="n">
        <v>99.19</v>
      </c>
      <c r="O4308" s="12" t="n">
        <v>29.46236559139785</v>
      </c>
    </row>
    <row r="4309">
      <c r="A4309" s="7" t="n">
        <v>46162</v>
      </c>
      <c r="B4309" s="8" t="inlineStr">
        <is>
          <t>Damyllis Lorraine de Oliveira Gonçalves</t>
        </is>
      </c>
      <c r="C4309" s="1" t="inlineStr">
        <is>
          <t>Técnico II</t>
        </is>
      </c>
      <c r="D4309" s="3" t="n">
        <v>0</v>
      </c>
      <c r="E4309" s="3" t="n">
        <v>0</v>
      </c>
      <c r="F4309" s="3" t="n">
        <v>0</v>
      </c>
      <c r="G4309" s="3" t="n">
        <v>0</v>
      </c>
      <c r="H4309" s="3" t="n">
        <v>0</v>
      </c>
      <c r="I4309" s="3" t="n">
        <v>0</v>
      </c>
      <c r="J4309" s="3" t="n">
        <v>0</v>
      </c>
      <c r="K4309" s="3" t="n">
        <v>0</v>
      </c>
      <c r="L4309" s="3" t="inlineStr">
        <is>
          <t>BOM</t>
        </is>
      </c>
      <c r="M4309" s="3" t="n">
        <v>0</v>
      </c>
      <c r="N4309" s="3" t="n">
        <v>98.81</v>
      </c>
      <c r="O4309" s="12" t="n">
        <v>22.76785714285714</v>
      </c>
    </row>
    <row r="4310">
      <c r="A4310" s="10" t="n">
        <v>46139</v>
      </c>
      <c r="B4310" t="inlineStr">
        <is>
          <t>Isabella Borges de Oliveira</t>
        </is>
      </c>
      <c r="C4310" s="1" t="inlineStr">
        <is>
          <t>Técnico II</t>
        </is>
      </c>
      <c r="D4310" s="3" t="n">
        <v>11</v>
      </c>
      <c r="E4310" s="3" t="n">
        <v>11</v>
      </c>
      <c r="F4310" s="3" t="n">
        <v>14.16</v>
      </c>
      <c r="G4310" s="3" t="n">
        <v>0</v>
      </c>
      <c r="H4310" s="3" t="n">
        <v>0</v>
      </c>
      <c r="I4310" s="3">
        <f>E4310+G4310+H4310</f>
        <v/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/>
      </c>
      <c r="K4310" s="3">
        <f>I4310-J4310</f>
        <v/>
      </c>
      <c r="L4310" s="3">
        <f>IF(K4310&lt;-5,"CRÍTICO",IF(K4310&lt;0,"ATENÇÃO",IF(K4310&lt;=5,"OPORTUNO","MUITO BOM")))</f>
        <v/>
      </c>
      <c r="M4310" s="3" t="n">
        <v>8</v>
      </c>
      <c r="N4310" s="3" t="n">
        <v>100</v>
      </c>
      <c r="O4310" s="12" t="n">
        <v>28.92156862745098</v>
      </c>
    </row>
    <row r="4311">
      <c r="A4311" s="10" t="n">
        <v>46139</v>
      </c>
      <c r="B4311" t="inlineStr">
        <is>
          <t>Janaina Lima dos Reis Urany</t>
        </is>
      </c>
      <c r="C4311" s="1" t="inlineStr">
        <is>
          <t>Técnico III</t>
        </is>
      </c>
      <c r="D4311" s="3" t="n">
        <v>23</v>
      </c>
      <c r="E4311" s="3" t="n">
        <v>19</v>
      </c>
      <c r="F4311" s="3" t="n">
        <v>15.24</v>
      </c>
      <c r="G4311" s="3" t="n">
        <v>0</v>
      </c>
      <c r="H4311" s="3" t="n">
        <v>0</v>
      </c>
      <c r="I4311" s="3">
        <f>E4311+G4311+H4311</f>
        <v/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/>
      </c>
      <c r="K4311" s="3">
        <f>I4311-J4311</f>
        <v/>
      </c>
      <c r="L4311" s="3">
        <f>IF(K4311&lt;-5,"CRÍTICO",IF(K4311&lt;0,"ATENÇÃO",IF(K4311&lt;=5,"OPORTUNO","MUITO BOM")))</f>
        <v/>
      </c>
      <c r="M4311" s="3" t="n">
        <v>16</v>
      </c>
      <c r="N4311" s="3" t="n">
        <v>99.56999999999999</v>
      </c>
      <c r="O4311" s="12" t="n">
        <v>30.63583815028902</v>
      </c>
    </row>
    <row r="4312">
      <c r="A4312" s="10" t="n">
        <v>46139</v>
      </c>
      <c r="B4312" t="inlineStr">
        <is>
          <t>Jaqueline Evangelista da Silva Martins</t>
        </is>
      </c>
      <c r="C4312" s="1" t="inlineStr">
        <is>
          <t>Técnico III</t>
        </is>
      </c>
      <c r="D4312" s="3" t="n">
        <v>15</v>
      </c>
      <c r="E4312" s="3" t="n">
        <v>13</v>
      </c>
      <c r="F4312" s="3" t="n">
        <v>12.31</v>
      </c>
      <c r="G4312" s="3" t="n">
        <v>0</v>
      </c>
      <c r="H4312" s="3" t="n">
        <v>0</v>
      </c>
      <c r="I4312" s="3">
        <f>E4312+G4312+H4312</f>
        <v/>
      </c>
      <c r="J4312" s="3">
        <f>ROUND(MIN(IF(C4312="Técnico III",35,IF(C4312="Técnico II",28,IF(C4312="Técnico I",23,IF(C4312="JR",20,IF(C4312="Estágio",10,0))))),IF(C4312="Técnico III",SUMIFS($D:$D,$A:$A,$A4312,$B:$B,"&lt;&gt;Patrícia Karla de Sousa Araújo",$B:$B,"&lt;&gt;Lorena Dias de Araujo",$B:$B,"&lt;&gt;Lucas Luiz Romero")*(35/1083),IF(C4312="Técnico II",SUMIFS($D:$D,$A:$A,$A4312,$B:$B,"&lt;&gt;Patrícia Karla de Sousa Araújo",$B:$B,"&lt;&gt;Lorena Dias de Araujo",$B:$B,"&lt;&gt;Lucas Luiz Romero")*(28/1083),IF(C4312="Técnico I",SUMIFS($D:$D,$A:$A,$A4312,$B:$B,"&lt;&gt;Patrícia Karla de Sousa Araújo",$B:$B,"&lt;&gt;Lorena Dias de Araujo",$B:$B,"&lt;&gt;Lucas Luiz Romero")*(23/1083),IF(C4312="JR",SUMIFS($D:$D,$A:$A,$A4312,$B:$B,"&lt;&gt;Patrícia Karla de Sousa Araújo",$B:$B,"&lt;&gt;Lorena Dias de Araujo",$B:$B,"&lt;&gt;Lucas Luiz Romero")*(20/1083),IF(C4312="Estágio",SUMIFS($D:$D,$A:$A,$A4312,$B:$B,"&lt;&gt;Patrícia Karla de Sousa Araújo",$B:$B,"&lt;&gt;Lorena Dias de Araujo",$B:$B,"&lt;&gt;Lucas Luiz Romero")*(10/1083),0)))))),0)</f>
        <v/>
      </c>
      <c r="K4312" s="3">
        <f>I4312-J4312</f>
        <v/>
      </c>
      <c r="L4312" s="3">
        <f>IF(K4312&lt;-5,"CRÍTICO",IF(K4312&lt;0,"ATENÇÃO",IF(K4312&lt;=5,"OPORTUNO","MUITO BOM")))</f>
        <v/>
      </c>
      <c r="M4312" s="3" t="n">
        <v>10</v>
      </c>
      <c r="N4312" s="3" t="n">
        <v>95.65000000000001</v>
      </c>
      <c r="O4312" s="12" t="n">
        <v>32.43243243243244</v>
      </c>
    </row>
    <row r="4313">
      <c r="A4313" s="10" t="n">
        <v>46139</v>
      </c>
      <c r="B4313" t="inlineStr">
        <is>
          <t>Jessica Faria da Silveira</t>
        </is>
      </c>
      <c r="C4313" s="1" t="inlineStr">
        <is>
          <t>Técnico II</t>
        </is>
      </c>
      <c r="D4313" s="3" t="n">
        <v>14</v>
      </c>
      <c r="E4313" s="3" t="n">
        <v>13</v>
      </c>
      <c r="F4313" s="3" t="n">
        <v>13.47</v>
      </c>
      <c r="G4313" s="3" t="n">
        <v>0</v>
      </c>
      <c r="H4313" s="3" t="n">
        <v>0</v>
      </c>
      <c r="I4313" s="3">
        <f>E4313+G4313+H4313</f>
        <v/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/>
      </c>
      <c r="K4313" s="3">
        <f>I4313-J4313</f>
        <v/>
      </c>
      <c r="L4313" s="3">
        <f>IF(K4313&lt;-5,"CRÍTICO",IF(K4313&lt;0,"ATENÇÃO",IF(K4313&lt;=5,"OPORTUNO","MUITO BOM")))</f>
        <v/>
      </c>
      <c r="M4313" s="3" t="n">
        <v>12</v>
      </c>
      <c r="N4313" s="3" t="n">
        <v>98.81</v>
      </c>
      <c r="O4313" s="12" t="n">
        <v>26.25698324022346</v>
      </c>
    </row>
    <row r="4314">
      <c r="A4314" s="10" t="n">
        <v>46139</v>
      </c>
      <c r="B4314" t="inlineStr">
        <is>
          <t>Jéssica Fé Moura</t>
        </is>
      </c>
      <c r="C4314" s="1" t="inlineStr">
        <is>
          <t>Técnico III</t>
        </is>
      </c>
      <c r="D4314" s="3" t="n">
        <v>0</v>
      </c>
      <c r="E4314" s="3" t="n">
        <v>0</v>
      </c>
      <c r="F4314" s="3" t="n">
        <v>0</v>
      </c>
      <c r="G4314" s="3" t="n">
        <v>0</v>
      </c>
      <c r="H4314" s="3" t="n">
        <v>0</v>
      </c>
      <c r="I4314" s="3" t="n">
        <v>0</v>
      </c>
      <c r="J4314" s="3" t="n">
        <v>0</v>
      </c>
      <c r="K4314" s="3" t="n">
        <v>0</v>
      </c>
      <c r="L4314" s="3">
        <f>IF(K4314&lt;-5,"CRÍTICO",IF(K4314&lt;0,"ATENÇÃO",IF(K4314&lt;=5,"OPORTUNO","MUITO BOM")))</f>
        <v/>
      </c>
      <c r="M4314" s="3" t="n">
        <v>0</v>
      </c>
      <c r="N4314" s="3" t="n">
        <v>0</v>
      </c>
      <c r="O4314" s="12" t="n">
        <v>0</v>
      </c>
    </row>
    <row r="4315">
      <c r="A4315" s="10" t="n">
        <v>46139</v>
      </c>
      <c r="B4315" t="inlineStr">
        <is>
          <t>Karina Gonçalves Martins</t>
        </is>
      </c>
      <c r="C4315" s="1" t="inlineStr">
        <is>
          <t>JR</t>
        </is>
      </c>
      <c r="D4315" s="3" t="n">
        <v>8</v>
      </c>
      <c r="E4315" s="3" t="n">
        <v>5</v>
      </c>
      <c r="F4315" s="3" t="n">
        <v>13.44</v>
      </c>
      <c r="G4315" s="3" t="n">
        <v>0</v>
      </c>
      <c r="H4315" s="3" t="n">
        <v>0</v>
      </c>
      <c r="I4315" s="3">
        <f>E4315+G4315+H4315</f>
        <v/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/>
      </c>
      <c r="K4315" s="3">
        <f>I4315-J4315</f>
        <v/>
      </c>
      <c r="L4315" s="3">
        <f>IF(K4315&lt;-5,"CRÍTICO",IF(K4315&lt;0,"ATENÇÃO",IF(K4315&lt;=5,"OPORTUNO","MUITO BOM")))</f>
        <v/>
      </c>
      <c r="M4315" s="3" t="n">
        <v>6</v>
      </c>
      <c r="N4315" s="3" t="n">
        <v>97.17</v>
      </c>
      <c r="O4315" s="12" t="n">
        <v>28.81844380403458</v>
      </c>
    </row>
    <row r="4316">
      <c r="A4316" s="10" t="n">
        <v>46139</v>
      </c>
      <c r="B4316" t="inlineStr">
        <is>
          <t>Kerollen Cristielly de Jesus Siqueira</t>
        </is>
      </c>
      <c r="C4316" s="1" t="inlineStr">
        <is>
          <t>Técnico III</t>
        </is>
      </c>
      <c r="D4316" s="3" t="n">
        <v>0</v>
      </c>
      <c r="E4316" s="3" t="n">
        <v>0</v>
      </c>
      <c r="F4316" s="3" t="n">
        <v>0</v>
      </c>
      <c r="G4316" s="3" t="n">
        <v>0</v>
      </c>
      <c r="H4316" s="3" t="n">
        <v>0</v>
      </c>
      <c r="I4316" s="3" t="n">
        <v>0</v>
      </c>
      <c r="J4316" s="3" t="n">
        <v>0</v>
      </c>
      <c r="K4316" s="3" t="n">
        <v>0</v>
      </c>
      <c r="L4316" s="3">
        <f>IF(K4316&lt;-5,"CRÍTICO",IF(K4316&lt;0,"ATENÇÃO",IF(K4316&lt;=5,"OPORTUNO","MUITO BOM")))</f>
        <v/>
      </c>
      <c r="M4316" s="3" t="n">
        <v>29</v>
      </c>
      <c r="N4316" s="3" t="n">
        <v>96.81</v>
      </c>
      <c r="O4316" s="12" t="n">
        <v>48.01864801864802</v>
      </c>
    </row>
    <row r="4317">
      <c r="A4317" s="10" t="n">
        <v>46139</v>
      </c>
      <c r="B4317" t="inlineStr">
        <is>
          <t>Leandro de Souza Silva</t>
        </is>
      </c>
      <c r="C4317" s="1" t="inlineStr">
        <is>
          <t>JR</t>
        </is>
      </c>
      <c r="D4317" s="3" t="n">
        <v>14</v>
      </c>
      <c r="E4317" s="3" t="n">
        <v>13</v>
      </c>
      <c r="F4317" s="3" t="n">
        <v>10.5</v>
      </c>
      <c r="G4317" s="3" t="n">
        <v>0</v>
      </c>
      <c r="H4317" s="3" t="n">
        <v>0</v>
      </c>
      <c r="I4317" s="3">
        <f>E4317+G4317+H4317</f>
        <v/>
      </c>
      <c r="J4317" s="3">
        <f>ROUND(MIN(IF(C4317="Técnico III",35,IF(C4317="Técnico II",28,IF(C4317="Técnico I",23,IF(C4317="JR",20,IF(C4317="Estágio",10,0))))),IF(C4317="Técnico III",SUMIFS($D:$D,$A:$A,$A4317,$B:$B,"&lt;&gt;Patrícia Karla de Sousa Araújo",$B:$B,"&lt;&gt;Lorena Dias de Araujo",$B:$B,"&lt;&gt;Lucas Luiz Romero")*(35/1083),IF(C4317="Técnico II",SUMIFS($D:$D,$A:$A,$A4317,$B:$B,"&lt;&gt;Patrícia Karla de Sousa Araújo",$B:$B,"&lt;&gt;Lorena Dias de Araujo",$B:$B,"&lt;&gt;Lucas Luiz Romero")*(28/1083),IF(C4317="Técnico I",SUMIFS($D:$D,$A:$A,$A4317,$B:$B,"&lt;&gt;Patrícia Karla de Sousa Araújo",$B:$B,"&lt;&gt;Lorena Dias de Araujo",$B:$B,"&lt;&gt;Lucas Luiz Romero")*(23/1083),IF(C4317="JR",SUMIFS($D:$D,$A:$A,$A4317,$B:$B,"&lt;&gt;Patrícia Karla de Sousa Araújo",$B:$B,"&lt;&gt;Lorena Dias de Araujo",$B:$B,"&lt;&gt;Lucas Luiz Romero")*(20/1083),IF(C4317="Estágio",SUMIFS($D:$D,$A:$A,$A4317,$B:$B,"&lt;&gt;Patrícia Karla de Sousa Araújo",$B:$B,"&lt;&gt;Lorena Dias de Araujo",$B:$B,"&lt;&gt;Lucas Luiz Romero")*(10/1083),0)))))),0)</f>
        <v/>
      </c>
      <c r="K4317" s="3">
        <f>I4317-J4317</f>
        <v/>
      </c>
      <c r="L4317" s="3">
        <f>IF(K4317&lt;-5,"CRÍTICO",IF(K4317&lt;0,"ATENÇÃO",IF(K4317&lt;=5,"OPORTUNO","MUITO BOM")))</f>
        <v/>
      </c>
      <c r="M4317" s="3" t="n">
        <v>10</v>
      </c>
      <c r="N4317" s="3" t="n">
        <v>98.15000000000001</v>
      </c>
      <c r="O4317" s="12" t="n">
        <v>27.1551724137931</v>
      </c>
    </row>
    <row r="4318">
      <c r="A4318" s="10" t="n">
        <v>46139</v>
      </c>
      <c r="B4318" t="inlineStr">
        <is>
          <t>Leandro Oliveira de Sousa</t>
        </is>
      </c>
      <c r="C4318" s="1" t="inlineStr">
        <is>
          <t>Técnico III</t>
        </is>
      </c>
      <c r="D4318" s="3" t="n">
        <v>16</v>
      </c>
      <c r="E4318" s="3" t="n">
        <v>13</v>
      </c>
      <c r="F4318" s="3" t="n">
        <v>16.45</v>
      </c>
      <c r="G4318" s="3" t="n">
        <v>0</v>
      </c>
      <c r="H4318" s="3" t="n">
        <v>0</v>
      </c>
      <c r="I4318" s="3">
        <f>E4318+G4318+H4318</f>
        <v/>
      </c>
      <c r="J4318" s="3">
        <f>ROUND(MIN(IF(C4318="Técnico III",35,IF(C4318="Técnico II",28,IF(C4318="Técnico I",23,IF(C4318="JR",20,IF(C4318="Estágio",10,0))))),IF(C4318="Técnico III",SUMIFS($D:$D,$A:$A,$A4318,$B:$B,"&lt;&gt;Patrícia Karla de Sousa Araújo",$B:$B,"&lt;&gt;Lorena Dias de Araujo",$B:$B,"&lt;&gt;Lucas Luiz Romero")*(35/1083),IF(C4318="Técnico II",SUMIFS($D:$D,$A:$A,$A4318,$B:$B,"&lt;&gt;Patrícia Karla de Sousa Araújo",$B:$B,"&lt;&gt;Lorena Dias de Araujo",$B:$B,"&lt;&gt;Lucas Luiz Romero")*(28/1083),IF(C4318="Técnico I",SUMIFS($D:$D,$A:$A,$A4318,$B:$B,"&lt;&gt;Patrícia Karla de Sousa Araújo",$B:$B,"&lt;&gt;Lorena Dias de Araujo",$B:$B,"&lt;&gt;Lucas Luiz Romero")*(23/1083),IF(C4318="JR",SUMIFS($D:$D,$A:$A,$A4318,$B:$B,"&lt;&gt;Patrícia Karla de Sousa Araújo",$B:$B,"&lt;&gt;Lorena Dias de Araujo",$B:$B,"&lt;&gt;Lucas Luiz Romero")*(20/1083),IF(C4318="Estágio",SUMIFS($D:$D,$A:$A,$A4318,$B:$B,"&lt;&gt;Patrícia Karla de Sousa Araújo",$B:$B,"&lt;&gt;Lorena Dias de Araujo",$B:$B,"&lt;&gt;Lucas Luiz Romero")*(10/1083),0)))))),0)</f>
        <v/>
      </c>
      <c r="K4318" s="3">
        <f>I4318-J4318</f>
        <v/>
      </c>
      <c r="L4318" s="3">
        <f>IF(K4318&lt;-5,"CRÍTICO",IF(K4318&lt;0,"ATENÇÃO",IF(K4318&lt;=5,"OPORTUNO","MUITO BOM")))</f>
        <v/>
      </c>
      <c r="M4318" s="3" t="n">
        <v>14</v>
      </c>
      <c r="N4318" s="3" t="n">
        <v>99.15000000000001</v>
      </c>
      <c r="O4318" s="12" t="n">
        <v>27.58620689655172</v>
      </c>
    </row>
    <row r="4319">
      <c r="A4319" s="10" t="n">
        <v>46139</v>
      </c>
      <c r="B4319" t="inlineStr">
        <is>
          <t>Lizandra Gomes Duarte</t>
        </is>
      </c>
      <c r="C4319" s="1" t="inlineStr">
        <is>
          <t>Técnico II</t>
        </is>
      </c>
      <c r="D4319" s="3" t="n">
        <v>2</v>
      </c>
      <c r="E4319" s="3" t="n">
        <v>2</v>
      </c>
      <c r="F4319" s="3" t="n">
        <v>22.04</v>
      </c>
      <c r="G4319" s="3" t="n">
        <v>0</v>
      </c>
      <c r="H4319" s="3" t="n">
        <v>0</v>
      </c>
      <c r="I4319" s="3">
        <f>E4319+G4319+H4319</f>
        <v/>
      </c>
      <c r="J4319" s="3">
        <f>ROUND(MIN(IF(C4319="Técnico III",35,IF(C4319="Técnico II",28,IF(C4319="Técnico I",23,IF(C4319="JR",20,IF(C4319="Estágio",10,0))))),IF(C4319="Técnico III",SUMIFS($D:$D,$A:$A,$A4319,$B:$B,"&lt;&gt;Patrícia Karla de Sousa Araújo",$B:$B,"&lt;&gt;Lorena Dias de Araujo",$B:$B,"&lt;&gt;Lucas Luiz Romero")*(35/1083),IF(C4319="Técnico II",SUMIFS($D:$D,$A:$A,$A4319,$B:$B,"&lt;&gt;Patrícia Karla de Sousa Araújo",$B:$B,"&lt;&gt;Lorena Dias de Araujo",$B:$B,"&lt;&gt;Lucas Luiz Romero")*(28/1083),IF(C4319="Técnico I",SUMIFS($D:$D,$A:$A,$A4319,$B:$B,"&lt;&gt;Patrícia Karla de Sousa Araújo",$B:$B,"&lt;&gt;Lorena Dias de Araujo",$B:$B,"&lt;&gt;Lucas Luiz Romero")*(23/1083),IF(C4319="JR",SUMIFS($D:$D,$A:$A,$A4319,$B:$B,"&lt;&gt;Patrícia Karla de Sousa Araújo",$B:$B,"&lt;&gt;Lorena Dias de Araujo",$B:$B,"&lt;&gt;Lucas Luiz Romero")*(20/1083),IF(C4319="Estágio",SUMIFS($D:$D,$A:$A,$A4319,$B:$B,"&lt;&gt;Patrícia Karla de Sousa Araújo",$B:$B,"&lt;&gt;Lorena Dias de Araujo",$B:$B,"&lt;&gt;Lucas Luiz Romero")*(10/1083),0)))))),0)</f>
        <v/>
      </c>
      <c r="K4319" s="3">
        <f>I4319-J4319</f>
        <v/>
      </c>
      <c r="L4319" s="3">
        <f>IF(K4319&lt;-5,"CRÍTICO",IF(K4319&lt;0,"ATENÇÃO",IF(K4319&lt;=5,"OPORTUNO","MUITO BOM")))</f>
        <v/>
      </c>
      <c r="M4319" s="3" t="n">
        <v>8</v>
      </c>
      <c r="N4319" s="3" t="n">
        <v>99.17</v>
      </c>
      <c r="O4319" s="12" t="n">
        <v>29.75206611570248</v>
      </c>
    </row>
    <row r="4320">
      <c r="A4320" s="10" t="n">
        <v>46139</v>
      </c>
      <c r="B4320" t="inlineStr">
        <is>
          <t>Lorena Dias de Araujo</t>
        </is>
      </c>
      <c r="C4320" s="1" t="inlineStr">
        <is>
          <t>Técnico II</t>
        </is>
      </c>
      <c r="D4320" s="3" t="n">
        <v>0</v>
      </c>
      <c r="E4320" s="3" t="n">
        <v>0</v>
      </c>
      <c r="F4320" s="3" t="n">
        <v>0</v>
      </c>
      <c r="G4320" s="3" t="n">
        <v>0</v>
      </c>
      <c r="H4320" s="3" t="n">
        <v>0</v>
      </c>
      <c r="I4320" s="3" t="n">
        <v>0</v>
      </c>
      <c r="J4320" s="3" t="n">
        <v>0</v>
      </c>
      <c r="K4320" s="3" t="n">
        <v>0</v>
      </c>
      <c r="L4320" s="3">
        <f>IF(K4320&lt;-5,"CRÍTICO",IF(K4320&lt;0,"ATENÇÃO",IF(K4320&lt;=5,"OPORTUNO","MUITO BOM")))</f>
        <v/>
      </c>
      <c r="M4320" s="3" t="n">
        <v>0</v>
      </c>
      <c r="N4320" s="3" t="n">
        <v>98.73</v>
      </c>
      <c r="O4320" s="12" t="n">
        <v>28.96174863387978</v>
      </c>
    </row>
    <row r="4321">
      <c r="A4321" s="10" t="n">
        <v>46139</v>
      </c>
      <c r="B4321" t="inlineStr">
        <is>
          <t>Lucas Luiz Romero</t>
        </is>
      </c>
      <c r="C4321" s="1" t="inlineStr">
        <is>
          <t>Técnico III</t>
        </is>
      </c>
      <c r="D4321" s="3" t="n">
        <v>0</v>
      </c>
      <c r="E4321" s="3" t="n">
        <v>0</v>
      </c>
      <c r="F4321" s="3" t="n">
        <v>0</v>
      </c>
      <c r="G4321" s="3" t="n">
        <v>0</v>
      </c>
      <c r="H4321" s="3" t="n">
        <v>0</v>
      </c>
      <c r="I4321" s="3" t="n">
        <v>0</v>
      </c>
      <c r="J4321" s="3" t="n">
        <v>0</v>
      </c>
      <c r="K4321" s="3" t="n">
        <v>0</v>
      </c>
      <c r="L4321" s="3">
        <f>IF(K4321&lt;-5,"CRÍTICO",IF(K4321&lt;0,"ATENÇÃO",IF(K4321&lt;=5,"OPORTUNO","MUITO BOM")))</f>
        <v/>
      </c>
      <c r="M4321" s="3" t="n">
        <v>0</v>
      </c>
      <c r="N4321" s="3" t="n">
        <v>88.68000000000001</v>
      </c>
      <c r="O4321" s="12" t="n">
        <v>22.03389830508474</v>
      </c>
    </row>
    <row r="4322">
      <c r="A4322" s="10" t="n">
        <v>46139</v>
      </c>
      <c r="B4322" t="inlineStr">
        <is>
          <t>Luiz Fernando de Carvalho Junior</t>
        </is>
      </c>
      <c r="C4322" s="1" t="inlineStr">
        <is>
          <t>Técnico I</t>
        </is>
      </c>
      <c r="D4322" s="3" t="n">
        <v>9</v>
      </c>
      <c r="E4322" s="3" t="n">
        <v>9</v>
      </c>
      <c r="F4322" s="3" t="n">
        <v>22.33</v>
      </c>
      <c r="G4322" s="3" t="n">
        <v>0</v>
      </c>
      <c r="H4322" s="3" t="n">
        <v>0</v>
      </c>
      <c r="I4322" s="3">
        <f>E4322+G4322+H4322</f>
        <v/>
      </c>
      <c r="J4322" s="3">
        <f>ROUND(MIN(IF(C4322="Técnico III",35,IF(C4322="Técnico II",28,IF(C4322="Técnico I",23,IF(C4322="JR",20,IF(C4322="Estágio",10,0))))),IF(C4322="Técnico III",SUMIFS($D:$D,$A:$A,$A4322,$B:$B,"&lt;&gt;Patrícia Karla de Sousa Araújo",$B:$B,"&lt;&gt;Lorena Dias de Araujo",$B:$B,"&lt;&gt;Lucas Luiz Romero")*(35/1083),IF(C4322="Técnico II",SUMIFS($D:$D,$A:$A,$A4322,$B:$B,"&lt;&gt;Patrícia Karla de Sousa Araújo",$B:$B,"&lt;&gt;Lorena Dias de Araujo",$B:$B,"&lt;&gt;Lucas Luiz Romero")*(28/1083),IF(C4322="Técnico I",SUMIFS($D:$D,$A:$A,$A4322,$B:$B,"&lt;&gt;Patrícia Karla de Sousa Araújo",$B:$B,"&lt;&gt;Lorena Dias de Araujo",$B:$B,"&lt;&gt;Lucas Luiz Romero")*(23/1083),IF(C4322="JR",SUMIFS($D:$D,$A:$A,$A4322,$B:$B,"&lt;&gt;Patrícia Karla de Sousa Araújo",$B:$B,"&lt;&gt;Lorena Dias de Araujo",$B:$B,"&lt;&gt;Lucas Luiz Romero")*(20/1083),IF(C4322="Estágio",SUMIFS($D:$D,$A:$A,$A4322,$B:$B,"&lt;&gt;Patrícia Karla de Sousa Araújo",$B:$B,"&lt;&gt;Lorena Dias de Araujo",$B:$B,"&lt;&gt;Lucas Luiz Romero")*(10/1083),0)))))),0)</f>
        <v/>
      </c>
      <c r="K4322" s="3">
        <f>I4322-J4322</f>
        <v/>
      </c>
      <c r="L4322" s="3">
        <f>IF(K4322&lt;-5,"CRÍTICO",IF(K4322&lt;0,"ATENÇÃO",IF(K4322&lt;=5,"OPORTUNO","MUITO BOM")))</f>
        <v/>
      </c>
      <c r="M4322" s="3" t="n">
        <v>8</v>
      </c>
      <c r="N4322" s="3" t="n">
        <v>97.37</v>
      </c>
      <c r="O4322" s="12" t="n">
        <v>25.76530612244898</v>
      </c>
    </row>
    <row r="4323">
      <c r="A4323" s="10" t="n">
        <v>46139</v>
      </c>
      <c r="B4323" t="inlineStr">
        <is>
          <t>Maria Eduarda Sousa Costa</t>
        </is>
      </c>
      <c r="C4323" s="1" t="inlineStr">
        <is>
          <t>Estágio</t>
        </is>
      </c>
      <c r="D4323" s="3" t="n">
        <v>0</v>
      </c>
      <c r="E4323" s="3" t="n">
        <v>0</v>
      </c>
      <c r="F4323" s="3" t="n">
        <v>0</v>
      </c>
      <c r="G4323" s="3" t="n">
        <v>0</v>
      </c>
      <c r="H4323" s="3" t="n">
        <v>0</v>
      </c>
      <c r="I4323" s="3" t="n">
        <v>0</v>
      </c>
      <c r="J4323" s="3" t="n">
        <v>0</v>
      </c>
      <c r="K4323" s="3" t="n">
        <v>0</v>
      </c>
      <c r="L4323" s="3">
        <f>IF(K4323&lt;-5,"CRÍTICO",IF(K4323&lt;0,"ATENÇÃO",IF(K4323&lt;=5,"OPORTUNO","MUITO BOM")))</f>
        <v/>
      </c>
      <c r="M4323" s="3" t="n">
        <v>0</v>
      </c>
      <c r="N4323" s="3" t="n">
        <v>100</v>
      </c>
      <c r="O4323" s="12" t="n">
        <v>25</v>
      </c>
    </row>
    <row r="4324">
      <c r="A4324" s="7" t="n">
        <v>46162</v>
      </c>
      <c r="B4324" s="8" t="inlineStr">
        <is>
          <t>Emilly Kamilly Medeiros Miranda</t>
        </is>
      </c>
      <c r="C4324" s="1" t="inlineStr">
        <is>
          <t>Técnico II</t>
        </is>
      </c>
      <c r="D4324" s="3" t="n">
        <v>30</v>
      </c>
      <c r="E4324" s="3" t="n">
        <v>28</v>
      </c>
      <c r="F4324" s="3" t="n">
        <v>10.26</v>
      </c>
      <c r="G4324" s="3" t="n">
        <v>2</v>
      </c>
      <c r="H4324" s="3" t="n">
        <v>0</v>
      </c>
      <c r="I4324" s="3" t="n">
        <v>30</v>
      </c>
      <c r="J4324" s="3" t="n">
        <v>21</v>
      </c>
      <c r="K4324" s="3" t="n">
        <v>9</v>
      </c>
      <c r="L4324" s="3" t="inlineStr">
        <is>
          <t>EXCELENTE</t>
        </is>
      </c>
      <c r="M4324" s="3" t="n">
        <v>28</v>
      </c>
      <c r="N4324" s="3" t="n">
        <v>99.01000000000001</v>
      </c>
      <c r="O4324" s="12" t="n">
        <v>17.76649746192894</v>
      </c>
    </row>
    <row r="4325">
      <c r="A4325" s="10" t="n">
        <v>46139</v>
      </c>
      <c r="B4325" t="inlineStr">
        <is>
          <t>Maysa Victoria Dias Moura</t>
        </is>
      </c>
      <c r="C4325" s="1" t="inlineStr">
        <is>
          <t>Técnico III</t>
        </is>
      </c>
      <c r="D4325" s="3" t="n">
        <v>20</v>
      </c>
      <c r="E4325" s="3" t="n">
        <v>14</v>
      </c>
      <c r="F4325" s="3" t="n">
        <v>5.39</v>
      </c>
      <c r="G4325" s="3" t="n">
        <v>0</v>
      </c>
      <c r="H4325" s="3" t="n">
        <v>0</v>
      </c>
      <c r="I4325" s="3">
        <f>E4325+G4325+H4325</f>
        <v/>
      </c>
      <c r="J4325" s="3">
        <f>ROUND(MIN(IF(C4325="Técnico III",35,IF(C4325="Técnico II",28,IF(C4325="Técnico I",23,IF(C4325="JR",20,IF(C4325="Estágio",10,0))))),IF(C4325="Técnico III",SUMIFS($D:$D,$A:$A,$A4325,$B:$B,"&lt;&gt;Patrícia Karla de Sousa Araújo",$B:$B,"&lt;&gt;Lorena Dias de Araujo",$B:$B,"&lt;&gt;Lucas Luiz Romero")*(35/1083),IF(C4325="Técnico II",SUMIFS($D:$D,$A:$A,$A4325,$B:$B,"&lt;&gt;Patrícia Karla de Sousa Araújo",$B:$B,"&lt;&gt;Lorena Dias de Araujo",$B:$B,"&lt;&gt;Lucas Luiz Romero")*(28/1083),IF(C4325="Técnico I",SUMIFS($D:$D,$A:$A,$A4325,$B:$B,"&lt;&gt;Patrícia Karla de Sousa Araújo",$B:$B,"&lt;&gt;Lorena Dias de Araujo",$B:$B,"&lt;&gt;Lucas Luiz Romero")*(23/1083),IF(C4325="JR",SUMIFS($D:$D,$A:$A,$A4325,$B:$B,"&lt;&gt;Patrícia Karla de Sousa Araújo",$B:$B,"&lt;&gt;Lorena Dias de Araujo",$B:$B,"&lt;&gt;Lucas Luiz Romero")*(20/1083),IF(C4325="Estágio",SUMIFS($D:$D,$A:$A,$A4325,$B:$B,"&lt;&gt;Patrícia Karla de Sousa Araújo",$B:$B,"&lt;&gt;Lorena Dias de Araujo",$B:$B,"&lt;&gt;Lucas Luiz Romero")*(10/1083),0)))))),0)</f>
        <v/>
      </c>
      <c r="K4325" s="3">
        <f>I4325-J4325</f>
        <v/>
      </c>
      <c r="L4325" s="3">
        <f>IF(K4325&lt;-5,"CRÍTICO",IF(K4325&lt;0,"ATENÇÃO",IF(K4325&lt;=5,"OPORTUNO","MUITO BOM")))</f>
        <v/>
      </c>
      <c r="M4325" s="3" t="n">
        <v>14</v>
      </c>
      <c r="N4325" s="3" t="n">
        <v>95.48999999999999</v>
      </c>
      <c r="O4325" s="12" t="n">
        <v>28.37022132796781</v>
      </c>
    </row>
    <row r="4326">
      <c r="A4326" s="7" t="n">
        <v>46162</v>
      </c>
      <c r="B4326" s="8" t="inlineStr">
        <is>
          <t>Francilene Ferreira de Jesus</t>
        </is>
      </c>
      <c r="C4326" s="1" t="inlineStr">
        <is>
          <t>Técnico II</t>
        </is>
      </c>
      <c r="D4326" s="3" t="n">
        <v>0</v>
      </c>
      <c r="E4326" s="3" t="n">
        <v>0</v>
      </c>
      <c r="F4326" s="3" t="n">
        <v>0</v>
      </c>
      <c r="G4326" s="3" t="n">
        <v>0</v>
      </c>
      <c r="H4326" s="3" t="n">
        <v>0</v>
      </c>
      <c r="I4326" s="3" t="n">
        <v>0</v>
      </c>
      <c r="J4326" s="3" t="n">
        <v>0</v>
      </c>
      <c r="K4326" s="3" t="n">
        <v>0</v>
      </c>
      <c r="L4326" s="3" t="inlineStr">
        <is>
          <t>BOM</t>
        </is>
      </c>
      <c r="M4326" s="3" t="n">
        <v>0</v>
      </c>
      <c r="N4326" s="3" t="n">
        <v>100</v>
      </c>
      <c r="O4326" s="12" t="n">
        <v>17.24137931034483</v>
      </c>
    </row>
    <row r="4327">
      <c r="A4327" s="10" t="n">
        <v>46139</v>
      </c>
      <c r="B4327" t="inlineStr">
        <is>
          <t>Milena Sales</t>
        </is>
      </c>
      <c r="C4327" s="1" t="inlineStr">
        <is>
          <t>JR</t>
        </is>
      </c>
      <c r="D4327" s="3" t="n">
        <v>0</v>
      </c>
      <c r="E4327" s="3" t="n">
        <v>0</v>
      </c>
      <c r="F4327" s="3" t="n">
        <v>0</v>
      </c>
      <c r="G4327" s="3" t="n">
        <v>0</v>
      </c>
      <c r="H4327" s="3" t="n">
        <v>0</v>
      </c>
      <c r="I4327" s="3" t="n">
        <v>0</v>
      </c>
      <c r="J4327" s="3" t="n">
        <v>0</v>
      </c>
      <c r="K4327" s="3" t="n">
        <v>0</v>
      </c>
      <c r="L4327" s="3">
        <f>IF(K4327&lt;-5,"CRÍTICO",IF(K4327&lt;0,"ATENÇÃO",IF(K4327&lt;=5,"OPORTUNO","MUITO BOM")))</f>
        <v/>
      </c>
      <c r="M4327" s="3" t="n">
        <v>0</v>
      </c>
      <c r="N4327" s="3" t="n">
        <v>96.15000000000001</v>
      </c>
      <c r="O4327" s="12" t="n">
        <v>24.04580152671756</v>
      </c>
    </row>
    <row r="4328">
      <c r="A4328" s="10" t="n">
        <v>46139</v>
      </c>
      <c r="B4328" t="inlineStr">
        <is>
          <t>Patrícia Karla de Sousa Araújo</t>
        </is>
      </c>
      <c r="C4328" s="1" t="inlineStr">
        <is>
          <t>Técnico II</t>
        </is>
      </c>
      <c r="D4328" s="3" t="n">
        <v>10</v>
      </c>
      <c r="E4328" s="3" t="n">
        <v>8</v>
      </c>
      <c r="F4328" s="3" t="n">
        <v>13.37</v>
      </c>
      <c r="G4328" s="3" t="n">
        <v>0</v>
      </c>
      <c r="H4328" s="3" t="n">
        <v>0</v>
      </c>
      <c r="I4328" s="3">
        <f>E4328+G4328+H4328</f>
        <v/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/>
      </c>
      <c r="K4328" s="3">
        <f>I4328-J4328</f>
        <v/>
      </c>
      <c r="L4328" s="3">
        <f>IF(K4328&lt;-5,"CRÍTICO",IF(K4328&lt;0,"ATENÇÃO",IF(K4328&lt;=5,"OPORTUNO","MUITO BOM")))</f>
        <v/>
      </c>
      <c r="M4328" s="3" t="n">
        <v>7</v>
      </c>
      <c r="N4328" s="3" t="n">
        <v>99.02</v>
      </c>
      <c r="O4328" s="12" t="n">
        <v>34.7972972972973</v>
      </c>
    </row>
    <row r="4329">
      <c r="A4329" s="10" t="n">
        <v>46139</v>
      </c>
      <c r="B4329" t="inlineStr">
        <is>
          <t>Paulo Ricardo Santos</t>
        </is>
      </c>
      <c r="C4329" s="1" t="inlineStr">
        <is>
          <t>JR</t>
        </is>
      </c>
      <c r="D4329" s="3" t="n">
        <v>8</v>
      </c>
      <c r="E4329" s="3" t="n">
        <v>8</v>
      </c>
      <c r="F4329" s="3" t="n">
        <v>17.11</v>
      </c>
      <c r="G4329" s="3" t="n">
        <v>0</v>
      </c>
      <c r="H4329" s="3" t="n">
        <v>0</v>
      </c>
      <c r="I4329" s="3">
        <f>E4329+G4329+H4329</f>
        <v/>
      </c>
      <c r="J4329" s="3">
        <f>ROUND(MIN(IF(C4329="Técnico III",35,IF(C4329="Técnico II",28,IF(C4329="Técnico I",23,IF(C4329="JR",20,IF(C4329="Estágio",10,0))))),IF(C4329="Técnico III",SUMIFS($D:$D,$A:$A,$A4329,$B:$B,"&lt;&gt;Patrícia Karla de Sousa Araújo",$B:$B,"&lt;&gt;Lorena Dias de Araujo",$B:$B,"&lt;&gt;Lucas Luiz Romero")*(35/1083),IF(C4329="Técnico II",SUMIFS($D:$D,$A:$A,$A4329,$B:$B,"&lt;&gt;Patrícia Karla de Sousa Araújo",$B:$B,"&lt;&gt;Lorena Dias de Araujo",$B:$B,"&lt;&gt;Lucas Luiz Romero")*(28/1083),IF(C4329="Técnico I",SUMIFS($D:$D,$A:$A,$A4329,$B:$B,"&lt;&gt;Patrícia Karla de Sousa Araújo",$B:$B,"&lt;&gt;Lorena Dias de Araujo",$B:$B,"&lt;&gt;Lucas Luiz Romero")*(23/1083),IF(C4329="JR",SUMIFS($D:$D,$A:$A,$A4329,$B:$B,"&lt;&gt;Patrícia Karla de Sousa Araújo",$B:$B,"&lt;&gt;Lorena Dias de Araujo",$B:$B,"&lt;&gt;Lucas Luiz Romero")*(20/1083),IF(C4329="Estágio",SUMIFS($D:$D,$A:$A,$A4329,$B:$B,"&lt;&gt;Patrícia Karla de Sousa Araújo",$B:$B,"&lt;&gt;Lorena Dias de Araujo",$B:$B,"&lt;&gt;Lucas Luiz Romero")*(10/1083),0)))))),0)</f>
        <v/>
      </c>
      <c r="K4329" s="3">
        <f>I4329-J4329</f>
        <v/>
      </c>
      <c r="L4329" s="3">
        <f>IF(K4329&lt;-5,"CRÍTICO",IF(K4329&lt;0,"ATENÇÃO",IF(K4329&lt;=5,"OPORTUNO","MUITO BOM")))</f>
        <v/>
      </c>
      <c r="M4329" s="3" t="n">
        <v>7</v>
      </c>
      <c r="N4329" s="3" t="n">
        <v>98.84</v>
      </c>
      <c r="O4329" s="12" t="n">
        <v>31.86813186813187</v>
      </c>
    </row>
    <row r="4330">
      <c r="A4330" s="10" t="n">
        <v>46139</v>
      </c>
      <c r="B4330" t="inlineStr">
        <is>
          <t>Pedro Luiz Mota Sousa</t>
        </is>
      </c>
      <c r="C4330" s="1" t="inlineStr">
        <is>
          <t>JR</t>
        </is>
      </c>
      <c r="D4330" s="3" t="n">
        <v>11</v>
      </c>
      <c r="E4330" s="3" t="n">
        <v>10</v>
      </c>
      <c r="F4330" s="3" t="n">
        <v>17.35</v>
      </c>
      <c r="G4330" s="3" t="n">
        <v>0</v>
      </c>
      <c r="H4330" s="3" t="n">
        <v>0</v>
      </c>
      <c r="I4330" s="3">
        <f>E4330+G4330+H4330</f>
        <v/>
      </c>
      <c r="J4330" s="3">
        <f>ROUND(MIN(IF(C4330="Técnico III",35,IF(C4330="Técnico II",28,IF(C4330="Técnico I",23,IF(C4330="JR",20,IF(C4330="Estágio",10,0))))),IF(C4330="Técnico III",SUMIFS($D:$D,$A:$A,$A4330,$B:$B,"&lt;&gt;Patrícia Karla de Sousa Araújo",$B:$B,"&lt;&gt;Lorena Dias de Araujo",$B:$B,"&lt;&gt;Lucas Luiz Romero")*(35/1083),IF(C4330="Técnico II",SUMIFS($D:$D,$A:$A,$A4330,$B:$B,"&lt;&gt;Patrícia Karla de Sousa Araújo",$B:$B,"&lt;&gt;Lorena Dias de Araujo",$B:$B,"&lt;&gt;Lucas Luiz Romero")*(28/1083),IF(C4330="Técnico I",SUMIFS($D:$D,$A:$A,$A4330,$B:$B,"&lt;&gt;Patrícia Karla de Sousa Araújo",$B:$B,"&lt;&gt;Lorena Dias de Araujo",$B:$B,"&lt;&gt;Lucas Luiz Romero")*(23/1083),IF(C4330="JR",SUMIFS($D:$D,$A:$A,$A4330,$B:$B,"&lt;&gt;Patrícia Karla de Sousa Araújo",$B:$B,"&lt;&gt;Lorena Dias de Araujo",$B:$B,"&lt;&gt;Lucas Luiz Romero")*(20/1083),IF(C4330="Estágio",SUMIFS($D:$D,$A:$A,$A4330,$B:$B,"&lt;&gt;Patrícia Karla de Sousa Araújo",$B:$B,"&lt;&gt;Lorena Dias de Araujo",$B:$B,"&lt;&gt;Lucas Luiz Romero")*(10/1083),0)))))),0)</f>
        <v/>
      </c>
      <c r="K4330" s="3">
        <f>I4330-J4330</f>
        <v/>
      </c>
      <c r="L4330" s="3">
        <f>IF(K4330&lt;-5,"CRÍTICO",IF(K4330&lt;0,"ATENÇÃO",IF(K4330&lt;=5,"OPORTUNO","MUITO BOM")))</f>
        <v/>
      </c>
      <c r="M4330" s="3" t="n">
        <v>8</v>
      </c>
      <c r="N4330" s="3" t="n">
        <v>100</v>
      </c>
      <c r="O4330" s="12" t="n">
        <v>34.66666666666667</v>
      </c>
    </row>
    <row r="4331">
      <c r="A4331" s="7" t="n">
        <v>46162</v>
      </c>
      <c r="B4331" s="8" t="inlineStr">
        <is>
          <t>Isabella Borges de Oliveira</t>
        </is>
      </c>
      <c r="C4331" s="1" t="inlineStr">
        <is>
          <t>Técnico II</t>
        </is>
      </c>
      <c r="D4331" s="3" t="n">
        <v>24</v>
      </c>
      <c r="E4331" s="3" t="n">
        <v>24</v>
      </c>
      <c r="F4331" s="3" t="n">
        <v>23.52</v>
      </c>
      <c r="G4331" s="3" t="n">
        <v>1</v>
      </c>
      <c r="H4331" s="3" t="n">
        <v>0</v>
      </c>
      <c r="I4331" s="3" t="n">
        <v>25</v>
      </c>
      <c r="J4331" s="3" t="n">
        <v>21</v>
      </c>
      <c r="K4331" s="3" t="n">
        <v>4</v>
      </c>
      <c r="L4331" s="3" t="inlineStr">
        <is>
          <t>BOM</t>
        </is>
      </c>
      <c r="M4331" s="3" t="n">
        <v>22</v>
      </c>
      <c r="N4331" s="3" t="n">
        <v>98.98</v>
      </c>
      <c r="O4331" s="12" t="n">
        <v>19.35483870967742</v>
      </c>
    </row>
    <row r="4332">
      <c r="A4332" s="10" t="n">
        <v>46139</v>
      </c>
      <c r="B4332" t="inlineStr">
        <is>
          <t>Raane Batista Matos</t>
        </is>
      </c>
      <c r="C4332" s="1" t="inlineStr">
        <is>
          <t>Técnico I</t>
        </is>
      </c>
      <c r="D4332" s="3" t="n">
        <v>16</v>
      </c>
      <c r="E4332" s="3" t="n">
        <v>14</v>
      </c>
      <c r="F4332" s="3" t="n">
        <v>16.46</v>
      </c>
      <c r="G4332" s="3" t="n">
        <v>0</v>
      </c>
      <c r="H4332" s="3" t="n">
        <v>0</v>
      </c>
      <c r="I4332" s="3">
        <f>E4332+G4332+H4332</f>
        <v/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/>
      </c>
      <c r="K4332" s="3">
        <f>I4332-J4332</f>
        <v/>
      </c>
      <c r="L4332" s="3">
        <f>IF(K4332&lt;-5,"CRÍTICO",IF(K4332&lt;0,"ATENÇÃO",IF(K4332&lt;=5,"OPORTUNO","MUITO BOM")))</f>
        <v/>
      </c>
      <c r="M4332" s="3" t="n">
        <v>11</v>
      </c>
      <c r="N4332" s="3" t="n">
        <v>98.31999999999999</v>
      </c>
      <c r="O4332" s="12" t="n">
        <v>26.85851318944844</v>
      </c>
    </row>
    <row r="4333">
      <c r="A4333" s="10" t="n">
        <v>46139</v>
      </c>
      <c r="B4333" t="inlineStr">
        <is>
          <t>Rafael Gomes de Morais</t>
        </is>
      </c>
      <c r="C4333" s="1" t="inlineStr">
        <is>
          <t>Técnico III</t>
        </is>
      </c>
      <c r="D4333" s="3" t="n">
        <v>18</v>
      </c>
      <c r="E4333" s="3" t="n">
        <v>16</v>
      </c>
      <c r="F4333" s="3" t="n">
        <v>12.28</v>
      </c>
      <c r="G4333" s="3" t="n">
        <v>0</v>
      </c>
      <c r="H4333" s="3" t="n">
        <v>0</v>
      </c>
      <c r="I4333" s="3">
        <f>E4333+G4333+H4333</f>
        <v/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/>
      </c>
      <c r="K4333" s="3">
        <f>I4333-J4333</f>
        <v/>
      </c>
      <c r="L4333" s="3">
        <f>IF(K4333&lt;-5,"CRÍTICO",IF(K4333&lt;0,"ATENÇÃO",IF(K4333&lt;=5,"OPORTUNO","MUITO BOM")))</f>
        <v/>
      </c>
      <c r="M4333" s="3" t="n">
        <v>17</v>
      </c>
      <c r="N4333" s="3" t="n">
        <v>100</v>
      </c>
      <c r="O4333" s="12" t="n">
        <v>31.13553113553114</v>
      </c>
    </row>
    <row r="4334">
      <c r="A4334" s="10" t="n">
        <v>46139</v>
      </c>
      <c r="B4334" t="inlineStr">
        <is>
          <t>Sara Maria Monteiro Lopes</t>
        </is>
      </c>
      <c r="C4334" s="1" t="inlineStr">
        <is>
          <t>Técnico I</t>
        </is>
      </c>
      <c r="D4334" s="3" t="n">
        <v>10</v>
      </c>
      <c r="E4334" s="3" t="n">
        <v>10</v>
      </c>
      <c r="F4334" s="3" t="n">
        <v>25.09</v>
      </c>
      <c r="G4334" s="3" t="n">
        <v>0</v>
      </c>
      <c r="H4334" s="3" t="n">
        <v>0</v>
      </c>
      <c r="I4334" s="3">
        <f>E4334+G4334+H4334</f>
        <v/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/>
      </c>
      <c r="K4334" s="3">
        <f>I4334-J4334</f>
        <v/>
      </c>
      <c r="L4334" s="3">
        <f>IF(K4334&lt;-5,"CRÍTICO",IF(K4334&lt;0,"ATENÇÃO",IF(K4334&lt;=5,"OPORTUNO","MUITO BOM")))</f>
        <v/>
      </c>
      <c r="M4334" s="3" t="n">
        <v>9</v>
      </c>
      <c r="N4334" s="3" t="n">
        <v>100</v>
      </c>
      <c r="O4334" s="12" t="n">
        <v>26.36986301369863</v>
      </c>
    </row>
    <row r="4335">
      <c r="A4335" s="10" t="n">
        <v>46139</v>
      </c>
      <c r="B4335" t="inlineStr">
        <is>
          <t>Sarah Steffanie de Lima Borges</t>
        </is>
      </c>
      <c r="C4335" s="1" t="inlineStr">
        <is>
          <t>Técnico III</t>
        </is>
      </c>
      <c r="D4335" s="3" t="n">
        <v>16</v>
      </c>
      <c r="E4335" s="3" t="n">
        <v>15</v>
      </c>
      <c r="F4335" s="3" t="n">
        <v>16.55</v>
      </c>
      <c r="G4335" s="3" t="n">
        <v>0</v>
      </c>
      <c r="H4335" s="3" t="n">
        <v>0</v>
      </c>
      <c r="I4335" s="3">
        <f>E4335+G4335+H4335</f>
        <v/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/>
      </c>
      <c r="K4335" s="3">
        <f>I4335-J4335</f>
        <v/>
      </c>
      <c r="L4335" s="3">
        <f>IF(K4335&lt;-5,"CRÍTICO",IF(K4335&lt;0,"ATENÇÃO",IF(K4335&lt;=5,"OPORTUNO","MUITO BOM")))</f>
        <v/>
      </c>
      <c r="M4335" s="3" t="n">
        <v>14</v>
      </c>
      <c r="N4335" s="3" t="n">
        <v>99.20999999999999</v>
      </c>
      <c r="O4335" s="12" t="n">
        <v>25.18891687657431</v>
      </c>
    </row>
    <row r="4336">
      <c r="A4336" s="7" t="n">
        <v>46162</v>
      </c>
      <c r="B4336" s="8" t="inlineStr">
        <is>
          <t>Jessica Faria da Silveira</t>
        </is>
      </c>
      <c r="C4336" s="1" t="inlineStr">
        <is>
          <t>Técnico II</t>
        </is>
      </c>
      <c r="D4336" s="3" t="n">
        <v>32</v>
      </c>
      <c r="E4336" s="3" t="n">
        <v>26</v>
      </c>
      <c r="F4336" s="3" t="n">
        <v>14.11</v>
      </c>
      <c r="G4336" s="3" t="n">
        <v>0</v>
      </c>
      <c r="H4336" s="3" t="n">
        <v>0</v>
      </c>
      <c r="I4336" s="3" t="n">
        <v>26</v>
      </c>
      <c r="J4336" s="3" t="n">
        <v>21</v>
      </c>
      <c r="K4336" s="3" t="n">
        <v>5</v>
      </c>
      <c r="L4336" s="3" t="inlineStr">
        <is>
          <t>BOM</t>
        </is>
      </c>
      <c r="M4336" s="3" t="n">
        <v>23</v>
      </c>
      <c r="N4336" s="3" t="n">
        <v>98.94</v>
      </c>
      <c r="O4336" s="12" t="n">
        <v>21.2707182320442</v>
      </c>
    </row>
    <row r="4337">
      <c r="A4337" s="7" t="n">
        <v>46162</v>
      </c>
      <c r="B4337" s="8" t="inlineStr">
        <is>
          <t>Lizandra Gomes Duarte</t>
        </is>
      </c>
      <c r="C4337" s="1" t="inlineStr">
        <is>
          <t>Técnico II</t>
        </is>
      </c>
      <c r="D4337" s="3" t="n">
        <v>25</v>
      </c>
      <c r="E4337" s="3" t="n">
        <v>23</v>
      </c>
      <c r="F4337" s="3" t="n">
        <v>20.02</v>
      </c>
      <c r="G4337" s="3" t="n">
        <v>2</v>
      </c>
      <c r="H4337" s="3" t="n">
        <v>0</v>
      </c>
      <c r="I4337" s="3" t="n">
        <v>25</v>
      </c>
      <c r="J4337" s="3" t="n">
        <v>21</v>
      </c>
      <c r="K4337" s="3" t="n">
        <v>4</v>
      </c>
      <c r="L4337" s="3" t="inlineStr">
        <is>
          <t>BOM</t>
        </is>
      </c>
      <c r="M4337" s="3" t="n">
        <v>19</v>
      </c>
      <c r="N4337" s="3" t="n">
        <v>99</v>
      </c>
      <c r="O4337" s="12" t="n">
        <v>22.01086956521739</v>
      </c>
    </row>
    <row r="4338">
      <c r="A4338" s="7" t="n">
        <v>46162</v>
      </c>
      <c r="B4338" s="8" t="inlineStr">
        <is>
          <t>Lorena Dias de Araujo</t>
        </is>
      </c>
      <c r="C4338" s="1" t="inlineStr">
        <is>
          <t>Técnico II</t>
        </is>
      </c>
      <c r="D4338" s="3" t="n">
        <v>16</v>
      </c>
      <c r="E4338" s="3" t="n">
        <v>13</v>
      </c>
      <c r="F4338" s="3" t="n">
        <v>25.44</v>
      </c>
      <c r="G4338" s="3" t="n">
        <v>0</v>
      </c>
      <c r="H4338" s="3" t="n">
        <v>0</v>
      </c>
      <c r="I4338" s="3" t="n">
        <v>13</v>
      </c>
      <c r="J4338" s="3" t="n">
        <v>21</v>
      </c>
      <c r="K4338" s="3" t="n">
        <v>-8</v>
      </c>
      <c r="L4338" s="3" t="inlineStr">
        <is>
          <t>CRÍTICO</t>
        </is>
      </c>
      <c r="M4338" s="3" t="n">
        <v>8</v>
      </c>
      <c r="N4338" s="3" t="n">
        <v>100</v>
      </c>
      <c r="O4338" s="12" t="n">
        <v>25</v>
      </c>
    </row>
    <row r="4339">
      <c r="A4339" s="7" t="n">
        <v>46162</v>
      </c>
      <c r="B4339" s="8" t="inlineStr">
        <is>
          <t>Patrícia Karla de Sousa Araújo</t>
        </is>
      </c>
      <c r="C4339" s="1" t="inlineStr">
        <is>
          <t>Técnico II</t>
        </is>
      </c>
      <c r="D4339" s="3" t="n">
        <v>0</v>
      </c>
      <c r="E4339" s="3" t="n">
        <v>0</v>
      </c>
      <c r="F4339" s="3" t="n">
        <v>0</v>
      </c>
      <c r="G4339" s="3" t="n">
        <v>0</v>
      </c>
      <c r="H4339" s="3" t="n">
        <v>0</v>
      </c>
      <c r="I4339" s="3" t="n">
        <v>0</v>
      </c>
      <c r="J4339" s="3" t="n">
        <v>0</v>
      </c>
      <c r="K4339" s="3" t="n">
        <v>0</v>
      </c>
      <c r="L4339" s="3" t="inlineStr">
        <is>
          <t>BOM</t>
        </is>
      </c>
      <c r="M4339" s="3" t="n">
        <v>0</v>
      </c>
      <c r="N4339" s="3" t="n">
        <v>100</v>
      </c>
      <c r="O4339" s="12" t="n">
        <v>20.18348623853211</v>
      </c>
    </row>
    <row r="4340">
      <c r="A4340" s="7" t="n">
        <v>46162</v>
      </c>
      <c r="B4340" s="8" t="inlineStr">
        <is>
          <t>Ana Karollyne Souza Faria</t>
        </is>
      </c>
      <c r="C4340" s="1" t="inlineStr">
        <is>
          <t>Técnico I</t>
        </is>
      </c>
      <c r="D4340" s="3" t="n">
        <v>26</v>
      </c>
      <c r="E4340" s="3" t="n">
        <v>25</v>
      </c>
      <c r="F4340" s="3" t="n">
        <v>15.37</v>
      </c>
      <c r="G4340" s="3" t="n">
        <v>1</v>
      </c>
      <c r="H4340" s="3" t="n">
        <v>0</v>
      </c>
      <c r="I4340" s="3" t="n">
        <v>26</v>
      </c>
      <c r="J4340" s="3" t="n">
        <v>17</v>
      </c>
      <c r="K4340" s="3" t="n">
        <v>9</v>
      </c>
      <c r="L4340" s="3" t="inlineStr">
        <is>
          <t>EXCELENTE</t>
        </is>
      </c>
      <c r="M4340" s="3" t="n">
        <v>27</v>
      </c>
      <c r="N4340" s="3" t="n">
        <v>96.25</v>
      </c>
      <c r="O4340" s="12" t="n">
        <v>25.5863539445629</v>
      </c>
    </row>
    <row r="4341">
      <c r="A4341" s="7" t="n">
        <v>46162</v>
      </c>
      <c r="B4341" s="8" t="inlineStr">
        <is>
          <t>Clessiane Pereira dos Santos</t>
        </is>
      </c>
      <c r="C4341" s="1" t="inlineStr">
        <is>
          <t>Técnico I</t>
        </is>
      </c>
      <c r="D4341" s="3" t="n">
        <v>23</v>
      </c>
      <c r="E4341" s="3" t="n">
        <v>23</v>
      </c>
      <c r="F4341" s="3" t="n">
        <v>15.5</v>
      </c>
      <c r="G4341" s="3" t="n">
        <v>1</v>
      </c>
      <c r="H4341" s="3" t="n">
        <v>0</v>
      </c>
      <c r="I4341" s="3" t="n">
        <v>24</v>
      </c>
      <c r="J4341" s="3" t="n">
        <v>17</v>
      </c>
      <c r="K4341" s="3" t="n">
        <v>7</v>
      </c>
      <c r="L4341" s="3" t="inlineStr">
        <is>
          <t>EXCELENTE</t>
        </is>
      </c>
      <c r="M4341" s="3" t="n">
        <v>22</v>
      </c>
      <c r="N4341" s="3" t="n">
        <v>97.48</v>
      </c>
      <c r="O4341" s="12" t="n">
        <v>22.99465240641711</v>
      </c>
    </row>
    <row r="4342">
      <c r="A4342" s="7" t="n">
        <v>46162</v>
      </c>
      <c r="B4342" s="8" t="inlineStr">
        <is>
          <t>Daniel Gomes da Silva</t>
        </is>
      </c>
      <c r="C4342" s="1" t="inlineStr">
        <is>
          <t>Técnico I</t>
        </is>
      </c>
      <c r="D4342" s="3" t="n">
        <v>17</v>
      </c>
      <c r="E4342" s="3" t="n">
        <v>14</v>
      </c>
      <c r="F4342" s="3" t="n">
        <v>15.58</v>
      </c>
      <c r="G4342" s="3" t="n">
        <v>2</v>
      </c>
      <c r="H4342" s="3" t="n">
        <v>0</v>
      </c>
      <c r="I4342" s="3" t="n">
        <v>16</v>
      </c>
      <c r="J4342" s="3" t="n">
        <v>17</v>
      </c>
      <c r="K4342" s="3" t="n">
        <v>-1</v>
      </c>
      <c r="L4342" s="3" t="inlineStr">
        <is>
          <t>ATENÇÃO</t>
        </is>
      </c>
      <c r="M4342" s="3" t="n">
        <v>13</v>
      </c>
      <c r="N4342" s="3" t="n">
        <v>100</v>
      </c>
      <c r="O4342" s="12" t="n">
        <v>20.78853046594982</v>
      </c>
    </row>
    <row r="4343">
      <c r="A4343" s="7" t="n">
        <v>46162</v>
      </c>
      <c r="B4343" s="8" t="inlineStr">
        <is>
          <t>Luiz Fernando de Carvalho Junior</t>
        </is>
      </c>
      <c r="C4343" s="1" t="inlineStr">
        <is>
          <t>Técnico I</t>
        </is>
      </c>
      <c r="D4343" s="3" t="n">
        <v>18</v>
      </c>
      <c r="E4343" s="3" t="n">
        <v>17</v>
      </c>
      <c r="F4343" s="3" t="n">
        <v>15.33</v>
      </c>
      <c r="G4343" s="3" t="n">
        <v>1</v>
      </c>
      <c r="H4343" s="3" t="n">
        <v>0</v>
      </c>
      <c r="I4343" s="3" t="n">
        <v>18</v>
      </c>
      <c r="J4343" s="3" t="n">
        <v>17</v>
      </c>
      <c r="K4343" s="3" t="n">
        <v>1</v>
      </c>
      <c r="L4343" s="3" t="inlineStr">
        <is>
          <t>BOM</t>
        </is>
      </c>
      <c r="M4343" s="3" t="n">
        <v>16</v>
      </c>
      <c r="N4343" s="3" t="n">
        <v>94.55</v>
      </c>
      <c r="O4343" s="12" t="n">
        <v>23.45013477088949</v>
      </c>
    </row>
    <row r="4344">
      <c r="A4344" s="7" t="n">
        <v>46162</v>
      </c>
      <c r="B4344" s="8" t="inlineStr">
        <is>
          <t>Raane Batista Matos</t>
        </is>
      </c>
      <c r="C4344" s="1" t="inlineStr">
        <is>
          <t>Técnico I</t>
        </is>
      </c>
      <c r="D4344" s="3" t="n">
        <v>25</v>
      </c>
      <c r="E4344" s="3" t="n">
        <v>24</v>
      </c>
      <c r="F4344" s="3" t="n">
        <v>17.06</v>
      </c>
      <c r="G4344" s="3" t="n">
        <v>1</v>
      </c>
      <c r="H4344" s="3" t="n">
        <v>0</v>
      </c>
      <c r="I4344" s="3" t="n">
        <v>25</v>
      </c>
      <c r="J4344" s="3" t="n">
        <v>17</v>
      </c>
      <c r="K4344" s="3" t="n">
        <v>8</v>
      </c>
      <c r="L4344" s="3" t="inlineStr">
        <is>
          <t>EXCELENTE</t>
        </is>
      </c>
      <c r="M4344" s="3" t="n">
        <v>18</v>
      </c>
      <c r="N4344" s="3" t="n">
        <v>98</v>
      </c>
      <c r="O4344" s="12" t="n">
        <v>20.73490813648294</v>
      </c>
    </row>
    <row r="4345">
      <c r="A4345" s="7" t="n">
        <v>46162</v>
      </c>
      <c r="B4345" s="8" t="inlineStr">
        <is>
          <t>Sara Maria Monteiro Lopes</t>
        </is>
      </c>
      <c r="C4345" s="1" t="inlineStr">
        <is>
          <t>Técnico I</t>
        </is>
      </c>
      <c r="D4345" s="3" t="n">
        <v>17</v>
      </c>
      <c r="E4345" s="3" t="n">
        <v>17</v>
      </c>
      <c r="F4345" s="3" t="n">
        <v>34.04</v>
      </c>
      <c r="G4345" s="3" t="n">
        <v>1</v>
      </c>
      <c r="H4345" s="3" t="n">
        <v>0</v>
      </c>
      <c r="I4345" s="3" t="n">
        <v>18</v>
      </c>
      <c r="J4345" s="3" t="n">
        <v>17</v>
      </c>
      <c r="K4345" s="3" t="n">
        <v>1</v>
      </c>
      <c r="L4345" s="3" t="inlineStr">
        <is>
          <t>BOM</t>
        </is>
      </c>
      <c r="M4345" s="3" t="n">
        <v>14</v>
      </c>
      <c r="N4345" s="3" t="n">
        <v>100</v>
      </c>
      <c r="O4345" s="12" t="n">
        <v>18</v>
      </c>
    </row>
    <row r="4346">
      <c r="A4346" s="7" t="n">
        <v>46162</v>
      </c>
      <c r="B4346" s="8" t="inlineStr">
        <is>
          <t>Gabriel Gomes de Andrade</t>
        </is>
      </c>
      <c r="C4346" s="1" t="inlineStr">
        <is>
          <t>Técnico I</t>
        </is>
      </c>
      <c r="D4346" s="3" t="n">
        <v>26</v>
      </c>
      <c r="E4346" s="3" t="n">
        <v>20</v>
      </c>
      <c r="F4346" s="3" t="n">
        <v>15.09</v>
      </c>
      <c r="G4346" s="3" t="n">
        <v>5</v>
      </c>
      <c r="H4346" s="3" t="n">
        <v>2</v>
      </c>
      <c r="I4346" s="3" t="n">
        <v>27</v>
      </c>
      <c r="J4346" s="3" t="n">
        <v>17</v>
      </c>
      <c r="K4346" s="3" t="n">
        <v>10</v>
      </c>
      <c r="L4346" s="3" t="inlineStr">
        <is>
          <t>EXCELENTE</t>
        </is>
      </c>
      <c r="M4346" s="3" t="n">
        <v>21</v>
      </c>
      <c r="N4346" s="3" t="n">
        <v>99.06</v>
      </c>
      <c r="O4346" s="12" t="n">
        <v>19.41747572815534</v>
      </c>
    </row>
    <row r="4347">
      <c r="A4347" s="7" t="n">
        <v>46162</v>
      </c>
      <c r="B4347" s="8" t="inlineStr">
        <is>
          <t>Matheus Farias De Souza</t>
        </is>
      </c>
      <c r="C4347" s="1" t="inlineStr">
        <is>
          <t>Técnico III</t>
        </is>
      </c>
      <c r="D4347" s="3" t="n">
        <v>0</v>
      </c>
      <c r="E4347" s="3" t="n">
        <v>0</v>
      </c>
      <c r="F4347" s="3" t="n">
        <v>0</v>
      </c>
      <c r="G4347" s="3" t="n">
        <v>0</v>
      </c>
      <c r="H4347" s="3" t="n">
        <v>25</v>
      </c>
      <c r="I4347" s="3" t="n">
        <v>25</v>
      </c>
      <c r="J4347" s="3" t="n">
        <v>26</v>
      </c>
      <c r="K4347" s="3" t="n">
        <v>-1</v>
      </c>
      <c r="L4347" s="3" t="inlineStr">
        <is>
          <t>ATENÇÃO</t>
        </is>
      </c>
      <c r="M4347" s="3" t="n">
        <v>16</v>
      </c>
      <c r="N4347" s="3" t="n">
        <v>98.39</v>
      </c>
      <c r="O4347" s="12" t="n">
        <v>8.799999999999999</v>
      </c>
    </row>
    <row r="4348">
      <c r="A4348" s="5" t="n">
        <v>46146</v>
      </c>
      <c r="B4348" s="6" t="inlineStr">
        <is>
          <t>Milena Sales</t>
        </is>
      </c>
      <c r="C4348" s="1" t="inlineStr">
        <is>
          <t>JR</t>
        </is>
      </c>
      <c r="D4348" s="3" t="n">
        <v>42</v>
      </c>
      <c r="E4348" s="3" t="n">
        <v>23</v>
      </c>
      <c r="F4348" s="3" t="n">
        <v>8.34</v>
      </c>
      <c r="G4348" s="3" t="n">
        <v>0</v>
      </c>
      <c r="H4348" s="3" t="n">
        <v>0</v>
      </c>
      <c r="I4348" s="3">
        <f>E4348+G4348+H4348</f>
        <v/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/>
      </c>
      <c r="K4348" s="3">
        <f>I4348-J4348</f>
        <v/>
      </c>
      <c r="L4348" s="3">
        <f>IF(K4348&lt;-5,"CRÍTICO",IF(K4348&lt;0,"ATENÇÃO",IF(K4348&lt;=5,"OPORTUNO","MUITO BOM")))</f>
        <v/>
      </c>
      <c r="M4348" s="3" t="n">
        <v>19</v>
      </c>
      <c r="N4348" s="3" t="n">
        <v>96.83</v>
      </c>
      <c r="O4348" s="12" t="n">
        <v>20.94017094017094</v>
      </c>
    </row>
    <row r="4349">
      <c r="A4349" s="5" t="n">
        <v>46147</v>
      </c>
      <c r="B4349" s="6" t="inlineStr">
        <is>
          <t>Milena Sales</t>
        </is>
      </c>
      <c r="C4349" s="1" t="inlineStr">
        <is>
          <t>JR</t>
        </is>
      </c>
      <c r="D4349" s="3" t="n">
        <v>56</v>
      </c>
      <c r="E4349" s="3" t="n">
        <v>34</v>
      </c>
      <c r="F4349" s="3" t="n">
        <v>11.53</v>
      </c>
      <c r="G4349" s="3" t="n">
        <v>0</v>
      </c>
      <c r="H4349" s="3" t="n">
        <v>0</v>
      </c>
      <c r="I4349" s="3">
        <f>E4349+G4349+H4349</f>
        <v/>
      </c>
      <c r="J4349" s="3">
        <f>ROUND(MIN(IF(C4349="Técnico III",35,IF(C4349="Técnico II",28,IF(C4349="Técnico I",23,IF(C4349="JR",20,IF(C4349="Estágio",10,0))))),IF(C4349="Técnico III",SUMIFS($D:$D,$A:$A,$A4349,$B:$B,"&lt;&gt;Patrícia Karla de Sousa Araújo",$B:$B,"&lt;&gt;Lorena Dias de Araujo",$B:$B,"&lt;&gt;Lucas Luiz Romero")*(35/1083),IF(C4349="Técnico II",SUMIFS($D:$D,$A:$A,$A4349,$B:$B,"&lt;&gt;Patrícia Karla de Sousa Araújo",$B:$B,"&lt;&gt;Lorena Dias de Araujo",$B:$B,"&lt;&gt;Lucas Luiz Romero")*(28/1083),IF(C4349="Técnico I",SUMIFS($D:$D,$A:$A,$A4349,$B:$B,"&lt;&gt;Patrícia Karla de Sousa Araújo",$B:$B,"&lt;&gt;Lorena Dias de Araujo",$B:$B,"&lt;&gt;Lucas Luiz Romero")*(23/1083),IF(C4349="JR",SUMIFS($D:$D,$A:$A,$A4349,$B:$B,"&lt;&gt;Patrícia Karla de Sousa Araújo",$B:$B,"&lt;&gt;Lorena Dias de Araujo",$B:$B,"&lt;&gt;Lucas Luiz Romero")*(20/1083),IF(C4349="Estágio",SUMIFS($D:$D,$A:$A,$A4349,$B:$B,"&lt;&gt;Patrícia Karla de Sousa Araújo",$B:$B,"&lt;&gt;Lorena Dias de Araujo",$B:$B,"&lt;&gt;Lucas Luiz Romero")*(10/1083),0)))))),0)</f>
        <v/>
      </c>
      <c r="K4349" s="3">
        <f>I4349-J4349</f>
        <v/>
      </c>
      <c r="L4349" s="3">
        <f>IF(K4349&lt;-5,"CRÍTICO",IF(K4349&lt;0,"ATENÇÃO",IF(K4349&lt;=5,"OPORTUNO","MUITO BOM")))</f>
        <v/>
      </c>
      <c r="M4349" s="3" t="n">
        <v>22</v>
      </c>
      <c r="N4349" s="3" t="n">
        <v>96.83</v>
      </c>
      <c r="O4349" s="12" t="n">
        <v>20.94017094017094</v>
      </c>
    </row>
    <row r="4350">
      <c r="A4350" s="5" t="n">
        <v>46148</v>
      </c>
      <c r="B4350" s="6" t="inlineStr">
        <is>
          <t>Milena Sales</t>
        </is>
      </c>
      <c r="C4350" s="1" t="inlineStr">
        <is>
          <t>JR</t>
        </is>
      </c>
      <c r="D4350" s="3" t="n">
        <v>0</v>
      </c>
      <c r="E4350" s="3" t="n">
        <v>0</v>
      </c>
      <c r="F4350" s="3" t="n">
        <v>0</v>
      </c>
      <c r="G4350" s="3" t="n">
        <v>0</v>
      </c>
      <c r="H4350" s="3" t="n">
        <v>0</v>
      </c>
      <c r="I4350" s="3" t="n">
        <v>0</v>
      </c>
      <c r="J4350" s="3" t="n">
        <v>0</v>
      </c>
      <c r="K4350" s="3" t="n">
        <v>0</v>
      </c>
      <c r="L4350" s="3">
        <f>IF(K4350&lt;-5,"CRÍTICO",IF(K4350&lt;0,"ATENÇÃO",IF(K4350&lt;=5,"OPORTUNO","MUITO BOM")))</f>
        <v/>
      </c>
      <c r="M4350" s="3" t="n">
        <v>0</v>
      </c>
      <c r="N4350" s="3" t="n">
        <v>96.83</v>
      </c>
      <c r="O4350" s="12" t="n">
        <v>20.94017094017094</v>
      </c>
    </row>
    <row r="4351">
      <c r="A4351" s="5" t="n">
        <v>46149</v>
      </c>
      <c r="B4351" s="6" t="inlineStr">
        <is>
          <t>Milena Sales</t>
        </is>
      </c>
      <c r="C4351" s="1" t="inlineStr">
        <is>
          <t>JR</t>
        </is>
      </c>
      <c r="D4351" s="3" t="n">
        <v>0</v>
      </c>
      <c r="E4351" s="3" t="n">
        <v>0</v>
      </c>
      <c r="F4351" s="3" t="n">
        <v>0</v>
      </c>
      <c r="G4351" s="3" t="n">
        <v>0</v>
      </c>
      <c r="H4351" s="3" t="n">
        <v>0</v>
      </c>
      <c r="I4351" s="3" t="n">
        <v>0</v>
      </c>
      <c r="J4351" s="3" t="n">
        <v>0</v>
      </c>
      <c r="K4351" s="3" t="n">
        <v>0</v>
      </c>
      <c r="L4351" s="3">
        <f>IF(K4351&lt;-5,"CRÍTICO",IF(K4351&lt;0,"ATENÇÃO",IF(K4351&lt;=5,"OPORTUNO","MUITO BOM")))</f>
        <v/>
      </c>
      <c r="M4351" s="3" t="n">
        <v>0</v>
      </c>
      <c r="N4351" s="3" t="n">
        <v>96.83</v>
      </c>
      <c r="O4351" s="12" t="n">
        <v>20.94017094017094</v>
      </c>
    </row>
    <row r="4352">
      <c r="A4352" s="5" t="n">
        <v>46150</v>
      </c>
      <c r="B4352" s="6" t="inlineStr">
        <is>
          <t>Milena Sales</t>
        </is>
      </c>
      <c r="C4352" s="1" t="inlineStr">
        <is>
          <t>JR</t>
        </is>
      </c>
      <c r="D4352" s="3" t="n">
        <v>53</v>
      </c>
      <c r="E4352" s="3" t="n">
        <v>26</v>
      </c>
      <c r="F4352" s="3" t="n">
        <v>5.5</v>
      </c>
      <c r="G4352" s="3" t="n">
        <v>0</v>
      </c>
      <c r="H4352" s="3" t="n">
        <v>0</v>
      </c>
      <c r="I4352" s="3">
        <f>E4352+G4352+H4352</f>
        <v/>
      </c>
      <c r="J4352" s="3">
        <f>ROUND(MIN(IF(C4352="Técnico III",35,IF(C4352="Técnico II",28,IF(C4352="Técnico I",23,IF(C4352="JR",20,IF(C4352="Estágio",10,0))))),IF(C4352="Técnico III",SUMIFS($D:$D,$A:$A,$A4352,$B:$B,"&lt;&gt;Patrícia Karla de Sousa Araújo",$B:$B,"&lt;&gt;Lorena Dias de Araujo",$B:$B,"&lt;&gt;Lucas Luiz Romero")*(35/1083),IF(C4352="Técnico II",SUMIFS($D:$D,$A:$A,$A4352,$B:$B,"&lt;&gt;Patrícia Karla de Sousa Araújo",$B:$B,"&lt;&gt;Lorena Dias de Araujo",$B:$B,"&lt;&gt;Lucas Luiz Romero")*(28/1083),IF(C4352="Técnico I",SUMIFS($D:$D,$A:$A,$A4352,$B:$B,"&lt;&gt;Patrícia Karla de Sousa Araújo",$B:$B,"&lt;&gt;Lorena Dias de Araujo",$B:$B,"&lt;&gt;Lucas Luiz Romero")*(23/1083),IF(C4352="JR",SUMIFS($D:$D,$A:$A,$A4352,$B:$B,"&lt;&gt;Patrícia Karla de Sousa Araújo",$B:$B,"&lt;&gt;Lorena Dias de Araujo",$B:$B,"&lt;&gt;Lucas Luiz Romero")*(20/1083),IF(C4352="Estágio",SUMIFS($D:$D,$A:$A,$A4352,$B:$B,"&lt;&gt;Patrícia Karla de Sousa Araújo",$B:$B,"&lt;&gt;Lorena Dias de Araujo",$B:$B,"&lt;&gt;Lucas Luiz Romero")*(10/1083),0)))))),0)</f>
        <v/>
      </c>
      <c r="K4352" s="3">
        <f>I4352-J4352</f>
        <v/>
      </c>
      <c r="L4352" s="3">
        <f>IF(K4352&lt;-5,"CRÍTICO",IF(K4352&lt;0,"ATENÇÃO",IF(K4352&lt;=5,"OPORTUNO","MUITO BOM")))</f>
        <v/>
      </c>
      <c r="M4352" s="3" t="n">
        <v>20</v>
      </c>
      <c r="N4352" s="3" t="n">
        <v>96.83</v>
      </c>
      <c r="O4352" s="12" t="n">
        <v>20.94017094017094</v>
      </c>
    </row>
    <row r="4353">
      <c r="A4353" s="5" t="n">
        <v>46153</v>
      </c>
      <c r="B4353" s="6" t="inlineStr">
        <is>
          <t>Milena Sales</t>
        </is>
      </c>
      <c r="C4353" s="1" t="inlineStr">
        <is>
          <t>JR</t>
        </is>
      </c>
      <c r="D4353" s="3" t="n">
        <v>44</v>
      </c>
      <c r="E4353" s="3" t="n">
        <v>23</v>
      </c>
      <c r="F4353" s="3" t="n">
        <v>10.02</v>
      </c>
      <c r="G4353" s="3" t="n">
        <v>0</v>
      </c>
      <c r="H4353" s="3" t="n">
        <v>0</v>
      </c>
      <c r="I4353" s="3">
        <f>E4353+G4353+H4353</f>
        <v/>
      </c>
      <c r="J4353" s="3">
        <f>ROUND(MIN(IF(C4353="Técnico III",35,IF(C4353="Técnico II",28,IF(C4353="Técnico I",23,IF(C4353="JR",20,IF(C4353="Estágio",10,0))))),IF(C4353="Técnico III",SUMIFS($D:$D,$A:$A,$A4353,$B:$B,"&lt;&gt;Patrícia Karla de Sousa Araújo",$B:$B,"&lt;&gt;Lorena Dias de Araujo",$B:$B,"&lt;&gt;Lucas Luiz Romero")*(35/1083),IF(C4353="Técnico II",SUMIFS($D:$D,$A:$A,$A4353,$B:$B,"&lt;&gt;Patrícia Karla de Sousa Araújo",$B:$B,"&lt;&gt;Lorena Dias de Araujo",$B:$B,"&lt;&gt;Lucas Luiz Romero")*(28/1083),IF(C4353="Técnico I",SUMIFS($D:$D,$A:$A,$A4353,$B:$B,"&lt;&gt;Patrícia Karla de Sousa Araújo",$B:$B,"&lt;&gt;Lorena Dias de Araujo",$B:$B,"&lt;&gt;Lucas Luiz Romero")*(23/1083),IF(C4353="JR",SUMIFS($D:$D,$A:$A,$A4353,$B:$B,"&lt;&gt;Patrícia Karla de Sousa Araújo",$B:$B,"&lt;&gt;Lorena Dias de Araujo",$B:$B,"&lt;&gt;Lucas Luiz Romero")*(20/1083),IF(C4353="Estágio",SUMIFS($D:$D,$A:$A,$A4353,$B:$B,"&lt;&gt;Patrícia Karla de Sousa Araújo",$B:$B,"&lt;&gt;Lorena Dias de Araujo",$B:$B,"&lt;&gt;Lucas Luiz Romero")*(10/1083),0)))))),0)</f>
        <v/>
      </c>
      <c r="K4353" s="3">
        <f>I4353-J4353</f>
        <v/>
      </c>
      <c r="L4353" s="3">
        <f>IF(K4353&lt;-5,"CRÍTICO",IF(K4353&lt;0,"ATENÇÃO",IF(K4353&lt;=5,"OPORTUNO","MUITO BOM")))</f>
        <v/>
      </c>
      <c r="M4353" s="3" t="n">
        <v>13</v>
      </c>
      <c r="N4353" s="3" t="n">
        <v>96.83</v>
      </c>
      <c r="O4353" s="12" t="n">
        <v>20.94017094017094</v>
      </c>
    </row>
    <row r="4354">
      <c r="A4354" s="5" t="n">
        <v>46154</v>
      </c>
      <c r="B4354" s="6" t="inlineStr">
        <is>
          <t>Milena Sales</t>
        </is>
      </c>
      <c r="C4354" s="1" t="inlineStr">
        <is>
          <t>JR</t>
        </is>
      </c>
      <c r="D4354" s="3" t="n">
        <v>47</v>
      </c>
      <c r="E4354" s="3" t="n">
        <v>23</v>
      </c>
      <c r="F4354" s="3" t="n">
        <v>8.380000000000001</v>
      </c>
      <c r="G4354" s="3" t="n">
        <v>0</v>
      </c>
      <c r="H4354" s="3" t="n">
        <v>0</v>
      </c>
      <c r="I4354" s="3">
        <f>E4354+G4354+H4354</f>
        <v/>
      </c>
      <c r="J4354" s="3">
        <f>ROUND(MIN(IF(C4354="Técnico III",35,IF(C4354="Técnico II",28,IF(C4354="Técnico I",23,IF(C4354="JR",20,IF(C4354="Estágio",10,0))))),IF(C4354="Técnico III",SUMIFS($D:$D,$A:$A,$A4354,$B:$B,"&lt;&gt;Patrícia Karla de Sousa Araújo",$B:$B,"&lt;&gt;Lorena Dias de Araujo",$B:$B,"&lt;&gt;Lucas Luiz Romero")*(35/1083),IF(C4354="Técnico II",SUMIFS($D:$D,$A:$A,$A4354,$B:$B,"&lt;&gt;Patrícia Karla de Sousa Araújo",$B:$B,"&lt;&gt;Lorena Dias de Araujo",$B:$B,"&lt;&gt;Lucas Luiz Romero")*(28/1083),IF(C4354="Técnico I",SUMIFS($D:$D,$A:$A,$A4354,$B:$B,"&lt;&gt;Patrícia Karla de Sousa Araújo",$B:$B,"&lt;&gt;Lorena Dias de Araujo",$B:$B,"&lt;&gt;Lucas Luiz Romero")*(23/1083),IF(C4354="JR",SUMIFS($D:$D,$A:$A,$A4354,$B:$B,"&lt;&gt;Patrícia Karla de Sousa Araújo",$B:$B,"&lt;&gt;Lorena Dias de Araujo",$B:$B,"&lt;&gt;Lucas Luiz Romero")*(20/1083),IF(C4354="Estágio",SUMIFS($D:$D,$A:$A,$A4354,$B:$B,"&lt;&gt;Patrícia Karla de Sousa Araújo",$B:$B,"&lt;&gt;Lorena Dias de Araujo",$B:$B,"&lt;&gt;Lucas Luiz Romero")*(10/1083),0)))))),0)</f>
        <v/>
      </c>
      <c r="K4354" s="3">
        <f>I4354-J4354</f>
        <v/>
      </c>
      <c r="L4354" s="3">
        <f>IF(K4354&lt;-5,"CRÍTICO",IF(K4354&lt;0,"ATENÇÃO",IF(K4354&lt;=5,"OPORTUNO","MUITO BOM")))</f>
        <v/>
      </c>
      <c r="M4354" s="3" t="n">
        <v>15</v>
      </c>
      <c r="N4354" s="3" t="n">
        <v>96.83</v>
      </c>
      <c r="O4354" s="12" t="n">
        <v>20.94017094017094</v>
      </c>
    </row>
    <row r="4355">
      <c r="A4355" s="5" t="n">
        <v>46155</v>
      </c>
      <c r="B4355" s="6" t="inlineStr">
        <is>
          <t>Milena Sales</t>
        </is>
      </c>
      <c r="C4355" s="1" t="inlineStr">
        <is>
          <t>JR</t>
        </is>
      </c>
      <c r="D4355" s="3" t="n">
        <v>27</v>
      </c>
      <c r="E4355" s="3" t="n">
        <v>24</v>
      </c>
      <c r="F4355" s="3" t="n">
        <v>17.14</v>
      </c>
      <c r="G4355" s="3" t="n">
        <v>1</v>
      </c>
      <c r="H4355" s="3" t="n">
        <v>0</v>
      </c>
      <c r="I4355" s="3">
        <f>E4355+G4355+H4355</f>
        <v/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/>
      </c>
      <c r="K4355" s="3">
        <f>I4355-J4355</f>
        <v/>
      </c>
      <c r="L4355" s="3">
        <f>IF(K4355&lt;-5,"CRÍTICO",IF(K4355&lt;0,"ATENÇÃO",IF(K4355&lt;=5,"OPORTUNO","MUITO BOM")))</f>
        <v/>
      </c>
      <c r="M4355" s="3" t="n">
        <v>18</v>
      </c>
      <c r="N4355" s="3" t="n">
        <v>96.83</v>
      </c>
      <c r="O4355" s="12" t="n">
        <v>20.94017094017094</v>
      </c>
    </row>
    <row r="4356">
      <c r="A4356" s="5" t="n">
        <v>46156</v>
      </c>
      <c r="B4356" s="6" t="inlineStr">
        <is>
          <t>Milena Sales</t>
        </is>
      </c>
      <c r="C4356" s="1" t="inlineStr">
        <is>
          <t>JR</t>
        </is>
      </c>
      <c r="D4356" s="3" t="n">
        <v>26</v>
      </c>
      <c r="E4356" s="3" t="n">
        <v>19</v>
      </c>
      <c r="F4356" s="3" t="n">
        <v>12.17</v>
      </c>
      <c r="G4356" s="3" t="n">
        <v>4</v>
      </c>
      <c r="H4356" s="3" t="n">
        <v>0</v>
      </c>
      <c r="I4356" s="3">
        <f>E4356+G4356+H4356</f>
        <v/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/>
      </c>
      <c r="K4356" s="3">
        <f>I4356-J4356</f>
        <v/>
      </c>
      <c r="L4356" s="3">
        <f>IF(K4356&lt;-5,"CRÍTICO",IF(K4356&lt;0,"ATENÇÃO",IF(K4356&lt;=5,"OPORTUNO","MUITO BOM")))</f>
        <v/>
      </c>
      <c r="M4356" s="3" t="n">
        <v>15</v>
      </c>
      <c r="N4356" s="3" t="n">
        <v>96.83</v>
      </c>
      <c r="O4356" s="12" t="n">
        <v>20.94017094017094</v>
      </c>
    </row>
    <row r="4357">
      <c r="A4357" s="5" t="n">
        <v>46157</v>
      </c>
      <c r="B4357" s="6" t="inlineStr">
        <is>
          <t>Milena Sales</t>
        </is>
      </c>
      <c r="C4357" s="1" t="inlineStr">
        <is>
          <t>JR</t>
        </is>
      </c>
      <c r="D4357" s="3" t="n">
        <v>29</v>
      </c>
      <c r="E4357" s="3" t="n">
        <v>21</v>
      </c>
      <c r="F4357" s="3" t="n">
        <v>13.55</v>
      </c>
      <c r="G4357" s="3" t="n">
        <v>2</v>
      </c>
      <c r="H4357" s="3" t="n">
        <v>0</v>
      </c>
      <c r="I4357" s="3">
        <f>E4357+G4357+H4357</f>
        <v/>
      </c>
      <c r="J4357" s="3">
        <f>ROUND(MIN(IF(C4357="Técnico III",35,IF(C4357="Técnico II",28,IF(C4357="Técnico I",23,IF(C4357="JR",20,IF(C4357="Estágio",10,0))))),IF(C4357="Técnico III",SUMIFS($D:$D,$A:$A,$A4357,$B:$B,"&lt;&gt;Patrícia Karla de Sousa Araújo",$B:$B,"&lt;&gt;Lorena Dias de Araujo",$B:$B,"&lt;&gt;Lucas Luiz Romero")*(35/1083),IF(C4357="Técnico II",SUMIFS($D:$D,$A:$A,$A4357,$B:$B,"&lt;&gt;Patrícia Karla de Sousa Araújo",$B:$B,"&lt;&gt;Lorena Dias de Araujo",$B:$B,"&lt;&gt;Lucas Luiz Romero")*(28/1083),IF(C4357="Técnico I",SUMIFS($D:$D,$A:$A,$A4357,$B:$B,"&lt;&gt;Patrícia Karla de Sousa Araújo",$B:$B,"&lt;&gt;Lorena Dias de Araujo",$B:$B,"&lt;&gt;Lucas Luiz Romero")*(23/1083),IF(C4357="JR",SUMIFS($D:$D,$A:$A,$A4357,$B:$B,"&lt;&gt;Patrícia Karla de Sousa Araújo",$B:$B,"&lt;&gt;Lorena Dias de Araujo",$B:$B,"&lt;&gt;Lucas Luiz Romero")*(20/1083),IF(C4357="Estágio",SUMIFS($D:$D,$A:$A,$A4357,$B:$B,"&lt;&gt;Patrícia Karla de Sousa Araújo",$B:$B,"&lt;&gt;Lorena Dias de Araujo",$B:$B,"&lt;&gt;Lucas Luiz Romero")*(10/1083),0)))))),0)</f>
        <v/>
      </c>
      <c r="K4357" s="3">
        <f>I4357-J4357</f>
        <v/>
      </c>
      <c r="L4357" s="3">
        <f>IF(K4357&lt;-5,"CRÍTICO",IF(K4357&lt;0,"ATENÇÃO",IF(K4357&lt;=5,"OPORTUNO","MUITO BOM")))</f>
        <v/>
      </c>
      <c r="M4357" s="3" t="n">
        <v>19</v>
      </c>
      <c r="N4357" s="3" t="n">
        <v>96.83</v>
      </c>
      <c r="O4357" s="12" t="n">
        <v>20.94017094017094</v>
      </c>
    </row>
    <row r="4358">
      <c r="A4358" s="5" t="n">
        <v>46160</v>
      </c>
      <c r="B4358" s="6" t="inlineStr">
        <is>
          <t>Milena Sales</t>
        </is>
      </c>
      <c r="C4358" s="1" t="inlineStr">
        <is>
          <t>JR</t>
        </is>
      </c>
      <c r="D4358" s="3" t="n">
        <v>11</v>
      </c>
      <c r="E4358" s="3" t="n">
        <v>9</v>
      </c>
      <c r="F4358" s="3" t="n">
        <v>13.56</v>
      </c>
      <c r="G4358" s="3" t="n">
        <v>1</v>
      </c>
      <c r="H4358" s="3" t="n">
        <v>0</v>
      </c>
      <c r="I4358" s="3" t="n">
        <v>10</v>
      </c>
      <c r="J4358" s="3" t="n">
        <v>15</v>
      </c>
      <c r="K4358" s="3" t="n">
        <v>-5</v>
      </c>
      <c r="L4358" s="3" t="inlineStr">
        <is>
          <t>ATENÇÃO</t>
        </is>
      </c>
      <c r="M4358" s="3" t="n">
        <v>6</v>
      </c>
      <c r="N4358" s="3" t="n">
        <v>96.83</v>
      </c>
      <c r="O4358" s="12" t="n">
        <v>20.94017094017094</v>
      </c>
    </row>
    <row r="4359">
      <c r="A4359" s="5" t="n">
        <v>46163</v>
      </c>
      <c r="B4359" s="6" t="inlineStr">
        <is>
          <t>Amanda Moura Ferreira</t>
        </is>
      </c>
      <c r="C4359" s="1" t="inlineStr">
        <is>
          <t>Técnico III</t>
        </is>
      </c>
      <c r="D4359" s="3" t="n">
        <v>0</v>
      </c>
      <c r="E4359" s="3" t="n">
        <v>0</v>
      </c>
      <c r="F4359" s="3" t="n">
        <v>0</v>
      </c>
      <c r="G4359" s="3" t="n">
        <v>0</v>
      </c>
      <c r="H4359" s="3" t="n">
        <v>0</v>
      </c>
      <c r="I4359" s="3" t="n">
        <v>0</v>
      </c>
      <c r="J4359" s="3" t="n">
        <v>0</v>
      </c>
      <c r="K4359" s="3" t="n">
        <v>0</v>
      </c>
      <c r="L4359" s="3" t="inlineStr">
        <is>
          <t>BOM</t>
        </is>
      </c>
      <c r="M4359" s="3" t="n">
        <v>0</v>
      </c>
      <c r="N4359" s="3" t="n">
        <v>100</v>
      </c>
      <c r="O4359" s="12" t="n">
        <v>0</v>
      </c>
    </row>
    <row r="4360">
      <c r="A4360" s="5" t="n">
        <v>46163</v>
      </c>
      <c r="B4360" s="6" t="inlineStr">
        <is>
          <t>Ana Paula Da Luz Silva Aleixo</t>
        </is>
      </c>
      <c r="C4360" s="1" t="inlineStr">
        <is>
          <t>Técnico III</t>
        </is>
      </c>
      <c r="D4360" s="3" t="n">
        <v>17</v>
      </c>
      <c r="E4360" s="3" t="n">
        <v>15</v>
      </c>
      <c r="F4360" s="3" t="n">
        <v>20.24</v>
      </c>
      <c r="G4360" s="3" t="n">
        <v>0</v>
      </c>
      <c r="H4360" s="3" t="n">
        <v>0</v>
      </c>
      <c r="I4360" s="3" t="n">
        <v>15</v>
      </c>
      <c r="J4360" s="3" t="n">
        <v>22</v>
      </c>
      <c r="K4360" s="3" t="n">
        <v>-7</v>
      </c>
      <c r="L4360" s="3" t="inlineStr">
        <is>
          <t>CRÍTICO</t>
        </is>
      </c>
      <c r="M4360" s="3" t="n">
        <v>13</v>
      </c>
      <c r="N4360" s="3" t="n">
        <v>96.94</v>
      </c>
      <c r="O4360" s="12" t="n">
        <v>19.61325966850829</v>
      </c>
    </row>
    <row r="4361">
      <c r="A4361" s="5" t="n">
        <v>46163</v>
      </c>
      <c r="B4361" s="6" t="inlineStr">
        <is>
          <t>Cristiane Ramos da Silva Rocha</t>
        </is>
      </c>
      <c r="C4361" s="1" t="inlineStr">
        <is>
          <t>Técnico III</t>
        </is>
      </c>
      <c r="D4361" s="3" t="n">
        <v>22</v>
      </c>
      <c r="E4361" s="3" t="n">
        <v>22</v>
      </c>
      <c r="F4361" s="3" t="n">
        <v>13.42</v>
      </c>
      <c r="G4361" s="3" t="n">
        <v>0</v>
      </c>
      <c r="H4361" s="3" t="n">
        <v>0</v>
      </c>
      <c r="I4361" s="3" t="n">
        <v>22</v>
      </c>
      <c r="J4361" s="3" t="n">
        <v>22</v>
      </c>
      <c r="K4361" s="3" t="n">
        <v>0</v>
      </c>
      <c r="L4361" s="3" t="inlineStr">
        <is>
          <t>BOM</t>
        </is>
      </c>
      <c r="M4361" s="3" t="n">
        <v>20</v>
      </c>
      <c r="N4361" s="3" t="n">
        <v>92.81</v>
      </c>
      <c r="O4361" s="12" t="n">
        <v>25.47770700636943</v>
      </c>
    </row>
    <row r="4362">
      <c r="A4362" s="5" t="n">
        <v>46163</v>
      </c>
      <c r="B4362" s="6" t="inlineStr">
        <is>
          <t>Davylla Rodrigues Freitas Silva</t>
        </is>
      </c>
      <c r="C4362" s="1" t="inlineStr">
        <is>
          <t>Técnico III</t>
        </is>
      </c>
      <c r="D4362" s="3" t="n">
        <v>0</v>
      </c>
      <c r="E4362" s="3" t="n">
        <v>0</v>
      </c>
      <c r="F4362" s="3" t="n">
        <v>0</v>
      </c>
      <c r="G4362" s="3" t="n">
        <v>0</v>
      </c>
      <c r="H4362" s="3" t="n">
        <v>0</v>
      </c>
      <c r="I4362" s="3" t="n">
        <v>0</v>
      </c>
      <c r="J4362" s="3" t="n">
        <v>0</v>
      </c>
      <c r="K4362" s="3" t="n">
        <v>0</v>
      </c>
      <c r="L4362" s="3" t="inlineStr">
        <is>
          <t>BOM</t>
        </is>
      </c>
      <c r="M4362" s="3" t="n">
        <v>0</v>
      </c>
      <c r="N4362" s="3" t="n">
        <v>99.19</v>
      </c>
      <c r="O4362" s="12" t="n">
        <v>28.40466926070039</v>
      </c>
    </row>
    <row r="4363">
      <c r="A4363" s="5" t="n">
        <v>46163</v>
      </c>
      <c r="B4363" s="6" t="inlineStr">
        <is>
          <t>Francielson de Oliveira</t>
        </is>
      </c>
      <c r="C4363" s="1" t="inlineStr">
        <is>
          <t>Técnico III</t>
        </is>
      </c>
      <c r="D4363" s="3" t="n">
        <v>0</v>
      </c>
      <c r="E4363" s="3" t="n">
        <v>0</v>
      </c>
      <c r="F4363" s="3" t="n">
        <v>0</v>
      </c>
      <c r="G4363" s="3" t="n">
        <v>0</v>
      </c>
      <c r="H4363" s="3" t="n">
        <v>0</v>
      </c>
      <c r="I4363" s="3" t="n">
        <v>0</v>
      </c>
      <c r="J4363" s="3" t="n">
        <v>0</v>
      </c>
      <c r="K4363" s="3" t="n">
        <v>0</v>
      </c>
      <c r="L4363" s="3" t="inlineStr">
        <is>
          <t>BOM</t>
        </is>
      </c>
      <c r="M4363" s="3" t="n">
        <v>0</v>
      </c>
      <c r="N4363" s="3" t="n">
        <v>100</v>
      </c>
      <c r="O4363" s="12" t="n">
        <v>13.51351351351351</v>
      </c>
    </row>
    <row r="4364">
      <c r="A4364" s="5" t="n">
        <v>46163</v>
      </c>
      <c r="B4364" s="6" t="inlineStr">
        <is>
          <t>Janaina Lima dos Reis Urany</t>
        </is>
      </c>
      <c r="C4364" s="1" t="inlineStr">
        <is>
          <t>Técnico III</t>
        </is>
      </c>
      <c r="D4364" s="3" t="n">
        <v>31</v>
      </c>
      <c r="E4364" s="3" t="n">
        <v>28</v>
      </c>
      <c r="F4364" s="3" t="n">
        <v>13.35</v>
      </c>
      <c r="G4364" s="3" t="n">
        <v>2</v>
      </c>
      <c r="H4364" s="3" t="n">
        <v>0</v>
      </c>
      <c r="I4364" s="3" t="n">
        <v>30</v>
      </c>
      <c r="J4364" s="3" t="n">
        <v>22</v>
      </c>
      <c r="K4364" s="3" t="n">
        <v>8</v>
      </c>
      <c r="L4364" s="3" t="inlineStr">
        <is>
          <t>EXCELENTE</t>
        </is>
      </c>
      <c r="M4364" s="3" t="n">
        <v>28</v>
      </c>
      <c r="N4364" s="3" t="n">
        <v>99</v>
      </c>
      <c r="O4364" s="12" t="n">
        <v>22.27414330218069</v>
      </c>
    </row>
    <row r="4365">
      <c r="A4365" s="5" t="n">
        <v>46163</v>
      </c>
      <c r="B4365" s="6" t="inlineStr">
        <is>
          <t>Jaqueline Evangelista da Silva Martins</t>
        </is>
      </c>
      <c r="C4365" s="1" t="inlineStr">
        <is>
          <t>Técnico III</t>
        </is>
      </c>
      <c r="D4365" s="3" t="n">
        <v>10</v>
      </c>
      <c r="E4365" s="3" t="n">
        <v>10</v>
      </c>
      <c r="F4365" s="3" t="n">
        <v>19.12</v>
      </c>
      <c r="G4365" s="3" t="n">
        <v>2</v>
      </c>
      <c r="H4365" s="3" t="n">
        <v>0</v>
      </c>
      <c r="I4365" s="3" t="n">
        <v>12</v>
      </c>
      <c r="J4365" s="3" t="n">
        <v>22</v>
      </c>
      <c r="K4365" s="3" t="n">
        <v>-10</v>
      </c>
      <c r="L4365" s="3" t="inlineStr">
        <is>
          <t>CRÍTICO</t>
        </is>
      </c>
      <c r="M4365" s="3" t="n">
        <v>10</v>
      </c>
      <c r="N4365" s="3" t="n">
        <v>97.04000000000001</v>
      </c>
      <c r="O4365" s="12" t="n">
        <v>29.82885085574572</v>
      </c>
    </row>
    <row r="4366">
      <c r="A4366" s="5" t="n">
        <v>46163</v>
      </c>
      <c r="B4366" s="6" t="inlineStr">
        <is>
          <t>Jéssica Fé Moura</t>
        </is>
      </c>
      <c r="C4366" s="1" t="inlineStr">
        <is>
          <t>Técnico III</t>
        </is>
      </c>
      <c r="D4366" s="3" t="n">
        <v>0</v>
      </c>
      <c r="E4366" s="3" t="n">
        <v>0</v>
      </c>
      <c r="F4366" s="3" t="n">
        <v>0</v>
      </c>
      <c r="G4366" s="3" t="n">
        <v>0</v>
      </c>
      <c r="H4366" s="3" t="n">
        <v>0</v>
      </c>
      <c r="I4366" s="3" t="n">
        <v>0</v>
      </c>
      <c r="J4366" s="3" t="n">
        <v>0</v>
      </c>
      <c r="K4366" s="3" t="n">
        <v>0</v>
      </c>
      <c r="L4366" s="3" t="inlineStr">
        <is>
          <t>BOM</t>
        </is>
      </c>
      <c r="M4366" s="3" t="n">
        <v>0</v>
      </c>
      <c r="N4366" s="3" t="n">
        <v>0</v>
      </c>
      <c r="O4366" s="12" t="n">
        <v>0</v>
      </c>
    </row>
    <row r="4367">
      <c r="A4367" s="5" t="n">
        <v>46163</v>
      </c>
      <c r="B4367" s="6" t="inlineStr">
        <is>
          <t>Kerollen Cristielly de Jesus Siqueira</t>
        </is>
      </c>
      <c r="C4367" s="1" t="inlineStr">
        <is>
          <t>Técnico III</t>
        </is>
      </c>
      <c r="D4367" s="3" t="n">
        <v>21</v>
      </c>
      <c r="E4367" s="3" t="n">
        <v>20</v>
      </c>
      <c r="F4367" s="3" t="n">
        <v>23.33</v>
      </c>
      <c r="G4367" s="3" t="n">
        <v>1</v>
      </c>
      <c r="H4367" s="3" t="n">
        <v>0</v>
      </c>
      <c r="I4367" s="3" t="n">
        <v>21</v>
      </c>
      <c r="J4367" s="3" t="n">
        <v>22</v>
      </c>
      <c r="K4367" s="3" t="n">
        <v>-1</v>
      </c>
      <c r="L4367" s="3" t="inlineStr">
        <is>
          <t>ATENÇÃO</t>
        </is>
      </c>
      <c r="M4367" s="3" t="n">
        <v>21</v>
      </c>
      <c r="N4367" s="3" t="n">
        <v>96.84</v>
      </c>
      <c r="O4367" s="12" t="n">
        <v>16.33802816901408</v>
      </c>
    </row>
    <row r="4368">
      <c r="A4368" s="5" t="n">
        <v>46163</v>
      </c>
      <c r="B4368" s="6" t="inlineStr">
        <is>
          <t>Leandro Oliveira de Sousa</t>
        </is>
      </c>
      <c r="C4368" s="1" t="inlineStr">
        <is>
          <t>Técnico III</t>
        </is>
      </c>
      <c r="D4368" s="3" t="n">
        <v>22</v>
      </c>
      <c r="E4368" s="3" t="n">
        <v>21</v>
      </c>
      <c r="F4368" s="3" t="n">
        <v>15.35</v>
      </c>
      <c r="G4368" s="3" t="n">
        <v>0</v>
      </c>
      <c r="H4368" s="3" t="n">
        <v>0</v>
      </c>
      <c r="I4368" s="3" t="n">
        <v>21</v>
      </c>
      <c r="J4368" s="3" t="n">
        <v>22</v>
      </c>
      <c r="K4368" s="3" t="n">
        <v>-1</v>
      </c>
      <c r="L4368" s="3" t="inlineStr">
        <is>
          <t>ATENÇÃO</t>
        </is>
      </c>
      <c r="M4368" s="3" t="n">
        <v>19</v>
      </c>
      <c r="N4368" s="3" t="n">
        <v>100</v>
      </c>
      <c r="O4368" s="12" t="n">
        <v>18.24480369515012</v>
      </c>
    </row>
    <row r="4369">
      <c r="A4369" s="5" t="n">
        <v>46163</v>
      </c>
      <c r="B4369" s="6" t="inlineStr">
        <is>
          <t>Lucas Luiz Romero</t>
        </is>
      </c>
      <c r="C4369" s="1" t="inlineStr">
        <is>
          <t>Técnico III</t>
        </is>
      </c>
      <c r="D4369" s="3" t="n">
        <v>29</v>
      </c>
      <c r="E4369" s="3" t="n">
        <v>27</v>
      </c>
      <c r="F4369" s="3" t="n">
        <v>15.54</v>
      </c>
      <c r="G4369" s="3" t="n">
        <v>0</v>
      </c>
      <c r="H4369" s="3" t="n">
        <v>0</v>
      </c>
      <c r="I4369" s="3" t="n">
        <v>27</v>
      </c>
      <c r="J4369" s="3" t="n">
        <v>22</v>
      </c>
      <c r="K4369" s="3" t="n">
        <v>5</v>
      </c>
      <c r="L4369" s="3" t="inlineStr">
        <is>
          <t>BOM</t>
        </is>
      </c>
      <c r="M4369" s="3" t="n">
        <v>18</v>
      </c>
      <c r="N4369" s="3" t="n">
        <v>100</v>
      </c>
      <c r="O4369" s="12" t="n">
        <v>15.78947368421053</v>
      </c>
    </row>
    <row r="4370">
      <c r="A4370" s="5" t="n">
        <v>46163</v>
      </c>
      <c r="B4370" s="6" t="inlineStr">
        <is>
          <t>Maysa Victoria Dias Moura</t>
        </is>
      </c>
      <c r="C4370" s="1" t="inlineStr">
        <is>
          <t>Técnico III</t>
        </is>
      </c>
      <c r="D4370" s="3" t="n">
        <v>27</v>
      </c>
      <c r="E4370" s="3" t="n">
        <v>22</v>
      </c>
      <c r="F4370" s="3" t="n">
        <v>15.16</v>
      </c>
      <c r="G4370" s="3" t="n">
        <v>3</v>
      </c>
      <c r="H4370" s="3" t="n">
        <v>0</v>
      </c>
      <c r="I4370" s="3" t="n">
        <v>25</v>
      </c>
      <c r="J4370" s="3" t="n">
        <v>22</v>
      </c>
      <c r="K4370" s="3" t="n">
        <v>3</v>
      </c>
      <c r="L4370" s="3" t="inlineStr">
        <is>
          <t>BOM</t>
        </is>
      </c>
      <c r="M4370" s="3" t="n">
        <v>21</v>
      </c>
      <c r="N4370" s="3" t="n">
        <v>96.38</v>
      </c>
      <c r="O4370" s="12" t="n">
        <v>23.1981981981982</v>
      </c>
    </row>
    <row r="4371">
      <c r="A4371" s="5" t="n">
        <v>46163</v>
      </c>
      <c r="B4371" s="6" t="inlineStr">
        <is>
          <t>Rafael Gomes de Morais</t>
        </is>
      </c>
      <c r="C4371" s="1" t="inlineStr">
        <is>
          <t>Técnico III</t>
        </is>
      </c>
      <c r="D4371" s="3" t="n">
        <v>35</v>
      </c>
      <c r="E4371" s="3" t="n">
        <v>31</v>
      </c>
      <c r="F4371" s="3" t="n">
        <v>8.300000000000001</v>
      </c>
      <c r="G4371" s="3" t="n">
        <v>2</v>
      </c>
      <c r="H4371" s="3" t="n">
        <v>0</v>
      </c>
      <c r="I4371" s="3" t="n">
        <v>33</v>
      </c>
      <c r="J4371" s="3" t="n">
        <v>22</v>
      </c>
      <c r="K4371" s="3" t="n">
        <v>11</v>
      </c>
      <c r="L4371" s="3" t="inlineStr">
        <is>
          <t>EXCELENTE</t>
        </is>
      </c>
      <c r="M4371" s="3" t="n">
        <v>22</v>
      </c>
      <c r="N4371" s="3" t="n">
        <v>99.39</v>
      </c>
      <c r="O4371" s="12" t="n">
        <v>25.20325203252033</v>
      </c>
    </row>
    <row r="4372">
      <c r="A4372" s="5" t="n">
        <v>46163</v>
      </c>
      <c r="B4372" s="6" t="inlineStr">
        <is>
          <t>Sarah Steffanie de Lima Borges</t>
        </is>
      </c>
      <c r="C4372" s="1" t="inlineStr">
        <is>
          <t>Técnico III</t>
        </is>
      </c>
      <c r="D4372" s="3" t="n">
        <v>23</v>
      </c>
      <c r="E4372" s="3" t="n">
        <v>22</v>
      </c>
      <c r="F4372" s="3" t="n">
        <v>17.08</v>
      </c>
      <c r="G4372" s="3" t="n">
        <v>1</v>
      </c>
      <c r="H4372" s="3" t="n">
        <v>0</v>
      </c>
      <c r="I4372" s="3" t="n">
        <v>23</v>
      </c>
      <c r="J4372" s="3" t="n">
        <v>22</v>
      </c>
      <c r="K4372" s="3" t="n">
        <v>1</v>
      </c>
      <c r="L4372" s="3" t="inlineStr">
        <is>
          <t>BOM</t>
        </is>
      </c>
      <c r="M4372" s="3" t="n">
        <v>21</v>
      </c>
      <c r="N4372" s="3" t="n">
        <v>97</v>
      </c>
      <c r="O4372" s="12" t="n">
        <v>20.32520325203252</v>
      </c>
    </row>
    <row r="4373">
      <c r="A4373" s="5" t="n">
        <v>46163</v>
      </c>
      <c r="B4373" s="6" t="inlineStr">
        <is>
          <t>Alisson de Freitas Silva</t>
        </is>
      </c>
      <c r="C4373" s="1" t="inlineStr">
        <is>
          <t>Técnico II</t>
        </is>
      </c>
      <c r="D4373" s="3" t="n">
        <v>31</v>
      </c>
      <c r="E4373" s="3" t="n">
        <v>19</v>
      </c>
      <c r="F4373" s="3" t="n">
        <v>5.55</v>
      </c>
      <c r="G4373" s="3" t="n">
        <v>1</v>
      </c>
      <c r="H4373" s="3" t="n">
        <v>0</v>
      </c>
      <c r="I4373" s="3" t="n">
        <v>20</v>
      </c>
      <c r="J4373" s="3" t="n">
        <v>18</v>
      </c>
      <c r="K4373" s="3" t="n">
        <v>2</v>
      </c>
      <c r="L4373" s="3" t="inlineStr">
        <is>
          <t>BOM</t>
        </is>
      </c>
      <c r="M4373" s="3" t="n">
        <v>17</v>
      </c>
      <c r="N4373" s="3" t="n">
        <v>99.18000000000001</v>
      </c>
      <c r="O4373" s="12" t="n">
        <v>24.5014245014245</v>
      </c>
    </row>
    <row r="4374">
      <c r="A4374" s="5" t="n">
        <v>46163</v>
      </c>
      <c r="B4374" s="6" t="inlineStr">
        <is>
          <t>Brenda de Menezes Silva</t>
        </is>
      </c>
      <c r="C4374" s="1" t="inlineStr">
        <is>
          <t>Técnico II</t>
        </is>
      </c>
      <c r="D4374" s="3" t="n">
        <v>31</v>
      </c>
      <c r="E4374" s="3" t="n">
        <v>27</v>
      </c>
      <c r="F4374" s="3" t="n">
        <v>10.15</v>
      </c>
      <c r="G4374" s="3" t="n">
        <v>4</v>
      </c>
      <c r="H4374" s="3" t="n">
        <v>0</v>
      </c>
      <c r="I4374" s="3" t="n">
        <v>31</v>
      </c>
      <c r="J4374" s="3" t="n">
        <v>18</v>
      </c>
      <c r="K4374" s="3" t="n">
        <v>13</v>
      </c>
      <c r="L4374" s="3" t="inlineStr">
        <is>
          <t>EXCELENTE</t>
        </is>
      </c>
      <c r="M4374" s="3" t="n">
        <v>28</v>
      </c>
      <c r="N4374" s="3" t="n">
        <v>99.34999999999999</v>
      </c>
      <c r="O4374" s="12" t="n">
        <v>19.85294117647059</v>
      </c>
    </row>
    <row r="4375">
      <c r="A4375" s="5" t="n">
        <v>46163</v>
      </c>
      <c r="B4375" s="6" t="inlineStr">
        <is>
          <t>Carlos Mateus Cassimiro Nunes</t>
        </is>
      </c>
      <c r="C4375" s="1" t="inlineStr">
        <is>
          <t>Técnico II</t>
        </is>
      </c>
      <c r="D4375" s="3" t="n">
        <v>24</v>
      </c>
      <c r="E4375" s="3" t="n">
        <v>22</v>
      </c>
      <c r="F4375" s="3" t="n">
        <v>18.55</v>
      </c>
      <c r="G4375" s="3" t="n">
        <v>1</v>
      </c>
      <c r="H4375" s="3" t="n">
        <v>0</v>
      </c>
      <c r="I4375" s="3" t="n">
        <v>23</v>
      </c>
      <c r="J4375" s="3" t="n">
        <v>18</v>
      </c>
      <c r="K4375" s="3" t="n">
        <v>5</v>
      </c>
      <c r="L4375" s="3" t="inlineStr">
        <is>
          <t>BOM</t>
        </is>
      </c>
      <c r="M4375" s="3" t="n">
        <v>21</v>
      </c>
      <c r="N4375" s="3" t="n">
        <v>99.06999999999999</v>
      </c>
      <c r="O4375" s="12" t="n">
        <v>20.09803921568627</v>
      </c>
    </row>
    <row r="4376">
      <c r="A4376" s="5" t="n">
        <v>46163</v>
      </c>
      <c r="B4376" s="6" t="inlineStr">
        <is>
          <t>Damyllis Lorraine de Oliveira Gonçalves</t>
        </is>
      </c>
      <c r="C4376" s="1" t="inlineStr">
        <is>
          <t>Técnico II</t>
        </is>
      </c>
      <c r="D4376" s="3" t="n">
        <v>0</v>
      </c>
      <c r="E4376" s="3" t="n">
        <v>0</v>
      </c>
      <c r="F4376" s="3" t="n">
        <v>0</v>
      </c>
      <c r="G4376" s="3" t="n">
        <v>0</v>
      </c>
      <c r="H4376" s="3" t="n">
        <v>0</v>
      </c>
      <c r="I4376" s="3" t="n">
        <v>0</v>
      </c>
      <c r="J4376" s="3" t="n">
        <v>0</v>
      </c>
      <c r="K4376" s="3" t="n">
        <v>0</v>
      </c>
      <c r="L4376" s="3" t="inlineStr">
        <is>
          <t>BOM</t>
        </is>
      </c>
      <c r="M4376" s="3" t="n">
        <v>0</v>
      </c>
      <c r="N4376" s="3" t="n">
        <v>98.81</v>
      </c>
      <c r="O4376" s="12" t="n">
        <v>22.76785714285714</v>
      </c>
    </row>
    <row r="4377">
      <c r="A4377" s="5" t="n">
        <v>46163</v>
      </c>
      <c r="B4377" s="6" t="inlineStr">
        <is>
          <t>Emilly Kamilly Medeiros Miranda</t>
        </is>
      </c>
      <c r="C4377" s="1" t="inlineStr">
        <is>
          <t>Técnico II</t>
        </is>
      </c>
      <c r="D4377" s="3" t="n">
        <v>28</v>
      </c>
      <c r="E4377" s="3" t="n">
        <v>23</v>
      </c>
      <c r="F4377" s="3" t="n">
        <v>9.02</v>
      </c>
      <c r="G4377" s="3" t="n">
        <v>3</v>
      </c>
      <c r="H4377" s="3" t="n">
        <v>0</v>
      </c>
      <c r="I4377" s="3" t="n">
        <v>26</v>
      </c>
      <c r="J4377" s="3" t="n">
        <v>18</v>
      </c>
      <c r="K4377" s="3" t="n">
        <v>8</v>
      </c>
      <c r="L4377" s="3" t="inlineStr">
        <is>
          <t>EXCELENTE</t>
        </is>
      </c>
      <c r="M4377" s="3" t="n">
        <v>25</v>
      </c>
      <c r="N4377" s="3" t="n">
        <v>99.01000000000001</v>
      </c>
      <c r="O4377" s="12" t="n">
        <v>17.76649746192894</v>
      </c>
    </row>
    <row r="4378">
      <c r="A4378" s="5" t="n">
        <v>46163</v>
      </c>
      <c r="B4378" s="6" t="inlineStr">
        <is>
          <t>Francilene Ferreira de Jesus</t>
        </is>
      </c>
      <c r="C4378" s="1" t="inlineStr">
        <is>
          <t>Técnico II</t>
        </is>
      </c>
      <c r="D4378" s="3" t="n">
        <v>0</v>
      </c>
      <c r="E4378" s="3" t="n">
        <v>0</v>
      </c>
      <c r="F4378" s="3" t="n">
        <v>0</v>
      </c>
      <c r="G4378" s="3" t="n">
        <v>0</v>
      </c>
      <c r="H4378" s="3" t="n">
        <v>0</v>
      </c>
      <c r="I4378" s="3" t="n">
        <v>0</v>
      </c>
      <c r="J4378" s="3" t="n">
        <v>0</v>
      </c>
      <c r="K4378" s="3" t="n">
        <v>0</v>
      </c>
      <c r="L4378" s="3" t="inlineStr">
        <is>
          <t>BOM</t>
        </is>
      </c>
      <c r="M4378" s="3" t="n">
        <v>0</v>
      </c>
      <c r="N4378" s="3" t="n">
        <v>100</v>
      </c>
      <c r="O4378" s="12" t="n">
        <v>17.24137931034483</v>
      </c>
    </row>
    <row r="4379">
      <c r="A4379" s="5" t="n">
        <v>46163</v>
      </c>
      <c r="B4379" s="6" t="inlineStr">
        <is>
          <t>Isabella Borges de Oliveira</t>
        </is>
      </c>
      <c r="C4379" s="1" t="inlineStr">
        <is>
          <t>Técnico II</t>
        </is>
      </c>
      <c r="D4379" s="3" t="n">
        <v>22</v>
      </c>
      <c r="E4379" s="3" t="n">
        <v>21</v>
      </c>
      <c r="F4379" s="3" t="n">
        <v>19.05</v>
      </c>
      <c r="G4379" s="3" t="n">
        <v>1</v>
      </c>
      <c r="H4379" s="3" t="n">
        <v>0</v>
      </c>
      <c r="I4379" s="3" t="n">
        <v>22</v>
      </c>
      <c r="J4379" s="3" t="n">
        <v>18</v>
      </c>
      <c r="K4379" s="3" t="n">
        <v>4</v>
      </c>
      <c r="L4379" s="3" t="inlineStr">
        <is>
          <t>BOM</t>
        </is>
      </c>
      <c r="M4379" s="3" t="n">
        <v>19</v>
      </c>
      <c r="N4379" s="3" t="n">
        <v>98.98</v>
      </c>
      <c r="O4379" s="12" t="n">
        <v>19.35483870967742</v>
      </c>
    </row>
    <row r="4380">
      <c r="A4380" s="5" t="n">
        <v>46163</v>
      </c>
      <c r="B4380" s="6" t="inlineStr">
        <is>
          <t>Jessica Faria da Silveira</t>
        </is>
      </c>
      <c r="C4380" s="1" t="inlineStr">
        <is>
          <t>Técnico II</t>
        </is>
      </c>
      <c r="D4380" s="3" t="n">
        <v>17</v>
      </c>
      <c r="E4380" s="3" t="n">
        <v>14</v>
      </c>
      <c r="F4380" s="3" t="n">
        <v>17.2</v>
      </c>
      <c r="G4380" s="3" t="n">
        <v>0</v>
      </c>
      <c r="H4380" s="3" t="n">
        <v>0</v>
      </c>
      <c r="I4380" s="3" t="n">
        <v>14</v>
      </c>
      <c r="J4380" s="3" t="n">
        <v>18</v>
      </c>
      <c r="K4380" s="3" t="n">
        <v>-4</v>
      </c>
      <c r="L4380" s="3" t="inlineStr">
        <is>
          <t>ATENÇÃO</t>
        </is>
      </c>
      <c r="M4380" s="3" t="n">
        <v>14</v>
      </c>
      <c r="N4380" s="3" t="n">
        <v>98.94</v>
      </c>
      <c r="O4380" s="12" t="n">
        <v>21.2707182320442</v>
      </c>
    </row>
    <row r="4381">
      <c r="A4381" s="5" t="n">
        <v>46163</v>
      </c>
      <c r="B4381" s="6" t="inlineStr">
        <is>
          <t>Lizandra Gomes Duarte</t>
        </is>
      </c>
      <c r="C4381" s="1" t="inlineStr">
        <is>
          <t>Técnico II</t>
        </is>
      </c>
      <c r="D4381" s="3" t="n">
        <v>19</v>
      </c>
      <c r="E4381" s="3" t="n">
        <v>19</v>
      </c>
      <c r="F4381" s="3" t="n">
        <v>24.12</v>
      </c>
      <c r="G4381" s="3" t="n">
        <v>0</v>
      </c>
      <c r="H4381" s="3" t="n">
        <v>0</v>
      </c>
      <c r="I4381" s="3" t="n">
        <v>19</v>
      </c>
      <c r="J4381" s="3" t="n">
        <v>18</v>
      </c>
      <c r="K4381" s="3" t="n">
        <v>1</v>
      </c>
      <c r="L4381" s="3" t="inlineStr">
        <is>
          <t>BOM</t>
        </is>
      </c>
      <c r="M4381" s="3" t="n">
        <v>17</v>
      </c>
      <c r="N4381" s="3" t="n">
        <v>99</v>
      </c>
      <c r="O4381" s="12" t="n">
        <v>22.01086956521739</v>
      </c>
    </row>
    <row r="4382">
      <c r="A4382" s="5" t="n">
        <v>46163</v>
      </c>
      <c r="B4382" s="6" t="inlineStr">
        <is>
          <t>Lorena Dias de Araujo</t>
        </is>
      </c>
      <c r="C4382" s="1" t="inlineStr">
        <is>
          <t>Técnico II</t>
        </is>
      </c>
      <c r="D4382" s="3" t="n">
        <v>18</v>
      </c>
      <c r="E4382" s="3" t="n">
        <v>15</v>
      </c>
      <c r="F4382" s="3" t="n">
        <v>14.09</v>
      </c>
      <c r="G4382" s="3" t="n">
        <v>0</v>
      </c>
      <c r="H4382" s="3" t="n">
        <v>0</v>
      </c>
      <c r="I4382" s="3" t="n">
        <v>15</v>
      </c>
      <c r="J4382" s="3" t="n">
        <v>18</v>
      </c>
      <c r="K4382" s="3" t="n">
        <v>-3</v>
      </c>
      <c r="L4382" s="3" t="inlineStr">
        <is>
          <t>ATENÇÃO</t>
        </is>
      </c>
      <c r="M4382" s="3" t="n">
        <v>15</v>
      </c>
      <c r="N4382" s="3" t="n">
        <v>100</v>
      </c>
      <c r="O4382" s="12" t="n">
        <v>25</v>
      </c>
    </row>
    <row r="4383">
      <c r="A4383" s="5" t="n">
        <v>46163</v>
      </c>
      <c r="B4383" s="6" t="inlineStr">
        <is>
          <t>Patrícia Karla de Sousa Araújo</t>
        </is>
      </c>
      <c r="C4383" s="1" t="inlineStr">
        <is>
          <t>Técnico II</t>
        </is>
      </c>
      <c r="D4383" s="3" t="n">
        <v>0</v>
      </c>
      <c r="E4383" s="3" t="n">
        <v>0</v>
      </c>
      <c r="F4383" s="3" t="n">
        <v>0</v>
      </c>
      <c r="G4383" s="3" t="n">
        <v>0</v>
      </c>
      <c r="H4383" s="3" t="n">
        <v>0</v>
      </c>
      <c r="I4383" s="3" t="n">
        <v>0</v>
      </c>
      <c r="J4383" s="3" t="n">
        <v>0</v>
      </c>
      <c r="K4383" s="3" t="n">
        <v>0</v>
      </c>
      <c r="L4383" s="3" t="inlineStr">
        <is>
          <t>BOM</t>
        </is>
      </c>
      <c r="M4383" s="3" t="n">
        <v>0</v>
      </c>
      <c r="N4383" s="3" t="n">
        <v>100</v>
      </c>
      <c r="O4383" s="12" t="n">
        <v>20.18348623853211</v>
      </c>
    </row>
    <row r="4384">
      <c r="A4384" s="5" t="n">
        <v>46163</v>
      </c>
      <c r="B4384" s="6" t="inlineStr">
        <is>
          <t>Ana Karollyne Souza Faria</t>
        </is>
      </c>
      <c r="C4384" s="1" t="inlineStr">
        <is>
          <t>Técnico I</t>
        </is>
      </c>
      <c r="D4384" s="3" t="n">
        <v>24</v>
      </c>
      <c r="E4384" s="3" t="n">
        <v>23</v>
      </c>
      <c r="F4384" s="3" t="n">
        <v>17.07</v>
      </c>
      <c r="G4384" s="3" t="n">
        <v>0</v>
      </c>
      <c r="H4384" s="3" t="n">
        <v>0</v>
      </c>
      <c r="I4384" s="3" t="n">
        <v>23</v>
      </c>
      <c r="J4384" s="3" t="n">
        <v>15</v>
      </c>
      <c r="K4384" s="3" t="n">
        <v>8</v>
      </c>
      <c r="L4384" s="3" t="inlineStr">
        <is>
          <t>EXCELENTE</t>
        </is>
      </c>
      <c r="M4384" s="3" t="n">
        <v>21</v>
      </c>
      <c r="N4384" s="3" t="n">
        <v>96.25</v>
      </c>
      <c r="O4384" s="12" t="n">
        <v>25.5863539445629</v>
      </c>
    </row>
    <row r="4385">
      <c r="A4385" s="5" t="n">
        <v>46163</v>
      </c>
      <c r="B4385" s="6" t="inlineStr">
        <is>
          <t>Clessiane Pereira dos Santos</t>
        </is>
      </c>
      <c r="C4385" s="1" t="inlineStr">
        <is>
          <t>Técnico I</t>
        </is>
      </c>
      <c r="D4385" s="3" t="n">
        <v>23</v>
      </c>
      <c r="E4385" s="3" t="n">
        <v>22</v>
      </c>
      <c r="F4385" s="3" t="n">
        <v>17.08</v>
      </c>
      <c r="G4385" s="3" t="n">
        <v>0</v>
      </c>
      <c r="H4385" s="3" t="n">
        <v>0</v>
      </c>
      <c r="I4385" s="3" t="n">
        <v>22</v>
      </c>
      <c r="J4385" s="3" t="n">
        <v>15</v>
      </c>
      <c r="K4385" s="3" t="n">
        <v>7</v>
      </c>
      <c r="L4385" s="3" t="inlineStr">
        <is>
          <t>EXCELENTE</t>
        </is>
      </c>
      <c r="M4385" s="3" t="n">
        <v>17</v>
      </c>
      <c r="N4385" s="3" t="n">
        <v>97.48</v>
      </c>
      <c r="O4385" s="12" t="n">
        <v>22.99465240641711</v>
      </c>
    </row>
    <row r="4386">
      <c r="A4386" s="5" t="n">
        <v>46163</v>
      </c>
      <c r="B4386" s="6" t="inlineStr">
        <is>
          <t>Daniel Gomes da Silva</t>
        </is>
      </c>
      <c r="C4386" s="1" t="inlineStr">
        <is>
          <t>Técnico I</t>
        </is>
      </c>
      <c r="D4386" s="3" t="n">
        <v>16</v>
      </c>
      <c r="E4386" s="3" t="n">
        <v>16</v>
      </c>
      <c r="F4386" s="3" t="n">
        <v>26.5</v>
      </c>
      <c r="G4386" s="3" t="n">
        <v>0</v>
      </c>
      <c r="H4386" s="3" t="n">
        <v>0</v>
      </c>
      <c r="I4386" s="3" t="n">
        <v>16</v>
      </c>
      <c r="J4386" s="3" t="n">
        <v>15</v>
      </c>
      <c r="K4386" s="3" t="n">
        <v>1</v>
      </c>
      <c r="L4386" s="3" t="inlineStr">
        <is>
          <t>BOM</t>
        </is>
      </c>
      <c r="M4386" s="3" t="n">
        <v>14</v>
      </c>
      <c r="N4386" s="3" t="n">
        <v>100</v>
      </c>
      <c r="O4386" s="12" t="n">
        <v>20.78853046594982</v>
      </c>
    </row>
    <row r="4387">
      <c r="A4387" s="5" t="n">
        <v>46163</v>
      </c>
      <c r="B4387" s="6" t="inlineStr">
        <is>
          <t>Luiz Fernando de Carvalho Junior</t>
        </is>
      </c>
      <c r="C4387" s="1" t="inlineStr">
        <is>
          <t>Técnico I</t>
        </is>
      </c>
      <c r="D4387" s="3" t="n">
        <v>22</v>
      </c>
      <c r="E4387" s="3" t="n">
        <v>20</v>
      </c>
      <c r="F4387" s="3" t="n">
        <v>19.06</v>
      </c>
      <c r="G4387" s="3" t="n">
        <v>0</v>
      </c>
      <c r="H4387" s="3" t="n">
        <v>0</v>
      </c>
      <c r="I4387" s="3" t="n">
        <v>20</v>
      </c>
      <c r="J4387" s="3" t="n">
        <v>15</v>
      </c>
      <c r="K4387" s="3" t="n">
        <v>5</v>
      </c>
      <c r="L4387" s="3" t="inlineStr">
        <is>
          <t>BOM</t>
        </is>
      </c>
      <c r="M4387" s="3" t="n">
        <v>21</v>
      </c>
      <c r="N4387" s="3" t="n">
        <v>94.55</v>
      </c>
      <c r="O4387" s="12" t="n">
        <v>23.45013477088949</v>
      </c>
    </row>
    <row r="4388">
      <c r="A4388" s="5" t="n">
        <v>46163</v>
      </c>
      <c r="B4388" s="6" t="inlineStr">
        <is>
          <t>Raane Batista Matos</t>
        </is>
      </c>
      <c r="C4388" s="1" t="inlineStr">
        <is>
          <t>Técnico I</t>
        </is>
      </c>
      <c r="D4388" s="3" t="n">
        <v>27</v>
      </c>
      <c r="E4388" s="3" t="n">
        <v>27</v>
      </c>
      <c r="F4388" s="3" t="n">
        <v>15.1</v>
      </c>
      <c r="G4388" s="3" t="n">
        <v>0</v>
      </c>
      <c r="H4388" s="3" t="n">
        <v>0</v>
      </c>
      <c r="I4388" s="3" t="n">
        <v>27</v>
      </c>
      <c r="J4388" s="3" t="n">
        <v>15</v>
      </c>
      <c r="K4388" s="3" t="n">
        <v>12</v>
      </c>
      <c r="L4388" s="3" t="inlineStr">
        <is>
          <t>EXCELENTE</t>
        </is>
      </c>
      <c r="M4388" s="3" t="n">
        <v>20</v>
      </c>
      <c r="N4388" s="3" t="n">
        <v>98</v>
      </c>
      <c r="O4388" s="12" t="n">
        <v>20.73490813648294</v>
      </c>
    </row>
    <row r="4389">
      <c r="A4389" s="5" t="n">
        <v>46163</v>
      </c>
      <c r="B4389" s="6" t="inlineStr">
        <is>
          <t>Sara Maria Monteiro Lopes</t>
        </is>
      </c>
      <c r="C4389" s="1" t="inlineStr">
        <is>
          <t>Técnico I</t>
        </is>
      </c>
      <c r="D4389" s="3" t="n">
        <v>12</v>
      </c>
      <c r="E4389" s="3" t="n">
        <v>12</v>
      </c>
      <c r="F4389" s="3" t="n">
        <v>44.02</v>
      </c>
      <c r="G4389" s="3" t="n">
        <v>0</v>
      </c>
      <c r="H4389" s="3" t="n">
        <v>0</v>
      </c>
      <c r="I4389" s="3" t="n">
        <v>12</v>
      </c>
      <c r="J4389" s="3" t="n">
        <v>15</v>
      </c>
      <c r="K4389" s="3" t="n">
        <v>-3</v>
      </c>
      <c r="L4389" s="3" t="inlineStr">
        <is>
          <t>ATENÇÃO</t>
        </is>
      </c>
      <c r="M4389" s="3" t="n">
        <v>10</v>
      </c>
      <c r="N4389" s="3" t="n">
        <v>100</v>
      </c>
      <c r="O4389" s="12" t="n">
        <v>18</v>
      </c>
    </row>
    <row r="4390">
      <c r="A4390" s="5" t="n">
        <v>46163</v>
      </c>
      <c r="B4390" s="6" t="inlineStr">
        <is>
          <t>Gabriel Gomes de Andrade</t>
        </is>
      </c>
      <c r="C4390" s="1" t="inlineStr">
        <is>
          <t>Técnico I</t>
        </is>
      </c>
      <c r="D4390" s="3" t="n">
        <v>16</v>
      </c>
      <c r="E4390" s="3" t="n">
        <v>15</v>
      </c>
      <c r="F4390" s="3" t="n">
        <v>25.07</v>
      </c>
      <c r="G4390" s="3" t="n">
        <v>3</v>
      </c>
      <c r="H4390" s="3" t="n">
        <v>0</v>
      </c>
      <c r="I4390" s="3" t="n">
        <v>18</v>
      </c>
      <c r="J4390" s="3" t="n">
        <v>15</v>
      </c>
      <c r="K4390" s="3" t="n">
        <v>3</v>
      </c>
      <c r="L4390" s="3" t="inlineStr">
        <is>
          <t>BOM</t>
        </is>
      </c>
      <c r="M4390" s="3" t="n">
        <v>15</v>
      </c>
      <c r="N4390" s="3" t="n">
        <v>99.06</v>
      </c>
      <c r="O4390" s="12" t="n">
        <v>19.41747572815534</v>
      </c>
    </row>
    <row r="4391">
      <c r="A4391" s="5" t="n">
        <v>46163</v>
      </c>
      <c r="B4391" s="6" t="inlineStr">
        <is>
          <t>Matheus Farias De Souza</t>
        </is>
      </c>
      <c r="C4391" s="1" t="inlineStr">
        <is>
          <t>Técnico III</t>
        </is>
      </c>
      <c r="D4391" s="3" t="n">
        <v>0</v>
      </c>
      <c r="E4391" s="3" t="n">
        <v>0</v>
      </c>
      <c r="F4391" s="3" t="n">
        <v>0</v>
      </c>
      <c r="G4391" s="3" t="n">
        <v>0</v>
      </c>
      <c r="H4391" s="3" t="n">
        <v>30</v>
      </c>
      <c r="I4391" s="3" t="n">
        <v>30</v>
      </c>
      <c r="J4391" s="3" t="n">
        <v>22</v>
      </c>
      <c r="K4391" s="3" t="n">
        <v>8</v>
      </c>
      <c r="L4391" s="3" t="inlineStr">
        <is>
          <t>EXCELENTE</t>
        </is>
      </c>
      <c r="M4391" s="3" t="n">
        <v>15</v>
      </c>
      <c r="N4391" s="3" t="n">
        <v>98.39</v>
      </c>
      <c r="O4391" s="12" t="n">
        <v>8.799999999999999</v>
      </c>
    </row>
    <row r="4392">
      <c r="A4392" s="7" t="n">
        <v>46161</v>
      </c>
      <c r="B4392" s="8" t="inlineStr">
        <is>
          <t>Milena Sales</t>
        </is>
      </c>
      <c r="C4392" s="1" t="inlineStr">
        <is>
          <t>JR</t>
        </is>
      </c>
      <c r="D4392" s="3" t="n">
        <v>42</v>
      </c>
      <c r="E4392" s="3" t="n">
        <v>23</v>
      </c>
      <c r="F4392" s="3" t="n">
        <v>11.43</v>
      </c>
      <c r="G4392" s="3" t="n">
        <v>0</v>
      </c>
      <c r="H4392" s="3" t="n">
        <v>0</v>
      </c>
      <c r="I4392" s="3" t="n">
        <v>23</v>
      </c>
      <c r="J4392" s="3" t="n">
        <v>17</v>
      </c>
      <c r="K4392" s="3" t="n">
        <v>6</v>
      </c>
      <c r="L4392" s="3" t="inlineStr">
        <is>
          <t>EXCELENTE</t>
        </is>
      </c>
      <c r="M4392" s="3" t="n">
        <v>22</v>
      </c>
      <c r="N4392" s="3" t="n">
        <v>96.83</v>
      </c>
      <c r="O4392" s="12" t="n">
        <v>20.94017094017094</v>
      </c>
    </row>
    <row r="4393">
      <c r="A4393" s="7" t="n">
        <v>46162</v>
      </c>
      <c r="B4393" s="8" t="inlineStr">
        <is>
          <t>Milena Sales</t>
        </is>
      </c>
      <c r="C4393" s="1" t="inlineStr">
        <is>
          <t>JR</t>
        </is>
      </c>
      <c r="D4393" s="3" t="n">
        <v>25</v>
      </c>
      <c r="E4393" s="3" t="n">
        <v>20</v>
      </c>
      <c r="F4393" s="3" t="n">
        <v>15.38</v>
      </c>
      <c r="G4393" s="3" t="n">
        <v>1</v>
      </c>
      <c r="H4393" s="3" t="n">
        <v>0</v>
      </c>
      <c r="I4393" s="3" t="n">
        <v>21</v>
      </c>
      <c r="J4393" s="3" t="n">
        <v>15</v>
      </c>
      <c r="K4393" s="3" t="n">
        <v>6</v>
      </c>
      <c r="L4393" s="3" t="inlineStr">
        <is>
          <t>EXCELENTE</t>
        </is>
      </c>
      <c r="M4393" s="3" t="n">
        <v>19</v>
      </c>
      <c r="N4393" s="3" t="n">
        <v>96.83</v>
      </c>
      <c r="O4393" s="12" t="n">
        <v>20.94017094017094</v>
      </c>
    </row>
    <row r="4394">
      <c r="A4394" s="5" t="n">
        <v>46163</v>
      </c>
      <c r="B4394" s="6" t="inlineStr">
        <is>
          <t>Milena Sales</t>
        </is>
      </c>
      <c r="C4394" s="1" t="inlineStr">
        <is>
          <t>JR</t>
        </is>
      </c>
      <c r="D4394" s="3" t="n">
        <v>26</v>
      </c>
      <c r="E4394" s="3" t="n">
        <v>18</v>
      </c>
      <c r="F4394" s="3" t="n">
        <v>12.17</v>
      </c>
      <c r="G4394" s="3" t="n">
        <v>0</v>
      </c>
      <c r="H4394" s="3" t="n">
        <v>0</v>
      </c>
      <c r="I4394" s="3" t="n">
        <v>18</v>
      </c>
      <c r="J4394" s="3" t="n">
        <v>13</v>
      </c>
      <c r="K4394" s="3" t="n">
        <v>5</v>
      </c>
      <c r="L4394" s="3" t="inlineStr">
        <is>
          <t>BOM</t>
        </is>
      </c>
      <c r="M4394" s="3" t="n">
        <v>16</v>
      </c>
      <c r="N4394" s="3" t="n">
        <v>96.83</v>
      </c>
      <c r="O4394" s="12" t="n">
        <v>20.94017094017094</v>
      </c>
    </row>
    <row r="4395">
      <c r="A4395" s="9" t="n">
        <v>46164</v>
      </c>
      <c r="B4395" s="6" t="inlineStr">
        <is>
          <t>Milena Sales</t>
        </is>
      </c>
      <c r="C4395" s="1" t="inlineStr">
        <is>
          <t>JR</t>
        </is>
      </c>
      <c r="D4395" s="3" t="n">
        <v>21</v>
      </c>
      <c r="E4395" s="3" t="n">
        <v>18</v>
      </c>
      <c r="F4395" s="3" t="n">
        <v>13.49</v>
      </c>
      <c r="G4395" s="3" t="n">
        <v>0</v>
      </c>
      <c r="H4395" s="3" t="n">
        <v>0</v>
      </c>
      <c r="I4395" s="3" t="n">
        <v>18</v>
      </c>
      <c r="J4395" s="3" t="n">
        <v>11</v>
      </c>
      <c r="K4395" s="3" t="n">
        <v>7</v>
      </c>
      <c r="L4395" s="3" t="inlineStr">
        <is>
          <t>EXCELENTE</t>
        </is>
      </c>
      <c r="M4395" s="3" t="n">
        <v>16</v>
      </c>
      <c r="N4395" s="3" t="n">
        <v>96.83</v>
      </c>
      <c r="O4395" s="12" t="n">
        <v>20.94017094017094</v>
      </c>
    </row>
    <row r="4396">
      <c r="A4396" s="10" t="n">
        <v>46167</v>
      </c>
      <c r="B4396" t="inlineStr">
        <is>
          <t>Milena Sales</t>
        </is>
      </c>
      <c r="C4396" s="1" t="inlineStr">
        <is>
          <t>JR</t>
        </is>
      </c>
      <c r="D4396" s="3" t="n">
        <v>0</v>
      </c>
      <c r="E4396" s="3" t="n">
        <v>0</v>
      </c>
      <c r="F4396" s="3" t="n">
        <v>0</v>
      </c>
      <c r="G4396" s="3" t="n">
        <v>0</v>
      </c>
      <c r="H4396" s="3" t="n">
        <v>0</v>
      </c>
      <c r="I4396" s="3" t="n">
        <v>0</v>
      </c>
      <c r="J4396" s="3" t="n">
        <v>0</v>
      </c>
      <c r="K4396" s="3" t="n">
        <v>0</v>
      </c>
      <c r="L4396" s="3" t="inlineStr">
        <is>
          <t>BOM</t>
        </is>
      </c>
      <c r="M4396" s="3" t="n">
        <v>0</v>
      </c>
      <c r="N4396" s="3" t="n">
        <v>96.83</v>
      </c>
      <c r="O4396" s="12" t="n">
        <v>20.94017094017094</v>
      </c>
    </row>
    <row r="4397">
      <c r="A4397" s="10" t="n">
        <v>46168</v>
      </c>
      <c r="B4397" t="inlineStr">
        <is>
          <t>Milena Sales</t>
        </is>
      </c>
      <c r="C4397" s="1" t="inlineStr">
        <is>
          <t>JR</t>
        </is>
      </c>
      <c r="D4397" s="3" t="n">
        <v>33</v>
      </c>
      <c r="E4397" s="3" t="n">
        <v>23</v>
      </c>
      <c r="F4397" s="3" t="n">
        <v>11.5</v>
      </c>
      <c r="G4397" s="3" t="n">
        <v>5</v>
      </c>
      <c r="H4397" s="3" t="n">
        <v>0</v>
      </c>
      <c r="I4397" s="3" t="n">
        <v>28</v>
      </c>
      <c r="J4397" s="3" t="n">
        <v>16</v>
      </c>
      <c r="K4397" s="3" t="n">
        <v>12</v>
      </c>
      <c r="L4397" s="3" t="inlineStr">
        <is>
          <t>EXCELENTE</t>
        </is>
      </c>
      <c r="M4397" s="3" t="n">
        <v>15</v>
      </c>
      <c r="N4397" s="3" t="n">
        <v>96.83</v>
      </c>
      <c r="O4397" s="12" t="n">
        <v>24.35897435897436</v>
      </c>
    </row>
    <row r="4398">
      <c r="A4398" s="10" t="n">
        <v>46169</v>
      </c>
      <c r="B4398" t="inlineStr">
        <is>
          <t>Milena Sales</t>
        </is>
      </c>
      <c r="C4398" s="1" t="inlineStr">
        <is>
          <t>JR</t>
        </is>
      </c>
      <c r="D4398" s="3" t="n">
        <v>30</v>
      </c>
      <c r="E4398" s="3" t="n">
        <v>20</v>
      </c>
      <c r="F4398" s="3" t="n">
        <v>8.57</v>
      </c>
      <c r="G4398" s="3" t="n">
        <v>1</v>
      </c>
      <c r="H4398" s="3" t="n">
        <v>0</v>
      </c>
      <c r="I4398" s="3" t="n">
        <v>21</v>
      </c>
      <c r="J4398" s="3" t="n">
        <v>16</v>
      </c>
      <c r="K4398" s="3" t="n">
        <v>5</v>
      </c>
      <c r="L4398" s="3" t="inlineStr">
        <is>
          <t>BOM</t>
        </is>
      </c>
      <c r="M4398" s="3" t="n">
        <v>18</v>
      </c>
      <c r="N4398" s="3" t="n">
        <v>97.22</v>
      </c>
      <c r="O4398" s="12" t="n">
        <v>23.01587301587302</v>
      </c>
    </row>
    <row r="4399">
      <c r="A4399" s="10" t="n">
        <v>46170</v>
      </c>
      <c r="B4399" t="inlineStr">
        <is>
          <t>Milena Sales</t>
        </is>
      </c>
      <c r="C4399" s="1" t="inlineStr">
        <is>
          <t>JR</t>
        </is>
      </c>
      <c r="D4399" s="3" t="n">
        <v>33</v>
      </c>
      <c r="E4399" s="3" t="n">
        <v>26</v>
      </c>
      <c r="F4399" s="3" t="n">
        <v>12.24</v>
      </c>
      <c r="G4399" s="3" t="n">
        <v>2</v>
      </c>
      <c r="H4399" s="3" t="n">
        <v>0</v>
      </c>
      <c r="I4399" s="3" t="n">
        <v>28</v>
      </c>
      <c r="J4399" s="3" t="n">
        <v>15</v>
      </c>
      <c r="K4399" s="3" t="n">
        <v>13</v>
      </c>
      <c r="L4399" s="3" t="inlineStr">
        <is>
          <t>EXCELENTE</t>
        </is>
      </c>
      <c r="M4399" s="3" t="n">
        <v>21</v>
      </c>
      <c r="N4399" s="3" t="n">
        <v>97.40000000000001</v>
      </c>
      <c r="O4399" s="12" t="n">
        <v>23.80952380952381</v>
      </c>
    </row>
    <row r="4400">
      <c r="A4400" s="10" t="n">
        <v>46171</v>
      </c>
      <c r="B4400" t="inlineStr">
        <is>
          <t>Milena Sales</t>
        </is>
      </c>
      <c r="C4400" s="1" t="inlineStr">
        <is>
          <t>JR</t>
        </is>
      </c>
      <c r="D4400" s="3" t="n">
        <v>38</v>
      </c>
      <c r="E4400" s="3" t="n">
        <v>22</v>
      </c>
      <c r="F4400" s="3" t="n">
        <v>10.35</v>
      </c>
      <c r="G4400" s="3" t="n">
        <v>0</v>
      </c>
      <c r="H4400" s="3" t="n">
        <v>0</v>
      </c>
      <c r="I4400" s="3" t="n">
        <v>22</v>
      </c>
      <c r="J4400" s="3" t="n">
        <v>16</v>
      </c>
      <c r="K4400" s="3" t="n">
        <v>6</v>
      </c>
      <c r="L4400" s="3" t="inlineStr">
        <is>
          <t>EXCELENTE</t>
        </is>
      </c>
      <c r="M4400" s="3" t="n">
        <v>1</v>
      </c>
      <c r="N4400" s="3" t="n">
        <v>97.47</v>
      </c>
      <c r="O4400" s="12" t="n">
        <v>23.72262773722628</v>
      </c>
    </row>
    <row r="4401">
      <c r="A4401" s="5" t="n">
        <v>46146</v>
      </c>
      <c r="B4401" s="6" t="inlineStr">
        <is>
          <t>Paulo Ricardo Santos</t>
        </is>
      </c>
      <c r="C4401" s="1" t="inlineStr">
        <is>
          <t>JR</t>
        </is>
      </c>
      <c r="D4401" s="3" t="n">
        <v>23</v>
      </c>
      <c r="E4401" s="3" t="n">
        <v>23</v>
      </c>
      <c r="F4401" s="3" t="n">
        <v>17.35</v>
      </c>
      <c r="G4401" s="3" t="n">
        <v>0</v>
      </c>
      <c r="H4401" s="3" t="n">
        <v>0</v>
      </c>
      <c r="I4401" s="3">
        <f>E4401+G4401+H4401</f>
        <v/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/>
      </c>
      <c r="K4401" s="3">
        <f>I4401-J4401</f>
        <v/>
      </c>
      <c r="L4401" s="3">
        <f>IF(K4401&lt;-5,"CRÍTICO",IF(K4401&lt;0,"ATENÇÃO",IF(K4401&lt;=5,"OPORTUNO","MUITO BOM")))</f>
        <v/>
      </c>
      <c r="M4401" s="3" t="n">
        <v>18</v>
      </c>
      <c r="N4401" s="3" t="n">
        <v>100</v>
      </c>
      <c r="O4401" s="12" t="n">
        <v>20.0836820083682</v>
      </c>
    </row>
    <row r="4402">
      <c r="A4402" s="5" t="n">
        <v>46147</v>
      </c>
      <c r="B4402" s="6" t="inlineStr">
        <is>
          <t>Paulo Ricardo Santos</t>
        </is>
      </c>
      <c r="C4402" s="1" t="inlineStr">
        <is>
          <t>JR</t>
        </is>
      </c>
      <c r="D4402" s="3" t="n">
        <v>18</v>
      </c>
      <c r="E4402" s="3" t="n">
        <v>17</v>
      </c>
      <c r="F4402" s="3" t="n">
        <v>20.04</v>
      </c>
      <c r="G4402" s="3" t="n">
        <v>0</v>
      </c>
      <c r="H4402" s="3" t="n">
        <v>0</v>
      </c>
      <c r="I4402" s="3">
        <f>E4402+G4402+H4402</f>
        <v/>
      </c>
      <c r="J4402" s="3">
        <f>ROUND(MIN(IF(C4402="Técnico III",35,IF(C4402="Técnico II",28,IF(C4402="Técnico I",23,IF(C4402="JR",20,IF(C4402="Estágio",10,0))))),IF(C4402="Técnico III",SUMIFS($D:$D,$A:$A,$A4402,$B:$B,"&lt;&gt;Patrícia Karla de Sousa Araújo",$B:$B,"&lt;&gt;Lorena Dias de Araujo",$B:$B,"&lt;&gt;Lucas Luiz Romero")*(35/1083),IF(C4402="Técnico II",SUMIFS($D:$D,$A:$A,$A4402,$B:$B,"&lt;&gt;Patrícia Karla de Sousa Araújo",$B:$B,"&lt;&gt;Lorena Dias de Araujo",$B:$B,"&lt;&gt;Lucas Luiz Romero")*(28/1083),IF(C4402="Técnico I",SUMIFS($D:$D,$A:$A,$A4402,$B:$B,"&lt;&gt;Patrícia Karla de Sousa Araújo",$B:$B,"&lt;&gt;Lorena Dias de Araujo",$B:$B,"&lt;&gt;Lucas Luiz Romero")*(23/1083),IF(C4402="JR",SUMIFS($D:$D,$A:$A,$A4402,$B:$B,"&lt;&gt;Patrícia Karla de Sousa Araújo",$B:$B,"&lt;&gt;Lorena Dias de Araujo",$B:$B,"&lt;&gt;Lucas Luiz Romero")*(20/1083),IF(C4402="Estágio",SUMIFS($D:$D,$A:$A,$A4402,$B:$B,"&lt;&gt;Patrícia Karla de Sousa Araújo",$B:$B,"&lt;&gt;Lorena Dias de Araujo",$B:$B,"&lt;&gt;Lucas Luiz Romero")*(10/1083),0)))))),0)</f>
        <v/>
      </c>
      <c r="K4402" s="3">
        <f>I4402-J4402</f>
        <v/>
      </c>
      <c r="L4402" s="3">
        <f>IF(K4402&lt;-5,"CRÍTICO",IF(K4402&lt;0,"ATENÇÃO",IF(K4402&lt;=5,"OPORTUNO","MUITO BOM")))</f>
        <v/>
      </c>
      <c r="M4402" s="3" t="n">
        <v>17</v>
      </c>
      <c r="N4402" s="3" t="n">
        <v>100</v>
      </c>
      <c r="O4402" s="12" t="n">
        <v>20.0836820083682</v>
      </c>
    </row>
    <row r="4403">
      <c r="A4403" s="9" t="n">
        <v>46164</v>
      </c>
      <c r="B4403" s="6" t="inlineStr">
        <is>
          <t>Amanda Moura Ferreira</t>
        </is>
      </c>
      <c r="C4403" s="1" t="inlineStr">
        <is>
          <t>Técnico III</t>
        </is>
      </c>
      <c r="D4403" s="3" t="n">
        <v>0</v>
      </c>
      <c r="E4403" s="3" t="n">
        <v>0</v>
      </c>
      <c r="F4403" s="3" t="n">
        <v>0</v>
      </c>
      <c r="G4403" s="3" t="n">
        <v>0</v>
      </c>
      <c r="H4403" s="3" t="n">
        <v>0</v>
      </c>
      <c r="I4403" s="3" t="n">
        <v>0</v>
      </c>
      <c r="J4403" s="3" t="n">
        <v>0</v>
      </c>
      <c r="K4403" s="3" t="n">
        <v>0</v>
      </c>
      <c r="L4403" s="3" t="inlineStr">
        <is>
          <t>BOM</t>
        </is>
      </c>
      <c r="M4403" s="3" t="n">
        <v>0</v>
      </c>
      <c r="N4403" s="3" t="n">
        <v>100</v>
      </c>
      <c r="O4403" s="12" t="n">
        <v>0</v>
      </c>
    </row>
    <row r="4404">
      <c r="A4404" s="9" t="n">
        <v>46164</v>
      </c>
      <c r="B4404" s="6" t="inlineStr">
        <is>
          <t>Ana Paula Da Luz Silva Aleixo</t>
        </is>
      </c>
      <c r="C4404" s="1" t="inlineStr">
        <is>
          <t>Técnico III</t>
        </is>
      </c>
      <c r="D4404" s="3" t="n">
        <v>20</v>
      </c>
      <c r="E4404" s="3" t="n">
        <v>20</v>
      </c>
      <c r="F4404" s="3" t="n">
        <v>20.44</v>
      </c>
      <c r="G4404" s="3" t="n">
        <v>3</v>
      </c>
      <c r="H4404" s="3" t="n">
        <v>0</v>
      </c>
      <c r="I4404" s="3" t="n">
        <v>23</v>
      </c>
      <c r="J4404" s="3" t="n">
        <v>19</v>
      </c>
      <c r="K4404" s="3" t="n">
        <v>4</v>
      </c>
      <c r="L4404" s="3" t="inlineStr">
        <is>
          <t>BOM</t>
        </is>
      </c>
      <c r="M4404" s="3" t="n">
        <v>16</v>
      </c>
      <c r="N4404" s="3" t="n">
        <v>96.94</v>
      </c>
      <c r="O4404" s="12" t="n">
        <v>19.61325966850829</v>
      </c>
    </row>
    <row r="4405">
      <c r="A4405" s="9" t="n">
        <v>46164</v>
      </c>
      <c r="B4405" s="6" t="inlineStr">
        <is>
          <t>Cristiane Ramos da Silva Rocha</t>
        </is>
      </c>
      <c r="C4405" s="1" t="inlineStr">
        <is>
          <t>Técnico III</t>
        </is>
      </c>
      <c r="D4405" s="3" t="n">
        <v>25</v>
      </c>
      <c r="E4405" s="3" t="n">
        <v>24</v>
      </c>
      <c r="F4405" s="3" t="n">
        <v>15.42</v>
      </c>
      <c r="G4405" s="3" t="n">
        <v>0</v>
      </c>
      <c r="H4405" s="3" t="n">
        <v>0</v>
      </c>
      <c r="I4405" s="3" t="n">
        <v>24</v>
      </c>
      <c r="J4405" s="3" t="n">
        <v>19</v>
      </c>
      <c r="K4405" s="3" t="n">
        <v>5</v>
      </c>
      <c r="L4405" s="3" t="inlineStr">
        <is>
          <t>BOM</t>
        </is>
      </c>
      <c r="M4405" s="3" t="n">
        <v>22</v>
      </c>
      <c r="N4405" s="3" t="n">
        <v>92.81</v>
      </c>
      <c r="O4405" s="12" t="n">
        <v>25.47770700636943</v>
      </c>
    </row>
    <row r="4406">
      <c r="A4406" s="9" t="n">
        <v>46164</v>
      </c>
      <c r="B4406" s="6" t="inlineStr">
        <is>
          <t>Davylla Rodrigues Freitas Silva</t>
        </is>
      </c>
      <c r="C4406" s="1" t="inlineStr">
        <is>
          <t>Técnico III</t>
        </is>
      </c>
      <c r="D4406" s="3" t="n">
        <v>0</v>
      </c>
      <c r="E4406" s="3" t="n">
        <v>0</v>
      </c>
      <c r="F4406" s="3" t="n">
        <v>0</v>
      </c>
      <c r="G4406" s="3" t="n">
        <v>0</v>
      </c>
      <c r="H4406" s="3" t="n">
        <v>0</v>
      </c>
      <c r="I4406" s="3" t="n">
        <v>0</v>
      </c>
      <c r="J4406" s="3" t="n">
        <v>0</v>
      </c>
      <c r="K4406" s="3" t="n">
        <v>0</v>
      </c>
      <c r="L4406" s="3" t="inlineStr">
        <is>
          <t>BOM</t>
        </is>
      </c>
      <c r="M4406" s="3" t="n">
        <v>0</v>
      </c>
      <c r="N4406" s="3" t="n">
        <v>99.19</v>
      </c>
      <c r="O4406" s="12" t="n">
        <v>28.40466926070039</v>
      </c>
    </row>
    <row r="4407">
      <c r="A4407" s="9" t="n">
        <v>46164</v>
      </c>
      <c r="B4407" s="6" t="inlineStr">
        <is>
          <t>Francielson de Oliveira</t>
        </is>
      </c>
      <c r="C4407" s="1" t="inlineStr">
        <is>
          <t>Técnico III</t>
        </is>
      </c>
      <c r="D4407" s="3" t="n">
        <v>12</v>
      </c>
      <c r="E4407" s="3" t="n">
        <v>11</v>
      </c>
      <c r="F4407" s="3" t="n">
        <v>12.15</v>
      </c>
      <c r="G4407" s="3" t="n">
        <v>1</v>
      </c>
      <c r="H4407" s="3" t="n">
        <v>0</v>
      </c>
      <c r="I4407" s="3" t="n">
        <v>12</v>
      </c>
      <c r="J4407" s="3" t="n">
        <v>19</v>
      </c>
      <c r="K4407" s="3" t="n">
        <v>-7</v>
      </c>
      <c r="L4407" s="3" t="inlineStr">
        <is>
          <t>CRÍTICO</t>
        </is>
      </c>
      <c r="M4407" s="3" t="n">
        <v>9</v>
      </c>
      <c r="N4407" s="3" t="n">
        <v>100</v>
      </c>
      <c r="O4407" s="12" t="n">
        <v>13.51351351351351</v>
      </c>
    </row>
    <row r="4408">
      <c r="A4408" s="9" t="n">
        <v>46164</v>
      </c>
      <c r="B4408" s="6" t="inlineStr">
        <is>
          <t>Janaina Lima dos Reis Urany</t>
        </is>
      </c>
      <c r="C4408" s="1" t="inlineStr">
        <is>
          <t>Técnico III</t>
        </is>
      </c>
      <c r="D4408" s="3" t="n">
        <v>28</v>
      </c>
      <c r="E4408" s="3" t="n">
        <v>26</v>
      </c>
      <c r="F4408" s="3" t="n">
        <v>12.35</v>
      </c>
      <c r="G4408" s="3" t="n">
        <v>5</v>
      </c>
      <c r="H4408" s="3" t="n">
        <v>0</v>
      </c>
      <c r="I4408" s="3" t="n">
        <v>31</v>
      </c>
      <c r="J4408" s="3" t="n">
        <v>19</v>
      </c>
      <c r="K4408" s="3" t="n">
        <v>12</v>
      </c>
      <c r="L4408" s="3" t="inlineStr">
        <is>
          <t>EXCELENTE</t>
        </is>
      </c>
      <c r="M4408" s="3" t="n">
        <v>23</v>
      </c>
      <c r="N4408" s="3" t="n">
        <v>99</v>
      </c>
      <c r="O4408" s="12" t="n">
        <v>22.27414330218069</v>
      </c>
    </row>
    <row r="4409">
      <c r="A4409" s="9" t="n">
        <v>46164</v>
      </c>
      <c r="B4409" s="6" t="inlineStr">
        <is>
          <t>Jaqueline Evangelista da Silva Martins</t>
        </is>
      </c>
      <c r="C4409" s="1" t="inlineStr">
        <is>
          <t>Técnico III</t>
        </is>
      </c>
      <c r="D4409" s="3" t="n">
        <v>14</v>
      </c>
      <c r="E4409" s="3" t="n">
        <v>14</v>
      </c>
      <c r="F4409" s="3" t="n">
        <v>21.55</v>
      </c>
      <c r="G4409" s="3" t="n">
        <v>0</v>
      </c>
      <c r="H4409" s="3" t="n">
        <v>0</v>
      </c>
      <c r="I4409" s="3" t="n">
        <v>14</v>
      </c>
      <c r="J4409" s="3" t="n">
        <v>19</v>
      </c>
      <c r="K4409" s="3" t="n">
        <v>-5</v>
      </c>
      <c r="L4409" s="3" t="inlineStr">
        <is>
          <t>ATENÇÃO</t>
        </is>
      </c>
      <c r="M4409" s="3" t="n">
        <v>14</v>
      </c>
      <c r="N4409" s="3" t="n">
        <v>97.04000000000001</v>
      </c>
      <c r="O4409" s="12" t="n">
        <v>29.82885085574572</v>
      </c>
    </row>
    <row r="4410">
      <c r="A4410" s="9" t="n">
        <v>46164</v>
      </c>
      <c r="B4410" s="6" t="inlineStr">
        <is>
          <t>Jéssica Fé Moura</t>
        </is>
      </c>
      <c r="C4410" s="1" t="inlineStr">
        <is>
          <t>Técnico III</t>
        </is>
      </c>
      <c r="D4410" s="3" t="n">
        <v>0</v>
      </c>
      <c r="E4410" s="3" t="n">
        <v>0</v>
      </c>
      <c r="F4410" s="3" t="n">
        <v>0</v>
      </c>
      <c r="G4410" s="3" t="n">
        <v>0</v>
      </c>
      <c r="H4410" s="3" t="n">
        <v>0</v>
      </c>
      <c r="I4410" s="3" t="n">
        <v>0</v>
      </c>
      <c r="J4410" s="3" t="n">
        <v>0</v>
      </c>
      <c r="K4410" s="3" t="n">
        <v>0</v>
      </c>
      <c r="L4410" s="3" t="inlineStr">
        <is>
          <t>BOM</t>
        </is>
      </c>
      <c r="M4410" s="3" t="n">
        <v>0</v>
      </c>
      <c r="N4410" s="3" t="n">
        <v>0</v>
      </c>
      <c r="O4410" s="12" t="n">
        <v>0</v>
      </c>
    </row>
    <row r="4411">
      <c r="A4411" s="9" t="n">
        <v>46164</v>
      </c>
      <c r="B4411" s="6" t="inlineStr">
        <is>
          <t>Kerollen Cristielly de Jesus Siqueira</t>
        </is>
      </c>
      <c r="C4411" s="1" t="inlineStr">
        <is>
          <t>Técnico III</t>
        </is>
      </c>
      <c r="D4411" s="3" t="n">
        <v>19</v>
      </c>
      <c r="E4411" s="3" t="n">
        <v>19</v>
      </c>
      <c r="F4411" s="3" t="n">
        <v>16.57</v>
      </c>
      <c r="G4411" s="3" t="n">
        <v>0</v>
      </c>
      <c r="H4411" s="3" t="n">
        <v>0</v>
      </c>
      <c r="I4411" s="3" t="n">
        <v>19</v>
      </c>
      <c r="J4411" s="3" t="n">
        <v>19</v>
      </c>
      <c r="K4411" s="3" t="n">
        <v>0</v>
      </c>
      <c r="L4411" s="3" t="inlineStr">
        <is>
          <t>BOM</t>
        </is>
      </c>
      <c r="M4411" s="3" t="n">
        <v>21</v>
      </c>
      <c r="N4411" s="3" t="n">
        <v>96.84</v>
      </c>
      <c r="O4411" s="12" t="n">
        <v>16.33802816901408</v>
      </c>
    </row>
    <row r="4412">
      <c r="A4412" s="9" t="n">
        <v>46164</v>
      </c>
      <c r="B4412" s="6" t="inlineStr">
        <is>
          <t>Leandro Oliveira de Sousa</t>
        </is>
      </c>
      <c r="C4412" s="1" t="inlineStr">
        <is>
          <t>Técnico III</t>
        </is>
      </c>
      <c r="D4412" s="3" t="n">
        <v>21</v>
      </c>
      <c r="E4412" s="3" t="n">
        <v>20</v>
      </c>
      <c r="F4412" s="3" t="n">
        <v>16.59</v>
      </c>
      <c r="G4412" s="3" t="n">
        <v>0</v>
      </c>
      <c r="H4412" s="3" t="n">
        <v>0</v>
      </c>
      <c r="I4412" s="3" t="n">
        <v>20</v>
      </c>
      <c r="J4412" s="3" t="n">
        <v>19</v>
      </c>
      <c r="K4412" s="3" t="n">
        <v>1</v>
      </c>
      <c r="L4412" s="3" t="inlineStr">
        <is>
          <t>BOM</t>
        </is>
      </c>
      <c r="M4412" s="3" t="n">
        <v>20</v>
      </c>
      <c r="N4412" s="3" t="n">
        <v>100</v>
      </c>
      <c r="O4412" s="12" t="n">
        <v>18.24480369515012</v>
      </c>
    </row>
    <row r="4413">
      <c r="A4413" s="9" t="n">
        <v>46164</v>
      </c>
      <c r="B4413" s="6" t="inlineStr">
        <is>
          <t>Lucas Luiz Romero</t>
        </is>
      </c>
      <c r="C4413" s="1" t="inlineStr">
        <is>
          <t>Técnico III</t>
        </is>
      </c>
      <c r="D4413" s="3" t="n">
        <v>26</v>
      </c>
      <c r="E4413" s="3" t="n">
        <v>19</v>
      </c>
      <c r="F4413" s="3" t="n">
        <v>12.11</v>
      </c>
      <c r="G4413" s="3" t="n">
        <v>0</v>
      </c>
      <c r="H4413" s="3" t="n">
        <v>0</v>
      </c>
      <c r="I4413" s="3" t="n">
        <v>19</v>
      </c>
      <c r="J4413" s="3" t="n">
        <v>19</v>
      </c>
      <c r="K4413" s="3" t="n">
        <v>0</v>
      </c>
      <c r="L4413" s="3" t="inlineStr">
        <is>
          <t>BOM</t>
        </is>
      </c>
      <c r="M4413" s="3" t="n">
        <v>15</v>
      </c>
      <c r="N4413" s="3" t="n">
        <v>100</v>
      </c>
      <c r="O4413" s="12" t="n">
        <v>15.78947368421053</v>
      </c>
    </row>
    <row r="4414">
      <c r="A4414" s="9" t="n">
        <v>46164</v>
      </c>
      <c r="B4414" s="6" t="inlineStr">
        <is>
          <t>Maysa Victoria Dias Moura</t>
        </is>
      </c>
      <c r="C4414" s="1" t="inlineStr">
        <is>
          <t>Técnico III</t>
        </is>
      </c>
      <c r="D4414" s="3" t="n">
        <v>23</v>
      </c>
      <c r="E4414" s="3" t="n">
        <v>20</v>
      </c>
      <c r="F4414" s="3" t="n">
        <v>13.5</v>
      </c>
      <c r="G4414" s="3" t="n">
        <v>5</v>
      </c>
      <c r="H4414" s="3" t="n">
        <v>0</v>
      </c>
      <c r="I4414" s="3" t="n">
        <v>25</v>
      </c>
      <c r="J4414" s="3" t="n">
        <v>19</v>
      </c>
      <c r="K4414" s="3" t="n">
        <v>6</v>
      </c>
      <c r="L4414" s="3" t="inlineStr">
        <is>
          <t>EXCELENTE</t>
        </is>
      </c>
      <c r="M4414" s="3" t="n">
        <v>16</v>
      </c>
      <c r="N4414" s="3" t="n">
        <v>96.38</v>
      </c>
      <c r="O4414" s="12" t="n">
        <v>23.1981981981982</v>
      </c>
    </row>
    <row r="4415">
      <c r="A4415" s="9" t="n">
        <v>46164</v>
      </c>
      <c r="B4415" s="6" t="inlineStr">
        <is>
          <t>Rafael Gomes de Morais</t>
        </is>
      </c>
      <c r="C4415" s="1" t="inlineStr">
        <is>
          <t>Técnico III</t>
        </is>
      </c>
      <c r="D4415" s="3" t="n">
        <v>25</v>
      </c>
      <c r="E4415" s="3" t="n">
        <v>22</v>
      </c>
      <c r="F4415" s="3" t="n">
        <v>13.32</v>
      </c>
      <c r="G4415" s="3" t="n">
        <v>0</v>
      </c>
      <c r="H4415" s="3" t="n">
        <v>0</v>
      </c>
      <c r="I4415" s="3" t="n">
        <v>22</v>
      </c>
      <c r="J4415" s="3" t="n">
        <v>19</v>
      </c>
      <c r="K4415" s="3" t="n">
        <v>3</v>
      </c>
      <c r="L4415" s="3" t="inlineStr">
        <is>
          <t>BOM</t>
        </is>
      </c>
      <c r="M4415" s="3" t="n">
        <v>18</v>
      </c>
      <c r="N4415" s="3" t="n">
        <v>99.39</v>
      </c>
      <c r="O4415" s="12" t="n">
        <v>25.20325203252033</v>
      </c>
    </row>
    <row r="4416">
      <c r="A4416" s="9" t="n">
        <v>46164</v>
      </c>
      <c r="B4416" s="6" t="inlineStr">
        <is>
          <t>Sarah Steffanie de Lima Borges</t>
        </is>
      </c>
      <c r="C4416" s="1" t="inlineStr">
        <is>
          <t>Técnico III</t>
        </is>
      </c>
      <c r="D4416" s="3" t="n">
        <v>26</v>
      </c>
      <c r="E4416" s="3" t="n">
        <v>22</v>
      </c>
      <c r="F4416" s="3" t="n">
        <v>13.4</v>
      </c>
      <c r="G4416" s="3" t="n">
        <v>0</v>
      </c>
      <c r="H4416" s="3" t="n">
        <v>0</v>
      </c>
      <c r="I4416" s="3" t="n">
        <v>22</v>
      </c>
      <c r="J4416" s="3" t="n">
        <v>19</v>
      </c>
      <c r="K4416" s="3" t="n">
        <v>3</v>
      </c>
      <c r="L4416" s="3" t="inlineStr">
        <is>
          <t>BOM</t>
        </is>
      </c>
      <c r="M4416" s="3" t="n">
        <v>17</v>
      </c>
      <c r="N4416" s="3" t="n">
        <v>97</v>
      </c>
      <c r="O4416" s="12" t="n">
        <v>20.32520325203252</v>
      </c>
    </row>
    <row r="4417">
      <c r="A4417" s="5" t="n">
        <v>46164</v>
      </c>
      <c r="B4417" s="6" t="inlineStr">
        <is>
          <t>Alisson de Freitas Silva</t>
        </is>
      </c>
      <c r="C4417" s="1" t="inlineStr">
        <is>
          <t>Técnico II</t>
        </is>
      </c>
      <c r="D4417" s="3" t="n">
        <v>23</v>
      </c>
      <c r="E4417" s="3" t="n">
        <v>15</v>
      </c>
      <c r="F4417" s="3" t="n">
        <v>15.08</v>
      </c>
      <c r="G4417" s="3" t="n">
        <v>1</v>
      </c>
      <c r="H4417" s="3" t="n">
        <v>0</v>
      </c>
      <c r="I4417" s="3" t="n">
        <v>16</v>
      </c>
      <c r="J4417" s="3" t="n">
        <v>15</v>
      </c>
      <c r="K4417" s="3" t="n">
        <v>1</v>
      </c>
      <c r="L4417" s="3" t="inlineStr">
        <is>
          <t>BOM</t>
        </is>
      </c>
      <c r="M4417" s="3" t="n">
        <v>11</v>
      </c>
      <c r="N4417" s="3" t="n">
        <v>99.18000000000001</v>
      </c>
      <c r="O4417" s="12" t="n">
        <v>24.5014245014245</v>
      </c>
    </row>
    <row r="4418">
      <c r="A4418" s="9" t="n">
        <v>46164</v>
      </c>
      <c r="B4418" s="6" t="inlineStr">
        <is>
          <t>Brenda de Menezes Silva</t>
        </is>
      </c>
      <c r="C4418" s="1" t="inlineStr">
        <is>
          <t>Técnico II</t>
        </is>
      </c>
      <c r="D4418" s="3" t="n">
        <v>30</v>
      </c>
      <c r="E4418" s="3" t="n">
        <v>27</v>
      </c>
      <c r="F4418" s="3" t="n">
        <v>9.15</v>
      </c>
      <c r="G4418" s="3" t="n">
        <v>6</v>
      </c>
      <c r="H4418" s="3" t="n">
        <v>0</v>
      </c>
      <c r="I4418" s="3" t="n">
        <v>33</v>
      </c>
      <c r="J4418" s="3" t="n">
        <v>15</v>
      </c>
      <c r="K4418" s="3" t="n">
        <v>18</v>
      </c>
      <c r="L4418" s="3" t="inlineStr">
        <is>
          <t>EXCELENTE</t>
        </is>
      </c>
      <c r="M4418" s="3" t="n">
        <v>24</v>
      </c>
      <c r="N4418" s="3" t="n">
        <v>99.34999999999999</v>
      </c>
      <c r="O4418" s="12" t="n">
        <v>19.85294117647059</v>
      </c>
    </row>
    <row r="4419">
      <c r="A4419" s="9" t="n">
        <v>46164</v>
      </c>
      <c r="B4419" s="6" t="inlineStr">
        <is>
          <t>Carlos Mateus Cassimiro Nunes</t>
        </is>
      </c>
      <c r="C4419" s="1" t="inlineStr">
        <is>
          <t>Técnico II</t>
        </is>
      </c>
      <c r="D4419" s="3" t="n">
        <v>13</v>
      </c>
      <c r="E4419" s="3" t="n">
        <v>12</v>
      </c>
      <c r="F4419" s="3" t="n">
        <v>16.53</v>
      </c>
      <c r="G4419" s="3" t="n">
        <v>0</v>
      </c>
      <c r="H4419" s="3" t="n">
        <v>0</v>
      </c>
      <c r="I4419" s="3" t="n">
        <v>12</v>
      </c>
      <c r="J4419" s="3" t="n">
        <v>15</v>
      </c>
      <c r="K4419" s="3" t="n">
        <v>-3</v>
      </c>
      <c r="L4419" s="3" t="inlineStr">
        <is>
          <t>ATENÇÃO</t>
        </is>
      </c>
      <c r="M4419" s="3" t="n">
        <v>12</v>
      </c>
      <c r="N4419" s="3" t="n">
        <v>99.06999999999999</v>
      </c>
      <c r="O4419" s="12" t="n">
        <v>20.09803921568627</v>
      </c>
    </row>
    <row r="4420">
      <c r="A4420" s="9" t="n">
        <v>46164</v>
      </c>
      <c r="B4420" s="6" t="inlineStr">
        <is>
          <t>Damyllis Lorraine de Oliveira Gonçalves</t>
        </is>
      </c>
      <c r="C4420" s="1" t="inlineStr">
        <is>
          <t>Técnico II</t>
        </is>
      </c>
      <c r="D4420" s="3" t="n">
        <v>0</v>
      </c>
      <c r="E4420" s="3" t="n">
        <v>0</v>
      </c>
      <c r="F4420" s="3" t="n">
        <v>0</v>
      </c>
      <c r="G4420" s="3" t="n">
        <v>0</v>
      </c>
      <c r="H4420" s="3" t="n">
        <v>0</v>
      </c>
      <c r="I4420" s="3" t="n">
        <v>0</v>
      </c>
      <c r="J4420" s="3" t="n">
        <v>0</v>
      </c>
      <c r="K4420" s="3" t="n">
        <v>0</v>
      </c>
      <c r="L4420" s="3" t="inlineStr">
        <is>
          <t>BOM</t>
        </is>
      </c>
      <c r="M4420" s="3" t="n">
        <v>0</v>
      </c>
      <c r="N4420" s="3" t="n">
        <v>98.81</v>
      </c>
      <c r="O4420" s="12" t="n">
        <v>22.76785714285714</v>
      </c>
    </row>
    <row r="4421">
      <c r="A4421" s="9" t="n">
        <v>46164</v>
      </c>
      <c r="B4421" s="6" t="inlineStr">
        <is>
          <t>Emilly Kamilly Medeiros Miranda</t>
        </is>
      </c>
      <c r="C4421" s="1" t="inlineStr">
        <is>
          <t>Técnico II</t>
        </is>
      </c>
      <c r="D4421" s="3" t="n">
        <v>17</v>
      </c>
      <c r="E4421" s="3" t="n">
        <v>14</v>
      </c>
      <c r="F4421" s="3" t="n">
        <v>13.23</v>
      </c>
      <c r="G4421" s="3" t="n">
        <v>1</v>
      </c>
      <c r="H4421" s="3" t="n">
        <v>0</v>
      </c>
      <c r="I4421" s="3" t="n">
        <v>15</v>
      </c>
      <c r="J4421" s="3" t="n">
        <v>15</v>
      </c>
      <c r="K4421" s="3" t="n">
        <v>0</v>
      </c>
      <c r="L4421" s="3" t="inlineStr">
        <is>
          <t>BOM</t>
        </is>
      </c>
      <c r="M4421" s="3" t="n">
        <v>13</v>
      </c>
      <c r="N4421" s="3" t="n">
        <v>99.01000000000001</v>
      </c>
      <c r="O4421" s="12" t="n">
        <v>17.76649746192894</v>
      </c>
    </row>
    <row r="4422">
      <c r="A4422" s="9" t="n">
        <v>46164</v>
      </c>
      <c r="B4422" s="6" t="inlineStr">
        <is>
          <t>Francilene Ferreira de Jesus</t>
        </is>
      </c>
      <c r="C4422" s="1" t="inlineStr">
        <is>
          <t>Técnico II</t>
        </is>
      </c>
      <c r="D4422" s="3" t="n">
        <v>0</v>
      </c>
      <c r="E4422" s="3" t="n">
        <v>0</v>
      </c>
      <c r="F4422" s="3" t="n">
        <v>0</v>
      </c>
      <c r="G4422" s="3" t="n">
        <v>0</v>
      </c>
      <c r="H4422" s="3" t="n">
        <v>0</v>
      </c>
      <c r="I4422" s="3" t="n">
        <v>0</v>
      </c>
      <c r="J4422" s="3" t="n">
        <v>0</v>
      </c>
      <c r="K4422" s="3" t="n">
        <v>0</v>
      </c>
      <c r="L4422" s="3" t="inlineStr">
        <is>
          <t>BOM</t>
        </is>
      </c>
      <c r="M4422" s="3" t="n">
        <v>0</v>
      </c>
      <c r="N4422" s="3" t="n">
        <v>100</v>
      </c>
      <c r="O4422" s="12" t="n">
        <v>17.24137931034483</v>
      </c>
    </row>
    <row r="4423">
      <c r="A4423" s="9" t="n">
        <v>46164</v>
      </c>
      <c r="B4423" s="6" t="inlineStr">
        <is>
          <t>Isabella Borges de Oliveira</t>
        </is>
      </c>
      <c r="C4423" s="1" t="inlineStr">
        <is>
          <t>Técnico II</t>
        </is>
      </c>
      <c r="D4423" s="3" t="n">
        <v>15</v>
      </c>
      <c r="E4423" s="3" t="n">
        <v>15</v>
      </c>
      <c r="F4423" s="3" t="n">
        <v>28.35</v>
      </c>
      <c r="G4423" s="3" t="n">
        <v>0</v>
      </c>
      <c r="H4423" s="3" t="n">
        <v>0</v>
      </c>
      <c r="I4423" s="3" t="n">
        <v>15</v>
      </c>
      <c r="J4423" s="3" t="n">
        <v>15</v>
      </c>
      <c r="K4423" s="3" t="n">
        <v>0</v>
      </c>
      <c r="L4423" s="3" t="inlineStr">
        <is>
          <t>BOM</t>
        </is>
      </c>
      <c r="M4423" s="3" t="n">
        <v>13</v>
      </c>
      <c r="N4423" s="3" t="n">
        <v>98.98</v>
      </c>
      <c r="O4423" s="12" t="n">
        <v>19.35483870967742</v>
      </c>
    </row>
    <row r="4424">
      <c r="A4424" s="9" t="n">
        <v>46164</v>
      </c>
      <c r="B4424" s="6" t="inlineStr">
        <is>
          <t>Jessica Faria da Silveira</t>
        </is>
      </c>
      <c r="C4424" s="1" t="inlineStr">
        <is>
          <t>Técnico II</t>
        </is>
      </c>
      <c r="D4424" s="3" t="n">
        <v>13</v>
      </c>
      <c r="E4424" s="3" t="n">
        <v>12</v>
      </c>
      <c r="F4424" s="3" t="n">
        <v>11.42</v>
      </c>
      <c r="G4424" s="3" t="n">
        <v>1</v>
      </c>
      <c r="H4424" s="3" t="n">
        <v>0</v>
      </c>
      <c r="I4424" s="3" t="n">
        <v>13</v>
      </c>
      <c r="J4424" s="3" t="n">
        <v>15</v>
      </c>
      <c r="K4424" s="3" t="n">
        <v>-2</v>
      </c>
      <c r="L4424" s="3" t="inlineStr">
        <is>
          <t>ATENÇÃO</t>
        </is>
      </c>
      <c r="M4424" s="3" t="n">
        <v>10</v>
      </c>
      <c r="N4424" s="3" t="n">
        <v>98.94</v>
      </c>
      <c r="O4424" s="12" t="n">
        <v>21.2707182320442</v>
      </c>
    </row>
    <row r="4425">
      <c r="A4425" s="9" t="n">
        <v>46164</v>
      </c>
      <c r="B4425" s="6" t="inlineStr">
        <is>
          <t>Lizandra Gomes Duarte</t>
        </is>
      </c>
      <c r="C4425" s="1" t="inlineStr">
        <is>
          <t>Técnico II</t>
        </is>
      </c>
      <c r="D4425" s="3" t="n">
        <v>19</v>
      </c>
      <c r="E4425" s="3" t="n">
        <v>18</v>
      </c>
      <c r="F4425" s="3" t="n">
        <v>20.48</v>
      </c>
      <c r="G4425" s="3" t="n">
        <v>1</v>
      </c>
      <c r="H4425" s="3" t="n">
        <v>0</v>
      </c>
      <c r="I4425" s="3" t="n">
        <v>19</v>
      </c>
      <c r="J4425" s="3" t="n">
        <v>15</v>
      </c>
      <c r="K4425" s="3" t="n">
        <v>4</v>
      </c>
      <c r="L4425" s="3" t="inlineStr">
        <is>
          <t>BOM</t>
        </is>
      </c>
      <c r="M4425" s="3" t="n">
        <v>18</v>
      </c>
      <c r="N4425" s="3" t="n">
        <v>99</v>
      </c>
      <c r="O4425" s="12" t="n">
        <v>22.01086956521739</v>
      </c>
    </row>
    <row r="4426">
      <c r="A4426" s="9" t="n">
        <v>46164</v>
      </c>
      <c r="B4426" s="6" t="inlineStr">
        <is>
          <t>Lorena Dias de Araujo</t>
        </is>
      </c>
      <c r="C4426" s="1" t="inlineStr">
        <is>
          <t>Técnico II</t>
        </is>
      </c>
      <c r="D4426" s="3" t="n">
        <v>0</v>
      </c>
      <c r="E4426" s="3" t="n">
        <v>0</v>
      </c>
      <c r="F4426" s="3" t="n">
        <v>0</v>
      </c>
      <c r="G4426" s="3" t="n">
        <v>0</v>
      </c>
      <c r="H4426" s="3" t="n">
        <v>0</v>
      </c>
      <c r="I4426" s="3" t="n">
        <v>0</v>
      </c>
      <c r="J4426" s="3" t="n">
        <v>0</v>
      </c>
      <c r="K4426" s="3" t="n">
        <v>0</v>
      </c>
      <c r="L4426" s="3" t="inlineStr">
        <is>
          <t>BOM</t>
        </is>
      </c>
      <c r="M4426" s="3" t="n">
        <v>0</v>
      </c>
      <c r="N4426" s="3" t="n">
        <v>100</v>
      </c>
      <c r="O4426" s="12" t="n">
        <v>25</v>
      </c>
    </row>
    <row r="4427">
      <c r="A4427" s="9" t="n">
        <v>46164</v>
      </c>
      <c r="B4427" s="6" t="inlineStr">
        <is>
          <t>Patrícia Karla de Sousa Araújo</t>
        </is>
      </c>
      <c r="C4427" s="1" t="inlineStr">
        <is>
          <t>Técnico II</t>
        </is>
      </c>
      <c r="D4427" s="3" t="n">
        <v>17</v>
      </c>
      <c r="E4427" s="3" t="n">
        <v>17</v>
      </c>
      <c r="F4427" s="3" t="n">
        <v>22.2</v>
      </c>
      <c r="G4427" s="3" t="n">
        <v>0</v>
      </c>
      <c r="H4427" s="3" t="n">
        <v>0</v>
      </c>
      <c r="I4427" s="3" t="n">
        <v>17</v>
      </c>
      <c r="J4427" s="3" t="n">
        <v>15</v>
      </c>
      <c r="K4427" s="3" t="n">
        <v>2</v>
      </c>
      <c r="L4427" s="3" t="inlineStr">
        <is>
          <t>BOM</t>
        </is>
      </c>
      <c r="M4427" s="3" t="n">
        <v>12</v>
      </c>
      <c r="N4427" s="3" t="n">
        <v>100</v>
      </c>
      <c r="O4427" s="12" t="n">
        <v>20.18348623853211</v>
      </c>
    </row>
    <row r="4428">
      <c r="A4428" s="9" t="n">
        <v>46164</v>
      </c>
      <c r="B4428" s="6" t="inlineStr">
        <is>
          <t>Ana Karollyne Souza Faria</t>
        </is>
      </c>
      <c r="C4428" s="1" t="inlineStr">
        <is>
          <t>Técnico I</t>
        </is>
      </c>
      <c r="D4428" s="3" t="n">
        <v>11</v>
      </c>
      <c r="E4428" s="3" t="n">
        <v>9</v>
      </c>
      <c r="F4428" s="3" t="n">
        <v>15.17</v>
      </c>
      <c r="G4428" s="3" t="n">
        <v>3</v>
      </c>
      <c r="H4428" s="3" t="n">
        <v>0</v>
      </c>
      <c r="I4428" s="3" t="n">
        <v>12</v>
      </c>
      <c r="J4428" s="3" t="n">
        <v>13</v>
      </c>
      <c r="K4428" s="3" t="n">
        <v>-1</v>
      </c>
      <c r="L4428" s="3" t="inlineStr">
        <is>
          <t>ATENÇÃO</t>
        </is>
      </c>
      <c r="M4428" s="3" t="n">
        <v>10</v>
      </c>
      <c r="N4428" s="3" t="n">
        <v>96.25</v>
      </c>
      <c r="O4428" s="12" t="n">
        <v>25.5863539445629</v>
      </c>
    </row>
    <row r="4429">
      <c r="A4429" s="9" t="n">
        <v>46164</v>
      </c>
      <c r="B4429" s="6" t="inlineStr">
        <is>
          <t>Clessiane Pereira dos Santos</t>
        </is>
      </c>
      <c r="C4429" s="1" t="inlineStr">
        <is>
          <t>Técnico I</t>
        </is>
      </c>
      <c r="D4429" s="3" t="n">
        <v>15</v>
      </c>
      <c r="E4429" s="3" t="n">
        <v>14</v>
      </c>
      <c r="F4429" s="3" t="n">
        <v>12.06</v>
      </c>
      <c r="G4429" s="3" t="n">
        <v>0</v>
      </c>
      <c r="H4429" s="3" t="n">
        <v>0</v>
      </c>
      <c r="I4429" s="3" t="n">
        <v>14</v>
      </c>
      <c r="J4429" s="3" t="n">
        <v>13</v>
      </c>
      <c r="K4429" s="3" t="n">
        <v>1</v>
      </c>
      <c r="L4429" s="3" t="inlineStr">
        <is>
          <t>BOM</t>
        </is>
      </c>
      <c r="M4429" s="3" t="n">
        <v>12</v>
      </c>
      <c r="N4429" s="3" t="n">
        <v>97.48</v>
      </c>
      <c r="O4429" s="12" t="n">
        <v>22.99465240641711</v>
      </c>
    </row>
    <row r="4430">
      <c r="A4430" s="9" t="n">
        <v>46164</v>
      </c>
      <c r="B4430" s="6" t="inlineStr">
        <is>
          <t>Daniel Gomes da Silva</t>
        </is>
      </c>
      <c r="C4430" s="1" t="inlineStr">
        <is>
          <t>Técnico I</t>
        </is>
      </c>
      <c r="D4430" s="3" t="n">
        <v>24</v>
      </c>
      <c r="E4430" s="3" t="n">
        <v>23</v>
      </c>
      <c r="F4430" s="3" t="n">
        <v>10.35</v>
      </c>
      <c r="G4430" s="3" t="n">
        <v>0</v>
      </c>
      <c r="H4430" s="3" t="n">
        <v>0</v>
      </c>
      <c r="I4430" s="3" t="n">
        <v>23</v>
      </c>
      <c r="J4430" s="3" t="n">
        <v>13</v>
      </c>
      <c r="K4430" s="3" t="n">
        <v>10</v>
      </c>
      <c r="L4430" s="3" t="inlineStr">
        <is>
          <t>EXCELENTE</t>
        </is>
      </c>
      <c r="M4430" s="3" t="n">
        <v>18</v>
      </c>
      <c r="N4430" s="3" t="n">
        <v>100</v>
      </c>
      <c r="O4430" s="12" t="n">
        <v>20.78853046594982</v>
      </c>
    </row>
    <row r="4431">
      <c r="A4431" s="9" t="n">
        <v>46164</v>
      </c>
      <c r="B4431" s="6" t="inlineStr">
        <is>
          <t>Luiz Fernando de Carvalho Junior</t>
        </is>
      </c>
      <c r="C4431" s="1" t="inlineStr">
        <is>
          <t>Técnico I</t>
        </is>
      </c>
      <c r="D4431" s="3" t="n">
        <v>8</v>
      </c>
      <c r="E4431" s="3" t="n">
        <v>8</v>
      </c>
      <c r="F4431" s="3" t="n">
        <v>32.37</v>
      </c>
      <c r="G4431" s="3" t="n">
        <v>0</v>
      </c>
      <c r="H4431" s="3" t="n">
        <v>0</v>
      </c>
      <c r="I4431" s="3" t="n">
        <v>8</v>
      </c>
      <c r="J4431" s="3" t="n">
        <v>13</v>
      </c>
      <c r="K4431" s="3" t="n">
        <v>-5</v>
      </c>
      <c r="L4431" s="3" t="inlineStr">
        <is>
          <t>ATENÇÃO</t>
        </is>
      </c>
      <c r="M4431" s="3" t="n">
        <v>8</v>
      </c>
      <c r="N4431" s="3" t="n">
        <v>94.55</v>
      </c>
      <c r="O4431" s="12" t="n">
        <v>23.45013477088949</v>
      </c>
    </row>
    <row r="4432">
      <c r="A4432" s="9" t="n">
        <v>46164</v>
      </c>
      <c r="B4432" s="6" t="inlineStr">
        <is>
          <t>Raane Batista Matos</t>
        </is>
      </c>
      <c r="C4432" s="1" t="inlineStr">
        <is>
          <t>Técnico I</t>
        </is>
      </c>
      <c r="D4432" s="3" t="n">
        <v>18</v>
      </c>
      <c r="E4432" s="3" t="n">
        <v>18</v>
      </c>
      <c r="F4432" s="3" t="n">
        <v>20.45</v>
      </c>
      <c r="G4432" s="3" t="n">
        <v>2</v>
      </c>
      <c r="H4432" s="3" t="n">
        <v>0</v>
      </c>
      <c r="I4432" s="3" t="n">
        <v>20</v>
      </c>
      <c r="J4432" s="3" t="n">
        <v>13</v>
      </c>
      <c r="K4432" s="3" t="n">
        <v>7</v>
      </c>
      <c r="L4432" s="3" t="inlineStr">
        <is>
          <t>EXCELENTE</t>
        </is>
      </c>
      <c r="M4432" s="3" t="n">
        <v>12</v>
      </c>
      <c r="N4432" s="3" t="n">
        <v>98</v>
      </c>
      <c r="O4432" s="12" t="n">
        <v>20.73490813648294</v>
      </c>
    </row>
    <row r="4433">
      <c r="A4433" s="9" t="n">
        <v>46164</v>
      </c>
      <c r="B4433" s="6" t="inlineStr">
        <is>
          <t>Sara Maria Monteiro Lopes</t>
        </is>
      </c>
      <c r="C4433" s="1" t="inlineStr">
        <is>
          <t>Técnico I</t>
        </is>
      </c>
      <c r="D4433" s="3" t="n">
        <v>17</v>
      </c>
      <c r="E4433" s="3" t="n">
        <v>16</v>
      </c>
      <c r="F4433" s="3" t="n">
        <v>20.55</v>
      </c>
      <c r="G4433" s="3" t="n">
        <v>1</v>
      </c>
      <c r="H4433" s="3" t="n">
        <v>0</v>
      </c>
      <c r="I4433" s="3" t="n">
        <v>17</v>
      </c>
      <c r="J4433" s="3" t="n">
        <v>13</v>
      </c>
      <c r="K4433" s="3" t="n">
        <v>4</v>
      </c>
      <c r="L4433" s="3" t="inlineStr">
        <is>
          <t>BOM</t>
        </is>
      </c>
      <c r="M4433" s="3" t="n">
        <v>17</v>
      </c>
      <c r="N4433" s="3" t="n">
        <v>100</v>
      </c>
      <c r="O4433" s="12" t="n">
        <v>18</v>
      </c>
    </row>
    <row r="4434">
      <c r="A4434" s="9" t="n">
        <v>46164</v>
      </c>
      <c r="B4434" s="6" t="inlineStr">
        <is>
          <t>Gabriel Gomes de Andrade</t>
        </is>
      </c>
      <c r="C4434" s="1" t="inlineStr">
        <is>
          <t>Técnico I</t>
        </is>
      </c>
      <c r="D4434" s="3" t="n">
        <v>8</v>
      </c>
      <c r="E4434" s="3" t="n">
        <v>7</v>
      </c>
      <c r="F4434" s="3" t="n">
        <v>18.34</v>
      </c>
      <c r="G4434" s="3" t="n">
        <v>0</v>
      </c>
      <c r="H4434" s="3" t="n">
        <v>0</v>
      </c>
      <c r="I4434" s="3" t="n">
        <v>7</v>
      </c>
      <c r="J4434" s="3" t="n">
        <v>13</v>
      </c>
      <c r="K4434" s="3" t="n">
        <v>-6</v>
      </c>
      <c r="L4434" s="3" t="inlineStr">
        <is>
          <t>CRÍTICO</t>
        </is>
      </c>
      <c r="M4434" s="3" t="n">
        <v>7</v>
      </c>
      <c r="N4434" s="3" t="n">
        <v>99.06</v>
      </c>
      <c r="O4434" s="12" t="n">
        <v>19.41747572815534</v>
      </c>
    </row>
    <row r="4435">
      <c r="A4435" s="9" t="n">
        <v>46164</v>
      </c>
      <c r="B4435" s="6" t="inlineStr">
        <is>
          <t>Matheus Farias De Souza</t>
        </is>
      </c>
      <c r="C4435" s="1" t="inlineStr">
        <is>
          <t>Técnico III</t>
        </is>
      </c>
      <c r="D4435" s="3" t="n">
        <v>0</v>
      </c>
      <c r="E4435" s="3" t="n">
        <v>0</v>
      </c>
      <c r="F4435" s="3" t="n">
        <v>0</v>
      </c>
      <c r="G4435" s="3" t="n">
        <v>0</v>
      </c>
      <c r="H4435" s="3" t="n">
        <v>25</v>
      </c>
      <c r="I4435" s="3" t="n">
        <v>25</v>
      </c>
      <c r="J4435" s="3" t="n">
        <v>19</v>
      </c>
      <c r="K4435" s="3" t="n">
        <v>6</v>
      </c>
      <c r="L4435" s="3" t="inlineStr">
        <is>
          <t>EXCELENTE</t>
        </is>
      </c>
      <c r="M4435" s="3" t="n">
        <v>3</v>
      </c>
      <c r="N4435" s="3" t="n">
        <v>98.39</v>
      </c>
      <c r="O4435" s="12" t="n">
        <v>8.799999999999999</v>
      </c>
    </row>
    <row r="4436">
      <c r="A4436" s="5" t="n">
        <v>46148</v>
      </c>
      <c r="B4436" s="6" t="inlineStr">
        <is>
          <t>Paulo Ricardo Santos</t>
        </is>
      </c>
      <c r="C4436" s="1" t="inlineStr">
        <is>
          <t>JR</t>
        </is>
      </c>
      <c r="D4436" s="3" t="n">
        <v>17</v>
      </c>
      <c r="E4436" s="3" t="n">
        <v>17</v>
      </c>
      <c r="F4436" s="3" t="n">
        <v>20.34</v>
      </c>
      <c r="G4436" s="3" t="n">
        <v>0</v>
      </c>
      <c r="H4436" s="3" t="n">
        <v>0</v>
      </c>
      <c r="I4436" s="3">
        <f>E4436+G4436+H4436</f>
        <v/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/>
      </c>
      <c r="K4436" s="3">
        <f>I4436-J4436</f>
        <v/>
      </c>
      <c r="L4436" s="3">
        <f>IF(K4436&lt;-5,"CRÍTICO",IF(K4436&lt;0,"ATENÇÃO",IF(K4436&lt;=5,"OPORTUNO","MUITO BOM")))</f>
        <v/>
      </c>
      <c r="M4436" s="3" t="n">
        <v>15</v>
      </c>
      <c r="N4436" s="3" t="n">
        <v>100</v>
      </c>
      <c r="O4436" s="12" t="n">
        <v>20.0836820083682</v>
      </c>
    </row>
    <row r="4437">
      <c r="A4437" s="5" t="n">
        <v>46149</v>
      </c>
      <c r="B4437" s="6" t="inlineStr">
        <is>
          <t>Paulo Ricardo Santos</t>
        </is>
      </c>
      <c r="C4437" s="1" t="inlineStr">
        <is>
          <t>JR</t>
        </is>
      </c>
      <c r="D4437" s="3" t="n">
        <v>16</v>
      </c>
      <c r="E4437" s="3" t="n">
        <v>16</v>
      </c>
      <c r="F4437" s="3" t="n">
        <v>21.57</v>
      </c>
      <c r="G4437" s="3" t="n">
        <v>8</v>
      </c>
      <c r="H4437" s="3" t="n">
        <v>0</v>
      </c>
      <c r="I4437" s="3">
        <f>E4437+G4437+H4437</f>
        <v/>
      </c>
      <c r="J4437" s="3">
        <f>ROUND(MIN(IF(C4437="Técnico III",35,IF(C4437="Técnico II",28,IF(C4437="Técnico I",23,IF(C4437="JR",20,IF(C4437="Estágio",10,0))))),IF(C4437="Técnico III",SUMIFS($D:$D,$A:$A,$A4437,$B:$B,"&lt;&gt;Patrícia Karla de Sousa Araújo",$B:$B,"&lt;&gt;Lorena Dias de Araujo",$B:$B,"&lt;&gt;Lucas Luiz Romero")*(35/1083),IF(C4437="Técnico II",SUMIFS($D:$D,$A:$A,$A4437,$B:$B,"&lt;&gt;Patrícia Karla de Sousa Araújo",$B:$B,"&lt;&gt;Lorena Dias de Araujo",$B:$B,"&lt;&gt;Lucas Luiz Romero")*(28/1083),IF(C4437="Técnico I",SUMIFS($D:$D,$A:$A,$A4437,$B:$B,"&lt;&gt;Patrícia Karla de Sousa Araújo",$B:$B,"&lt;&gt;Lorena Dias de Araujo",$B:$B,"&lt;&gt;Lucas Luiz Romero")*(23/1083),IF(C4437="JR",SUMIFS($D:$D,$A:$A,$A4437,$B:$B,"&lt;&gt;Patrícia Karla de Sousa Araújo",$B:$B,"&lt;&gt;Lorena Dias de Araujo",$B:$B,"&lt;&gt;Lucas Luiz Romero")*(20/1083),IF(C4437="Estágio",SUMIFS($D:$D,$A:$A,$A4437,$B:$B,"&lt;&gt;Patrícia Karla de Sousa Araújo",$B:$B,"&lt;&gt;Lorena Dias de Araujo",$B:$B,"&lt;&gt;Lucas Luiz Romero")*(10/1083),0)))))),0)</f>
        <v/>
      </c>
      <c r="K4437" s="3">
        <f>I4437-J4437</f>
        <v/>
      </c>
      <c r="L4437" s="3">
        <f>IF(K4437&lt;-5,"CRÍTICO",IF(K4437&lt;0,"ATENÇÃO",IF(K4437&lt;=5,"OPORTUNO","MUITO BOM")))</f>
        <v/>
      </c>
      <c r="M4437" s="3" t="n">
        <v>18</v>
      </c>
      <c r="N4437" s="3" t="n">
        <v>100</v>
      </c>
      <c r="O4437" s="12" t="n">
        <v>20.0836820083682</v>
      </c>
    </row>
    <row r="4438">
      <c r="A4438" s="5" t="n">
        <v>46150</v>
      </c>
      <c r="B4438" s="6" t="inlineStr">
        <is>
          <t>Paulo Ricardo Santos</t>
        </is>
      </c>
      <c r="C4438" s="1" t="inlineStr">
        <is>
          <t>JR</t>
        </is>
      </c>
      <c r="D4438" s="3" t="n">
        <v>14</v>
      </c>
      <c r="E4438" s="3" t="n">
        <v>14</v>
      </c>
      <c r="F4438" s="3" t="n">
        <v>23.46</v>
      </c>
      <c r="G4438" s="3" t="n">
        <v>0</v>
      </c>
      <c r="H4438" s="3" t="n">
        <v>0</v>
      </c>
      <c r="I4438" s="3">
        <f>E4438+G4438+H4438</f>
        <v/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/>
      </c>
      <c r="K4438" s="3">
        <f>I4438-J4438</f>
        <v/>
      </c>
      <c r="L4438" s="3">
        <f>IF(K4438&lt;-5,"CRÍTICO",IF(K4438&lt;0,"ATENÇÃO",IF(K4438&lt;=5,"OPORTUNO","MUITO BOM")))</f>
        <v/>
      </c>
      <c r="M4438" s="3" t="n">
        <v>14</v>
      </c>
      <c r="N4438" s="3" t="n">
        <v>100</v>
      </c>
      <c r="O4438" s="12" t="n">
        <v>20.0836820083682</v>
      </c>
    </row>
    <row r="4439">
      <c r="A4439" s="5" t="n">
        <v>46153</v>
      </c>
      <c r="B4439" s="6" t="inlineStr">
        <is>
          <t>Paulo Ricardo Santos</t>
        </is>
      </c>
      <c r="C4439" s="1" t="inlineStr">
        <is>
          <t>JR</t>
        </is>
      </c>
      <c r="D4439" s="3" t="n">
        <v>11</v>
      </c>
      <c r="E4439" s="3" t="n">
        <v>11</v>
      </c>
      <c r="F4439" s="3" t="n">
        <v>15.43</v>
      </c>
      <c r="G4439" s="3" t="n">
        <v>0</v>
      </c>
      <c r="H4439" s="3" t="n">
        <v>0</v>
      </c>
      <c r="I4439" s="3">
        <f>E4439+G4439+H4439</f>
        <v/>
      </c>
      <c r="J4439" s="3">
        <f>ROUND(MIN(IF(C4439="Técnico III",35,IF(C4439="Técnico II",28,IF(C4439="Técnico I",23,IF(C4439="JR",20,IF(C4439="Estágio",10,0))))),IF(C4439="Técnico III",SUMIFS($D:$D,$A:$A,$A4439,$B:$B,"&lt;&gt;Patrícia Karla de Sousa Araújo",$B:$B,"&lt;&gt;Lorena Dias de Araujo",$B:$B,"&lt;&gt;Lucas Luiz Romero")*(35/1083),IF(C4439="Técnico II",SUMIFS($D:$D,$A:$A,$A4439,$B:$B,"&lt;&gt;Patrícia Karla de Sousa Araújo",$B:$B,"&lt;&gt;Lorena Dias de Araujo",$B:$B,"&lt;&gt;Lucas Luiz Romero")*(28/1083),IF(C4439="Técnico I",SUMIFS($D:$D,$A:$A,$A4439,$B:$B,"&lt;&gt;Patrícia Karla de Sousa Araújo",$B:$B,"&lt;&gt;Lorena Dias de Araujo",$B:$B,"&lt;&gt;Lucas Luiz Romero")*(23/1083),IF(C4439="JR",SUMIFS($D:$D,$A:$A,$A4439,$B:$B,"&lt;&gt;Patrícia Karla de Sousa Araújo",$B:$B,"&lt;&gt;Lorena Dias de Araujo",$B:$B,"&lt;&gt;Lucas Luiz Romero")*(20/1083),IF(C4439="Estágio",SUMIFS($D:$D,$A:$A,$A4439,$B:$B,"&lt;&gt;Patrícia Karla de Sousa Araújo",$B:$B,"&lt;&gt;Lorena Dias de Araujo",$B:$B,"&lt;&gt;Lucas Luiz Romero")*(10/1083),0)))))),0)</f>
        <v/>
      </c>
      <c r="K4439" s="3">
        <f>I4439-J4439</f>
        <v/>
      </c>
      <c r="L4439" s="3">
        <f>IF(K4439&lt;-5,"CRÍTICO",IF(K4439&lt;0,"ATENÇÃO",IF(K4439&lt;=5,"OPORTUNO","MUITO BOM")))</f>
        <v/>
      </c>
      <c r="M4439" s="3" t="n">
        <v>12</v>
      </c>
      <c r="N4439" s="3" t="n">
        <v>100</v>
      </c>
      <c r="O4439" s="12" t="n">
        <v>20.0836820083682</v>
      </c>
    </row>
    <row r="4440">
      <c r="A4440" s="5" t="n">
        <v>46154</v>
      </c>
      <c r="B4440" s="6" t="inlineStr">
        <is>
          <t>Paulo Ricardo Santos</t>
        </is>
      </c>
      <c r="C4440" s="1" t="inlineStr">
        <is>
          <t>JR</t>
        </is>
      </c>
      <c r="D4440" s="3" t="n">
        <v>21</v>
      </c>
      <c r="E4440" s="3" t="n">
        <v>21</v>
      </c>
      <c r="F4440" s="3" t="n">
        <v>21.44</v>
      </c>
      <c r="G4440" s="3" t="n">
        <v>0</v>
      </c>
      <c r="H4440" s="3" t="n">
        <v>0</v>
      </c>
      <c r="I4440" s="3">
        <f>E4440+G4440+H4440</f>
        <v/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/>
      </c>
      <c r="K4440" s="3">
        <f>I4440-J4440</f>
        <v/>
      </c>
      <c r="L4440" s="3">
        <f>IF(K4440&lt;-5,"CRÍTICO",IF(K4440&lt;0,"ATENÇÃO",IF(K4440&lt;=5,"OPORTUNO","MUITO BOM")))</f>
        <v/>
      </c>
      <c r="M4440" s="3" t="n">
        <v>19</v>
      </c>
      <c r="N4440" s="3" t="n">
        <v>100</v>
      </c>
      <c r="O4440" s="12" t="n">
        <v>20.0836820083682</v>
      </c>
    </row>
    <row r="4441">
      <c r="A4441" s="5" t="n">
        <v>46155</v>
      </c>
      <c r="B4441" s="6" t="inlineStr">
        <is>
          <t>Paulo Ricardo Santos</t>
        </is>
      </c>
      <c r="C4441" s="1" t="inlineStr">
        <is>
          <t>JR</t>
        </is>
      </c>
      <c r="D4441" s="3" t="n">
        <v>12</v>
      </c>
      <c r="E4441" s="3" t="n">
        <v>11</v>
      </c>
      <c r="F4441" s="3" t="n">
        <v>25.27</v>
      </c>
      <c r="G4441" s="3" t="n">
        <v>0</v>
      </c>
      <c r="H4441" s="3" t="n">
        <v>0</v>
      </c>
      <c r="I4441" s="3">
        <f>E4441+G4441+H4441</f>
        <v/>
      </c>
      <c r="J4441" s="3">
        <f>ROUND(MIN(IF(C4441="Técnico III",35,IF(C4441="Técnico II",28,IF(C4441="Técnico I",23,IF(C4441="JR",20,IF(C4441="Estágio",10,0))))),IF(C4441="Técnico III",SUMIFS($D:$D,$A:$A,$A4441,$B:$B,"&lt;&gt;Patrícia Karla de Sousa Araújo",$B:$B,"&lt;&gt;Lorena Dias de Araujo",$B:$B,"&lt;&gt;Lucas Luiz Romero")*(35/1083),IF(C4441="Técnico II",SUMIFS($D:$D,$A:$A,$A4441,$B:$B,"&lt;&gt;Patrícia Karla de Sousa Araújo",$B:$B,"&lt;&gt;Lorena Dias de Araujo",$B:$B,"&lt;&gt;Lucas Luiz Romero")*(28/1083),IF(C4441="Técnico I",SUMIFS($D:$D,$A:$A,$A4441,$B:$B,"&lt;&gt;Patrícia Karla de Sousa Araújo",$B:$B,"&lt;&gt;Lorena Dias de Araujo",$B:$B,"&lt;&gt;Lucas Luiz Romero")*(23/1083),IF(C4441="JR",SUMIFS($D:$D,$A:$A,$A4441,$B:$B,"&lt;&gt;Patrícia Karla de Sousa Araújo",$B:$B,"&lt;&gt;Lorena Dias de Araujo",$B:$B,"&lt;&gt;Lucas Luiz Romero")*(20/1083),IF(C4441="Estágio",SUMIFS($D:$D,$A:$A,$A4441,$B:$B,"&lt;&gt;Patrícia Karla de Sousa Araújo",$B:$B,"&lt;&gt;Lorena Dias de Araujo",$B:$B,"&lt;&gt;Lucas Luiz Romero")*(10/1083),0)))))),0)</f>
        <v/>
      </c>
      <c r="K4441" s="3">
        <f>I4441-J4441</f>
        <v/>
      </c>
      <c r="L4441" s="3">
        <f>IF(K4441&lt;-5,"CRÍTICO",IF(K4441&lt;0,"ATENÇÃO",IF(K4441&lt;=5,"OPORTUNO","MUITO BOM")))</f>
        <v/>
      </c>
      <c r="M4441" s="3" t="n">
        <v>14</v>
      </c>
      <c r="N4441" s="3" t="n">
        <v>100</v>
      </c>
      <c r="O4441" s="12" t="n">
        <v>20.0836820083682</v>
      </c>
    </row>
    <row r="4442">
      <c r="A4442" s="5" t="n">
        <v>46156</v>
      </c>
      <c r="B4442" s="6" t="inlineStr">
        <is>
          <t>Paulo Ricardo Santos</t>
        </is>
      </c>
      <c r="C4442" s="1" t="inlineStr">
        <is>
          <t>JR</t>
        </is>
      </c>
      <c r="D4442" s="3" t="n">
        <v>15</v>
      </c>
      <c r="E4442" s="3" t="n">
        <v>15</v>
      </c>
      <c r="F4442" s="3" t="n">
        <v>19.08</v>
      </c>
      <c r="G4442" s="3" t="n">
        <v>0</v>
      </c>
      <c r="H4442" s="3" t="n">
        <v>0</v>
      </c>
      <c r="I4442" s="3">
        <f>E4442+G4442+H4442</f>
        <v/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/>
      </c>
      <c r="K4442" s="3">
        <f>I4442-J4442</f>
        <v/>
      </c>
      <c r="L4442" s="3">
        <f>IF(K4442&lt;-5,"CRÍTICO",IF(K4442&lt;0,"ATENÇÃO",IF(K4442&lt;=5,"OPORTUNO","MUITO BOM")))</f>
        <v/>
      </c>
      <c r="M4442" s="3" t="n">
        <v>13</v>
      </c>
      <c r="N4442" s="3" t="n">
        <v>100</v>
      </c>
      <c r="O4442" s="12" t="n">
        <v>20.0836820083682</v>
      </c>
    </row>
    <row r="4443">
      <c r="A4443" s="5" t="n">
        <v>46157</v>
      </c>
      <c r="B4443" s="6" t="inlineStr">
        <is>
          <t>Paulo Ricardo Santos</t>
        </is>
      </c>
      <c r="C4443" s="1" t="inlineStr">
        <is>
          <t>JR</t>
        </is>
      </c>
      <c r="D4443" s="3" t="n">
        <v>13</v>
      </c>
      <c r="E4443" s="3" t="n">
        <v>13</v>
      </c>
      <c r="F4443" s="3" t="n">
        <v>28.33</v>
      </c>
      <c r="G4443" s="3" t="n">
        <v>0</v>
      </c>
      <c r="H4443" s="3" t="n">
        <v>0</v>
      </c>
      <c r="I4443" s="3">
        <f>E4443+G4443+H4443</f>
        <v/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/>
      </c>
      <c r="K4443" s="3">
        <f>I4443-J4443</f>
        <v/>
      </c>
      <c r="L4443" s="3">
        <f>IF(K4443&lt;-5,"CRÍTICO",IF(K4443&lt;0,"ATENÇÃO",IF(K4443&lt;=5,"OPORTUNO","MUITO BOM")))</f>
        <v/>
      </c>
      <c r="M4443" s="3" t="n">
        <v>14</v>
      </c>
      <c r="N4443" s="3" t="n">
        <v>100</v>
      </c>
      <c r="O4443" s="12" t="n">
        <v>20.0836820083682</v>
      </c>
    </row>
    <row r="4444">
      <c r="A4444" s="5" t="n">
        <v>46160</v>
      </c>
      <c r="B4444" s="6" t="inlineStr">
        <is>
          <t>Paulo Ricardo Santos</t>
        </is>
      </c>
      <c r="C4444" s="1" t="inlineStr">
        <is>
          <t>JR</t>
        </is>
      </c>
      <c r="D4444" s="3" t="n">
        <v>11</v>
      </c>
      <c r="E4444" s="3" t="n">
        <v>10</v>
      </c>
      <c r="F4444" s="3" t="n">
        <v>22.14</v>
      </c>
      <c r="G4444" s="3" t="n">
        <v>0</v>
      </c>
      <c r="H4444" s="3" t="n">
        <v>0</v>
      </c>
      <c r="I4444" s="3" t="n">
        <v>10</v>
      </c>
      <c r="J4444" s="3" t="n">
        <v>15</v>
      </c>
      <c r="K4444" s="3" t="n">
        <v>-5</v>
      </c>
      <c r="L4444" s="3" t="inlineStr">
        <is>
          <t>ATENÇÃO</t>
        </is>
      </c>
      <c r="M4444" s="3" t="n">
        <v>11</v>
      </c>
      <c r="N4444" s="3" t="n">
        <v>100</v>
      </c>
      <c r="O4444" s="12" t="n">
        <v>20.0836820083682</v>
      </c>
    </row>
    <row r="4445">
      <c r="A4445" s="7" t="n">
        <v>46161</v>
      </c>
      <c r="B4445" s="8" t="inlineStr">
        <is>
          <t>Paulo Ricardo Santos</t>
        </is>
      </c>
      <c r="C4445" s="1" t="inlineStr">
        <is>
          <t>JR</t>
        </is>
      </c>
      <c r="D4445" s="3" t="n">
        <v>13</v>
      </c>
      <c r="E4445" s="3" t="n">
        <v>13</v>
      </c>
      <c r="F4445" s="3" t="n">
        <v>19.19</v>
      </c>
      <c r="G4445" s="3" t="n">
        <v>0</v>
      </c>
      <c r="H4445" s="3" t="n">
        <v>0</v>
      </c>
      <c r="I4445" s="3" t="n">
        <v>13</v>
      </c>
      <c r="J4445" s="3" t="n">
        <v>17</v>
      </c>
      <c r="K4445" s="3" t="n">
        <v>-4</v>
      </c>
      <c r="L4445" s="3" t="inlineStr">
        <is>
          <t>ATENÇÃO</t>
        </is>
      </c>
      <c r="M4445" s="3" t="n">
        <v>12</v>
      </c>
      <c r="N4445" s="3" t="n">
        <v>100</v>
      </c>
      <c r="O4445" s="12" t="n">
        <v>20.0836820083682</v>
      </c>
    </row>
    <row r="4446">
      <c r="A4446" s="10" t="n">
        <v>46167</v>
      </c>
      <c r="B4446" t="inlineStr">
        <is>
          <t>Amanda Moura Ferreira</t>
        </is>
      </c>
      <c r="C4446" s="1" t="inlineStr">
        <is>
          <t>Técnico III</t>
        </is>
      </c>
      <c r="D4446" s="3" t="n">
        <v>0</v>
      </c>
      <c r="E4446" s="3" t="n">
        <v>0</v>
      </c>
      <c r="F4446" s="3" t="n">
        <v>0</v>
      </c>
      <c r="G4446" s="3" t="n">
        <v>0</v>
      </c>
      <c r="H4446" s="3" t="n">
        <v>0</v>
      </c>
      <c r="I4446" s="3" t="n">
        <v>0</v>
      </c>
      <c r="J4446" s="3" t="n">
        <v>0</v>
      </c>
      <c r="K4446" s="3" t="n">
        <v>0</v>
      </c>
      <c r="L4446" s="3" t="inlineStr">
        <is>
          <t>BOM</t>
        </is>
      </c>
      <c r="M4446" s="3" t="n">
        <v>0</v>
      </c>
      <c r="N4446" s="3" t="n">
        <v>100</v>
      </c>
      <c r="O4446" s="12" t="n">
        <v>0</v>
      </c>
    </row>
    <row r="4447">
      <c r="A4447" s="10" t="n">
        <v>46167</v>
      </c>
      <c r="B4447" t="inlineStr">
        <is>
          <t>Ana Paula Da Luz Silva Aleixo</t>
        </is>
      </c>
      <c r="C4447" s="1" t="inlineStr">
        <is>
          <t>Técnico III</t>
        </is>
      </c>
      <c r="D4447" s="3" t="n">
        <v>27</v>
      </c>
      <c r="E4447" s="3" t="n">
        <v>23</v>
      </c>
      <c r="F4447" s="3" t="n">
        <v>13.5</v>
      </c>
      <c r="G4447" s="3" t="n">
        <v>0</v>
      </c>
      <c r="H4447" s="3" t="n">
        <v>0</v>
      </c>
      <c r="I4447" s="3" t="n">
        <v>23</v>
      </c>
      <c r="J4447" s="3" t="n">
        <v>23</v>
      </c>
      <c r="K4447" s="3" t="n">
        <v>0</v>
      </c>
      <c r="L4447" s="3" t="inlineStr">
        <is>
          <t>BOM</t>
        </is>
      </c>
      <c r="M4447" s="3" t="n">
        <v>23</v>
      </c>
      <c r="N4447" s="3" t="n">
        <v>96.94</v>
      </c>
      <c r="O4447" s="12" t="n">
        <v>19.61325966850829</v>
      </c>
    </row>
    <row r="4448">
      <c r="A4448" s="10" t="n">
        <v>46167</v>
      </c>
      <c r="B4448" t="inlineStr">
        <is>
          <t>Cristiane Ramos da Silva Rocha</t>
        </is>
      </c>
      <c r="C4448" s="1" t="inlineStr">
        <is>
          <t>Técnico III</t>
        </is>
      </c>
      <c r="D4448" s="3" t="n">
        <v>25</v>
      </c>
      <c r="E4448" s="3" t="n">
        <v>22</v>
      </c>
      <c r="F4448" s="3" t="n">
        <v>12.25</v>
      </c>
      <c r="G4448" s="3" t="n">
        <v>0</v>
      </c>
      <c r="H4448" s="3" t="n">
        <v>0</v>
      </c>
      <c r="I4448" s="3" t="n">
        <v>22</v>
      </c>
      <c r="J4448" s="3" t="n">
        <v>23</v>
      </c>
      <c r="K4448" s="3" t="n">
        <v>-1</v>
      </c>
      <c r="L4448" s="3" t="inlineStr">
        <is>
          <t>ATENÇÃO</t>
        </is>
      </c>
      <c r="M4448" s="3" t="n">
        <v>20</v>
      </c>
      <c r="N4448" s="3" t="n">
        <v>92.81</v>
      </c>
      <c r="O4448" s="12" t="n">
        <v>25.47770700636943</v>
      </c>
    </row>
    <row r="4449">
      <c r="A4449" s="10" t="n">
        <v>46167</v>
      </c>
      <c r="B4449" t="inlineStr">
        <is>
          <t>Davylla Rodrigues Freitas Silva</t>
        </is>
      </c>
      <c r="C4449" s="1" t="inlineStr">
        <is>
          <t>Técnico III</t>
        </is>
      </c>
      <c r="D4449" s="3" t="n">
        <v>0</v>
      </c>
      <c r="E4449" s="3" t="n">
        <v>0</v>
      </c>
      <c r="F4449" s="3" t="n">
        <v>0</v>
      </c>
      <c r="G4449" s="3" t="n">
        <v>0</v>
      </c>
      <c r="H4449" s="3" t="n">
        <v>0</v>
      </c>
      <c r="I4449" s="3" t="n">
        <v>0</v>
      </c>
      <c r="J4449" s="3" t="n">
        <v>0</v>
      </c>
      <c r="K4449" s="3" t="n">
        <v>0</v>
      </c>
      <c r="L4449" s="3" t="inlineStr">
        <is>
          <t>BOM</t>
        </is>
      </c>
      <c r="M4449" s="3" t="n">
        <v>0</v>
      </c>
      <c r="N4449" s="3" t="n">
        <v>99.19</v>
      </c>
      <c r="O4449" s="12" t="n">
        <v>28.40466926070039</v>
      </c>
    </row>
    <row r="4450">
      <c r="A4450" s="10" t="n">
        <v>46167</v>
      </c>
      <c r="B4450" t="inlineStr">
        <is>
          <t>Francielson de Oliveira</t>
        </is>
      </c>
      <c r="C4450" s="1" t="inlineStr">
        <is>
          <t>Técnico III</t>
        </is>
      </c>
      <c r="D4450" s="3" t="n">
        <v>20</v>
      </c>
      <c r="E4450" s="3" t="n">
        <v>19</v>
      </c>
      <c r="F4450" s="3" t="n">
        <v>17.3</v>
      </c>
      <c r="G4450" s="3" t="n">
        <v>0</v>
      </c>
      <c r="H4450" s="3" t="n">
        <v>0</v>
      </c>
      <c r="I4450" s="3" t="n">
        <v>19</v>
      </c>
      <c r="J4450" s="3" t="n">
        <v>23</v>
      </c>
      <c r="K4450" s="3" t="n">
        <v>-4</v>
      </c>
      <c r="L4450" s="3" t="inlineStr">
        <is>
          <t>ATENÇÃO</t>
        </is>
      </c>
      <c r="M4450" s="3" t="n">
        <v>19</v>
      </c>
      <c r="N4450" s="3" t="n">
        <v>100</v>
      </c>
      <c r="O4450" s="12" t="n">
        <v>13.51351351351351</v>
      </c>
    </row>
    <row r="4451">
      <c r="A4451" s="10" t="n">
        <v>46167</v>
      </c>
      <c r="B4451" t="inlineStr">
        <is>
          <t>Janaina Lima dos Reis Urany</t>
        </is>
      </c>
      <c r="C4451" s="1" t="inlineStr">
        <is>
          <t>Técnico III</t>
        </is>
      </c>
      <c r="D4451" s="3" t="n">
        <v>22</v>
      </c>
      <c r="E4451" s="3" t="n">
        <v>21</v>
      </c>
      <c r="F4451" s="3" t="n">
        <v>17.1</v>
      </c>
      <c r="G4451" s="3" t="n">
        <v>0</v>
      </c>
      <c r="H4451" s="3" t="n">
        <v>0</v>
      </c>
      <c r="I4451" s="3" t="n">
        <v>21</v>
      </c>
      <c r="J4451" s="3" t="n">
        <v>23</v>
      </c>
      <c r="K4451" s="3" t="n">
        <v>-2</v>
      </c>
      <c r="L4451" s="3" t="inlineStr">
        <is>
          <t>ATENÇÃO</t>
        </is>
      </c>
      <c r="M4451" s="3" t="n">
        <v>20</v>
      </c>
      <c r="N4451" s="3" t="n">
        <v>99</v>
      </c>
      <c r="O4451" s="12" t="n">
        <v>22.27414330218069</v>
      </c>
    </row>
    <row r="4452">
      <c r="A4452" s="10" t="n">
        <v>46167</v>
      </c>
      <c r="B4452" t="inlineStr">
        <is>
          <t>Jaqueline Evangelista da Silva Martins</t>
        </is>
      </c>
      <c r="C4452" s="1" t="inlineStr">
        <is>
          <t>Técnico III</t>
        </is>
      </c>
      <c r="D4452" s="3" t="n">
        <v>17</v>
      </c>
      <c r="E4452" s="3" t="n">
        <v>16</v>
      </c>
      <c r="F4452" s="3" t="n">
        <v>18.3</v>
      </c>
      <c r="G4452" s="3" t="n">
        <v>0</v>
      </c>
      <c r="H4452" s="3" t="n">
        <v>0</v>
      </c>
      <c r="I4452" s="3" t="n">
        <v>16</v>
      </c>
      <c r="J4452" s="3" t="n">
        <v>23</v>
      </c>
      <c r="K4452" s="3" t="n">
        <v>-7</v>
      </c>
      <c r="L4452" s="3" t="inlineStr">
        <is>
          <t>CRÍTICO</t>
        </is>
      </c>
      <c r="M4452" s="3" t="n">
        <v>19</v>
      </c>
      <c r="N4452" s="3" t="n">
        <v>97.04000000000001</v>
      </c>
      <c r="O4452" s="12" t="n">
        <v>29.82885085574572</v>
      </c>
    </row>
    <row r="4453">
      <c r="A4453" s="10" t="n">
        <v>46167</v>
      </c>
      <c r="B4453" t="inlineStr">
        <is>
          <t>Jéssica Fé Moura</t>
        </is>
      </c>
      <c r="C4453" s="1" t="inlineStr">
        <is>
          <t>Técnico III</t>
        </is>
      </c>
      <c r="D4453" s="3" t="n">
        <v>0</v>
      </c>
      <c r="E4453" s="3" t="n">
        <v>0</v>
      </c>
      <c r="F4453" s="3" t="n">
        <v>0</v>
      </c>
      <c r="G4453" s="3" t="n">
        <v>0</v>
      </c>
      <c r="H4453" s="3" t="n">
        <v>0</v>
      </c>
      <c r="I4453" s="3" t="n">
        <v>0</v>
      </c>
      <c r="J4453" s="3" t="n">
        <v>0</v>
      </c>
      <c r="K4453" s="3" t="n">
        <v>0</v>
      </c>
      <c r="L4453" s="3" t="inlineStr">
        <is>
          <t>BOM</t>
        </is>
      </c>
      <c r="M4453" s="3" t="n">
        <v>0</v>
      </c>
      <c r="N4453" s="3" t="n">
        <v>0</v>
      </c>
      <c r="O4453" s="12" t="n">
        <v>0</v>
      </c>
    </row>
    <row r="4454">
      <c r="A4454" s="10" t="n">
        <v>46167</v>
      </c>
      <c r="B4454" t="inlineStr">
        <is>
          <t>Kerollen Cristielly de Jesus Siqueira</t>
        </is>
      </c>
      <c r="C4454" s="1" t="inlineStr">
        <is>
          <t>Técnico III</t>
        </is>
      </c>
      <c r="D4454" s="3" t="n">
        <v>27</v>
      </c>
      <c r="E4454" s="3" t="n">
        <v>27</v>
      </c>
      <c r="F4454" s="3" t="n">
        <v>13.4</v>
      </c>
      <c r="G4454" s="3" t="n">
        <v>0</v>
      </c>
      <c r="H4454" s="3" t="n">
        <v>0</v>
      </c>
      <c r="I4454" s="3" t="n">
        <v>27</v>
      </c>
      <c r="J4454" s="3" t="n">
        <v>23</v>
      </c>
      <c r="K4454" s="3" t="n">
        <v>4</v>
      </c>
      <c r="L4454" s="3" t="inlineStr">
        <is>
          <t>BOM</t>
        </is>
      </c>
      <c r="M4454" s="3" t="n">
        <v>28</v>
      </c>
      <c r="N4454" s="3" t="n">
        <v>96.84</v>
      </c>
      <c r="O4454" s="12" t="n">
        <v>16.33802816901408</v>
      </c>
    </row>
    <row r="4455">
      <c r="A4455" s="10" t="n">
        <v>46167</v>
      </c>
      <c r="B4455" t="inlineStr">
        <is>
          <t>Leandro Oliveira de Sousa</t>
        </is>
      </c>
      <c r="C4455" s="1" t="inlineStr">
        <is>
          <t>Técnico III</t>
        </is>
      </c>
      <c r="D4455" s="3" t="n">
        <v>26</v>
      </c>
      <c r="E4455" s="3" t="n">
        <v>24</v>
      </c>
      <c r="F4455" s="3" t="n">
        <v>16.44</v>
      </c>
      <c r="G4455" s="3" t="n">
        <v>0</v>
      </c>
      <c r="H4455" s="3" t="n">
        <v>0</v>
      </c>
      <c r="I4455" s="3" t="n">
        <v>24</v>
      </c>
      <c r="J4455" s="3" t="n">
        <v>23</v>
      </c>
      <c r="K4455" s="3" t="n">
        <v>1</v>
      </c>
      <c r="L4455" s="3" t="inlineStr">
        <is>
          <t>BOM</t>
        </is>
      </c>
      <c r="M4455" s="3" t="n">
        <v>25</v>
      </c>
      <c r="N4455" s="3" t="n">
        <v>100</v>
      </c>
      <c r="O4455" s="12" t="n">
        <v>18.24480369515012</v>
      </c>
    </row>
    <row r="4456">
      <c r="A4456" s="10" t="n">
        <v>46167</v>
      </c>
      <c r="B4456" t="inlineStr">
        <is>
          <t>Lucas Luiz Romero</t>
        </is>
      </c>
      <c r="C4456" s="1" t="inlineStr">
        <is>
          <t>Técnico III</t>
        </is>
      </c>
      <c r="D4456" s="3" t="n">
        <v>0</v>
      </c>
      <c r="E4456" s="3" t="n">
        <v>0</v>
      </c>
      <c r="F4456" s="3" t="n">
        <v>0</v>
      </c>
      <c r="G4456" s="3" t="n">
        <v>0</v>
      </c>
      <c r="H4456" s="3" t="n">
        <v>0</v>
      </c>
      <c r="I4456" s="3" t="n">
        <v>0</v>
      </c>
      <c r="J4456" s="3" t="n">
        <v>0</v>
      </c>
      <c r="K4456" s="3" t="n">
        <v>0</v>
      </c>
      <c r="L4456" s="3" t="inlineStr">
        <is>
          <t>BOM</t>
        </is>
      </c>
      <c r="M4456" s="3" t="n">
        <v>9</v>
      </c>
      <c r="N4456" s="3" t="n">
        <v>100</v>
      </c>
      <c r="O4456" s="12" t="n">
        <v>15.78947368421053</v>
      </c>
    </row>
    <row r="4457">
      <c r="A4457" s="10" t="n">
        <v>46167</v>
      </c>
      <c r="B4457" t="inlineStr">
        <is>
          <t>Maysa Victoria Dias Moura</t>
        </is>
      </c>
      <c r="C4457" s="1" t="inlineStr">
        <is>
          <t>Técnico III</t>
        </is>
      </c>
      <c r="D4457" s="3" t="n">
        <v>25</v>
      </c>
      <c r="E4457" s="3" t="n">
        <v>24</v>
      </c>
      <c r="F4457" s="3" t="n">
        <v>17.35</v>
      </c>
      <c r="G4457" s="3" t="n">
        <v>0</v>
      </c>
      <c r="H4457" s="3" t="n">
        <v>0</v>
      </c>
      <c r="I4457" s="3" t="n">
        <v>24</v>
      </c>
      <c r="J4457" s="3" t="n">
        <v>23</v>
      </c>
      <c r="K4457" s="3" t="n">
        <v>1</v>
      </c>
      <c r="L4457" s="3" t="inlineStr">
        <is>
          <t>BOM</t>
        </is>
      </c>
      <c r="M4457" s="3" t="n">
        <v>22</v>
      </c>
      <c r="N4457" s="3" t="n">
        <v>96.38</v>
      </c>
      <c r="O4457" s="12" t="n">
        <v>23.1981981981982</v>
      </c>
    </row>
    <row r="4458">
      <c r="A4458" s="10" t="n">
        <v>46167</v>
      </c>
      <c r="B4458" t="inlineStr">
        <is>
          <t>Rafael Gomes de Morais</t>
        </is>
      </c>
      <c r="C4458" s="1" t="inlineStr">
        <is>
          <t>Técnico III</t>
        </is>
      </c>
      <c r="D4458" s="3" t="n">
        <v>27</v>
      </c>
      <c r="E4458" s="3" t="n">
        <v>24</v>
      </c>
      <c r="F4458" s="3" t="n">
        <v>13.43</v>
      </c>
      <c r="G4458" s="3" t="n">
        <v>0</v>
      </c>
      <c r="H4458" s="3" t="n">
        <v>0</v>
      </c>
      <c r="I4458" s="3" t="n">
        <v>24</v>
      </c>
      <c r="J4458" s="3" t="n">
        <v>23</v>
      </c>
      <c r="K4458" s="3" t="n">
        <v>1</v>
      </c>
      <c r="L4458" s="3" t="inlineStr">
        <is>
          <t>BOM</t>
        </is>
      </c>
      <c r="M4458" s="3" t="n">
        <v>19</v>
      </c>
      <c r="N4458" s="3" t="n">
        <v>99.39</v>
      </c>
      <c r="O4458" s="12" t="n">
        <v>25.20325203252033</v>
      </c>
    </row>
    <row r="4459">
      <c r="A4459" s="10" t="n">
        <v>46167</v>
      </c>
      <c r="B4459" t="inlineStr">
        <is>
          <t>Sarah Steffanie de Lima Borges</t>
        </is>
      </c>
      <c r="C4459" s="1" t="inlineStr">
        <is>
          <t>Técnico III</t>
        </is>
      </c>
      <c r="D4459" s="3" t="n">
        <v>27</v>
      </c>
      <c r="E4459" s="3" t="n">
        <v>25</v>
      </c>
      <c r="F4459" s="3" t="n">
        <v>10.34</v>
      </c>
      <c r="G4459" s="3" t="n">
        <v>0</v>
      </c>
      <c r="H4459" s="3" t="n">
        <v>0</v>
      </c>
      <c r="I4459" s="3" t="n">
        <v>25</v>
      </c>
      <c r="J4459" s="3" t="n">
        <v>23</v>
      </c>
      <c r="K4459" s="3" t="n">
        <v>2</v>
      </c>
      <c r="L4459" s="3" t="inlineStr">
        <is>
          <t>BOM</t>
        </is>
      </c>
      <c r="M4459" s="3" t="n">
        <v>23</v>
      </c>
      <c r="N4459" s="3" t="n">
        <v>97</v>
      </c>
      <c r="O4459" s="12" t="n">
        <v>20.32520325203252</v>
      </c>
    </row>
    <row r="4460">
      <c r="A4460" s="11" t="n">
        <v>46167</v>
      </c>
      <c r="B4460" t="inlineStr">
        <is>
          <t>Alisson de Freitas Silva</t>
        </is>
      </c>
      <c r="C4460" s="1" t="inlineStr">
        <is>
          <t>Técnico II</t>
        </is>
      </c>
      <c r="D4460" s="3" t="n">
        <v>34</v>
      </c>
      <c r="E4460" s="3" t="n">
        <v>30</v>
      </c>
      <c r="F4460" s="3" t="n">
        <v>10.14</v>
      </c>
      <c r="G4460" s="3" t="n">
        <v>0</v>
      </c>
      <c r="H4460" s="3" t="n">
        <v>0</v>
      </c>
      <c r="I4460" s="3" t="n">
        <v>30</v>
      </c>
      <c r="J4460" s="3" t="n">
        <v>18</v>
      </c>
      <c r="K4460" s="3" t="n">
        <v>12</v>
      </c>
      <c r="L4460" s="3" t="inlineStr">
        <is>
          <t>EXCELENTE</t>
        </is>
      </c>
      <c r="M4460" s="3" t="n">
        <v>23</v>
      </c>
      <c r="N4460" s="3" t="n">
        <v>99.18000000000001</v>
      </c>
      <c r="O4460" s="12" t="n">
        <v>24.5014245014245</v>
      </c>
    </row>
    <row r="4461">
      <c r="A4461" s="10" t="n">
        <v>46167</v>
      </c>
      <c r="B4461" t="inlineStr">
        <is>
          <t>Brenda de Menezes Silva</t>
        </is>
      </c>
      <c r="C4461" s="1" t="inlineStr">
        <is>
          <t>Técnico II</t>
        </is>
      </c>
      <c r="D4461" s="3" t="n">
        <v>35</v>
      </c>
      <c r="E4461" s="3" t="n">
        <v>31</v>
      </c>
      <c r="F4461" s="3" t="n">
        <v>10.11</v>
      </c>
      <c r="G4461" s="3" t="n">
        <v>0</v>
      </c>
      <c r="H4461" s="3" t="n">
        <v>0</v>
      </c>
      <c r="I4461" s="3" t="n">
        <v>31</v>
      </c>
      <c r="J4461" s="3" t="n">
        <v>18</v>
      </c>
      <c r="K4461" s="3" t="n">
        <v>13</v>
      </c>
      <c r="L4461" s="3" t="inlineStr">
        <is>
          <t>EXCELENTE</t>
        </is>
      </c>
      <c r="M4461" s="3" t="n">
        <v>30</v>
      </c>
      <c r="N4461" s="3" t="n">
        <v>99.34999999999999</v>
      </c>
      <c r="O4461" s="12" t="n">
        <v>19.85294117647059</v>
      </c>
    </row>
    <row r="4462">
      <c r="A4462" s="10" t="n">
        <v>46167</v>
      </c>
      <c r="B4462" t="inlineStr">
        <is>
          <t>Carlos Mateus Cassimiro Nunes</t>
        </is>
      </c>
      <c r="C4462" s="1" t="inlineStr">
        <is>
          <t>Técnico II</t>
        </is>
      </c>
      <c r="D4462" s="3" t="n">
        <v>23</v>
      </c>
      <c r="E4462" s="3" t="n">
        <v>23</v>
      </c>
      <c r="F4462" s="3" t="n">
        <v>20.51</v>
      </c>
      <c r="G4462" s="3" t="n">
        <v>0</v>
      </c>
      <c r="H4462" s="3" t="n">
        <v>0</v>
      </c>
      <c r="I4462" s="3" t="n">
        <v>23</v>
      </c>
      <c r="J4462" s="3" t="n">
        <v>18</v>
      </c>
      <c r="K4462" s="3" t="n">
        <v>5</v>
      </c>
      <c r="L4462" s="3" t="inlineStr">
        <is>
          <t>BOM</t>
        </is>
      </c>
      <c r="M4462" s="3" t="n">
        <v>20</v>
      </c>
      <c r="N4462" s="3" t="n">
        <v>99.06999999999999</v>
      </c>
      <c r="O4462" s="12" t="n">
        <v>20.09803921568627</v>
      </c>
    </row>
    <row r="4463">
      <c r="A4463" s="10" t="n">
        <v>46167</v>
      </c>
      <c r="B4463" t="inlineStr">
        <is>
          <t>Damyllis Lorraine de Oliveira Gonçalves</t>
        </is>
      </c>
      <c r="C4463" s="1" t="inlineStr">
        <is>
          <t>Técnico II</t>
        </is>
      </c>
      <c r="D4463" s="3" t="n">
        <v>0</v>
      </c>
      <c r="E4463" s="3" t="n">
        <v>0</v>
      </c>
      <c r="F4463" s="3" t="n">
        <v>0</v>
      </c>
      <c r="G4463" s="3" t="n">
        <v>0</v>
      </c>
      <c r="H4463" s="3" t="n">
        <v>0</v>
      </c>
      <c r="I4463" s="3" t="n">
        <v>0</v>
      </c>
      <c r="J4463" s="3" t="n">
        <v>0</v>
      </c>
      <c r="K4463" s="3" t="n">
        <v>0</v>
      </c>
      <c r="L4463" s="3" t="inlineStr">
        <is>
          <t>BOM</t>
        </is>
      </c>
      <c r="M4463" s="3" t="n">
        <v>0</v>
      </c>
      <c r="N4463" s="3" t="n">
        <v>98.81</v>
      </c>
      <c r="O4463" s="12" t="n">
        <v>22.76785714285714</v>
      </c>
    </row>
    <row r="4464">
      <c r="A4464" s="10" t="n">
        <v>46167</v>
      </c>
      <c r="B4464" t="inlineStr">
        <is>
          <t>Emilly Kamilly Medeiros Miranda</t>
        </is>
      </c>
      <c r="C4464" s="1" t="inlineStr">
        <is>
          <t>Técnico II</t>
        </is>
      </c>
      <c r="D4464" s="3" t="n">
        <v>23</v>
      </c>
      <c r="E4464" s="3" t="n">
        <v>21</v>
      </c>
      <c r="F4464" s="3" t="n">
        <v>13.4</v>
      </c>
      <c r="G4464" s="3" t="n">
        <v>0</v>
      </c>
      <c r="H4464" s="3" t="n">
        <v>0</v>
      </c>
      <c r="I4464" s="3" t="n">
        <v>21</v>
      </c>
      <c r="J4464" s="3" t="n">
        <v>18</v>
      </c>
      <c r="K4464" s="3" t="n">
        <v>3</v>
      </c>
      <c r="L4464" s="3" t="inlineStr">
        <is>
          <t>BOM</t>
        </is>
      </c>
      <c r="M4464" s="3" t="n">
        <v>17</v>
      </c>
      <c r="N4464" s="3" t="n">
        <v>99.01000000000001</v>
      </c>
      <c r="O4464" s="12" t="n">
        <v>17.76649746192894</v>
      </c>
    </row>
    <row r="4465">
      <c r="A4465" s="10" t="n">
        <v>46167</v>
      </c>
      <c r="B4465" t="inlineStr">
        <is>
          <t>Francilene Ferreira de Jesus</t>
        </is>
      </c>
      <c r="C4465" s="1" t="inlineStr">
        <is>
          <t>Técnico II</t>
        </is>
      </c>
      <c r="D4465" s="3" t="n">
        <v>0</v>
      </c>
      <c r="E4465" s="3" t="n">
        <v>0</v>
      </c>
      <c r="F4465" s="3" t="n">
        <v>0</v>
      </c>
      <c r="G4465" s="3" t="n">
        <v>0</v>
      </c>
      <c r="H4465" s="3" t="n">
        <v>0</v>
      </c>
      <c r="I4465" s="3" t="n">
        <v>0</v>
      </c>
      <c r="J4465" s="3" t="n">
        <v>0</v>
      </c>
      <c r="K4465" s="3" t="n">
        <v>0</v>
      </c>
      <c r="L4465" s="3" t="inlineStr">
        <is>
          <t>BOM</t>
        </is>
      </c>
      <c r="M4465" s="3" t="n">
        <v>0</v>
      </c>
      <c r="N4465" s="3" t="n">
        <v>100</v>
      </c>
      <c r="O4465" s="12" t="n">
        <v>17.24137931034483</v>
      </c>
    </row>
    <row r="4466">
      <c r="A4466" s="10" t="n">
        <v>46167</v>
      </c>
      <c r="B4466" t="inlineStr">
        <is>
          <t>Isabella Borges de Oliveira</t>
        </is>
      </c>
      <c r="C4466" s="1" t="inlineStr">
        <is>
          <t>Técnico II</t>
        </is>
      </c>
      <c r="D4466" s="3" t="n">
        <v>27</v>
      </c>
      <c r="E4466" s="3" t="n">
        <v>23</v>
      </c>
      <c r="F4466" s="3" t="n">
        <v>15.42</v>
      </c>
      <c r="G4466" s="3" t="n">
        <v>0</v>
      </c>
      <c r="H4466" s="3" t="n">
        <v>0</v>
      </c>
      <c r="I4466" s="3" t="n">
        <v>23</v>
      </c>
      <c r="J4466" s="3" t="n">
        <v>18</v>
      </c>
      <c r="K4466" s="3" t="n">
        <v>5</v>
      </c>
      <c r="L4466" s="3" t="inlineStr">
        <is>
          <t>BOM</t>
        </is>
      </c>
      <c r="M4466" s="3" t="n">
        <v>23</v>
      </c>
      <c r="N4466" s="3" t="n">
        <v>98.98</v>
      </c>
      <c r="O4466" s="12" t="n">
        <v>19.35483870967742</v>
      </c>
    </row>
    <row r="4467">
      <c r="A4467" s="10" t="n">
        <v>46167</v>
      </c>
      <c r="B4467" t="inlineStr">
        <is>
          <t>Jessica Faria da Silveira</t>
        </is>
      </c>
      <c r="C4467" s="1" t="inlineStr">
        <is>
          <t>Técnico II</t>
        </is>
      </c>
      <c r="D4467" s="3" t="n">
        <v>21</v>
      </c>
      <c r="E4467" s="3" t="n">
        <v>17</v>
      </c>
      <c r="F4467" s="3" t="n">
        <v>17.19</v>
      </c>
      <c r="G4467" s="3" t="n">
        <v>0</v>
      </c>
      <c r="H4467" s="3" t="n">
        <v>0</v>
      </c>
      <c r="I4467" s="3" t="n">
        <v>17</v>
      </c>
      <c r="J4467" s="3" t="n">
        <v>18</v>
      </c>
      <c r="K4467" s="3" t="n">
        <v>-1</v>
      </c>
      <c r="L4467" s="3" t="inlineStr">
        <is>
          <t>ATENÇÃO</t>
        </is>
      </c>
      <c r="M4467" s="3" t="n">
        <v>17</v>
      </c>
      <c r="N4467" s="3" t="n">
        <v>98.94</v>
      </c>
      <c r="O4467" s="12" t="n">
        <v>21.2707182320442</v>
      </c>
    </row>
    <row r="4468">
      <c r="A4468" s="10" t="n">
        <v>46167</v>
      </c>
      <c r="B4468" t="inlineStr">
        <is>
          <t>Lizandra Gomes Duarte</t>
        </is>
      </c>
      <c r="C4468" s="1" t="inlineStr">
        <is>
          <t>Técnico II</t>
        </is>
      </c>
      <c r="D4468" s="3" t="n">
        <v>24</v>
      </c>
      <c r="E4468" s="3" t="n">
        <v>24</v>
      </c>
      <c r="F4468" s="3" t="n">
        <v>20.36</v>
      </c>
      <c r="G4468" s="3" t="n">
        <v>0</v>
      </c>
      <c r="H4468" s="3" t="n">
        <v>0</v>
      </c>
      <c r="I4468" s="3" t="n">
        <v>24</v>
      </c>
      <c r="J4468" s="3" t="n">
        <v>18</v>
      </c>
      <c r="K4468" s="3" t="n">
        <v>6</v>
      </c>
      <c r="L4468" s="3" t="inlineStr">
        <is>
          <t>EXCELENTE</t>
        </is>
      </c>
      <c r="M4468" s="3" t="n">
        <v>18</v>
      </c>
      <c r="N4468" s="3" t="n">
        <v>99</v>
      </c>
      <c r="O4468" s="12" t="n">
        <v>22.01086956521739</v>
      </c>
    </row>
    <row r="4469">
      <c r="A4469" s="10" t="n">
        <v>46167</v>
      </c>
      <c r="B4469" t="inlineStr">
        <is>
          <t>Lorena Dias de Araujo</t>
        </is>
      </c>
      <c r="C4469" s="1" t="inlineStr">
        <is>
          <t>Técnico II</t>
        </is>
      </c>
      <c r="D4469" s="3" t="n">
        <v>19</v>
      </c>
      <c r="E4469" s="3" t="n">
        <v>15</v>
      </c>
      <c r="F4469" s="3" t="n">
        <v>24.06</v>
      </c>
      <c r="G4469" s="3" t="n">
        <v>0</v>
      </c>
      <c r="H4469" s="3" t="n">
        <v>0</v>
      </c>
      <c r="I4469" s="3" t="n">
        <v>15</v>
      </c>
      <c r="J4469" s="3" t="n">
        <v>18</v>
      </c>
      <c r="K4469" s="3" t="n">
        <v>-3</v>
      </c>
      <c r="L4469" s="3" t="inlineStr">
        <is>
          <t>ATENÇÃO</t>
        </is>
      </c>
      <c r="M4469" s="3" t="n">
        <v>16</v>
      </c>
      <c r="N4469" s="3" t="n">
        <v>100</v>
      </c>
      <c r="O4469" s="12" t="n">
        <v>25</v>
      </c>
    </row>
    <row r="4470">
      <c r="A4470" s="10" t="n">
        <v>46167</v>
      </c>
      <c r="B4470" t="inlineStr">
        <is>
          <t>Patrícia Karla de Sousa Araújo</t>
        </is>
      </c>
      <c r="C4470" s="1" t="inlineStr">
        <is>
          <t>Técnico II</t>
        </is>
      </c>
      <c r="D4470" s="3" t="n">
        <v>0</v>
      </c>
      <c r="E4470" s="3" t="n">
        <v>0</v>
      </c>
      <c r="F4470" s="3" t="n">
        <v>0</v>
      </c>
      <c r="G4470" s="3" t="n">
        <v>0</v>
      </c>
      <c r="H4470" s="3" t="n">
        <v>0</v>
      </c>
      <c r="I4470" s="3" t="n">
        <v>0</v>
      </c>
      <c r="J4470" s="3" t="n">
        <v>0</v>
      </c>
      <c r="K4470" s="3" t="n">
        <v>0</v>
      </c>
      <c r="L4470" s="3" t="inlineStr">
        <is>
          <t>BOM</t>
        </is>
      </c>
      <c r="M4470" s="3" t="n">
        <v>0</v>
      </c>
      <c r="N4470" s="3" t="n">
        <v>100</v>
      </c>
      <c r="O4470" s="12" t="n">
        <v>20.18348623853211</v>
      </c>
    </row>
    <row r="4471">
      <c r="A4471" s="10" t="n">
        <v>46167</v>
      </c>
      <c r="B4471" t="inlineStr">
        <is>
          <t>Ana Karollyne Souza Faria</t>
        </is>
      </c>
      <c r="C4471" s="1" t="inlineStr">
        <is>
          <t>Técnico I</t>
        </is>
      </c>
      <c r="D4471" s="3" t="n">
        <v>25</v>
      </c>
      <c r="E4471" s="3" t="n">
        <v>24</v>
      </c>
      <c r="F4471" s="3" t="n">
        <v>15.25</v>
      </c>
      <c r="G4471" s="3" t="n">
        <v>0</v>
      </c>
      <c r="H4471" s="3" t="n">
        <v>0</v>
      </c>
      <c r="I4471" s="3" t="n">
        <v>24</v>
      </c>
      <c r="J4471" s="3" t="n">
        <v>15</v>
      </c>
      <c r="K4471" s="3" t="n">
        <v>9</v>
      </c>
      <c r="L4471" s="3" t="inlineStr">
        <is>
          <t>EXCELENTE</t>
        </is>
      </c>
      <c r="M4471" s="3" t="n">
        <v>21</v>
      </c>
      <c r="N4471" s="3" t="n">
        <v>96.25</v>
      </c>
      <c r="O4471" s="12" t="n">
        <v>25.5863539445629</v>
      </c>
    </row>
    <row r="4472">
      <c r="A4472" s="10" t="n">
        <v>46167</v>
      </c>
      <c r="B4472" t="inlineStr">
        <is>
          <t>Clessiane Pereira dos Santos</t>
        </is>
      </c>
      <c r="C4472" s="1" t="inlineStr">
        <is>
          <t>Técnico I</t>
        </is>
      </c>
      <c r="D4472" s="3" t="n">
        <v>11</v>
      </c>
      <c r="E4472" s="3" t="n">
        <v>11</v>
      </c>
      <c r="F4472" s="3" t="n">
        <v>15.57</v>
      </c>
      <c r="G4472" s="3" t="n">
        <v>0</v>
      </c>
      <c r="H4472" s="3" t="n">
        <v>0</v>
      </c>
      <c r="I4472" s="3" t="n">
        <v>11</v>
      </c>
      <c r="J4472" s="3" t="n">
        <v>15</v>
      </c>
      <c r="K4472" s="3" t="n">
        <v>-4</v>
      </c>
      <c r="L4472" s="3" t="inlineStr">
        <is>
          <t>ATENÇÃO</t>
        </is>
      </c>
      <c r="M4472" s="3" t="n">
        <v>11</v>
      </c>
      <c r="N4472" s="3" t="n">
        <v>97.48</v>
      </c>
      <c r="O4472" s="12" t="n">
        <v>22.99465240641711</v>
      </c>
    </row>
    <row r="4473">
      <c r="A4473" s="10" t="n">
        <v>46167</v>
      </c>
      <c r="B4473" t="inlineStr">
        <is>
          <t>Daniel Gomes da Silva</t>
        </is>
      </c>
      <c r="C4473" s="1" t="inlineStr">
        <is>
          <t>Técnico I</t>
        </is>
      </c>
      <c r="D4473" s="3" t="n">
        <v>28</v>
      </c>
      <c r="E4473" s="3" t="n">
        <v>25</v>
      </c>
      <c r="F4473" s="3" t="n">
        <v>13.29</v>
      </c>
      <c r="G4473" s="3" t="n">
        <v>0</v>
      </c>
      <c r="H4473" s="3" t="n">
        <v>0</v>
      </c>
      <c r="I4473" s="3" t="n">
        <v>25</v>
      </c>
      <c r="J4473" s="3" t="n">
        <v>15</v>
      </c>
      <c r="K4473" s="3" t="n">
        <v>10</v>
      </c>
      <c r="L4473" s="3" t="inlineStr">
        <is>
          <t>EXCELENTE</t>
        </is>
      </c>
      <c r="M4473" s="3" t="n">
        <v>18</v>
      </c>
      <c r="N4473" s="3" t="n">
        <v>100</v>
      </c>
      <c r="O4473" s="12" t="n">
        <v>20.78853046594982</v>
      </c>
    </row>
    <row r="4474">
      <c r="A4474" s="10" t="n">
        <v>46167</v>
      </c>
      <c r="B4474" t="inlineStr">
        <is>
          <t>Luiz Fernando de Carvalho Junior</t>
        </is>
      </c>
      <c r="C4474" s="1" t="inlineStr">
        <is>
          <t>Técnico I</t>
        </is>
      </c>
      <c r="D4474" s="3" t="n">
        <v>14</v>
      </c>
      <c r="E4474" s="3" t="n">
        <v>14</v>
      </c>
      <c r="F4474" s="3" t="n">
        <v>28.35</v>
      </c>
      <c r="G4474" s="3" t="n">
        <v>0</v>
      </c>
      <c r="H4474" s="3" t="n">
        <v>0</v>
      </c>
      <c r="I4474" s="3" t="n">
        <v>14</v>
      </c>
      <c r="J4474" s="3" t="n">
        <v>15</v>
      </c>
      <c r="K4474" s="3" t="n">
        <v>-1</v>
      </c>
      <c r="L4474" s="3" t="inlineStr">
        <is>
          <t>ATENÇÃO</t>
        </is>
      </c>
      <c r="M4474" s="3" t="n">
        <v>14</v>
      </c>
      <c r="N4474" s="3" t="n">
        <v>94.55</v>
      </c>
      <c r="O4474" s="12" t="n">
        <v>23.45013477088949</v>
      </c>
    </row>
    <row r="4475">
      <c r="A4475" s="10" t="n">
        <v>46167</v>
      </c>
      <c r="B4475" t="inlineStr">
        <is>
          <t>Raane Batista Matos</t>
        </is>
      </c>
      <c r="C4475" s="1" t="inlineStr">
        <is>
          <t>Técnico I</t>
        </is>
      </c>
      <c r="D4475" s="3" t="n">
        <v>28</v>
      </c>
      <c r="E4475" s="3" t="n">
        <v>26</v>
      </c>
      <c r="F4475" s="3" t="n">
        <v>15.04</v>
      </c>
      <c r="G4475" s="3" t="n">
        <v>0</v>
      </c>
      <c r="H4475" s="3" t="n">
        <v>0</v>
      </c>
      <c r="I4475" s="3" t="n">
        <v>26</v>
      </c>
      <c r="J4475" s="3" t="n">
        <v>15</v>
      </c>
      <c r="K4475" s="3" t="n">
        <v>11</v>
      </c>
      <c r="L4475" s="3" t="inlineStr">
        <is>
          <t>EXCELENTE</t>
        </is>
      </c>
      <c r="M4475" s="3" t="n">
        <v>22</v>
      </c>
      <c r="N4475" s="3" t="n">
        <v>98</v>
      </c>
      <c r="O4475" s="12" t="n">
        <v>20.73490813648294</v>
      </c>
    </row>
    <row r="4476">
      <c r="A4476" s="10" t="n">
        <v>46167</v>
      </c>
      <c r="B4476" t="inlineStr">
        <is>
          <t>Sara Maria Monteiro Lopes</t>
        </is>
      </c>
      <c r="C4476" s="1" t="inlineStr">
        <is>
          <t>Técnico I</t>
        </is>
      </c>
      <c r="D4476" s="3" t="n">
        <v>17</v>
      </c>
      <c r="E4476" s="3" t="n">
        <v>17</v>
      </c>
      <c r="F4476" s="3" t="n">
        <v>25.3</v>
      </c>
      <c r="G4476" s="3" t="n">
        <v>0</v>
      </c>
      <c r="H4476" s="3" t="n">
        <v>0</v>
      </c>
      <c r="I4476" s="3" t="n">
        <v>17</v>
      </c>
      <c r="J4476" s="3" t="n">
        <v>15</v>
      </c>
      <c r="K4476" s="3" t="n">
        <v>2</v>
      </c>
      <c r="L4476" s="3" t="inlineStr">
        <is>
          <t>BOM</t>
        </is>
      </c>
      <c r="M4476" s="3" t="n">
        <v>15</v>
      </c>
      <c r="N4476" s="3" t="n">
        <v>100</v>
      </c>
      <c r="O4476" s="12" t="n">
        <v>18</v>
      </c>
    </row>
    <row r="4477">
      <c r="A4477" s="10" t="n">
        <v>46167</v>
      </c>
      <c r="B4477" t="inlineStr">
        <is>
          <t>Gabriel Gomes de Andrade</t>
        </is>
      </c>
      <c r="C4477" s="1" t="inlineStr">
        <is>
          <t>Técnico I</t>
        </is>
      </c>
      <c r="D4477" s="3" t="n">
        <v>25</v>
      </c>
      <c r="E4477" s="3" t="n">
        <v>25</v>
      </c>
      <c r="F4477" s="3" t="n">
        <v>12.33</v>
      </c>
      <c r="G4477" s="3" t="n">
        <v>0</v>
      </c>
      <c r="H4477" s="3" t="n">
        <v>0</v>
      </c>
      <c r="I4477" s="3" t="n">
        <v>25</v>
      </c>
      <c r="J4477" s="3" t="n">
        <v>15</v>
      </c>
      <c r="K4477" s="3" t="n">
        <v>10</v>
      </c>
      <c r="L4477" s="3" t="inlineStr">
        <is>
          <t>EXCELENTE</t>
        </is>
      </c>
      <c r="M4477" s="3" t="n">
        <v>24</v>
      </c>
      <c r="N4477" s="3" t="n">
        <v>99.06</v>
      </c>
      <c r="O4477" s="12" t="n">
        <v>19.41747572815534</v>
      </c>
    </row>
    <row r="4478">
      <c r="A4478" s="10" t="n">
        <v>46167</v>
      </c>
      <c r="B4478" t="inlineStr">
        <is>
          <t>Matheus Farias De Souza</t>
        </is>
      </c>
      <c r="C4478" s="1" t="inlineStr">
        <is>
          <t>Técnico III</t>
        </is>
      </c>
      <c r="D4478" s="3" t="n">
        <v>0</v>
      </c>
      <c r="E4478" s="3" t="n">
        <v>0</v>
      </c>
      <c r="F4478" s="3" t="n">
        <v>0</v>
      </c>
      <c r="G4478" s="3" t="n">
        <v>0</v>
      </c>
      <c r="H4478" s="3" t="n">
        <v>41</v>
      </c>
      <c r="I4478" s="3" t="n">
        <v>41</v>
      </c>
      <c r="J4478" s="3" t="n">
        <v>23</v>
      </c>
      <c r="K4478" s="3" t="n">
        <v>18</v>
      </c>
      <c r="L4478" s="3" t="inlineStr">
        <is>
          <t>EXCELENTE</t>
        </is>
      </c>
      <c r="M4478" s="3" t="n">
        <v>14</v>
      </c>
      <c r="N4478" s="3" t="n">
        <v>98.39</v>
      </c>
      <c r="O4478" s="12" t="n">
        <v>8.799999999999999</v>
      </c>
    </row>
    <row r="4479">
      <c r="A4479" s="7" t="n">
        <v>46162</v>
      </c>
      <c r="B4479" s="8" t="inlineStr">
        <is>
          <t>Paulo Ricardo Santos</t>
        </is>
      </c>
      <c r="C4479" s="1" t="inlineStr">
        <is>
          <t>JR</t>
        </is>
      </c>
      <c r="D4479" s="3" t="n">
        <v>14</v>
      </c>
      <c r="E4479" s="3" t="n">
        <v>14</v>
      </c>
      <c r="F4479" s="3" t="n">
        <v>22.09</v>
      </c>
      <c r="G4479" s="3" t="n">
        <v>0</v>
      </c>
      <c r="H4479" s="3" t="n">
        <v>0</v>
      </c>
      <c r="I4479" s="3" t="n">
        <v>14</v>
      </c>
      <c r="J4479" s="3" t="n">
        <v>15</v>
      </c>
      <c r="K4479" s="3" t="n">
        <v>-1</v>
      </c>
      <c r="L4479" s="3" t="inlineStr">
        <is>
          <t>ATENÇÃO</t>
        </is>
      </c>
      <c r="M4479" s="3" t="n">
        <v>11</v>
      </c>
      <c r="N4479" s="3" t="n">
        <v>100</v>
      </c>
      <c r="O4479" s="12" t="n">
        <v>20.0836820083682</v>
      </c>
    </row>
    <row r="4480">
      <c r="A4480" s="5" t="n">
        <v>46163</v>
      </c>
      <c r="B4480" s="6" t="inlineStr">
        <is>
          <t>Paulo Ricardo Santos</t>
        </is>
      </c>
      <c r="C4480" s="1" t="inlineStr">
        <is>
          <t>JR</t>
        </is>
      </c>
      <c r="D4480" s="3" t="n">
        <v>10</v>
      </c>
      <c r="E4480" s="3" t="n">
        <v>10</v>
      </c>
      <c r="F4480" s="3" t="n">
        <v>20.18</v>
      </c>
      <c r="G4480" s="3" t="n">
        <v>0</v>
      </c>
      <c r="H4480" s="3" t="n">
        <v>0</v>
      </c>
      <c r="I4480" s="3" t="n">
        <v>10</v>
      </c>
      <c r="J4480" s="3" t="n">
        <v>13</v>
      </c>
      <c r="K4480" s="3" t="n">
        <v>-3</v>
      </c>
      <c r="L4480" s="3" t="inlineStr">
        <is>
          <t>ATENÇÃO</t>
        </is>
      </c>
      <c r="M4480" s="3" t="n">
        <v>12</v>
      </c>
      <c r="N4480" s="3" t="n">
        <v>100</v>
      </c>
      <c r="O4480" s="12" t="n">
        <v>20.0836820083682</v>
      </c>
    </row>
    <row r="4481">
      <c r="A4481" s="9" t="n">
        <v>46164</v>
      </c>
      <c r="B4481" s="6" t="inlineStr">
        <is>
          <t>Paulo Ricardo Santos</t>
        </is>
      </c>
      <c r="C4481" s="1" t="inlineStr">
        <is>
          <t>JR</t>
        </is>
      </c>
      <c r="D4481" s="3" t="n">
        <v>13</v>
      </c>
      <c r="E4481" s="3" t="n">
        <v>13</v>
      </c>
      <c r="F4481" s="3" t="n">
        <v>27</v>
      </c>
      <c r="G4481" s="3" t="n">
        <v>4</v>
      </c>
      <c r="H4481" s="3" t="n">
        <v>0</v>
      </c>
      <c r="I4481" s="3" t="n">
        <v>17</v>
      </c>
      <c r="J4481" s="3" t="n">
        <v>11</v>
      </c>
      <c r="K4481" s="3" t="n">
        <v>6</v>
      </c>
      <c r="L4481" s="3" t="inlineStr">
        <is>
          <t>EXCELENTE</t>
        </is>
      </c>
      <c r="M4481" s="3" t="n">
        <v>9</v>
      </c>
      <c r="N4481" s="3" t="n">
        <v>100</v>
      </c>
      <c r="O4481" s="12" t="n">
        <v>20.0836820083682</v>
      </c>
    </row>
    <row r="4482">
      <c r="A4482" s="10" t="n">
        <v>46167</v>
      </c>
      <c r="B4482" t="inlineStr">
        <is>
          <t>Paulo Ricardo Santos</t>
        </is>
      </c>
      <c r="C4482" s="1" t="inlineStr">
        <is>
          <t>JR</t>
        </is>
      </c>
      <c r="D4482" s="3" t="n">
        <v>16</v>
      </c>
      <c r="E4482" s="3" t="n">
        <v>16</v>
      </c>
      <c r="F4482" s="3" t="n">
        <v>21.46</v>
      </c>
      <c r="G4482" s="3" t="n">
        <v>0</v>
      </c>
      <c r="H4482" s="3" t="n">
        <v>0</v>
      </c>
      <c r="I4482" s="3" t="n">
        <v>16</v>
      </c>
      <c r="J4482" s="3" t="n">
        <v>13</v>
      </c>
      <c r="K4482" s="3" t="n">
        <v>3</v>
      </c>
      <c r="L4482" s="3" t="inlineStr">
        <is>
          <t>BOM</t>
        </is>
      </c>
      <c r="M4482" s="3" t="n">
        <v>16</v>
      </c>
      <c r="N4482" s="3" t="n">
        <v>100</v>
      </c>
      <c r="O4482" s="12" t="n">
        <v>20.0836820083682</v>
      </c>
    </row>
    <row r="4483">
      <c r="A4483" s="10" t="n">
        <v>46168</v>
      </c>
      <c r="B4483" t="inlineStr">
        <is>
          <t>Paulo Ricardo Santos</t>
        </is>
      </c>
      <c r="C4483" s="1" t="inlineStr">
        <is>
          <t>JR</t>
        </is>
      </c>
      <c r="D4483" s="3" t="n">
        <v>17</v>
      </c>
      <c r="E4483" s="3" t="n">
        <v>16</v>
      </c>
      <c r="F4483" s="3" t="n">
        <v>20.35</v>
      </c>
      <c r="G4483" s="3" t="n">
        <v>3</v>
      </c>
      <c r="H4483" s="3" t="n">
        <v>0</v>
      </c>
      <c r="I4483" s="3" t="n">
        <v>19</v>
      </c>
      <c r="J4483" s="3" t="n">
        <v>16</v>
      </c>
      <c r="K4483" s="3" t="n">
        <v>3</v>
      </c>
      <c r="L4483" s="3" t="inlineStr">
        <is>
          <t>BOM</t>
        </is>
      </c>
      <c r="M4483" s="3" t="n">
        <v>14</v>
      </c>
      <c r="N4483" s="3" t="n">
        <v>100</v>
      </c>
      <c r="O4483" s="12" t="n">
        <v>21.33891213389121</v>
      </c>
    </row>
    <row r="4484">
      <c r="A4484" s="10" t="n">
        <v>46169</v>
      </c>
      <c r="B4484" t="inlineStr">
        <is>
          <t>Paulo Ricardo Santos</t>
        </is>
      </c>
      <c r="C4484" s="1" t="inlineStr">
        <is>
          <t>JR</t>
        </is>
      </c>
      <c r="D4484" s="3" t="n">
        <v>14</v>
      </c>
      <c r="E4484" s="3" t="n">
        <v>14</v>
      </c>
      <c r="F4484" s="3" t="n">
        <v>23.31</v>
      </c>
      <c r="G4484" s="3" t="n">
        <v>1</v>
      </c>
      <c r="H4484" s="3" t="n">
        <v>0</v>
      </c>
      <c r="I4484" s="3" t="n">
        <v>15</v>
      </c>
      <c r="J4484" s="3" t="n">
        <v>16</v>
      </c>
      <c r="K4484" s="3" t="n">
        <v>-1</v>
      </c>
      <c r="L4484" s="3" t="inlineStr">
        <is>
          <t>ATENÇÃO</t>
        </is>
      </c>
      <c r="M4484" s="3" t="n">
        <v>12</v>
      </c>
      <c r="N4484" s="3" t="n">
        <v>100</v>
      </c>
      <c r="O4484" s="12" t="n">
        <v>20.31872509960159</v>
      </c>
    </row>
    <row r="4485">
      <c r="A4485" s="10" t="n">
        <v>46170</v>
      </c>
      <c r="B4485" t="inlineStr">
        <is>
          <t>Paulo Ricardo Santos</t>
        </is>
      </c>
      <c r="C4485" s="1" t="inlineStr">
        <is>
          <t>JR</t>
        </is>
      </c>
      <c r="D4485" s="3" t="n">
        <v>14</v>
      </c>
      <c r="E4485" s="3" t="n">
        <v>13</v>
      </c>
      <c r="F4485" s="3" t="n">
        <v>25.36</v>
      </c>
      <c r="G4485" s="3" t="n">
        <v>0</v>
      </c>
      <c r="H4485" s="3" t="n">
        <v>0</v>
      </c>
      <c r="I4485" s="3" t="n">
        <v>13</v>
      </c>
      <c r="J4485" s="3" t="n">
        <v>15</v>
      </c>
      <c r="K4485" s="3" t="n">
        <v>-2</v>
      </c>
      <c r="L4485" s="3" t="inlineStr">
        <is>
          <t>ATENÇÃO</t>
        </is>
      </c>
      <c r="M4485" s="3" t="n">
        <v>13</v>
      </c>
      <c r="N4485" s="3" t="n">
        <v>100</v>
      </c>
      <c r="O4485" s="12" t="n">
        <v>20.07575757575757</v>
      </c>
    </row>
    <row r="4486">
      <c r="A4486" s="10" t="n">
        <v>46171</v>
      </c>
      <c r="B4486" t="inlineStr">
        <is>
          <t>Paulo Ricardo Santos</t>
        </is>
      </c>
      <c r="C4486" s="1" t="inlineStr">
        <is>
          <t>JR</t>
        </is>
      </c>
      <c r="D4486" s="3" t="n">
        <v>15</v>
      </c>
      <c r="E4486" s="3" t="n">
        <v>15</v>
      </c>
      <c r="F4486" s="3" t="n">
        <v>17.02</v>
      </c>
      <c r="G4486" s="3" t="n">
        <v>0</v>
      </c>
      <c r="H4486" s="3" t="n">
        <v>0</v>
      </c>
      <c r="I4486" s="3" t="n">
        <v>15</v>
      </c>
      <c r="J4486" s="3" t="n">
        <v>16</v>
      </c>
      <c r="K4486" s="3" t="n">
        <v>-1</v>
      </c>
      <c r="L4486" s="3" t="inlineStr">
        <is>
          <t>ATENÇÃO</t>
        </is>
      </c>
      <c r="M4486" s="3" t="n">
        <v>0</v>
      </c>
      <c r="N4486" s="3" t="n">
        <v>100</v>
      </c>
      <c r="O4486" s="12" t="n">
        <v>20.07575757575757</v>
      </c>
    </row>
    <row r="4487">
      <c r="A4487" s="5" t="n">
        <v>46146</v>
      </c>
      <c r="B4487" s="6" t="inlineStr">
        <is>
          <t>Pedro Luiz Mota Sousa</t>
        </is>
      </c>
      <c r="C4487" s="1" t="inlineStr">
        <is>
          <t>JR</t>
        </is>
      </c>
      <c r="D4487" s="3" t="n">
        <v>23</v>
      </c>
      <c r="E4487" s="3" t="n">
        <v>21</v>
      </c>
      <c r="F4487" s="3" t="n">
        <v>17.11</v>
      </c>
      <c r="G4487" s="3" t="n">
        <v>0</v>
      </c>
      <c r="H4487" s="3" t="n">
        <v>0</v>
      </c>
      <c r="I4487" s="3">
        <f>E4487+G4487+H4487</f>
        <v/>
      </c>
      <c r="J4487" s="3">
        <f>ROUND(MIN(IF(C4487="Técnico III",35,IF(C4487="Técnico II",28,IF(C4487="Técnico I",23,IF(C4487="JR",20,IF(C4487="Estágio",10,0))))),IF(C4487="Técnico III",SUMIFS($D:$D,$A:$A,$A4487,$B:$B,"&lt;&gt;Patrícia Karla de Sousa Araújo",$B:$B,"&lt;&gt;Lorena Dias de Araujo",$B:$B,"&lt;&gt;Lucas Luiz Romero")*(35/1083),IF(C4487="Técnico II",SUMIFS($D:$D,$A:$A,$A4487,$B:$B,"&lt;&gt;Patrícia Karla de Sousa Araújo",$B:$B,"&lt;&gt;Lorena Dias de Araujo",$B:$B,"&lt;&gt;Lucas Luiz Romero")*(28/1083),IF(C4487="Técnico I",SUMIFS($D:$D,$A:$A,$A4487,$B:$B,"&lt;&gt;Patrícia Karla de Sousa Araújo",$B:$B,"&lt;&gt;Lorena Dias de Araujo",$B:$B,"&lt;&gt;Lucas Luiz Romero")*(23/1083),IF(C4487="JR",SUMIFS($D:$D,$A:$A,$A4487,$B:$B,"&lt;&gt;Patrícia Karla de Sousa Araújo",$B:$B,"&lt;&gt;Lorena Dias de Araujo",$B:$B,"&lt;&gt;Lucas Luiz Romero")*(20/1083),IF(C4487="Estágio",SUMIFS($D:$D,$A:$A,$A4487,$B:$B,"&lt;&gt;Patrícia Karla de Sousa Araújo",$B:$B,"&lt;&gt;Lorena Dias de Araujo",$B:$B,"&lt;&gt;Lucas Luiz Romero")*(10/1083),0)))))),0)</f>
        <v/>
      </c>
      <c r="K4487" s="3">
        <f>I4487-J4487</f>
        <v/>
      </c>
      <c r="L4487" s="3">
        <f>IF(K4487&lt;-5,"CRÍTICO",IF(K4487&lt;0,"ATENÇÃO",IF(K4487&lt;=5,"OPORTUNO","MUITO BOM")))</f>
        <v/>
      </c>
      <c r="M4487" s="3" t="n">
        <v>21</v>
      </c>
      <c r="N4487" s="3" t="n">
        <v>100</v>
      </c>
      <c r="O4487" s="12" t="n">
        <v>16.34241245136187</v>
      </c>
    </row>
    <row r="4488">
      <c r="A4488" s="5" t="n">
        <v>46147</v>
      </c>
      <c r="B4488" s="6" t="inlineStr">
        <is>
          <t>Pedro Luiz Mota Sousa</t>
        </is>
      </c>
      <c r="C4488" s="1" t="inlineStr">
        <is>
          <t>JR</t>
        </is>
      </c>
      <c r="D4488" s="3" t="n">
        <v>11</v>
      </c>
      <c r="E4488" s="3" t="n">
        <v>11</v>
      </c>
      <c r="F4488" s="3" t="n">
        <v>18.23</v>
      </c>
      <c r="G4488" s="3" t="n">
        <v>9</v>
      </c>
      <c r="H4488" s="3" t="n">
        <v>0</v>
      </c>
      <c r="I4488" s="3">
        <f>E4488+G4488+H4488</f>
        <v/>
      </c>
      <c r="J4488" s="3">
        <f>ROUND(MIN(IF(C4488="Técnico III",35,IF(C4488="Técnico II",28,IF(C4488="Técnico I",23,IF(C4488="JR",20,IF(C4488="Estágio",10,0))))),IF(C4488="Técnico III",SUMIFS($D:$D,$A:$A,$A4488,$B:$B,"&lt;&gt;Patrícia Karla de Sousa Araújo",$B:$B,"&lt;&gt;Lorena Dias de Araujo",$B:$B,"&lt;&gt;Lucas Luiz Romero")*(35/1083),IF(C4488="Técnico II",SUMIFS($D:$D,$A:$A,$A4488,$B:$B,"&lt;&gt;Patrícia Karla de Sousa Araújo",$B:$B,"&lt;&gt;Lorena Dias de Araujo",$B:$B,"&lt;&gt;Lucas Luiz Romero")*(28/1083),IF(C4488="Técnico I",SUMIFS($D:$D,$A:$A,$A4488,$B:$B,"&lt;&gt;Patrícia Karla de Sousa Araújo",$B:$B,"&lt;&gt;Lorena Dias de Araujo",$B:$B,"&lt;&gt;Lucas Luiz Romero")*(23/1083),IF(C4488="JR",SUMIFS($D:$D,$A:$A,$A4488,$B:$B,"&lt;&gt;Patrícia Karla de Sousa Araújo",$B:$B,"&lt;&gt;Lorena Dias de Araujo",$B:$B,"&lt;&gt;Lucas Luiz Romero")*(20/1083),IF(C4488="Estágio",SUMIFS($D:$D,$A:$A,$A4488,$B:$B,"&lt;&gt;Patrícia Karla de Sousa Araújo",$B:$B,"&lt;&gt;Lorena Dias de Araujo",$B:$B,"&lt;&gt;Lucas Luiz Romero")*(10/1083),0)))))),0)</f>
        <v/>
      </c>
      <c r="K4488" s="3">
        <f>I4488-J4488</f>
        <v/>
      </c>
      <c r="L4488" s="3">
        <f>IF(K4488&lt;-5,"CRÍTICO",IF(K4488&lt;0,"ATENÇÃO",IF(K4488&lt;=5,"OPORTUNO","MUITO BOM")))</f>
        <v/>
      </c>
      <c r="M4488" s="3" t="n">
        <v>19</v>
      </c>
      <c r="N4488" s="3" t="n">
        <v>100</v>
      </c>
      <c r="O4488" s="12" t="n">
        <v>16.34241245136187</v>
      </c>
    </row>
    <row r="4489">
      <c r="A4489" s="5" t="n">
        <v>46148</v>
      </c>
      <c r="B4489" s="6" t="inlineStr">
        <is>
          <t>Pedro Luiz Mota Sousa</t>
        </is>
      </c>
      <c r="C4489" s="1" t="inlineStr">
        <is>
          <t>JR</t>
        </is>
      </c>
      <c r="D4489" s="3" t="n">
        <v>22</v>
      </c>
      <c r="E4489" s="3" t="n">
        <v>21</v>
      </c>
      <c r="F4489" s="3" t="n">
        <v>17.24</v>
      </c>
      <c r="G4489" s="3" t="n">
        <v>3</v>
      </c>
      <c r="H4489" s="3" t="n">
        <v>0</v>
      </c>
      <c r="I4489" s="3">
        <f>E4489+G4489+H4489</f>
        <v/>
      </c>
      <c r="J4489" s="3">
        <f>ROUND(MIN(IF(C4489="Técnico III",35,IF(C4489="Técnico II",28,IF(C4489="Técnico I",23,IF(C4489="JR",20,IF(C4489="Estágio",10,0))))),IF(C4489="Técnico III",SUMIFS($D:$D,$A:$A,$A4489,$B:$B,"&lt;&gt;Patrícia Karla de Sousa Araújo",$B:$B,"&lt;&gt;Lorena Dias de Araujo",$B:$B,"&lt;&gt;Lucas Luiz Romero")*(35/1083),IF(C4489="Técnico II",SUMIFS($D:$D,$A:$A,$A4489,$B:$B,"&lt;&gt;Patrícia Karla de Sousa Araújo",$B:$B,"&lt;&gt;Lorena Dias de Araujo",$B:$B,"&lt;&gt;Lucas Luiz Romero")*(28/1083),IF(C4489="Técnico I",SUMIFS($D:$D,$A:$A,$A4489,$B:$B,"&lt;&gt;Patrícia Karla de Sousa Araújo",$B:$B,"&lt;&gt;Lorena Dias de Araujo",$B:$B,"&lt;&gt;Lucas Luiz Romero")*(23/1083),IF(C4489="JR",SUMIFS($D:$D,$A:$A,$A4489,$B:$B,"&lt;&gt;Patrícia Karla de Sousa Araújo",$B:$B,"&lt;&gt;Lorena Dias de Araujo",$B:$B,"&lt;&gt;Lucas Luiz Romero")*(20/1083),IF(C4489="Estágio",SUMIFS($D:$D,$A:$A,$A4489,$B:$B,"&lt;&gt;Patrícia Karla de Sousa Araújo",$B:$B,"&lt;&gt;Lorena Dias de Araujo",$B:$B,"&lt;&gt;Lucas Luiz Romero")*(10/1083),0)))))),0)</f>
        <v/>
      </c>
      <c r="K4489" s="3">
        <f>I4489-J4489</f>
        <v/>
      </c>
      <c r="L4489" s="3">
        <f>IF(K4489&lt;-5,"CRÍTICO",IF(K4489&lt;0,"ATENÇÃO",IF(K4489&lt;=5,"OPORTUNO","MUITO BOM")))</f>
        <v/>
      </c>
      <c r="M4489" s="3" t="n">
        <v>18</v>
      </c>
      <c r="N4489" s="3" t="n">
        <v>100</v>
      </c>
      <c r="O4489" s="12" t="n">
        <v>16.34241245136187</v>
      </c>
    </row>
    <row r="4490">
      <c r="A4490" s="10" t="n">
        <v>46168</v>
      </c>
      <c r="B4490" t="inlineStr">
        <is>
          <t>Amanda Moura Ferreira</t>
        </is>
      </c>
      <c r="C4490" s="1" t="inlineStr">
        <is>
          <t>Técnico III</t>
        </is>
      </c>
      <c r="D4490" s="3" t="n">
        <v>0</v>
      </c>
      <c r="E4490" s="3" t="n">
        <v>0</v>
      </c>
      <c r="F4490" s="3" t="n">
        <v>0</v>
      </c>
      <c r="G4490" s="3" t="n">
        <v>0</v>
      </c>
      <c r="H4490" s="3" t="n">
        <v>0</v>
      </c>
      <c r="I4490" s="3" t="n">
        <v>0</v>
      </c>
      <c r="J4490" s="3" t="n">
        <v>0</v>
      </c>
      <c r="K4490" s="3" t="n">
        <v>0</v>
      </c>
      <c r="L4490" s="3" t="inlineStr">
        <is>
          <t>BOM</t>
        </is>
      </c>
      <c r="M4490" s="3" t="n">
        <v>0</v>
      </c>
      <c r="N4490" s="3" t="n">
        <v>100</v>
      </c>
      <c r="O4490" s="12" t="n">
        <v>0</v>
      </c>
    </row>
    <row r="4491">
      <c r="A4491" s="10" t="n">
        <v>46168</v>
      </c>
      <c r="B4491" t="inlineStr">
        <is>
          <t>Ana Paula Da Luz Silva Aleixo</t>
        </is>
      </c>
      <c r="C4491" s="1" t="inlineStr">
        <is>
          <t>Técnico III</t>
        </is>
      </c>
      <c r="D4491" s="3" t="n">
        <v>33</v>
      </c>
      <c r="E4491" s="3" t="n">
        <v>27</v>
      </c>
      <c r="F4491" s="3" t="n">
        <v>12.19</v>
      </c>
      <c r="G4491" s="3" t="n">
        <v>3</v>
      </c>
      <c r="H4491" s="3" t="n">
        <v>0</v>
      </c>
      <c r="I4491" s="3" t="n">
        <v>30</v>
      </c>
      <c r="J4491" s="3" t="n">
        <v>27</v>
      </c>
      <c r="K4491" s="3" t="n">
        <v>3</v>
      </c>
      <c r="L4491" s="3" t="inlineStr">
        <is>
          <t>BOM</t>
        </is>
      </c>
      <c r="M4491" s="3" t="n">
        <v>26</v>
      </c>
      <c r="N4491" s="3" t="n">
        <v>96.94</v>
      </c>
      <c r="O4491" s="12" t="n">
        <v>21.54696132596685</v>
      </c>
    </row>
    <row r="4492">
      <c r="A4492" s="10" t="n">
        <v>46168</v>
      </c>
      <c r="B4492" t="inlineStr">
        <is>
          <t>Cristiane Ramos da Silva Rocha</t>
        </is>
      </c>
      <c r="C4492" s="1" t="inlineStr">
        <is>
          <t>Técnico III</t>
        </is>
      </c>
      <c r="D4492" s="3" t="n">
        <v>24</v>
      </c>
      <c r="E4492" s="3" t="n">
        <v>22</v>
      </c>
      <c r="F4492" s="3" t="n">
        <v>10.43</v>
      </c>
      <c r="G4492" s="3" t="n">
        <v>0</v>
      </c>
      <c r="I4492" s="3" t="n">
        <v>22</v>
      </c>
      <c r="J4492" s="3" t="n">
        <v>27</v>
      </c>
      <c r="K4492" s="3" t="n">
        <v>-5</v>
      </c>
      <c r="L4492" s="3" t="inlineStr">
        <is>
          <t>ATENÇÃO</t>
        </is>
      </c>
      <c r="M4492" s="3" t="n">
        <v>15</v>
      </c>
      <c r="N4492" s="3" t="n">
        <v>92.81</v>
      </c>
      <c r="O4492" s="12" t="n">
        <v>26.11464968152866</v>
      </c>
    </row>
    <row r="4493">
      <c r="A4493" s="10" t="n">
        <v>46168</v>
      </c>
      <c r="B4493" t="inlineStr">
        <is>
          <t>Davylla Rodrigues Freitas Silva</t>
        </is>
      </c>
      <c r="C4493" s="1" t="inlineStr">
        <is>
          <t>Técnico III</t>
        </is>
      </c>
      <c r="D4493" s="3" t="n">
        <v>0</v>
      </c>
      <c r="E4493" s="3" t="n">
        <v>0</v>
      </c>
      <c r="F4493" s="3" t="n">
        <v>0</v>
      </c>
      <c r="G4493" s="3" t="n">
        <v>0</v>
      </c>
      <c r="H4493" s="3" t="n">
        <v>0</v>
      </c>
      <c r="I4493" s="3" t="n">
        <v>0</v>
      </c>
      <c r="J4493" s="3" t="n">
        <v>0</v>
      </c>
      <c r="K4493" s="3" t="n">
        <v>0</v>
      </c>
      <c r="L4493" s="3" t="inlineStr">
        <is>
          <t>BOM</t>
        </is>
      </c>
      <c r="M4493" s="3" t="n">
        <v>0</v>
      </c>
      <c r="N4493" s="3" t="n">
        <v>99.19</v>
      </c>
      <c r="O4493" s="12" t="n">
        <v>29.57198443579767</v>
      </c>
    </row>
    <row r="4494">
      <c r="A4494" s="10" t="n">
        <v>46168</v>
      </c>
      <c r="B4494" t="inlineStr">
        <is>
          <t>Francielson de Oliveira</t>
        </is>
      </c>
      <c r="C4494" s="1" t="inlineStr">
        <is>
          <t>Técnico III</t>
        </is>
      </c>
      <c r="D4494" s="3" t="n">
        <v>38</v>
      </c>
      <c r="E4494" s="3" t="n">
        <v>35</v>
      </c>
      <c r="F4494" s="3" t="n">
        <v>12</v>
      </c>
      <c r="G4494" s="3" t="n">
        <v>3</v>
      </c>
      <c r="H4494" s="3" t="n">
        <v>0</v>
      </c>
      <c r="I4494" s="3" t="n">
        <v>38</v>
      </c>
      <c r="J4494" s="3" t="n">
        <v>27</v>
      </c>
      <c r="K4494" s="3" t="n">
        <v>11</v>
      </c>
      <c r="L4494" s="3" t="inlineStr">
        <is>
          <t>EXCELENTE</t>
        </is>
      </c>
      <c r="M4494" s="3" t="n">
        <v>34</v>
      </c>
      <c r="N4494" s="3" t="n">
        <v>100</v>
      </c>
      <c r="O4494" s="12" t="n">
        <v>15.06849315068493</v>
      </c>
    </row>
    <row r="4495">
      <c r="A4495" s="10" t="n">
        <v>46168</v>
      </c>
      <c r="B4495" t="inlineStr">
        <is>
          <t>Janaina Lima dos Reis Urany</t>
        </is>
      </c>
      <c r="C4495" s="1" t="inlineStr">
        <is>
          <t>Técnico III</t>
        </is>
      </c>
      <c r="D4495" s="3" t="n">
        <v>38</v>
      </c>
      <c r="E4495" s="3" t="n">
        <v>35</v>
      </c>
      <c r="F4495" s="3" t="n">
        <v>13.38</v>
      </c>
      <c r="G4495" s="3" t="n">
        <v>5</v>
      </c>
      <c r="I4495" s="3" t="n">
        <v>40</v>
      </c>
      <c r="J4495" s="3" t="n">
        <v>27</v>
      </c>
      <c r="K4495" s="3" t="n">
        <v>13</v>
      </c>
      <c r="L4495" s="3" t="inlineStr">
        <is>
          <t>EXCELENTE</t>
        </is>
      </c>
      <c r="M4495" s="3" t="n">
        <v>34</v>
      </c>
      <c r="N4495" s="3" t="n">
        <v>99</v>
      </c>
      <c r="O4495" s="12" t="n">
        <v>23.05295950155763</v>
      </c>
    </row>
    <row r="4496">
      <c r="A4496" s="10" t="n">
        <v>46168</v>
      </c>
      <c r="B4496" t="inlineStr">
        <is>
          <t>Jaqueline Evangelista da Silva Martins</t>
        </is>
      </c>
      <c r="C4496" s="1" t="inlineStr">
        <is>
          <t>Técnico III</t>
        </is>
      </c>
      <c r="D4496" s="3" t="n">
        <v>18</v>
      </c>
      <c r="E4496" s="3" t="n">
        <v>16</v>
      </c>
      <c r="F4496" s="3" t="n">
        <v>10.14</v>
      </c>
      <c r="G4496" s="3" t="n">
        <v>4</v>
      </c>
      <c r="I4496" s="3" t="n">
        <v>20</v>
      </c>
      <c r="J4496" s="3" t="n">
        <v>27</v>
      </c>
      <c r="K4496" s="3" t="n">
        <v>-7</v>
      </c>
      <c r="L4496" s="3" t="inlineStr">
        <is>
          <t>CRÍTICO</t>
        </is>
      </c>
      <c r="M4496" s="3" t="n">
        <v>15</v>
      </c>
      <c r="N4496" s="3" t="n">
        <v>97.04000000000001</v>
      </c>
      <c r="O4496" s="12" t="n">
        <v>34.71882640586797</v>
      </c>
    </row>
    <row r="4497">
      <c r="A4497" s="10" t="n">
        <v>46168</v>
      </c>
      <c r="B4497" t="inlineStr">
        <is>
          <t>Jéssica Fé Moura</t>
        </is>
      </c>
      <c r="C4497" s="1" t="inlineStr">
        <is>
          <t>Técnico III</t>
        </is>
      </c>
      <c r="D4497" s="3" t="n">
        <v>0</v>
      </c>
      <c r="E4497" s="3" t="n">
        <v>0</v>
      </c>
      <c r="F4497" s="3" t="n">
        <v>0</v>
      </c>
      <c r="G4497" s="3" t="n">
        <v>0</v>
      </c>
      <c r="H4497" s="3" t="n">
        <v>0</v>
      </c>
      <c r="I4497" s="3" t="n">
        <v>0</v>
      </c>
      <c r="J4497" s="3" t="n">
        <v>0</v>
      </c>
      <c r="K4497" s="3" t="n">
        <v>0</v>
      </c>
      <c r="L4497" s="3" t="inlineStr">
        <is>
          <t>BOM</t>
        </is>
      </c>
      <c r="M4497" s="3" t="n">
        <v>0</v>
      </c>
      <c r="N4497" s="3" t="n">
        <v>0</v>
      </c>
      <c r="O4497" s="12" t="n">
        <v>0</v>
      </c>
    </row>
    <row r="4498">
      <c r="A4498" s="10" t="n">
        <v>46168</v>
      </c>
      <c r="B4498" t="inlineStr">
        <is>
          <t>Kerollen Cristielly de Jesus Siqueira</t>
        </is>
      </c>
      <c r="C4498" s="1" t="inlineStr">
        <is>
          <t>Técnico III</t>
        </is>
      </c>
      <c r="D4498" s="3" t="n">
        <v>30</v>
      </c>
      <c r="E4498" s="3" t="n">
        <v>29</v>
      </c>
      <c r="F4498" s="3" t="n">
        <v>15.33</v>
      </c>
      <c r="G4498" s="3" t="n">
        <v>2</v>
      </c>
      <c r="I4498" s="3" t="n">
        <v>31</v>
      </c>
      <c r="J4498" s="3" t="n">
        <v>27</v>
      </c>
      <c r="K4498" s="3" t="n">
        <v>4</v>
      </c>
      <c r="L4498" s="3" t="inlineStr">
        <is>
          <t>BOM</t>
        </is>
      </c>
      <c r="M4498" s="3" t="n">
        <v>25</v>
      </c>
      <c r="N4498" s="3" t="n">
        <v>96.84</v>
      </c>
      <c r="O4498" s="12" t="n">
        <v>17.74647887323944</v>
      </c>
    </row>
    <row r="4499">
      <c r="A4499" s="10" t="n">
        <v>46168</v>
      </c>
      <c r="B4499" t="inlineStr">
        <is>
          <t>Leandro Oliveira de Sousa</t>
        </is>
      </c>
      <c r="C4499" s="1" t="inlineStr">
        <is>
          <t>Técnico III</t>
        </is>
      </c>
      <c r="D4499" s="3" t="n">
        <v>29</v>
      </c>
      <c r="E4499" s="3" t="n">
        <v>26</v>
      </c>
      <c r="F4499" s="3" t="n">
        <v>15.05</v>
      </c>
      <c r="G4499" s="3" t="n">
        <v>0</v>
      </c>
      <c r="I4499" s="3" t="n">
        <v>26</v>
      </c>
      <c r="J4499" s="3" t="n">
        <v>27</v>
      </c>
      <c r="K4499" s="3" t="n">
        <v>-1</v>
      </c>
      <c r="L4499" s="3" t="inlineStr">
        <is>
          <t>ATENÇÃO</t>
        </is>
      </c>
      <c r="M4499" s="3" t="n">
        <v>24</v>
      </c>
      <c r="N4499" s="3" t="n">
        <v>100</v>
      </c>
      <c r="O4499" s="12" t="n">
        <v>19.39953810623557</v>
      </c>
    </row>
    <row r="4500">
      <c r="A4500" s="10" t="n">
        <v>46168</v>
      </c>
      <c r="B4500" t="inlineStr">
        <is>
          <t>Lucas Luiz Romero</t>
        </is>
      </c>
      <c r="C4500" s="1" t="inlineStr">
        <is>
          <t>Técnico III</t>
        </is>
      </c>
      <c r="D4500" s="3" t="n">
        <v>0</v>
      </c>
      <c r="E4500" s="3" t="n">
        <v>0</v>
      </c>
      <c r="F4500" s="3" t="n">
        <v>0</v>
      </c>
      <c r="G4500" s="3" t="n">
        <v>0</v>
      </c>
      <c r="H4500" s="3" t="n">
        <v>0</v>
      </c>
      <c r="I4500" s="3" t="n">
        <v>0</v>
      </c>
      <c r="J4500" s="3" t="n">
        <v>0</v>
      </c>
      <c r="K4500" s="3" t="n">
        <v>0</v>
      </c>
      <c r="L4500" s="3" t="inlineStr">
        <is>
          <t>BOM</t>
        </is>
      </c>
      <c r="M4500" s="3" t="n">
        <v>16</v>
      </c>
      <c r="N4500" s="3" t="n">
        <v>100</v>
      </c>
      <c r="O4500" s="12" t="n">
        <v>21.27659574468085</v>
      </c>
    </row>
    <row r="4501">
      <c r="A4501" s="10" t="n">
        <v>46168</v>
      </c>
      <c r="B4501" t="inlineStr">
        <is>
          <t>Maysa Victoria Dias Moura</t>
        </is>
      </c>
      <c r="C4501" s="1" t="inlineStr">
        <is>
          <t>Técnico III</t>
        </is>
      </c>
      <c r="D4501" s="3" t="n">
        <v>33</v>
      </c>
      <c r="E4501" s="3" t="n">
        <v>30</v>
      </c>
      <c r="F4501" s="3" t="n">
        <v>10.1</v>
      </c>
      <c r="G4501" s="3" t="n">
        <v>2</v>
      </c>
      <c r="I4501" s="3" t="n">
        <v>32</v>
      </c>
      <c r="J4501" s="3" t="n">
        <v>27</v>
      </c>
      <c r="K4501" s="3" t="n">
        <v>5</v>
      </c>
      <c r="L4501" s="3" t="inlineStr">
        <is>
          <t>BOM</t>
        </is>
      </c>
      <c r="M4501" s="3" t="n">
        <v>26</v>
      </c>
      <c r="N4501" s="3" t="n">
        <v>96.38</v>
      </c>
      <c r="O4501" s="12" t="n">
        <v>25.22522522522522</v>
      </c>
    </row>
    <row r="4502">
      <c r="A4502" s="10" t="n">
        <v>46168</v>
      </c>
      <c r="B4502" t="inlineStr">
        <is>
          <t>Rafael Gomes de Morais</t>
        </is>
      </c>
      <c r="C4502" s="1" t="inlineStr">
        <is>
          <t>Técnico III</t>
        </is>
      </c>
      <c r="D4502" s="3" t="n">
        <v>37</v>
      </c>
      <c r="E4502" s="3" t="n">
        <v>33</v>
      </c>
      <c r="F4502" s="3" t="n">
        <v>11.48</v>
      </c>
      <c r="G4502" s="3" t="n">
        <v>0</v>
      </c>
      <c r="I4502" s="3" t="n">
        <v>33</v>
      </c>
      <c r="J4502" s="3" t="n">
        <v>27</v>
      </c>
      <c r="K4502" s="3" t="n">
        <v>6</v>
      </c>
      <c r="L4502" s="3" t="inlineStr">
        <is>
          <t>EXCELENTE</t>
        </is>
      </c>
      <c r="M4502" s="3" t="n">
        <v>24</v>
      </c>
      <c r="N4502" s="3" t="n">
        <v>99.39</v>
      </c>
      <c r="O4502" s="12" t="n">
        <v>26.6260162601626</v>
      </c>
    </row>
    <row r="4503">
      <c r="A4503" s="10" t="n">
        <v>46168</v>
      </c>
      <c r="B4503" t="inlineStr">
        <is>
          <t>Sarah Steffanie de Lima Borges</t>
        </is>
      </c>
      <c r="C4503" s="1" t="inlineStr">
        <is>
          <t>Técnico III</t>
        </is>
      </c>
      <c r="D4503" s="3" t="n">
        <v>24</v>
      </c>
      <c r="E4503" s="3" t="n">
        <v>22</v>
      </c>
      <c r="F4503" s="3" t="n">
        <v>15.22</v>
      </c>
      <c r="G4503" s="3" t="n">
        <v>0</v>
      </c>
      <c r="I4503" s="3" t="n">
        <v>22</v>
      </c>
      <c r="J4503" s="3" t="n">
        <v>27</v>
      </c>
      <c r="K4503" s="3" t="n">
        <v>-5</v>
      </c>
      <c r="L4503" s="3" t="inlineStr">
        <is>
          <t>ATENÇÃO</t>
        </is>
      </c>
      <c r="M4503" s="3" t="n">
        <v>17</v>
      </c>
      <c r="N4503" s="3" t="n">
        <v>97</v>
      </c>
      <c r="O4503" s="12" t="n">
        <v>21.95121951219512</v>
      </c>
    </row>
    <row r="4504">
      <c r="A4504" s="10" t="n">
        <v>46168</v>
      </c>
      <c r="B4504" t="inlineStr">
        <is>
          <t>Brenda de Menezes Silva</t>
        </is>
      </c>
      <c r="C4504" s="1" t="inlineStr">
        <is>
          <t>Técnico II</t>
        </is>
      </c>
      <c r="D4504" s="3" t="n">
        <v>27</v>
      </c>
      <c r="E4504" s="3" t="n">
        <v>22</v>
      </c>
      <c r="F4504" s="3" t="n">
        <v>14.06</v>
      </c>
      <c r="G4504" s="3" t="n">
        <v>4</v>
      </c>
      <c r="I4504" s="3" t="n">
        <v>26</v>
      </c>
      <c r="J4504" s="3" t="n">
        <v>22</v>
      </c>
      <c r="K4504" s="3" t="n">
        <v>4</v>
      </c>
      <c r="L4504" s="3" t="inlineStr">
        <is>
          <t>BOM</t>
        </is>
      </c>
      <c r="M4504" s="3" t="n">
        <v>25</v>
      </c>
      <c r="N4504" s="3" t="n">
        <v>99.34999999999999</v>
      </c>
      <c r="O4504" s="12" t="n">
        <v>21.13970588235294</v>
      </c>
    </row>
    <row r="4505">
      <c r="A4505" s="10" t="n">
        <v>46168</v>
      </c>
      <c r="B4505" t="inlineStr">
        <is>
          <t>Carlos Mateus Cassimiro Nunes</t>
        </is>
      </c>
      <c r="C4505" s="1" t="inlineStr">
        <is>
          <t>Técnico II</t>
        </is>
      </c>
      <c r="D4505" s="3" t="n">
        <v>28</v>
      </c>
      <c r="E4505" s="3" t="n">
        <v>26</v>
      </c>
      <c r="F4505" s="3" t="n">
        <v>20.21</v>
      </c>
      <c r="G4505" s="3" t="n">
        <v>2</v>
      </c>
      <c r="I4505" s="3" t="n">
        <v>28</v>
      </c>
      <c r="J4505" s="3" t="n">
        <v>22</v>
      </c>
      <c r="K4505" s="3" t="n">
        <v>6</v>
      </c>
      <c r="L4505" s="3" t="inlineStr">
        <is>
          <t>EXCELENTE</t>
        </is>
      </c>
      <c r="M4505" s="3" t="n">
        <v>26</v>
      </c>
      <c r="N4505" s="3" t="n">
        <v>99.06999999999999</v>
      </c>
      <c r="O4505" s="12" t="n">
        <v>22.11302211302211</v>
      </c>
    </row>
    <row r="4506">
      <c r="A4506" s="10" t="n">
        <v>46168</v>
      </c>
      <c r="B4506" t="inlineStr">
        <is>
          <t>Damyllis Lorraine de Oliveira Gonçalves</t>
        </is>
      </c>
      <c r="C4506" s="1" t="inlineStr">
        <is>
          <t>Técnico II</t>
        </is>
      </c>
      <c r="D4506" s="3" t="n">
        <v>0</v>
      </c>
      <c r="E4506" s="3" t="n">
        <v>0</v>
      </c>
      <c r="F4506" s="3" t="n">
        <v>0</v>
      </c>
      <c r="G4506" s="3" t="n">
        <v>0</v>
      </c>
      <c r="H4506" s="3" t="n">
        <v>0</v>
      </c>
      <c r="I4506" s="3" t="n">
        <v>0</v>
      </c>
      <c r="J4506" s="3" t="n">
        <v>0</v>
      </c>
      <c r="K4506" s="3" t="n">
        <v>0</v>
      </c>
      <c r="L4506" s="3" t="inlineStr">
        <is>
          <t>BOM</t>
        </is>
      </c>
      <c r="M4506" s="3" t="n">
        <v>0</v>
      </c>
      <c r="N4506" s="3" t="n">
        <v>98.81</v>
      </c>
      <c r="O4506" s="12" t="n">
        <v>25</v>
      </c>
    </row>
    <row r="4507">
      <c r="A4507" s="10" t="n">
        <v>46168</v>
      </c>
      <c r="B4507" t="inlineStr">
        <is>
          <t>Emilly Kamilly Medeiros Miranda</t>
        </is>
      </c>
      <c r="C4507" s="1" t="inlineStr">
        <is>
          <t>Técnico II</t>
        </is>
      </c>
      <c r="D4507" s="3" t="n">
        <v>21</v>
      </c>
      <c r="E4507" s="3" t="n">
        <v>21</v>
      </c>
      <c r="F4507" s="3" t="n">
        <v>13.22</v>
      </c>
      <c r="G4507" s="3" t="n">
        <v>1</v>
      </c>
      <c r="I4507" s="3" t="n">
        <v>22</v>
      </c>
      <c r="J4507" s="3" t="n">
        <v>22</v>
      </c>
      <c r="K4507" s="3" t="n">
        <v>0</v>
      </c>
      <c r="L4507" s="3" t="inlineStr">
        <is>
          <t>BOM</t>
        </is>
      </c>
      <c r="M4507" s="3" t="n">
        <v>17</v>
      </c>
      <c r="N4507" s="3" t="n">
        <v>99.01000000000001</v>
      </c>
      <c r="O4507" s="12" t="n">
        <v>19.54314720812183</v>
      </c>
    </row>
    <row r="4508">
      <c r="A4508" s="10" t="n">
        <v>46168</v>
      </c>
      <c r="B4508" t="inlineStr">
        <is>
          <t>Francilene Ferreira de Jesus</t>
        </is>
      </c>
      <c r="C4508" s="1" t="inlineStr">
        <is>
          <t>Técnico II</t>
        </is>
      </c>
      <c r="D4508" s="3" t="n">
        <v>0</v>
      </c>
      <c r="E4508" s="3" t="n">
        <v>0</v>
      </c>
      <c r="F4508" s="3" t="n">
        <v>0</v>
      </c>
      <c r="G4508" s="3" t="n">
        <v>0</v>
      </c>
      <c r="H4508" s="3" t="n">
        <v>0</v>
      </c>
      <c r="I4508" s="3" t="n">
        <v>0</v>
      </c>
      <c r="J4508" s="3" t="n">
        <v>0</v>
      </c>
      <c r="K4508" s="3" t="n">
        <v>0</v>
      </c>
      <c r="L4508" s="3" t="inlineStr">
        <is>
          <t>BOM</t>
        </is>
      </c>
      <c r="M4508" s="3" t="n">
        <v>0</v>
      </c>
      <c r="N4508" s="3" t="n">
        <v>100</v>
      </c>
      <c r="O4508" s="12" t="n">
        <v>17.24137931034483</v>
      </c>
    </row>
    <row r="4509">
      <c r="A4509" s="10" t="n">
        <v>46133</v>
      </c>
      <c r="B4509" t="inlineStr">
        <is>
          <t>Gabriel Gomes de Andrade</t>
        </is>
      </c>
      <c r="C4509" s="1" t="inlineStr">
        <is>
          <t>Técnico I</t>
        </is>
      </c>
      <c r="D4509" s="3" t="n">
        <v>0</v>
      </c>
      <c r="E4509" s="3" t="n">
        <v>0</v>
      </c>
      <c r="F4509" s="3" t="n">
        <v>0</v>
      </c>
      <c r="G4509" s="3" t="n">
        <v>0</v>
      </c>
      <c r="H4509" s="3" t="n">
        <v>0</v>
      </c>
      <c r="I4509" s="3">
        <f>E4509+G4509+H4509</f>
        <v/>
      </c>
      <c r="J4509" s="3">
        <f>ROUND(MIN(IF(C4509="Técnico III",35,IF(C4509="Técnico II",28,IF(C4509="Técnico I",23,IF(C4509="JR",20,IF(C4509="Estágio",10,0))))),IF(C4509="Técnico III",SUMIFS($D:$D,$A:$A,$A4509,$B:$B,"&lt;&gt;Patrícia Karla de Sousa Araújo",$B:$B,"&lt;&gt;Lorena Dias de Araujo",$B:$B,"&lt;&gt;Lucas Luiz Romero")*(35/1083),IF(C4509="Técnico II",SUMIFS($D:$D,$A:$A,$A4509,$B:$B,"&lt;&gt;Patrícia Karla de Sousa Araújo",$B:$B,"&lt;&gt;Lorena Dias de Araujo",$B:$B,"&lt;&gt;Lucas Luiz Romero")*(28/1083),IF(C4509="Técnico I",SUMIFS($D:$D,$A:$A,$A4509,$B:$B,"&lt;&gt;Patrícia Karla de Sousa Araújo",$B:$B,"&lt;&gt;Lorena Dias de Araujo",$B:$B,"&lt;&gt;Lucas Luiz Romero")*(23/1083),IF(C4509="JR",SUMIFS($D:$D,$A:$A,$A4509,$B:$B,"&lt;&gt;Patrícia Karla de Sousa Araújo",$B:$B,"&lt;&gt;Lorena Dias de Araujo",$B:$B,"&lt;&gt;Lucas Luiz Romero")*(20/1083),IF(C4509="Estágio",SUMIFS($D:$D,$A:$A,$A4509,$B:$B,"&lt;&gt;Patrícia Karla de Sousa Araújo",$B:$B,"&lt;&gt;Lorena Dias de Araujo",$B:$B,"&lt;&gt;Lucas Luiz Romero")*(10/1083),0)))))),0)</f>
        <v/>
      </c>
      <c r="K4509" s="3">
        <f>I4509-J4509</f>
        <v/>
      </c>
      <c r="L4509" s="3">
        <f>IF(K4509&lt;-5,"CRÍTICO",IF(K4509&lt;0,"ATENÇÃO",IF(K4509&lt;=5,"OPORTUNO","MUITO BOM")))</f>
        <v/>
      </c>
      <c r="M4509" s="3" t="n">
        <v>0</v>
      </c>
      <c r="N4509" s="3" t="n">
        <v>99.28</v>
      </c>
      <c r="O4509" s="12" t="n">
        <v>27.68924302788844</v>
      </c>
    </row>
    <row r="4510">
      <c r="A4510" s="10" t="n">
        <v>46133</v>
      </c>
      <c r="B4510" t="inlineStr">
        <is>
          <t>Alisson de Freitas Silva</t>
        </is>
      </c>
      <c r="C4510" s="1" t="inlineStr">
        <is>
          <t>Técnico II</t>
        </is>
      </c>
      <c r="D4510" s="3" t="n">
        <v>0</v>
      </c>
      <c r="E4510" s="3" t="n">
        <v>0</v>
      </c>
      <c r="F4510" s="3" t="n">
        <v>0</v>
      </c>
      <c r="G4510" s="3" t="n">
        <v>0</v>
      </c>
      <c r="H4510" s="3" t="n">
        <v>0</v>
      </c>
      <c r="I4510" s="3">
        <f>E4510+G4510+H4510</f>
        <v/>
      </c>
      <c r="J4510" s="3">
        <f>ROUND(MIN(IF(C4510="Técnico III",35,IF(C4510="Técnico II",28,IF(C4510="Técnico I",23,IF(C4510="JR",20,IF(C4510="Estágio",10,0))))),IF(C4510="Técnico III",SUMIFS($D:$D,$A:$A,$A4510,$B:$B,"&lt;&gt;Patrícia Karla de Sousa Araújo",$B:$B,"&lt;&gt;Lorena Dias de Araujo",$B:$B,"&lt;&gt;Lucas Luiz Romero")*(35/1083),IF(C4510="Técnico II",SUMIFS($D:$D,$A:$A,$A4510,$B:$B,"&lt;&gt;Patrícia Karla de Sousa Araújo",$B:$B,"&lt;&gt;Lorena Dias de Araujo",$B:$B,"&lt;&gt;Lucas Luiz Romero")*(28/1083),IF(C4510="Técnico I",SUMIFS($D:$D,$A:$A,$A4510,$B:$B,"&lt;&gt;Patrícia Karla de Sousa Araújo",$B:$B,"&lt;&gt;Lorena Dias de Araujo",$B:$B,"&lt;&gt;Lucas Luiz Romero")*(23/1083),IF(C4510="JR",SUMIFS($D:$D,$A:$A,$A4510,$B:$B,"&lt;&gt;Patrícia Karla de Sousa Araújo",$B:$B,"&lt;&gt;Lorena Dias de Araujo",$B:$B,"&lt;&gt;Lucas Luiz Romero")*(20/1083),IF(C4510="Estágio",SUMIFS($D:$D,$A:$A,$A4510,$B:$B,"&lt;&gt;Patrícia Karla de Sousa Araújo",$B:$B,"&lt;&gt;Lorena Dias de Araujo",$B:$B,"&lt;&gt;Lucas Luiz Romero")*(10/1083),0)))))),0)</f>
        <v/>
      </c>
      <c r="K4510" s="3">
        <f>I4510-J4510</f>
        <v/>
      </c>
      <c r="L4510" s="3">
        <f>IF(K4510&lt;-5,"CRÍTICO",IF(K4510&lt;0,"ATENÇÃO",IF(K4510&lt;=5,"OPORTUNO","MUITO BOM")))</f>
        <v/>
      </c>
      <c r="M4510" s="3" t="n">
        <v>0</v>
      </c>
      <c r="N4510" s="3" t="n">
        <v>100</v>
      </c>
      <c r="O4510" s="12" t="n">
        <v>32.76450511945392</v>
      </c>
    </row>
    <row r="4511">
      <c r="A4511" s="10" t="n">
        <v>46133</v>
      </c>
      <c r="B4511" t="inlineStr">
        <is>
          <t>Amanda Moura Ferreira</t>
        </is>
      </c>
      <c r="C4511" s="1" t="inlineStr">
        <is>
          <t>Técnico III</t>
        </is>
      </c>
      <c r="D4511" s="3" t="n">
        <v>0</v>
      </c>
      <c r="E4511" s="3" t="n">
        <v>0</v>
      </c>
      <c r="F4511" s="3" t="n">
        <v>0</v>
      </c>
      <c r="G4511" s="3" t="n">
        <v>0</v>
      </c>
      <c r="H4511" s="3" t="n">
        <v>0</v>
      </c>
      <c r="I4511" s="3">
        <f>E4511+G4511+H4511</f>
        <v/>
      </c>
      <c r="J4511" s="3">
        <f>ROUND(MIN(IF(C4511="Técnico III",35,IF(C4511="Técnico II",28,IF(C4511="Técnico I",23,IF(C4511="JR",20,IF(C4511="Estágio",10,0))))),IF(C4511="Técnico III",SUMIFS($D:$D,$A:$A,$A4511,$B:$B,"&lt;&gt;Patrícia Karla de Sousa Araújo",$B:$B,"&lt;&gt;Lorena Dias de Araujo",$B:$B,"&lt;&gt;Lucas Luiz Romero")*(35/1083),IF(C4511="Técnico II",SUMIFS($D:$D,$A:$A,$A4511,$B:$B,"&lt;&gt;Patrícia Karla de Sousa Araújo",$B:$B,"&lt;&gt;Lorena Dias de Araujo",$B:$B,"&lt;&gt;Lucas Luiz Romero")*(28/1083),IF(C4511="Técnico I",SUMIFS($D:$D,$A:$A,$A4511,$B:$B,"&lt;&gt;Patrícia Karla de Sousa Araújo",$B:$B,"&lt;&gt;Lorena Dias de Araujo",$B:$B,"&lt;&gt;Lucas Luiz Romero")*(23/1083),IF(C4511="JR",SUMIFS($D:$D,$A:$A,$A4511,$B:$B,"&lt;&gt;Patrícia Karla de Sousa Araújo",$B:$B,"&lt;&gt;Lorena Dias de Araujo",$B:$B,"&lt;&gt;Lucas Luiz Romero")*(20/1083),IF(C4511="Estágio",SUMIFS($D:$D,$A:$A,$A4511,$B:$B,"&lt;&gt;Patrícia Karla de Sousa Araújo",$B:$B,"&lt;&gt;Lorena Dias de Araujo",$B:$B,"&lt;&gt;Lucas Luiz Romero")*(10/1083),0)))))),0)</f>
        <v/>
      </c>
      <c r="K4511" s="3">
        <f>I4511-J4511</f>
        <v/>
      </c>
      <c r="L4511" s="3">
        <f>IF(K4511&lt;-5,"CRÍTICO",IF(K4511&lt;0,"ATENÇÃO",IF(K4511&lt;=5,"OPORTUNO","MUITO BOM")))</f>
        <v/>
      </c>
      <c r="M4511" s="3" t="n">
        <v>0</v>
      </c>
      <c r="N4511" s="3" t="n">
        <v>98.66</v>
      </c>
      <c r="O4511" s="12" t="n">
        <v>35.41666666666667</v>
      </c>
    </row>
    <row r="4512">
      <c r="A4512" s="10" t="n">
        <v>46133</v>
      </c>
      <c r="B4512" t="inlineStr">
        <is>
          <t>Ana Karollyne Souza Faria</t>
        </is>
      </c>
      <c r="C4512" s="1" t="inlineStr">
        <is>
          <t>Técnico I</t>
        </is>
      </c>
      <c r="D4512" s="3" t="n">
        <v>0</v>
      </c>
      <c r="E4512" s="3" t="n">
        <v>0</v>
      </c>
      <c r="F4512" s="3" t="n">
        <v>0</v>
      </c>
      <c r="G4512" s="3" t="n">
        <v>0</v>
      </c>
      <c r="H4512" s="3" t="n">
        <v>0</v>
      </c>
      <c r="I4512" s="3">
        <f>E4512+G4512+H4512</f>
        <v/>
      </c>
      <c r="J4512" s="3">
        <f>ROUND(MIN(IF(C4512="Técnico III",35,IF(C4512="Técnico II",28,IF(C4512="Técnico I",23,IF(C4512="JR",20,IF(C4512="Estágio",10,0))))),IF(C4512="Técnico III",SUMIFS($D:$D,$A:$A,$A4512,$B:$B,"&lt;&gt;Patrícia Karla de Sousa Araújo",$B:$B,"&lt;&gt;Lorena Dias de Araujo",$B:$B,"&lt;&gt;Lucas Luiz Romero")*(35/1083),IF(C4512="Técnico II",SUMIFS($D:$D,$A:$A,$A4512,$B:$B,"&lt;&gt;Patrícia Karla de Sousa Araújo",$B:$B,"&lt;&gt;Lorena Dias de Araujo",$B:$B,"&lt;&gt;Lucas Luiz Romero")*(28/1083),IF(C4512="Técnico I",SUMIFS($D:$D,$A:$A,$A4512,$B:$B,"&lt;&gt;Patrícia Karla de Sousa Araújo",$B:$B,"&lt;&gt;Lorena Dias de Araujo",$B:$B,"&lt;&gt;Lucas Luiz Romero")*(23/1083),IF(C4512="JR",SUMIFS($D:$D,$A:$A,$A4512,$B:$B,"&lt;&gt;Patrícia Karla de Sousa Araújo",$B:$B,"&lt;&gt;Lorena Dias de Araujo",$B:$B,"&lt;&gt;Lucas Luiz Romero")*(20/1083),IF(C4512="Estágio",SUMIFS($D:$D,$A:$A,$A4512,$B:$B,"&lt;&gt;Patrícia Karla de Sousa Araújo",$B:$B,"&lt;&gt;Lorena Dias de Araujo",$B:$B,"&lt;&gt;Lucas Luiz Romero")*(10/1083),0)))))),0)</f>
        <v/>
      </c>
      <c r="K4512" s="3">
        <f>I4512-J4512</f>
        <v/>
      </c>
      <c r="L4512" s="3">
        <f>IF(K4512&lt;-5,"CRÍTICO",IF(K4512&lt;0,"ATENÇÃO",IF(K4512&lt;=5,"OPORTUNO","MUITO BOM")))</f>
        <v/>
      </c>
      <c r="M4512" s="3" t="n">
        <v>0</v>
      </c>
      <c r="N4512" s="3" t="n">
        <v>99.31999999999999</v>
      </c>
      <c r="O4512" s="12" t="n">
        <v>30.6483300589391</v>
      </c>
    </row>
    <row r="4513">
      <c r="A4513" s="10" t="n">
        <v>46133</v>
      </c>
      <c r="B4513" t="inlineStr">
        <is>
          <t>Ana Paula Da Luz Silva Aleixo</t>
        </is>
      </c>
      <c r="C4513" s="1" t="inlineStr">
        <is>
          <t>Técnico III</t>
        </is>
      </c>
      <c r="D4513" s="3" t="n">
        <v>0</v>
      </c>
      <c r="E4513" s="3" t="n">
        <v>0</v>
      </c>
      <c r="F4513" s="3" t="n">
        <v>0</v>
      </c>
      <c r="G4513" s="3" t="n">
        <v>0</v>
      </c>
      <c r="H4513" s="3" t="n">
        <v>0</v>
      </c>
      <c r="I4513" s="3">
        <f>E4513+G4513+H4513</f>
        <v/>
      </c>
      <c r="J4513" s="3">
        <f>ROUND(MIN(IF(C4513="Técnico III",35,IF(C4513="Técnico II",28,IF(C4513="Técnico I",23,IF(C4513="JR",20,IF(C4513="Estágio",10,0))))),IF(C4513="Técnico III",SUMIFS($D:$D,$A:$A,$A4513,$B:$B,"&lt;&gt;Patrícia Karla de Sousa Araújo",$B:$B,"&lt;&gt;Lorena Dias de Araujo",$B:$B,"&lt;&gt;Lucas Luiz Romero")*(35/1083),IF(C4513="Técnico II",SUMIFS($D:$D,$A:$A,$A4513,$B:$B,"&lt;&gt;Patrícia Karla de Sousa Araújo",$B:$B,"&lt;&gt;Lorena Dias de Araujo",$B:$B,"&lt;&gt;Lucas Luiz Romero")*(28/1083),IF(C4513="Técnico I",SUMIFS($D:$D,$A:$A,$A4513,$B:$B,"&lt;&gt;Patrícia Karla de Sousa Araújo",$B:$B,"&lt;&gt;Lorena Dias de Araujo",$B:$B,"&lt;&gt;Lucas Luiz Romero")*(23/1083),IF(C4513="JR",SUMIFS($D:$D,$A:$A,$A4513,$B:$B,"&lt;&gt;Patrícia Karla de Sousa Araújo",$B:$B,"&lt;&gt;Lorena Dias de Araujo",$B:$B,"&lt;&gt;Lucas Luiz Romero")*(20/1083),IF(C4513="Estágio",SUMIFS($D:$D,$A:$A,$A4513,$B:$B,"&lt;&gt;Patrícia Karla de Sousa Araújo",$B:$B,"&lt;&gt;Lorena Dias de Araujo",$B:$B,"&lt;&gt;Lucas Luiz Romero")*(10/1083),0)))))),0)</f>
        <v/>
      </c>
      <c r="K4513" s="3">
        <f>I4513-J4513</f>
        <v/>
      </c>
      <c r="L4513" s="3">
        <f>IF(K4513&lt;-5,"CRÍTICO",IF(K4513&lt;0,"ATENÇÃO",IF(K4513&lt;=5,"OPORTUNO","MUITO BOM")))</f>
        <v/>
      </c>
      <c r="M4513" s="3" t="n">
        <v>0</v>
      </c>
      <c r="N4513" s="3" t="n">
        <v>100</v>
      </c>
      <c r="O4513" s="12" t="n">
        <v>27.80373831775701</v>
      </c>
    </row>
    <row r="4514">
      <c r="A4514" s="10" t="n">
        <v>46133</v>
      </c>
      <c r="B4514" t="inlineStr">
        <is>
          <t>Anna Luiza Rezende Tavares</t>
        </is>
      </c>
      <c r="C4514" s="1" t="inlineStr">
        <is>
          <t>Estágio</t>
        </is>
      </c>
      <c r="D4514" s="3" t="n">
        <v>0</v>
      </c>
      <c r="E4514" s="3" t="n">
        <v>0</v>
      </c>
      <c r="F4514" s="3" t="n">
        <v>0</v>
      </c>
      <c r="G4514" s="3" t="n">
        <v>0</v>
      </c>
      <c r="H4514" s="3" t="n">
        <v>0</v>
      </c>
      <c r="I4514" s="3">
        <f>E4514+G4514+H4514</f>
        <v/>
      </c>
      <c r="J4514" s="3">
        <f>ROUND(MIN(IF(C4514="Técnico III",35,IF(C4514="Técnico II",28,IF(C4514="Técnico I",23,IF(C4514="JR",20,IF(C4514="Estágio",10,0))))),IF(C4514="Técnico III",SUMIFS($D:$D,$A:$A,$A4514,$B:$B,"&lt;&gt;Patrícia Karla de Sousa Araújo",$B:$B,"&lt;&gt;Lorena Dias de Araujo",$B:$B,"&lt;&gt;Lucas Luiz Romero")*(35/1083),IF(C4514="Técnico II",SUMIFS($D:$D,$A:$A,$A4514,$B:$B,"&lt;&gt;Patrícia Karla de Sousa Araújo",$B:$B,"&lt;&gt;Lorena Dias de Araujo",$B:$B,"&lt;&gt;Lucas Luiz Romero")*(28/1083),IF(C4514="Técnico I",SUMIFS($D:$D,$A:$A,$A4514,$B:$B,"&lt;&gt;Patrícia Karla de Sousa Araújo",$B:$B,"&lt;&gt;Lorena Dias de Araujo",$B:$B,"&lt;&gt;Lucas Luiz Romero")*(23/1083),IF(C4514="JR",SUMIFS($D:$D,$A:$A,$A4514,$B:$B,"&lt;&gt;Patrícia Karla de Sousa Araújo",$B:$B,"&lt;&gt;Lorena Dias de Araujo",$B:$B,"&lt;&gt;Lucas Luiz Romero")*(20/1083),IF(C4514="Estágio",SUMIFS($D:$D,$A:$A,$A4514,$B:$B,"&lt;&gt;Patrícia Karla de Sousa Araújo",$B:$B,"&lt;&gt;Lorena Dias de Araujo",$B:$B,"&lt;&gt;Lucas Luiz Romero")*(10/1083),0)))))),0)</f>
        <v/>
      </c>
      <c r="K4514" s="3">
        <f>I4514-J4514</f>
        <v/>
      </c>
      <c r="L4514" s="3">
        <f>IF(K4514&lt;-5,"CRÍTICO",IF(K4514&lt;0,"ATENÇÃO",IF(K4514&lt;=5,"OPORTUNO","MUITO BOM")))</f>
        <v/>
      </c>
      <c r="M4514" s="3" t="n">
        <v>0</v>
      </c>
      <c r="N4514" s="3" t="n">
        <v>96.73999999999999</v>
      </c>
      <c r="O4514" s="12" t="n">
        <v>28.67647058823529</v>
      </c>
    </row>
    <row r="4515">
      <c r="A4515" s="10" t="n">
        <v>46133</v>
      </c>
      <c r="B4515" t="inlineStr">
        <is>
          <t>Brenda de Menezes Silva</t>
        </is>
      </c>
      <c r="C4515" s="1" t="inlineStr">
        <is>
          <t>Técnico II</t>
        </is>
      </c>
      <c r="D4515" s="3" t="n">
        <v>0</v>
      </c>
      <c r="E4515" s="3" t="n">
        <v>0</v>
      </c>
      <c r="F4515" s="3" t="n">
        <v>0</v>
      </c>
      <c r="G4515" s="3" t="n">
        <v>0</v>
      </c>
      <c r="H4515" s="3" t="n">
        <v>0</v>
      </c>
      <c r="I4515" s="3">
        <f>E4515+G4515+H4515</f>
        <v/>
      </c>
      <c r="J4515" s="3">
        <f>ROUND(MIN(IF(C4515="Técnico III",35,IF(C4515="Técnico II",28,IF(C4515="Técnico I",23,IF(C4515="JR",20,IF(C4515="Estágio",10,0))))),IF(C4515="Técnico III",SUMIFS($D:$D,$A:$A,$A4515,$B:$B,"&lt;&gt;Patrícia Karla de Sousa Araújo",$B:$B,"&lt;&gt;Lorena Dias de Araujo",$B:$B,"&lt;&gt;Lucas Luiz Romero")*(35/1083),IF(C4515="Técnico II",SUMIFS($D:$D,$A:$A,$A4515,$B:$B,"&lt;&gt;Patrícia Karla de Sousa Araújo",$B:$B,"&lt;&gt;Lorena Dias de Araujo",$B:$B,"&lt;&gt;Lucas Luiz Romero")*(28/1083),IF(C4515="Técnico I",SUMIFS($D:$D,$A:$A,$A4515,$B:$B,"&lt;&gt;Patrícia Karla de Sousa Araújo",$B:$B,"&lt;&gt;Lorena Dias de Araujo",$B:$B,"&lt;&gt;Lucas Luiz Romero")*(23/1083),IF(C4515="JR",SUMIFS($D:$D,$A:$A,$A4515,$B:$B,"&lt;&gt;Patrícia Karla de Sousa Araújo",$B:$B,"&lt;&gt;Lorena Dias de Araujo",$B:$B,"&lt;&gt;Lucas Luiz Romero")*(20/1083),IF(C4515="Estágio",SUMIFS($D:$D,$A:$A,$A4515,$B:$B,"&lt;&gt;Patrícia Karla de Sousa Araújo",$B:$B,"&lt;&gt;Lorena Dias de Araujo",$B:$B,"&lt;&gt;Lucas Luiz Romero")*(10/1083),0)))))),0)</f>
        <v/>
      </c>
      <c r="K4515" s="3">
        <f>I4515-J4515</f>
        <v/>
      </c>
      <c r="L4515" s="3">
        <f>IF(K4515&lt;-5,"CRÍTICO",IF(K4515&lt;0,"ATENÇÃO",IF(K4515&lt;=5,"OPORTUNO","MUITO BOM")))</f>
        <v/>
      </c>
      <c r="M4515" s="3" t="n">
        <v>0</v>
      </c>
      <c r="N4515" s="3" t="n">
        <v>98.81999999999999</v>
      </c>
      <c r="O4515" s="12" t="n">
        <v>30.74141048824593</v>
      </c>
    </row>
    <row r="4516">
      <c r="A4516" s="10" t="n">
        <v>46133</v>
      </c>
      <c r="B4516" t="inlineStr">
        <is>
          <t>Carlos Mateus Cassimiro Nunes</t>
        </is>
      </c>
      <c r="C4516" s="1" t="inlineStr">
        <is>
          <t>Técnico II</t>
        </is>
      </c>
      <c r="D4516" s="3" t="n">
        <v>0</v>
      </c>
      <c r="E4516" s="3" t="n">
        <v>0</v>
      </c>
      <c r="F4516" s="3" t="n">
        <v>0</v>
      </c>
      <c r="G4516" s="3" t="n">
        <v>0</v>
      </c>
      <c r="H4516" s="3" t="n">
        <v>0</v>
      </c>
      <c r="I4516" s="3">
        <f>E4516+G4516+H4516</f>
        <v/>
      </c>
      <c r="J4516" s="3">
        <f>ROUND(MIN(IF(C4516="Técnico III",35,IF(C4516="Técnico II",28,IF(C4516="Técnico I",23,IF(C4516="JR",20,IF(C4516="Estágio",10,0))))),IF(C4516="Técnico III",SUMIFS($D:$D,$A:$A,$A4516,$B:$B,"&lt;&gt;Patrícia Karla de Sousa Araújo",$B:$B,"&lt;&gt;Lorena Dias de Araujo",$B:$B,"&lt;&gt;Lucas Luiz Romero")*(35/1083),IF(C4516="Técnico II",SUMIFS($D:$D,$A:$A,$A4516,$B:$B,"&lt;&gt;Patrícia Karla de Sousa Araújo",$B:$B,"&lt;&gt;Lorena Dias de Araujo",$B:$B,"&lt;&gt;Lucas Luiz Romero")*(28/1083),IF(C4516="Técnico I",SUMIFS($D:$D,$A:$A,$A4516,$B:$B,"&lt;&gt;Patrícia Karla de Sousa Araújo",$B:$B,"&lt;&gt;Lorena Dias de Araujo",$B:$B,"&lt;&gt;Lucas Luiz Romero")*(23/1083),IF(C4516="JR",SUMIFS($D:$D,$A:$A,$A4516,$B:$B,"&lt;&gt;Patrícia Karla de Sousa Araújo",$B:$B,"&lt;&gt;Lorena Dias de Araujo",$B:$B,"&lt;&gt;Lucas Luiz Romero")*(20/1083),IF(C4516="Estágio",SUMIFS($D:$D,$A:$A,$A4516,$B:$B,"&lt;&gt;Patrícia Karla de Sousa Araújo",$B:$B,"&lt;&gt;Lorena Dias de Araujo",$B:$B,"&lt;&gt;Lucas Luiz Romero")*(10/1083),0)))))),0)</f>
        <v/>
      </c>
      <c r="K4516" s="3">
        <f>I4516-J4516</f>
        <v/>
      </c>
      <c r="L4516" s="3">
        <f>IF(K4516&lt;-5,"CRÍTICO",IF(K4516&lt;0,"ATENÇÃO",IF(K4516&lt;=5,"OPORTUNO","MUITO BOM")))</f>
        <v/>
      </c>
      <c r="M4516" s="3" t="n">
        <v>0</v>
      </c>
      <c r="N4516" s="3" t="n">
        <v>98.2</v>
      </c>
      <c r="O4516" s="12" t="n">
        <v>27.17086834733893</v>
      </c>
    </row>
    <row r="4517">
      <c r="A4517" s="10" t="n">
        <v>46133</v>
      </c>
      <c r="B4517" t="inlineStr">
        <is>
          <t>Claudio de Sousa Velasco Filho</t>
        </is>
      </c>
      <c r="C4517" s="1" t="inlineStr">
        <is>
          <t>Estágio</t>
        </is>
      </c>
      <c r="D4517" s="3" t="n">
        <v>0</v>
      </c>
      <c r="E4517" s="3" t="n">
        <v>0</v>
      </c>
      <c r="F4517" s="3" t="n">
        <v>0</v>
      </c>
      <c r="G4517" s="3" t="n">
        <v>0</v>
      </c>
      <c r="H4517" s="3" t="n">
        <v>0</v>
      </c>
      <c r="I4517" s="3">
        <f>E4517+G4517+H4517</f>
        <v/>
      </c>
      <c r="J4517" s="3">
        <f>ROUND(MIN(IF(C4517="Técnico III",35,IF(C4517="Técnico II",28,IF(C4517="Técnico I",23,IF(C4517="JR",20,IF(C4517="Estágio",10,0))))),IF(C4517="Técnico III",SUMIFS($D:$D,$A:$A,$A4517,$B:$B,"&lt;&gt;Patrícia Karla de Sousa Araújo",$B:$B,"&lt;&gt;Lorena Dias de Araujo",$B:$B,"&lt;&gt;Lucas Luiz Romero")*(35/1083),IF(C4517="Técnico II",SUMIFS($D:$D,$A:$A,$A4517,$B:$B,"&lt;&gt;Patrícia Karla de Sousa Araújo",$B:$B,"&lt;&gt;Lorena Dias de Araujo",$B:$B,"&lt;&gt;Lucas Luiz Romero")*(28/1083),IF(C4517="Técnico I",SUMIFS($D:$D,$A:$A,$A4517,$B:$B,"&lt;&gt;Patrícia Karla de Sousa Araújo",$B:$B,"&lt;&gt;Lorena Dias de Araujo",$B:$B,"&lt;&gt;Lucas Luiz Romero")*(23/1083),IF(C4517="JR",SUMIFS($D:$D,$A:$A,$A4517,$B:$B,"&lt;&gt;Patrícia Karla de Sousa Araújo",$B:$B,"&lt;&gt;Lorena Dias de Araujo",$B:$B,"&lt;&gt;Lucas Luiz Romero")*(20/1083),IF(C4517="Estágio",SUMIFS($D:$D,$A:$A,$A4517,$B:$B,"&lt;&gt;Patrícia Karla de Sousa Araújo",$B:$B,"&lt;&gt;Lorena Dias de Araujo",$B:$B,"&lt;&gt;Lucas Luiz Romero")*(10/1083),0)))))),0)</f>
        <v/>
      </c>
      <c r="K4517" s="3">
        <f>I4517-J4517</f>
        <v/>
      </c>
      <c r="L4517" s="3">
        <f>IF(K4517&lt;-5,"CRÍTICO",IF(K4517&lt;0,"ATENÇÃO",IF(K4517&lt;=5,"OPORTUNO","MUITO BOM")))</f>
        <v/>
      </c>
      <c r="M4517" s="3" t="n">
        <v>0</v>
      </c>
      <c r="N4517" s="3" t="n">
        <v>100</v>
      </c>
      <c r="O4517" s="12" t="n">
        <v>23.13432835820895</v>
      </c>
    </row>
    <row r="4518">
      <c r="A4518" s="10" t="n">
        <v>46133</v>
      </c>
      <c r="B4518" t="inlineStr">
        <is>
          <t>Clessiane Pereira dos Santos</t>
        </is>
      </c>
      <c r="C4518" s="1" t="inlineStr">
        <is>
          <t>Técnico I</t>
        </is>
      </c>
      <c r="D4518" s="3" t="n">
        <v>0</v>
      </c>
      <c r="E4518" s="3" t="n">
        <v>0</v>
      </c>
      <c r="F4518" s="3" t="n">
        <v>0</v>
      </c>
      <c r="G4518" s="3" t="n">
        <v>0</v>
      </c>
      <c r="H4518" s="3" t="n">
        <v>0</v>
      </c>
      <c r="I4518" s="3">
        <f>E4518+G4518+H4518</f>
        <v/>
      </c>
      <c r="J4518" s="3">
        <f>ROUND(MIN(IF(C4518="Técnico III",35,IF(C4518="Técnico II",28,IF(C4518="Técnico I",23,IF(C4518="JR",20,IF(C4518="Estágio",10,0))))),IF(C4518="Técnico III",SUMIFS($D:$D,$A:$A,$A4518,$B:$B,"&lt;&gt;Patrícia Karla de Sousa Araújo",$B:$B,"&lt;&gt;Lorena Dias de Araujo",$B:$B,"&lt;&gt;Lucas Luiz Romero")*(35/1083),IF(C4518="Técnico II",SUMIFS($D:$D,$A:$A,$A4518,$B:$B,"&lt;&gt;Patrícia Karla de Sousa Araújo",$B:$B,"&lt;&gt;Lorena Dias de Araujo",$B:$B,"&lt;&gt;Lucas Luiz Romero")*(28/1083),IF(C4518="Técnico I",SUMIFS($D:$D,$A:$A,$A4518,$B:$B,"&lt;&gt;Patrícia Karla de Sousa Araújo",$B:$B,"&lt;&gt;Lorena Dias de Araujo",$B:$B,"&lt;&gt;Lucas Luiz Romero")*(23/1083),IF(C4518="JR",SUMIFS($D:$D,$A:$A,$A4518,$B:$B,"&lt;&gt;Patrícia Karla de Sousa Araújo",$B:$B,"&lt;&gt;Lorena Dias de Araujo",$B:$B,"&lt;&gt;Lucas Luiz Romero")*(20/1083),IF(C4518="Estágio",SUMIFS($D:$D,$A:$A,$A4518,$B:$B,"&lt;&gt;Patrícia Karla de Sousa Araújo",$B:$B,"&lt;&gt;Lorena Dias de Araujo",$B:$B,"&lt;&gt;Lucas Luiz Romero")*(10/1083),0)))))),0)</f>
        <v/>
      </c>
      <c r="K4518" s="3">
        <f>I4518-J4518</f>
        <v/>
      </c>
      <c r="L4518" s="3">
        <f>IF(K4518&lt;-5,"CRÍTICO",IF(K4518&lt;0,"ATENÇÃO",IF(K4518&lt;=5,"OPORTUNO","MUITO BOM")))</f>
        <v/>
      </c>
      <c r="M4518" s="3" t="n">
        <v>0</v>
      </c>
      <c r="N4518" s="3" t="n">
        <v>96.3</v>
      </c>
      <c r="O4518" s="12" t="n">
        <v>32.21957040572792</v>
      </c>
    </row>
    <row r="4519">
      <c r="A4519" s="10" t="n">
        <v>46133</v>
      </c>
      <c r="B4519" t="inlineStr">
        <is>
          <t>Cristiane Ramos da Silva Rocha</t>
        </is>
      </c>
      <c r="C4519" s="1" t="inlineStr">
        <is>
          <t>Técnico III</t>
        </is>
      </c>
      <c r="D4519" s="3" t="n">
        <v>0</v>
      </c>
      <c r="E4519" s="3" t="n">
        <v>0</v>
      </c>
      <c r="F4519" s="3" t="n">
        <v>0</v>
      </c>
      <c r="G4519" s="3" t="n">
        <v>0</v>
      </c>
      <c r="H4519" s="3" t="n">
        <v>0</v>
      </c>
      <c r="I4519" s="3">
        <f>E4519+G4519+H4519</f>
        <v/>
      </c>
      <c r="J4519" s="3">
        <f>ROUND(MIN(IF(C4519="Técnico III",35,IF(C4519="Técnico II",28,IF(C4519="Técnico I",23,IF(C4519="JR",20,IF(C4519="Estágio",10,0))))),IF(C4519="Técnico III",SUMIFS($D:$D,$A:$A,$A4519,$B:$B,"&lt;&gt;Patrícia Karla de Sousa Araújo",$B:$B,"&lt;&gt;Lorena Dias de Araujo",$B:$B,"&lt;&gt;Lucas Luiz Romero")*(35/1083),IF(C4519="Técnico II",SUMIFS($D:$D,$A:$A,$A4519,$B:$B,"&lt;&gt;Patrícia Karla de Sousa Araújo",$B:$B,"&lt;&gt;Lorena Dias de Araujo",$B:$B,"&lt;&gt;Lucas Luiz Romero")*(28/1083),IF(C4519="Técnico I",SUMIFS($D:$D,$A:$A,$A4519,$B:$B,"&lt;&gt;Patrícia Karla de Sousa Araújo",$B:$B,"&lt;&gt;Lorena Dias de Araujo",$B:$B,"&lt;&gt;Lucas Luiz Romero")*(23/1083),IF(C4519="JR",SUMIFS($D:$D,$A:$A,$A4519,$B:$B,"&lt;&gt;Patrícia Karla de Sousa Araújo",$B:$B,"&lt;&gt;Lorena Dias de Araujo",$B:$B,"&lt;&gt;Lucas Luiz Romero")*(20/1083),IF(C4519="Estágio",SUMIFS($D:$D,$A:$A,$A4519,$B:$B,"&lt;&gt;Patrícia Karla de Sousa Araújo",$B:$B,"&lt;&gt;Lorena Dias de Araujo",$B:$B,"&lt;&gt;Lucas Luiz Romero")*(10/1083),0)))))),0)</f>
        <v/>
      </c>
      <c r="K4519" s="3">
        <f>I4519-J4519</f>
        <v/>
      </c>
      <c r="L4519" s="3">
        <f>IF(K4519&lt;-5,"CRÍTICO",IF(K4519&lt;0,"ATENÇÃO",IF(K4519&lt;=5,"OPORTUNO","MUITO BOM")))</f>
        <v/>
      </c>
      <c r="M4519" s="3" t="n">
        <v>0</v>
      </c>
      <c r="N4519" s="3" t="n">
        <v>93.75</v>
      </c>
      <c r="O4519" s="12" t="n">
        <v>26.81992337164751</v>
      </c>
    </row>
    <row r="4520">
      <c r="A4520" s="10" t="n">
        <v>46133</v>
      </c>
      <c r="B4520" t="inlineStr">
        <is>
          <t>Damyllis Lorraine de Oliveira Gonçalves</t>
        </is>
      </c>
      <c r="C4520" s="1" t="inlineStr">
        <is>
          <t>Técnico II</t>
        </is>
      </c>
      <c r="D4520" s="3" t="n">
        <v>0</v>
      </c>
      <c r="E4520" s="3" t="n">
        <v>0</v>
      </c>
      <c r="F4520" s="3" t="n">
        <v>0</v>
      </c>
      <c r="G4520" s="3" t="n">
        <v>0</v>
      </c>
      <c r="H4520" s="3" t="n">
        <v>0</v>
      </c>
      <c r="I4520" s="3">
        <f>E4520+G4520+H4520</f>
        <v/>
      </c>
      <c r="J4520" s="3">
        <f>ROUND(MIN(IF(C4520="Técnico III",35,IF(C4520="Técnico II",28,IF(C4520="Técnico I",23,IF(C4520="JR",20,IF(C4520="Estágio",10,0))))),IF(C4520="Técnico III",SUMIFS($D:$D,$A:$A,$A4520,$B:$B,"&lt;&gt;Patrícia Karla de Sousa Araújo",$B:$B,"&lt;&gt;Lorena Dias de Araujo",$B:$B,"&lt;&gt;Lucas Luiz Romero")*(35/1083),IF(C4520="Técnico II",SUMIFS($D:$D,$A:$A,$A4520,$B:$B,"&lt;&gt;Patrícia Karla de Sousa Araújo",$B:$B,"&lt;&gt;Lorena Dias de Araujo",$B:$B,"&lt;&gt;Lucas Luiz Romero")*(28/1083),IF(C4520="Técnico I",SUMIFS($D:$D,$A:$A,$A4520,$B:$B,"&lt;&gt;Patrícia Karla de Sousa Araújo",$B:$B,"&lt;&gt;Lorena Dias de Araujo",$B:$B,"&lt;&gt;Lucas Luiz Romero")*(23/1083),IF(C4520="JR",SUMIFS($D:$D,$A:$A,$A4520,$B:$B,"&lt;&gt;Patrícia Karla de Sousa Araújo",$B:$B,"&lt;&gt;Lorena Dias de Araujo",$B:$B,"&lt;&gt;Lucas Luiz Romero")*(20/1083),IF(C4520="Estágio",SUMIFS($D:$D,$A:$A,$A4520,$B:$B,"&lt;&gt;Patrícia Karla de Sousa Araújo",$B:$B,"&lt;&gt;Lorena Dias de Araujo",$B:$B,"&lt;&gt;Lucas Luiz Romero")*(10/1083),0)))))),0)</f>
        <v/>
      </c>
      <c r="K4520" s="3">
        <f>I4520-J4520</f>
        <v/>
      </c>
      <c r="L4520" s="3">
        <f>IF(K4520&lt;-5,"CRÍTICO",IF(K4520&lt;0,"ATENÇÃO",IF(K4520&lt;=5,"OPORTUNO","MUITO BOM")))</f>
        <v/>
      </c>
      <c r="M4520" s="3" t="n">
        <v>0</v>
      </c>
      <c r="N4520" s="3" t="n">
        <v>97.86</v>
      </c>
      <c r="O4520" s="12" t="n">
        <v>31.01851851851852</v>
      </c>
    </row>
    <row r="4521">
      <c r="A4521" s="10" t="n">
        <v>46133</v>
      </c>
      <c r="B4521" t="inlineStr">
        <is>
          <t>Daniel Gomes da Silva</t>
        </is>
      </c>
      <c r="C4521" s="1" t="inlineStr">
        <is>
          <t>Técnico I</t>
        </is>
      </c>
      <c r="D4521" s="3" t="n">
        <v>0</v>
      </c>
      <c r="E4521" s="3" t="n">
        <v>0</v>
      </c>
      <c r="F4521" s="3" t="n">
        <v>0</v>
      </c>
      <c r="G4521" s="3" t="n">
        <v>0</v>
      </c>
      <c r="H4521" s="3" t="n">
        <v>0</v>
      </c>
      <c r="I4521" s="3">
        <f>E4521+G4521+H4521</f>
        <v/>
      </c>
      <c r="J4521" s="3">
        <f>ROUND(MIN(IF(C4521="Técnico III",35,IF(C4521="Técnico II",28,IF(C4521="Técnico I",23,IF(C4521="JR",20,IF(C4521="Estágio",10,0))))),IF(C4521="Técnico III",SUMIFS($D:$D,$A:$A,$A4521,$B:$B,"&lt;&gt;Patrícia Karla de Sousa Araújo",$B:$B,"&lt;&gt;Lorena Dias de Araujo",$B:$B,"&lt;&gt;Lucas Luiz Romero")*(35/1083),IF(C4521="Técnico II",SUMIFS($D:$D,$A:$A,$A4521,$B:$B,"&lt;&gt;Patrícia Karla de Sousa Araújo",$B:$B,"&lt;&gt;Lorena Dias de Araujo",$B:$B,"&lt;&gt;Lucas Luiz Romero")*(28/1083),IF(C4521="Técnico I",SUMIFS($D:$D,$A:$A,$A4521,$B:$B,"&lt;&gt;Patrícia Karla de Sousa Araújo",$B:$B,"&lt;&gt;Lorena Dias de Araujo",$B:$B,"&lt;&gt;Lucas Luiz Romero")*(23/1083),IF(C4521="JR",SUMIFS($D:$D,$A:$A,$A4521,$B:$B,"&lt;&gt;Patrícia Karla de Sousa Araújo",$B:$B,"&lt;&gt;Lorena Dias de Araujo",$B:$B,"&lt;&gt;Lucas Luiz Romero")*(20/1083),IF(C4521="Estágio",SUMIFS($D:$D,$A:$A,$A4521,$B:$B,"&lt;&gt;Patrícia Karla de Sousa Araújo",$B:$B,"&lt;&gt;Lorena Dias de Araujo",$B:$B,"&lt;&gt;Lucas Luiz Romero")*(10/1083),0)))))),0)</f>
        <v/>
      </c>
      <c r="K4521" s="3">
        <f>I4521-J4521</f>
        <v/>
      </c>
      <c r="L4521" s="3">
        <f>IF(K4521&lt;-5,"CRÍTICO",IF(K4521&lt;0,"ATENÇÃO",IF(K4521&lt;=5,"OPORTUNO","MUITO BOM")))</f>
        <v/>
      </c>
      <c r="M4521" s="3" t="n">
        <v>0</v>
      </c>
      <c r="N4521" s="3" t="n">
        <v>100</v>
      </c>
      <c r="O4521" s="12" t="n">
        <v>36.59420289855073</v>
      </c>
    </row>
    <row r="4522">
      <c r="A4522" s="10" t="n">
        <v>46133</v>
      </c>
      <c r="B4522" t="inlineStr">
        <is>
          <t>Davylla Rodrigues Freitas Silva</t>
        </is>
      </c>
      <c r="C4522" s="1" t="inlineStr">
        <is>
          <t>Técnico III</t>
        </is>
      </c>
      <c r="D4522" s="3" t="n">
        <v>0</v>
      </c>
      <c r="E4522" s="3" t="n">
        <v>0</v>
      </c>
      <c r="F4522" s="3" t="n">
        <v>0</v>
      </c>
      <c r="G4522" s="3" t="n">
        <v>0</v>
      </c>
      <c r="H4522" s="3" t="n">
        <v>0</v>
      </c>
      <c r="I4522" s="3">
        <f>E4522+G4522+H4522</f>
        <v/>
      </c>
      <c r="J4522" s="3">
        <f>ROUND(MIN(IF(C4522="Técnico III",35,IF(C4522="Técnico II",28,IF(C4522="Técnico I",23,IF(C4522="JR",20,IF(C4522="Estágio",10,0))))),IF(C4522="Técnico III",SUMIFS($D:$D,$A:$A,$A4522,$B:$B,"&lt;&gt;Patrícia Karla de Sousa Araújo",$B:$B,"&lt;&gt;Lorena Dias de Araujo",$B:$B,"&lt;&gt;Lucas Luiz Romero")*(35/1083),IF(C4522="Técnico II",SUMIFS($D:$D,$A:$A,$A4522,$B:$B,"&lt;&gt;Patrícia Karla de Sousa Araújo",$B:$B,"&lt;&gt;Lorena Dias de Araujo",$B:$B,"&lt;&gt;Lucas Luiz Romero")*(28/1083),IF(C4522="Técnico I",SUMIFS($D:$D,$A:$A,$A4522,$B:$B,"&lt;&gt;Patrícia Karla de Sousa Araújo",$B:$B,"&lt;&gt;Lorena Dias de Araujo",$B:$B,"&lt;&gt;Lucas Luiz Romero")*(23/1083),IF(C4522="JR",SUMIFS($D:$D,$A:$A,$A4522,$B:$B,"&lt;&gt;Patrícia Karla de Sousa Araújo",$B:$B,"&lt;&gt;Lorena Dias de Araujo",$B:$B,"&lt;&gt;Lucas Luiz Romero")*(20/1083),IF(C4522="Estágio",SUMIFS($D:$D,$A:$A,$A4522,$B:$B,"&lt;&gt;Patrícia Karla de Sousa Araújo",$B:$B,"&lt;&gt;Lorena Dias de Araujo",$B:$B,"&lt;&gt;Lucas Luiz Romero")*(10/1083),0)))))),0)</f>
        <v/>
      </c>
      <c r="K4522" s="3">
        <f>I4522-J4522</f>
        <v/>
      </c>
      <c r="L4522" s="3">
        <f>IF(K4522&lt;-5,"CRÍTICO",IF(K4522&lt;0,"ATENÇÃO",IF(K4522&lt;=5,"OPORTUNO","MUITO BOM")))</f>
        <v/>
      </c>
      <c r="M4522" s="3" t="n">
        <v>0</v>
      </c>
      <c r="N4522" s="3" t="n">
        <v>100</v>
      </c>
      <c r="O4522" s="12" t="n">
        <v>38.65384615384615</v>
      </c>
    </row>
    <row r="4523">
      <c r="A4523" s="10" t="n">
        <v>46133</v>
      </c>
      <c r="B4523" t="inlineStr">
        <is>
          <t>Emilly Caylane Costa</t>
        </is>
      </c>
      <c r="C4523" s="1" t="inlineStr">
        <is>
          <t>Estágio</t>
        </is>
      </c>
      <c r="D4523" s="3" t="n">
        <v>0</v>
      </c>
      <c r="E4523" s="3" t="n">
        <v>0</v>
      </c>
      <c r="F4523" s="3" t="n">
        <v>0</v>
      </c>
      <c r="G4523" s="3" t="n">
        <v>0</v>
      </c>
      <c r="H4523" s="3" t="n">
        <v>0</v>
      </c>
      <c r="I4523" s="3">
        <f>E4523+G4523+H4523</f>
        <v/>
      </c>
      <c r="J4523" s="3">
        <f>ROUND(MIN(IF(C4523="Técnico III",35,IF(C4523="Técnico II",28,IF(C4523="Técnico I",23,IF(C4523="JR",20,IF(C4523="Estágio",10,0))))),IF(C4523="Técnico III",SUMIFS($D:$D,$A:$A,$A4523,$B:$B,"&lt;&gt;Patrícia Karla de Sousa Araújo",$B:$B,"&lt;&gt;Lorena Dias de Araujo",$B:$B,"&lt;&gt;Lucas Luiz Romero")*(35/1083),IF(C4523="Técnico II",SUMIFS($D:$D,$A:$A,$A4523,$B:$B,"&lt;&gt;Patrícia Karla de Sousa Araújo",$B:$B,"&lt;&gt;Lorena Dias de Araujo",$B:$B,"&lt;&gt;Lucas Luiz Romero")*(28/1083),IF(C4523="Técnico I",SUMIFS($D:$D,$A:$A,$A4523,$B:$B,"&lt;&gt;Patrícia Karla de Sousa Araújo",$B:$B,"&lt;&gt;Lorena Dias de Araujo",$B:$B,"&lt;&gt;Lucas Luiz Romero")*(23/1083),IF(C4523="JR",SUMIFS($D:$D,$A:$A,$A4523,$B:$B,"&lt;&gt;Patrícia Karla de Sousa Araújo",$B:$B,"&lt;&gt;Lorena Dias de Araujo",$B:$B,"&lt;&gt;Lucas Luiz Romero")*(20/1083),IF(C4523="Estágio",SUMIFS($D:$D,$A:$A,$A4523,$B:$B,"&lt;&gt;Patrícia Karla de Sousa Araújo",$B:$B,"&lt;&gt;Lorena Dias de Araujo",$B:$B,"&lt;&gt;Lucas Luiz Romero")*(10/1083),0)))))),0)</f>
        <v/>
      </c>
      <c r="K4523" s="3">
        <f>I4523-J4523</f>
        <v/>
      </c>
      <c r="L4523" s="3">
        <f>IF(K4523&lt;-5,"CRÍTICO",IF(K4523&lt;0,"ATENÇÃO",IF(K4523&lt;=5,"OPORTUNO","MUITO BOM")))</f>
        <v/>
      </c>
      <c r="M4523" s="3" t="n">
        <v>0</v>
      </c>
      <c r="N4523" s="3" t="n">
        <v>100</v>
      </c>
      <c r="O4523" s="12" t="n">
        <v>27.36842105263158</v>
      </c>
    </row>
    <row r="4524">
      <c r="A4524" s="10" t="n">
        <v>46133</v>
      </c>
      <c r="B4524" t="inlineStr">
        <is>
          <t>Emilly Kamilly Medeiros Miranda</t>
        </is>
      </c>
      <c r="C4524" s="1" t="inlineStr">
        <is>
          <t>Técnico II</t>
        </is>
      </c>
      <c r="D4524" s="3" t="n">
        <v>0</v>
      </c>
      <c r="E4524" s="3" t="n">
        <v>0</v>
      </c>
      <c r="F4524" s="3" t="n">
        <v>0</v>
      </c>
      <c r="G4524" s="3" t="n">
        <v>0</v>
      </c>
      <c r="H4524" s="3" t="n">
        <v>0</v>
      </c>
      <c r="I4524" s="3">
        <f>E4524+G4524+H4524</f>
        <v/>
      </c>
      <c r="J4524" s="3">
        <f>ROUND(MIN(IF(C4524="Técnico III",35,IF(C4524="Técnico II",28,IF(C4524="Técnico I",23,IF(C4524="JR",20,IF(C4524="Estágio",10,0))))),IF(C4524="Técnico III",SUMIFS($D:$D,$A:$A,$A4524,$B:$B,"&lt;&gt;Patrícia Karla de Sousa Araújo",$B:$B,"&lt;&gt;Lorena Dias de Araujo",$B:$B,"&lt;&gt;Lucas Luiz Romero")*(35/1083),IF(C4524="Técnico II",SUMIFS($D:$D,$A:$A,$A4524,$B:$B,"&lt;&gt;Patrícia Karla de Sousa Araújo",$B:$B,"&lt;&gt;Lorena Dias de Araujo",$B:$B,"&lt;&gt;Lucas Luiz Romero")*(28/1083),IF(C4524="Técnico I",SUMIFS($D:$D,$A:$A,$A4524,$B:$B,"&lt;&gt;Patrícia Karla de Sousa Araújo",$B:$B,"&lt;&gt;Lorena Dias de Araujo",$B:$B,"&lt;&gt;Lucas Luiz Romero")*(23/1083),IF(C4524="JR",SUMIFS($D:$D,$A:$A,$A4524,$B:$B,"&lt;&gt;Patrícia Karla de Sousa Araújo",$B:$B,"&lt;&gt;Lorena Dias de Araujo",$B:$B,"&lt;&gt;Lucas Luiz Romero")*(20/1083),IF(C4524="Estágio",SUMIFS($D:$D,$A:$A,$A4524,$B:$B,"&lt;&gt;Patrícia Karla de Sousa Araújo",$B:$B,"&lt;&gt;Lorena Dias de Araujo",$B:$B,"&lt;&gt;Lucas Luiz Romero")*(10/1083),0)))))),0)</f>
        <v/>
      </c>
      <c r="K4524" s="3">
        <f>I4524-J4524</f>
        <v/>
      </c>
      <c r="L4524" s="3">
        <f>IF(K4524&lt;-5,"CRÍTICO",IF(K4524&lt;0,"ATENÇÃO",IF(K4524&lt;=5,"OPORTUNO","MUITO BOM")))</f>
        <v/>
      </c>
      <c r="M4524" s="3" t="n">
        <v>0</v>
      </c>
      <c r="N4524" s="3" t="n">
        <v>97.83</v>
      </c>
      <c r="O4524" s="12" t="n">
        <v>28.35164835164835</v>
      </c>
    </row>
    <row r="4525">
      <c r="A4525" s="10" t="n">
        <v>46133</v>
      </c>
      <c r="B4525" t="inlineStr">
        <is>
          <t>Francielson de Oliveira</t>
        </is>
      </c>
      <c r="C4525" s="1" t="inlineStr">
        <is>
          <t>Técnico III</t>
        </is>
      </c>
      <c r="D4525" s="3" t="n">
        <v>0</v>
      </c>
      <c r="E4525" s="3" t="n">
        <v>0</v>
      </c>
      <c r="F4525" s="3" t="n">
        <v>0</v>
      </c>
      <c r="G4525" s="3" t="n">
        <v>0</v>
      </c>
      <c r="H4525" s="3" t="n">
        <v>0</v>
      </c>
      <c r="I4525" s="3">
        <f>E4525+G4525+H4525</f>
        <v/>
      </c>
      <c r="J4525" s="3">
        <f>ROUND(MIN(IF(C4525="Técnico III",35,IF(C4525="Técnico II",28,IF(C4525="Técnico I",23,IF(C4525="JR",20,IF(C4525="Estágio",10,0))))),IF(C4525="Técnico III",SUMIFS($D:$D,$A:$A,$A4525,$B:$B,"&lt;&gt;Patrícia Karla de Sousa Araújo",$B:$B,"&lt;&gt;Lorena Dias de Araujo",$B:$B,"&lt;&gt;Lucas Luiz Romero")*(35/1083),IF(C4525="Técnico II",SUMIFS($D:$D,$A:$A,$A4525,$B:$B,"&lt;&gt;Patrícia Karla de Sousa Araújo",$B:$B,"&lt;&gt;Lorena Dias de Araujo",$B:$B,"&lt;&gt;Lucas Luiz Romero")*(28/1083),IF(C4525="Técnico I",SUMIFS($D:$D,$A:$A,$A4525,$B:$B,"&lt;&gt;Patrícia Karla de Sousa Araújo",$B:$B,"&lt;&gt;Lorena Dias de Araujo",$B:$B,"&lt;&gt;Lucas Luiz Romero")*(23/1083),IF(C4525="JR",SUMIFS($D:$D,$A:$A,$A4525,$B:$B,"&lt;&gt;Patrícia Karla de Sousa Araújo",$B:$B,"&lt;&gt;Lorena Dias de Araujo",$B:$B,"&lt;&gt;Lucas Luiz Romero")*(20/1083),IF(C4525="Estágio",SUMIFS($D:$D,$A:$A,$A4525,$B:$B,"&lt;&gt;Patrícia Karla de Sousa Araújo",$B:$B,"&lt;&gt;Lorena Dias de Araujo",$B:$B,"&lt;&gt;Lucas Luiz Romero")*(10/1083),0)))))),0)</f>
        <v/>
      </c>
      <c r="K4525" s="3">
        <f>I4525-J4525</f>
        <v/>
      </c>
      <c r="L4525" s="3">
        <f>IF(K4525&lt;-5,"CRÍTICO",IF(K4525&lt;0,"ATENÇÃO",IF(K4525&lt;=5,"OPORTUNO","MUITO BOM")))</f>
        <v/>
      </c>
      <c r="M4525" s="3" t="n">
        <v>0</v>
      </c>
      <c r="N4525" s="3" t="n">
        <v>99.26000000000001</v>
      </c>
      <c r="O4525" s="12" t="n">
        <v>29.76653696498055</v>
      </c>
    </row>
    <row r="4526">
      <c r="A4526" s="10" t="n">
        <v>46133</v>
      </c>
      <c r="B4526" t="inlineStr">
        <is>
          <t>Francilene Ferreira de Jesus</t>
        </is>
      </c>
      <c r="C4526" s="1" t="inlineStr">
        <is>
          <t>Técnico II</t>
        </is>
      </c>
      <c r="D4526" s="3" t="n">
        <v>0</v>
      </c>
      <c r="E4526" s="3" t="n">
        <v>0</v>
      </c>
      <c r="F4526" s="3" t="n">
        <v>0</v>
      </c>
      <c r="G4526" s="3" t="n">
        <v>0</v>
      </c>
      <c r="H4526" s="3" t="n">
        <v>0</v>
      </c>
      <c r="I4526" s="3">
        <f>E4526+G4526+H4526</f>
        <v/>
      </c>
      <c r="J4526" s="3">
        <f>ROUND(MIN(IF(C4526="Técnico III",35,IF(C4526="Técnico II",28,IF(C4526="Técnico I",23,IF(C4526="JR",20,IF(C4526="Estágio",10,0))))),IF(C4526="Técnico III",SUMIFS($D:$D,$A:$A,$A4526,$B:$B,"&lt;&gt;Patrícia Karla de Sousa Araújo",$B:$B,"&lt;&gt;Lorena Dias de Araujo",$B:$B,"&lt;&gt;Lucas Luiz Romero")*(35/1083),IF(C4526="Técnico II",SUMIFS($D:$D,$A:$A,$A4526,$B:$B,"&lt;&gt;Patrícia Karla de Sousa Araújo",$B:$B,"&lt;&gt;Lorena Dias de Araujo",$B:$B,"&lt;&gt;Lucas Luiz Romero")*(28/1083),IF(C4526="Técnico I",SUMIFS($D:$D,$A:$A,$A4526,$B:$B,"&lt;&gt;Patrícia Karla de Sousa Araújo",$B:$B,"&lt;&gt;Lorena Dias de Araujo",$B:$B,"&lt;&gt;Lucas Luiz Romero")*(23/1083),IF(C4526="JR",SUMIFS($D:$D,$A:$A,$A4526,$B:$B,"&lt;&gt;Patrícia Karla de Sousa Araújo",$B:$B,"&lt;&gt;Lorena Dias de Araujo",$B:$B,"&lt;&gt;Lucas Luiz Romero")*(20/1083),IF(C4526="Estágio",SUMIFS($D:$D,$A:$A,$A4526,$B:$B,"&lt;&gt;Patrícia Karla de Sousa Araújo",$B:$B,"&lt;&gt;Lorena Dias de Araujo",$B:$B,"&lt;&gt;Lucas Luiz Romero")*(10/1083),0)))))),0)</f>
        <v/>
      </c>
      <c r="K4526" s="3">
        <f>I4526-J4526</f>
        <v/>
      </c>
      <c r="L4526" s="3">
        <f>IF(K4526&lt;-5,"CRÍTICO",IF(K4526&lt;0,"ATENÇÃO",IF(K4526&lt;=5,"OPORTUNO","MUITO BOM")))</f>
        <v/>
      </c>
      <c r="M4526" s="3" t="n">
        <v>0</v>
      </c>
      <c r="N4526" s="3" t="n">
        <v>99.19</v>
      </c>
      <c r="O4526" s="12" t="n">
        <v>29.46236559139785</v>
      </c>
    </row>
    <row r="4527">
      <c r="A4527" s="10" t="n">
        <v>46133</v>
      </c>
      <c r="B4527" t="inlineStr">
        <is>
          <t>Isabella Borges de Oliveira</t>
        </is>
      </c>
      <c r="C4527" s="1" t="inlineStr">
        <is>
          <t>Técnico II</t>
        </is>
      </c>
      <c r="D4527" s="3" t="n">
        <v>0</v>
      </c>
      <c r="E4527" s="3" t="n">
        <v>0</v>
      </c>
      <c r="F4527" s="3" t="n">
        <v>0</v>
      </c>
      <c r="G4527" s="3" t="n">
        <v>0</v>
      </c>
      <c r="H4527" s="3" t="n">
        <v>0</v>
      </c>
      <c r="I4527" s="3">
        <f>E4527+G4527+H4527</f>
        <v/>
      </c>
      <c r="J4527" s="3">
        <f>ROUND(MIN(IF(C4527="Técnico III",35,IF(C4527="Técnico II",28,IF(C4527="Técnico I",23,IF(C4527="JR",20,IF(C4527="Estágio",10,0))))),IF(C4527="Técnico III",SUMIFS($D:$D,$A:$A,$A4527,$B:$B,"&lt;&gt;Patrícia Karla de Sousa Araújo",$B:$B,"&lt;&gt;Lorena Dias de Araujo",$B:$B,"&lt;&gt;Lucas Luiz Romero")*(35/1083),IF(C4527="Técnico II",SUMIFS($D:$D,$A:$A,$A4527,$B:$B,"&lt;&gt;Patrícia Karla de Sousa Araújo",$B:$B,"&lt;&gt;Lorena Dias de Araujo",$B:$B,"&lt;&gt;Lucas Luiz Romero")*(28/1083),IF(C4527="Técnico I",SUMIFS($D:$D,$A:$A,$A4527,$B:$B,"&lt;&gt;Patrícia Karla de Sousa Araújo",$B:$B,"&lt;&gt;Lorena Dias de Araujo",$B:$B,"&lt;&gt;Lucas Luiz Romero")*(23/1083),IF(C4527="JR",SUMIFS($D:$D,$A:$A,$A4527,$B:$B,"&lt;&gt;Patrícia Karla de Sousa Araújo",$B:$B,"&lt;&gt;Lorena Dias de Araujo",$B:$B,"&lt;&gt;Lucas Luiz Romero")*(20/1083),IF(C4527="Estágio",SUMIFS($D:$D,$A:$A,$A4527,$B:$B,"&lt;&gt;Patrícia Karla de Sousa Araújo",$B:$B,"&lt;&gt;Lorena Dias de Araujo",$B:$B,"&lt;&gt;Lucas Luiz Romero")*(10/1083),0)))))),0)</f>
        <v/>
      </c>
      <c r="K4527" s="3">
        <f>I4527-J4527</f>
        <v/>
      </c>
      <c r="L4527" s="3">
        <f>IF(K4527&lt;-5,"CRÍTICO",IF(K4527&lt;0,"ATENÇÃO",IF(K4527&lt;=5,"OPORTUNO","MUITO BOM")))</f>
        <v/>
      </c>
      <c r="M4527" s="3" t="n">
        <v>0</v>
      </c>
      <c r="N4527" s="3" t="n">
        <v>100</v>
      </c>
      <c r="O4527" s="12" t="n">
        <v>28.92156862745098</v>
      </c>
    </row>
    <row r="4528">
      <c r="A4528" s="10" t="n">
        <v>46133</v>
      </c>
      <c r="B4528" t="inlineStr">
        <is>
          <t>Janaina Lima dos Reis Urany</t>
        </is>
      </c>
      <c r="C4528" s="1" t="inlineStr">
        <is>
          <t>Técnico III</t>
        </is>
      </c>
      <c r="D4528" s="3" t="n">
        <v>0</v>
      </c>
      <c r="E4528" s="3" t="n">
        <v>0</v>
      </c>
      <c r="F4528" s="3" t="n">
        <v>0</v>
      </c>
      <c r="G4528" s="3" t="n">
        <v>0</v>
      </c>
      <c r="H4528" s="3" t="n">
        <v>0</v>
      </c>
      <c r="I4528" s="3">
        <f>E4528+G4528+H4528</f>
        <v/>
      </c>
      <c r="J4528" s="3">
        <f>ROUND(MIN(IF(C4528="Técnico III",35,IF(C4528="Técnico II",28,IF(C4528="Técnico I",23,IF(C4528="JR",20,IF(C4528="Estágio",10,0))))),IF(C4528="Técnico III",SUMIFS($D:$D,$A:$A,$A4528,$B:$B,"&lt;&gt;Patrícia Karla de Sousa Araújo",$B:$B,"&lt;&gt;Lorena Dias de Araujo",$B:$B,"&lt;&gt;Lucas Luiz Romero")*(35/1083),IF(C4528="Técnico II",SUMIFS($D:$D,$A:$A,$A4528,$B:$B,"&lt;&gt;Patrícia Karla de Sousa Araújo",$B:$B,"&lt;&gt;Lorena Dias de Araujo",$B:$B,"&lt;&gt;Lucas Luiz Romero")*(28/1083),IF(C4528="Técnico I",SUMIFS($D:$D,$A:$A,$A4528,$B:$B,"&lt;&gt;Patrícia Karla de Sousa Araújo",$B:$B,"&lt;&gt;Lorena Dias de Araujo",$B:$B,"&lt;&gt;Lucas Luiz Romero")*(23/1083),IF(C4528="JR",SUMIFS($D:$D,$A:$A,$A4528,$B:$B,"&lt;&gt;Patrícia Karla de Sousa Araújo",$B:$B,"&lt;&gt;Lorena Dias de Araujo",$B:$B,"&lt;&gt;Lucas Luiz Romero")*(20/1083),IF(C4528="Estágio",SUMIFS($D:$D,$A:$A,$A4528,$B:$B,"&lt;&gt;Patrícia Karla de Sousa Araújo",$B:$B,"&lt;&gt;Lorena Dias de Araujo",$B:$B,"&lt;&gt;Lucas Luiz Romero")*(10/1083),0)))))),0)</f>
        <v/>
      </c>
      <c r="K4528" s="3">
        <f>I4528-J4528</f>
        <v/>
      </c>
      <c r="L4528" s="3">
        <f>IF(K4528&lt;-5,"CRÍTICO",IF(K4528&lt;0,"ATENÇÃO",IF(K4528&lt;=5,"OPORTUNO","MUITO BOM")))</f>
        <v/>
      </c>
      <c r="M4528" s="3" t="n">
        <v>0</v>
      </c>
      <c r="N4528" s="3" t="n">
        <v>99.56999999999999</v>
      </c>
      <c r="O4528" s="12" t="n">
        <v>30.63583815028902</v>
      </c>
    </row>
    <row r="4529">
      <c r="A4529" s="10" t="n">
        <v>46133</v>
      </c>
      <c r="B4529" t="inlineStr">
        <is>
          <t>Jaqueline Evangelista da Silva Martins</t>
        </is>
      </c>
      <c r="C4529" s="1" t="inlineStr">
        <is>
          <t>Técnico III</t>
        </is>
      </c>
      <c r="D4529" s="3" t="n">
        <v>0</v>
      </c>
      <c r="E4529" s="3" t="n">
        <v>0</v>
      </c>
      <c r="F4529" s="3" t="n">
        <v>0</v>
      </c>
      <c r="G4529" s="3" t="n">
        <v>0</v>
      </c>
      <c r="H4529" s="3" t="n">
        <v>0</v>
      </c>
      <c r="I4529" s="3">
        <f>E4529+G4529+H4529</f>
        <v/>
      </c>
      <c r="J4529" s="3">
        <f>ROUND(MIN(IF(C4529="Técnico III",35,IF(C4529="Técnico II",28,IF(C4529="Técnico I",23,IF(C4529="JR",20,IF(C4529="Estágio",10,0))))),IF(C4529="Técnico III",SUMIFS($D:$D,$A:$A,$A4529,$B:$B,"&lt;&gt;Patrícia Karla de Sousa Araújo",$B:$B,"&lt;&gt;Lorena Dias de Araujo",$B:$B,"&lt;&gt;Lucas Luiz Romero")*(35/1083),IF(C4529="Técnico II",SUMIFS($D:$D,$A:$A,$A4529,$B:$B,"&lt;&gt;Patrícia Karla de Sousa Araújo",$B:$B,"&lt;&gt;Lorena Dias de Araujo",$B:$B,"&lt;&gt;Lucas Luiz Romero")*(28/1083),IF(C4529="Técnico I",SUMIFS($D:$D,$A:$A,$A4529,$B:$B,"&lt;&gt;Patrícia Karla de Sousa Araújo",$B:$B,"&lt;&gt;Lorena Dias de Araujo",$B:$B,"&lt;&gt;Lucas Luiz Romero")*(23/1083),IF(C4529="JR",SUMIFS($D:$D,$A:$A,$A4529,$B:$B,"&lt;&gt;Patrícia Karla de Sousa Araújo",$B:$B,"&lt;&gt;Lorena Dias de Araujo",$B:$B,"&lt;&gt;Lucas Luiz Romero")*(20/1083),IF(C4529="Estágio",SUMIFS($D:$D,$A:$A,$A4529,$B:$B,"&lt;&gt;Patrícia Karla de Sousa Araújo",$B:$B,"&lt;&gt;Lorena Dias de Araujo",$B:$B,"&lt;&gt;Lucas Luiz Romero")*(10/1083),0)))))),0)</f>
        <v/>
      </c>
      <c r="K4529" s="3">
        <f>I4529-J4529</f>
        <v/>
      </c>
      <c r="L4529" s="3">
        <f>IF(K4529&lt;-5,"CRÍTICO",IF(K4529&lt;0,"ATENÇÃO",IF(K4529&lt;=5,"OPORTUNO","MUITO BOM")))</f>
        <v/>
      </c>
      <c r="M4529" s="3" t="n">
        <v>0</v>
      </c>
      <c r="N4529" s="3" t="n">
        <v>95.65000000000001</v>
      </c>
      <c r="O4529" s="12" t="n">
        <v>32.43243243243244</v>
      </c>
    </row>
    <row r="4530">
      <c r="A4530" s="10" t="n">
        <v>46133</v>
      </c>
      <c r="B4530" t="inlineStr">
        <is>
          <t>Jessica Faria da Silveira</t>
        </is>
      </c>
      <c r="C4530" s="1" t="inlineStr">
        <is>
          <t>Técnico II</t>
        </is>
      </c>
      <c r="D4530" s="3" t="n">
        <v>0</v>
      </c>
      <c r="E4530" s="3" t="n">
        <v>0</v>
      </c>
      <c r="F4530" s="3" t="n">
        <v>0</v>
      </c>
      <c r="G4530" s="3" t="n">
        <v>0</v>
      </c>
      <c r="H4530" s="3" t="n">
        <v>0</v>
      </c>
      <c r="I4530" s="3">
        <f>E4530+G4530+H4530</f>
        <v/>
      </c>
      <c r="J4530" s="3">
        <f>ROUND(MIN(IF(C4530="Técnico III",35,IF(C4530="Técnico II",28,IF(C4530="Técnico I",23,IF(C4530="JR",20,IF(C4530="Estágio",10,0))))),IF(C4530="Técnico III",SUMIFS($D:$D,$A:$A,$A4530,$B:$B,"&lt;&gt;Patrícia Karla de Sousa Araújo",$B:$B,"&lt;&gt;Lorena Dias de Araujo",$B:$B,"&lt;&gt;Lucas Luiz Romero")*(35/1083),IF(C4530="Técnico II",SUMIFS($D:$D,$A:$A,$A4530,$B:$B,"&lt;&gt;Patrícia Karla de Sousa Araújo",$B:$B,"&lt;&gt;Lorena Dias de Araujo",$B:$B,"&lt;&gt;Lucas Luiz Romero")*(28/1083),IF(C4530="Técnico I",SUMIFS($D:$D,$A:$A,$A4530,$B:$B,"&lt;&gt;Patrícia Karla de Sousa Araújo",$B:$B,"&lt;&gt;Lorena Dias de Araujo",$B:$B,"&lt;&gt;Lucas Luiz Romero")*(23/1083),IF(C4530="JR",SUMIFS($D:$D,$A:$A,$A4530,$B:$B,"&lt;&gt;Patrícia Karla de Sousa Araújo",$B:$B,"&lt;&gt;Lorena Dias de Araujo",$B:$B,"&lt;&gt;Lucas Luiz Romero")*(20/1083),IF(C4530="Estágio",SUMIFS($D:$D,$A:$A,$A4530,$B:$B,"&lt;&gt;Patrícia Karla de Sousa Araújo",$B:$B,"&lt;&gt;Lorena Dias de Araujo",$B:$B,"&lt;&gt;Lucas Luiz Romero")*(10/1083),0)))))),0)</f>
        <v/>
      </c>
      <c r="K4530" s="3">
        <f>I4530-J4530</f>
        <v/>
      </c>
      <c r="L4530" s="3">
        <f>IF(K4530&lt;-5,"CRÍTICO",IF(K4530&lt;0,"ATENÇÃO",IF(K4530&lt;=5,"OPORTUNO","MUITO BOM")))</f>
        <v/>
      </c>
      <c r="M4530" s="3" t="n">
        <v>0</v>
      </c>
      <c r="N4530" s="3" t="n">
        <v>98.81</v>
      </c>
      <c r="O4530" s="12" t="n">
        <v>26.25698324022346</v>
      </c>
    </row>
    <row r="4531">
      <c r="A4531" s="10" t="n">
        <v>46133</v>
      </c>
      <c r="B4531" t="inlineStr">
        <is>
          <t>Jéssica Fé Moura</t>
        </is>
      </c>
      <c r="C4531" s="1" t="inlineStr">
        <is>
          <t>Técnico III</t>
        </is>
      </c>
      <c r="D4531" s="3" t="n">
        <v>0</v>
      </c>
      <c r="E4531" s="3" t="n">
        <v>0</v>
      </c>
      <c r="F4531" s="3" t="n">
        <v>0</v>
      </c>
      <c r="G4531" s="3" t="n">
        <v>0</v>
      </c>
      <c r="H4531" s="3" t="n">
        <v>0</v>
      </c>
      <c r="I4531" s="3">
        <f>E4531+G4531+H4531</f>
        <v/>
      </c>
      <c r="J4531" s="3">
        <f>ROUND(MIN(IF(C4531="Técnico III",35,IF(C4531="Técnico II",28,IF(C4531="Técnico I",23,IF(C4531="JR",20,IF(C4531="Estágio",10,0))))),IF(C4531="Técnico III",SUMIFS($D:$D,$A:$A,$A4531,$B:$B,"&lt;&gt;Patrícia Karla de Sousa Araújo",$B:$B,"&lt;&gt;Lorena Dias de Araujo",$B:$B,"&lt;&gt;Lucas Luiz Romero")*(35/1083),IF(C4531="Técnico II",SUMIFS($D:$D,$A:$A,$A4531,$B:$B,"&lt;&gt;Patrícia Karla de Sousa Araújo",$B:$B,"&lt;&gt;Lorena Dias de Araujo",$B:$B,"&lt;&gt;Lucas Luiz Romero")*(28/1083),IF(C4531="Técnico I",SUMIFS($D:$D,$A:$A,$A4531,$B:$B,"&lt;&gt;Patrícia Karla de Sousa Araújo",$B:$B,"&lt;&gt;Lorena Dias de Araujo",$B:$B,"&lt;&gt;Lucas Luiz Romero")*(23/1083),IF(C4531="JR",SUMIFS($D:$D,$A:$A,$A4531,$B:$B,"&lt;&gt;Patrícia Karla de Sousa Araújo",$B:$B,"&lt;&gt;Lorena Dias de Araujo",$B:$B,"&lt;&gt;Lucas Luiz Romero")*(20/1083),IF(C4531="Estágio",SUMIFS($D:$D,$A:$A,$A4531,$B:$B,"&lt;&gt;Patrícia Karla de Sousa Araújo",$B:$B,"&lt;&gt;Lorena Dias de Araujo",$B:$B,"&lt;&gt;Lucas Luiz Romero")*(10/1083),0)))))),0)</f>
        <v/>
      </c>
      <c r="K4531" s="3">
        <f>I4531-J4531</f>
        <v/>
      </c>
      <c r="L4531" s="3">
        <f>IF(K4531&lt;-5,"CRÍTICO",IF(K4531&lt;0,"ATENÇÃO",IF(K4531&lt;=5,"OPORTUNO","MUITO BOM")))</f>
        <v/>
      </c>
      <c r="M4531" s="3" t="n">
        <v>0</v>
      </c>
      <c r="N4531" s="3" t="n">
        <v>0</v>
      </c>
      <c r="O4531" s="12" t="n">
        <v>0</v>
      </c>
    </row>
    <row r="4532">
      <c r="A4532" s="10" t="n">
        <v>46133</v>
      </c>
      <c r="B4532" t="inlineStr">
        <is>
          <t>Karina Gonçalves Martins</t>
        </is>
      </c>
      <c r="C4532" s="1" t="inlineStr">
        <is>
          <t>JR</t>
        </is>
      </c>
      <c r="D4532" s="3" t="n">
        <v>0</v>
      </c>
      <c r="E4532" s="3" t="n">
        <v>0</v>
      </c>
      <c r="F4532" s="3" t="n">
        <v>0</v>
      </c>
      <c r="G4532" s="3" t="n">
        <v>0</v>
      </c>
      <c r="H4532" s="3" t="n">
        <v>0</v>
      </c>
      <c r="I4532" s="3">
        <f>E4532+G4532+H4532</f>
        <v/>
      </c>
      <c r="J4532" s="3">
        <f>ROUND(MIN(IF(C4532="Técnico III",35,IF(C4532="Técnico II",28,IF(C4532="Técnico I",23,IF(C4532="JR",20,IF(C4532="Estágio",10,0))))),IF(C4532="Técnico III",SUMIFS($D:$D,$A:$A,$A4532,$B:$B,"&lt;&gt;Patrícia Karla de Sousa Araújo",$B:$B,"&lt;&gt;Lorena Dias de Araujo",$B:$B,"&lt;&gt;Lucas Luiz Romero")*(35/1083),IF(C4532="Técnico II",SUMIFS($D:$D,$A:$A,$A4532,$B:$B,"&lt;&gt;Patrícia Karla de Sousa Araújo",$B:$B,"&lt;&gt;Lorena Dias de Araujo",$B:$B,"&lt;&gt;Lucas Luiz Romero")*(28/1083),IF(C4532="Técnico I",SUMIFS($D:$D,$A:$A,$A4532,$B:$B,"&lt;&gt;Patrícia Karla de Sousa Araújo",$B:$B,"&lt;&gt;Lorena Dias de Araujo",$B:$B,"&lt;&gt;Lucas Luiz Romero")*(23/1083),IF(C4532="JR",SUMIFS($D:$D,$A:$A,$A4532,$B:$B,"&lt;&gt;Patrícia Karla de Sousa Araújo",$B:$B,"&lt;&gt;Lorena Dias de Araujo",$B:$B,"&lt;&gt;Lucas Luiz Romero")*(20/1083),IF(C4532="Estágio",SUMIFS($D:$D,$A:$A,$A4532,$B:$B,"&lt;&gt;Patrícia Karla de Sousa Araújo",$B:$B,"&lt;&gt;Lorena Dias de Araujo",$B:$B,"&lt;&gt;Lucas Luiz Romero")*(10/1083),0)))))),0)</f>
        <v/>
      </c>
      <c r="K4532" s="3">
        <f>I4532-J4532</f>
        <v/>
      </c>
      <c r="L4532" s="3">
        <f>IF(K4532&lt;-5,"CRÍTICO",IF(K4532&lt;0,"ATENÇÃO",IF(K4532&lt;=5,"OPORTUNO","MUITO BOM")))</f>
        <v/>
      </c>
      <c r="M4532" s="3" t="n">
        <v>0</v>
      </c>
      <c r="N4532" s="3" t="n">
        <v>97.17</v>
      </c>
      <c r="O4532" s="12" t="n">
        <v>28.81844380403458</v>
      </c>
    </row>
    <row r="4533">
      <c r="A4533" s="10" t="n">
        <v>46133</v>
      </c>
      <c r="B4533" t="inlineStr">
        <is>
          <t>Kerollen Cristielly de Jesus Siqueira</t>
        </is>
      </c>
      <c r="C4533" s="1" t="inlineStr">
        <is>
          <t>Técnico III</t>
        </is>
      </c>
      <c r="D4533" s="3" t="n">
        <v>0</v>
      </c>
      <c r="E4533" s="3" t="n">
        <v>0</v>
      </c>
      <c r="F4533" s="3" t="n">
        <v>0</v>
      </c>
      <c r="G4533" s="3" t="n">
        <v>0</v>
      </c>
      <c r="H4533" s="3" t="n">
        <v>0</v>
      </c>
      <c r="I4533" s="3">
        <f>E4533+G4533+H4533</f>
        <v/>
      </c>
      <c r="J4533" s="3">
        <f>ROUND(MIN(IF(C4533="Técnico III",35,IF(C4533="Técnico II",28,IF(C4533="Técnico I",23,IF(C4533="JR",20,IF(C4533="Estágio",10,0))))),IF(C4533="Técnico III",SUMIFS($D:$D,$A:$A,$A4533,$B:$B,"&lt;&gt;Patrícia Karla de Sousa Araújo",$B:$B,"&lt;&gt;Lorena Dias de Araujo",$B:$B,"&lt;&gt;Lucas Luiz Romero")*(35/1083),IF(C4533="Técnico II",SUMIFS($D:$D,$A:$A,$A4533,$B:$B,"&lt;&gt;Patrícia Karla de Sousa Araújo",$B:$B,"&lt;&gt;Lorena Dias de Araujo",$B:$B,"&lt;&gt;Lucas Luiz Romero")*(28/1083),IF(C4533="Técnico I",SUMIFS($D:$D,$A:$A,$A4533,$B:$B,"&lt;&gt;Patrícia Karla de Sousa Araújo",$B:$B,"&lt;&gt;Lorena Dias de Araujo",$B:$B,"&lt;&gt;Lucas Luiz Romero")*(23/1083),IF(C4533="JR",SUMIFS($D:$D,$A:$A,$A4533,$B:$B,"&lt;&gt;Patrícia Karla de Sousa Araújo",$B:$B,"&lt;&gt;Lorena Dias de Araujo",$B:$B,"&lt;&gt;Lucas Luiz Romero")*(20/1083),IF(C4533="Estágio",SUMIFS($D:$D,$A:$A,$A4533,$B:$B,"&lt;&gt;Patrícia Karla de Sousa Araújo",$B:$B,"&lt;&gt;Lorena Dias de Araujo",$B:$B,"&lt;&gt;Lucas Luiz Romero")*(10/1083),0)))))),0)</f>
        <v/>
      </c>
      <c r="K4533" s="3">
        <f>I4533-J4533</f>
        <v/>
      </c>
      <c r="L4533" s="3">
        <f>IF(K4533&lt;-5,"CRÍTICO",IF(K4533&lt;0,"ATENÇÃO",IF(K4533&lt;=5,"OPORTUNO","MUITO BOM")))</f>
        <v/>
      </c>
      <c r="M4533" s="3" t="n">
        <v>0</v>
      </c>
      <c r="N4533" s="3" t="n">
        <v>96.81</v>
      </c>
      <c r="O4533" s="12" t="n">
        <v>48.01864801864802</v>
      </c>
    </row>
    <row r="4534">
      <c r="A4534" s="10" t="n">
        <v>46133</v>
      </c>
      <c r="B4534" t="inlineStr">
        <is>
          <t>Leandro de Souza Silva</t>
        </is>
      </c>
      <c r="C4534" s="1" t="inlineStr">
        <is>
          <t>JR</t>
        </is>
      </c>
      <c r="D4534" s="3" t="n">
        <v>0</v>
      </c>
      <c r="E4534" s="3" t="n">
        <v>0</v>
      </c>
      <c r="F4534" s="3" t="n">
        <v>0</v>
      </c>
      <c r="G4534" s="3" t="n">
        <v>0</v>
      </c>
      <c r="H4534" s="3" t="n">
        <v>0</v>
      </c>
      <c r="I4534" s="3">
        <f>E4534+G4534+H4534</f>
        <v/>
      </c>
      <c r="J4534" s="3">
        <f>ROUND(MIN(IF(C4534="Técnico III",35,IF(C4534="Técnico II",28,IF(C4534="Técnico I",23,IF(C4534="JR",20,IF(C4534="Estágio",10,0))))),IF(C4534="Técnico III",SUMIFS($D:$D,$A:$A,$A4534,$B:$B,"&lt;&gt;Patrícia Karla de Sousa Araújo",$B:$B,"&lt;&gt;Lorena Dias de Araujo",$B:$B,"&lt;&gt;Lucas Luiz Romero")*(35/1083),IF(C4534="Técnico II",SUMIFS($D:$D,$A:$A,$A4534,$B:$B,"&lt;&gt;Patrícia Karla de Sousa Araújo",$B:$B,"&lt;&gt;Lorena Dias de Araujo",$B:$B,"&lt;&gt;Lucas Luiz Romero")*(28/1083),IF(C4534="Técnico I",SUMIFS($D:$D,$A:$A,$A4534,$B:$B,"&lt;&gt;Patrícia Karla de Sousa Araújo",$B:$B,"&lt;&gt;Lorena Dias de Araujo",$B:$B,"&lt;&gt;Lucas Luiz Romero")*(23/1083),IF(C4534="JR",SUMIFS($D:$D,$A:$A,$A4534,$B:$B,"&lt;&gt;Patrícia Karla de Sousa Araújo",$B:$B,"&lt;&gt;Lorena Dias de Araujo",$B:$B,"&lt;&gt;Lucas Luiz Romero")*(20/1083),IF(C4534="Estágio",SUMIFS($D:$D,$A:$A,$A4534,$B:$B,"&lt;&gt;Patrícia Karla de Sousa Araújo",$B:$B,"&lt;&gt;Lorena Dias de Araujo",$B:$B,"&lt;&gt;Lucas Luiz Romero")*(10/1083),0)))))),0)</f>
        <v/>
      </c>
      <c r="K4534" s="3">
        <f>I4534-J4534</f>
        <v/>
      </c>
      <c r="L4534" s="3">
        <f>IF(K4534&lt;-5,"CRÍTICO",IF(K4534&lt;0,"ATENÇÃO",IF(K4534&lt;=5,"OPORTUNO","MUITO BOM")))</f>
        <v/>
      </c>
      <c r="M4534" s="3" t="n">
        <v>0</v>
      </c>
      <c r="N4534" s="3" t="n">
        <v>98.15000000000001</v>
      </c>
      <c r="O4534" s="12" t="n">
        <v>27.1551724137931</v>
      </c>
    </row>
    <row r="4535">
      <c r="A4535" s="10" t="n">
        <v>46133</v>
      </c>
      <c r="B4535" t="inlineStr">
        <is>
          <t>Leandro Oliveira de Sousa</t>
        </is>
      </c>
      <c r="C4535" s="1" t="inlineStr">
        <is>
          <t>Técnico III</t>
        </is>
      </c>
      <c r="D4535" s="3" t="n">
        <v>0</v>
      </c>
      <c r="E4535" s="3" t="n">
        <v>0</v>
      </c>
      <c r="F4535" s="3" t="n">
        <v>0</v>
      </c>
      <c r="G4535" s="3" t="n">
        <v>0</v>
      </c>
      <c r="H4535" s="3" t="n">
        <v>0</v>
      </c>
      <c r="I4535" s="3">
        <f>E4535+G4535+H4535</f>
        <v/>
      </c>
      <c r="J4535" s="3">
        <f>ROUND(MIN(IF(C4535="Técnico III",35,IF(C4535="Técnico II",28,IF(C4535="Técnico I",23,IF(C4535="JR",20,IF(C4535="Estágio",10,0))))),IF(C4535="Técnico III",SUMIFS($D:$D,$A:$A,$A4535,$B:$B,"&lt;&gt;Patrícia Karla de Sousa Araújo",$B:$B,"&lt;&gt;Lorena Dias de Araujo",$B:$B,"&lt;&gt;Lucas Luiz Romero")*(35/1083),IF(C4535="Técnico II",SUMIFS($D:$D,$A:$A,$A4535,$B:$B,"&lt;&gt;Patrícia Karla de Sousa Araújo",$B:$B,"&lt;&gt;Lorena Dias de Araujo",$B:$B,"&lt;&gt;Lucas Luiz Romero")*(28/1083),IF(C4535="Técnico I",SUMIFS($D:$D,$A:$A,$A4535,$B:$B,"&lt;&gt;Patrícia Karla de Sousa Araújo",$B:$B,"&lt;&gt;Lorena Dias de Araujo",$B:$B,"&lt;&gt;Lucas Luiz Romero")*(23/1083),IF(C4535="JR",SUMIFS($D:$D,$A:$A,$A4535,$B:$B,"&lt;&gt;Patrícia Karla de Sousa Araújo",$B:$B,"&lt;&gt;Lorena Dias de Araujo",$B:$B,"&lt;&gt;Lucas Luiz Romero")*(20/1083),IF(C4535="Estágio",SUMIFS($D:$D,$A:$A,$A4535,$B:$B,"&lt;&gt;Patrícia Karla de Sousa Araújo",$B:$B,"&lt;&gt;Lorena Dias de Araujo",$B:$B,"&lt;&gt;Lucas Luiz Romero")*(10/1083),0)))))),0)</f>
        <v/>
      </c>
      <c r="K4535" s="3">
        <f>I4535-J4535</f>
        <v/>
      </c>
      <c r="L4535" s="3">
        <f>IF(K4535&lt;-5,"CRÍTICO",IF(K4535&lt;0,"ATENÇÃO",IF(K4535&lt;=5,"OPORTUNO","MUITO BOM")))</f>
        <v/>
      </c>
      <c r="M4535" s="3" t="n">
        <v>0</v>
      </c>
      <c r="N4535" s="3" t="n">
        <v>99.15000000000001</v>
      </c>
      <c r="O4535" s="12" t="n">
        <v>27.58620689655172</v>
      </c>
    </row>
    <row r="4536">
      <c r="A4536" s="10" t="n">
        <v>46133</v>
      </c>
      <c r="B4536" t="inlineStr">
        <is>
          <t>Lizandra Gomes Duarte</t>
        </is>
      </c>
      <c r="C4536" s="1" t="inlineStr">
        <is>
          <t>Técnico II</t>
        </is>
      </c>
      <c r="D4536" s="3" t="n">
        <v>0</v>
      </c>
      <c r="E4536" s="3" t="n">
        <v>0</v>
      </c>
      <c r="F4536" s="3" t="n">
        <v>0</v>
      </c>
      <c r="G4536" s="3" t="n">
        <v>0</v>
      </c>
      <c r="H4536" s="3" t="n">
        <v>0</v>
      </c>
      <c r="I4536" s="3">
        <f>E4536+G4536+H4536</f>
        <v/>
      </c>
      <c r="J4536" s="3">
        <f>ROUND(MIN(IF(C4536="Técnico III",35,IF(C4536="Técnico II",28,IF(C4536="Técnico I",23,IF(C4536="JR",20,IF(C4536="Estágio",10,0))))),IF(C4536="Técnico III",SUMIFS($D:$D,$A:$A,$A4536,$B:$B,"&lt;&gt;Patrícia Karla de Sousa Araújo",$B:$B,"&lt;&gt;Lorena Dias de Araujo",$B:$B,"&lt;&gt;Lucas Luiz Romero")*(35/1083),IF(C4536="Técnico II",SUMIFS($D:$D,$A:$A,$A4536,$B:$B,"&lt;&gt;Patrícia Karla de Sousa Araújo",$B:$B,"&lt;&gt;Lorena Dias de Araujo",$B:$B,"&lt;&gt;Lucas Luiz Romero")*(28/1083),IF(C4536="Técnico I",SUMIFS($D:$D,$A:$A,$A4536,$B:$B,"&lt;&gt;Patrícia Karla de Sousa Araújo",$B:$B,"&lt;&gt;Lorena Dias de Araujo",$B:$B,"&lt;&gt;Lucas Luiz Romero")*(23/1083),IF(C4536="JR",SUMIFS($D:$D,$A:$A,$A4536,$B:$B,"&lt;&gt;Patrícia Karla de Sousa Araújo",$B:$B,"&lt;&gt;Lorena Dias de Araujo",$B:$B,"&lt;&gt;Lucas Luiz Romero")*(20/1083),IF(C4536="Estágio",SUMIFS($D:$D,$A:$A,$A4536,$B:$B,"&lt;&gt;Patrícia Karla de Sousa Araújo",$B:$B,"&lt;&gt;Lorena Dias de Araujo",$B:$B,"&lt;&gt;Lucas Luiz Romero")*(10/1083),0)))))),0)</f>
        <v/>
      </c>
      <c r="K4536" s="3">
        <f>I4536-J4536</f>
        <v/>
      </c>
      <c r="L4536" s="3">
        <f>IF(K4536&lt;-5,"CRÍTICO",IF(K4536&lt;0,"ATENÇÃO",IF(K4536&lt;=5,"OPORTUNO","MUITO BOM")))</f>
        <v/>
      </c>
      <c r="M4536" s="3" t="n">
        <v>0</v>
      </c>
      <c r="N4536" s="3" t="n">
        <v>99.17</v>
      </c>
      <c r="O4536" s="12" t="n">
        <v>29.75206611570248</v>
      </c>
    </row>
    <row r="4537">
      <c r="A4537" s="10" t="n">
        <v>46133</v>
      </c>
      <c r="B4537" t="inlineStr">
        <is>
          <t>Lorena Dias de Araujo</t>
        </is>
      </c>
      <c r="C4537" s="1" t="inlineStr">
        <is>
          <t>Técnico II</t>
        </is>
      </c>
      <c r="D4537" s="3" t="n">
        <v>0</v>
      </c>
      <c r="E4537" s="3" t="n">
        <v>0</v>
      </c>
      <c r="F4537" s="3" t="n">
        <v>0</v>
      </c>
      <c r="G4537" s="3" t="n">
        <v>0</v>
      </c>
      <c r="H4537" s="3" t="n">
        <v>0</v>
      </c>
      <c r="I4537" s="3">
        <f>E4537+G4537+H4537</f>
        <v/>
      </c>
      <c r="J4537" s="3">
        <f>ROUND(MIN(IF(C4537="Técnico III",35,IF(C4537="Técnico II",28,IF(C4537="Técnico I",23,IF(C4537="JR",20,IF(C4537="Estágio",10,0))))),IF(C4537="Técnico III",SUMIFS($D:$D,$A:$A,$A4537,$B:$B,"&lt;&gt;Patrícia Karla de Sousa Araújo",$B:$B,"&lt;&gt;Lorena Dias de Araujo",$B:$B,"&lt;&gt;Lucas Luiz Romero")*(35/1083),IF(C4537="Técnico II",SUMIFS($D:$D,$A:$A,$A4537,$B:$B,"&lt;&gt;Patrícia Karla de Sousa Araújo",$B:$B,"&lt;&gt;Lorena Dias de Araujo",$B:$B,"&lt;&gt;Lucas Luiz Romero")*(28/1083),IF(C4537="Técnico I",SUMIFS($D:$D,$A:$A,$A4537,$B:$B,"&lt;&gt;Patrícia Karla de Sousa Araújo",$B:$B,"&lt;&gt;Lorena Dias de Araujo",$B:$B,"&lt;&gt;Lucas Luiz Romero")*(23/1083),IF(C4537="JR",SUMIFS($D:$D,$A:$A,$A4537,$B:$B,"&lt;&gt;Patrícia Karla de Sousa Araújo",$B:$B,"&lt;&gt;Lorena Dias de Araujo",$B:$B,"&lt;&gt;Lucas Luiz Romero")*(20/1083),IF(C4537="Estágio",SUMIFS($D:$D,$A:$A,$A4537,$B:$B,"&lt;&gt;Patrícia Karla de Sousa Araújo",$B:$B,"&lt;&gt;Lorena Dias de Araujo",$B:$B,"&lt;&gt;Lucas Luiz Romero")*(10/1083),0)))))),0)</f>
        <v/>
      </c>
      <c r="K4537" s="3">
        <f>I4537-J4537</f>
        <v/>
      </c>
      <c r="L4537" s="3">
        <f>IF(K4537&lt;-5,"CRÍTICO",IF(K4537&lt;0,"ATENÇÃO",IF(K4537&lt;=5,"OPORTUNO","MUITO BOM")))</f>
        <v/>
      </c>
      <c r="M4537" s="3" t="n">
        <v>0</v>
      </c>
      <c r="N4537" s="3" t="n">
        <v>98.73</v>
      </c>
      <c r="O4537" s="12" t="n">
        <v>28.96174863387978</v>
      </c>
    </row>
    <row r="4538">
      <c r="A4538" s="10" t="n">
        <v>46133</v>
      </c>
      <c r="B4538" t="inlineStr">
        <is>
          <t>Lucas Luiz Romero</t>
        </is>
      </c>
      <c r="C4538" s="1" t="inlineStr">
        <is>
          <t>Técnico III</t>
        </is>
      </c>
      <c r="D4538" s="3" t="n">
        <v>0</v>
      </c>
      <c r="E4538" s="3" t="n">
        <v>0</v>
      </c>
      <c r="F4538" s="3" t="n">
        <v>0</v>
      </c>
      <c r="G4538" s="3" t="n">
        <v>0</v>
      </c>
      <c r="H4538" s="3" t="n">
        <v>0</v>
      </c>
      <c r="I4538" s="3">
        <f>E4538+G4538+H4538</f>
        <v/>
      </c>
      <c r="J4538" s="3">
        <f>ROUND(MIN(IF(C4538="Técnico III",35,IF(C4538="Técnico II",28,IF(C4538="Técnico I",23,IF(C4538="JR",20,IF(C4538="Estágio",10,0))))),IF(C4538="Técnico III",SUMIFS($D:$D,$A:$A,$A4538,$B:$B,"&lt;&gt;Patrícia Karla de Sousa Araújo",$B:$B,"&lt;&gt;Lorena Dias de Araujo",$B:$B,"&lt;&gt;Lucas Luiz Romero")*(35/1083),IF(C4538="Técnico II",SUMIFS($D:$D,$A:$A,$A4538,$B:$B,"&lt;&gt;Patrícia Karla de Sousa Araújo",$B:$B,"&lt;&gt;Lorena Dias de Araujo",$B:$B,"&lt;&gt;Lucas Luiz Romero")*(28/1083),IF(C4538="Técnico I",SUMIFS($D:$D,$A:$A,$A4538,$B:$B,"&lt;&gt;Patrícia Karla de Sousa Araújo",$B:$B,"&lt;&gt;Lorena Dias de Araujo",$B:$B,"&lt;&gt;Lucas Luiz Romero")*(23/1083),IF(C4538="JR",SUMIFS($D:$D,$A:$A,$A4538,$B:$B,"&lt;&gt;Patrícia Karla de Sousa Araújo",$B:$B,"&lt;&gt;Lorena Dias de Araujo",$B:$B,"&lt;&gt;Lucas Luiz Romero")*(20/1083),IF(C4538="Estágio",SUMIFS($D:$D,$A:$A,$A4538,$B:$B,"&lt;&gt;Patrícia Karla de Sousa Araújo",$B:$B,"&lt;&gt;Lorena Dias de Araujo",$B:$B,"&lt;&gt;Lucas Luiz Romero")*(10/1083),0)))))),0)</f>
        <v/>
      </c>
      <c r="K4538" s="3">
        <f>I4538-J4538</f>
        <v/>
      </c>
      <c r="L4538" s="3">
        <f>IF(K4538&lt;-5,"CRÍTICO",IF(K4538&lt;0,"ATENÇÃO",IF(K4538&lt;=5,"OPORTUNO","MUITO BOM")))</f>
        <v/>
      </c>
      <c r="M4538" s="3" t="n">
        <v>0</v>
      </c>
      <c r="N4538" s="3" t="n">
        <v>88.68000000000001</v>
      </c>
      <c r="O4538" s="12" t="n">
        <v>22.03389830508474</v>
      </c>
    </row>
    <row r="4539">
      <c r="A4539" s="10" t="n">
        <v>46133</v>
      </c>
      <c r="B4539" t="inlineStr">
        <is>
          <t>Luiz Fernando de Carvalho Junior</t>
        </is>
      </c>
      <c r="C4539" s="1" t="inlineStr">
        <is>
          <t>Técnico I</t>
        </is>
      </c>
      <c r="D4539" s="3" t="n">
        <v>0</v>
      </c>
      <c r="E4539" s="3" t="n">
        <v>0</v>
      </c>
      <c r="F4539" s="3" t="n">
        <v>0</v>
      </c>
      <c r="G4539" s="3" t="n">
        <v>0</v>
      </c>
      <c r="H4539" s="3" t="n">
        <v>0</v>
      </c>
      <c r="I4539" s="3">
        <f>E4539+G4539+H4539</f>
        <v/>
      </c>
      <c r="J4539" s="3">
        <f>ROUND(MIN(IF(C4539="Técnico III",35,IF(C4539="Técnico II",28,IF(C4539="Técnico I",23,IF(C4539="JR",20,IF(C4539="Estágio",10,0))))),IF(C4539="Técnico III",SUMIFS($D:$D,$A:$A,$A4539,$B:$B,"&lt;&gt;Patrícia Karla de Sousa Araújo",$B:$B,"&lt;&gt;Lorena Dias de Araujo",$B:$B,"&lt;&gt;Lucas Luiz Romero")*(35/1083),IF(C4539="Técnico II",SUMIFS($D:$D,$A:$A,$A4539,$B:$B,"&lt;&gt;Patrícia Karla de Sousa Araújo",$B:$B,"&lt;&gt;Lorena Dias de Araujo",$B:$B,"&lt;&gt;Lucas Luiz Romero")*(28/1083),IF(C4539="Técnico I",SUMIFS($D:$D,$A:$A,$A4539,$B:$B,"&lt;&gt;Patrícia Karla de Sousa Araújo",$B:$B,"&lt;&gt;Lorena Dias de Araujo",$B:$B,"&lt;&gt;Lucas Luiz Romero")*(23/1083),IF(C4539="JR",SUMIFS($D:$D,$A:$A,$A4539,$B:$B,"&lt;&gt;Patrícia Karla de Sousa Araújo",$B:$B,"&lt;&gt;Lorena Dias de Araujo",$B:$B,"&lt;&gt;Lucas Luiz Romero")*(20/1083),IF(C4539="Estágio",SUMIFS($D:$D,$A:$A,$A4539,$B:$B,"&lt;&gt;Patrícia Karla de Sousa Araújo",$B:$B,"&lt;&gt;Lorena Dias de Araujo",$B:$B,"&lt;&gt;Lucas Luiz Romero")*(10/1083),0)))))),0)</f>
        <v/>
      </c>
      <c r="K4539" s="3">
        <f>I4539-J4539</f>
        <v/>
      </c>
      <c r="L4539" s="3">
        <f>IF(K4539&lt;-5,"CRÍTICO",IF(K4539&lt;0,"ATENÇÃO",IF(K4539&lt;=5,"OPORTUNO","MUITO BOM")))</f>
        <v/>
      </c>
      <c r="M4539" s="3" t="n">
        <v>0</v>
      </c>
      <c r="N4539" s="3" t="n">
        <v>97.37</v>
      </c>
      <c r="O4539" s="12" t="n">
        <v>25.76530612244898</v>
      </c>
    </row>
    <row r="4540">
      <c r="A4540" s="10" t="n">
        <v>46133</v>
      </c>
      <c r="B4540" t="inlineStr">
        <is>
          <t>Maria Eduarda Sousa Costa</t>
        </is>
      </c>
      <c r="C4540" s="1" t="inlineStr">
        <is>
          <t>Estágio</t>
        </is>
      </c>
      <c r="D4540" s="3" t="n">
        <v>0</v>
      </c>
      <c r="E4540" s="3" t="n">
        <v>0</v>
      </c>
      <c r="F4540" s="3" t="n">
        <v>0</v>
      </c>
      <c r="G4540" s="3" t="n">
        <v>0</v>
      </c>
      <c r="H4540" s="3" t="n">
        <v>0</v>
      </c>
      <c r="I4540" s="3">
        <f>E4540+G4540+H4540</f>
        <v/>
      </c>
      <c r="J4540" s="3">
        <f>ROUND(MIN(IF(C4540="Técnico III",35,IF(C4540="Técnico II",28,IF(C4540="Técnico I",23,IF(C4540="JR",20,IF(C4540="Estágio",10,0))))),IF(C4540="Técnico III",SUMIFS($D:$D,$A:$A,$A4540,$B:$B,"&lt;&gt;Patrícia Karla de Sousa Araújo",$B:$B,"&lt;&gt;Lorena Dias de Araujo",$B:$B,"&lt;&gt;Lucas Luiz Romero")*(35/1083),IF(C4540="Técnico II",SUMIFS($D:$D,$A:$A,$A4540,$B:$B,"&lt;&gt;Patrícia Karla de Sousa Araújo",$B:$B,"&lt;&gt;Lorena Dias de Araujo",$B:$B,"&lt;&gt;Lucas Luiz Romero")*(28/1083),IF(C4540="Técnico I",SUMIFS($D:$D,$A:$A,$A4540,$B:$B,"&lt;&gt;Patrícia Karla de Sousa Araújo",$B:$B,"&lt;&gt;Lorena Dias de Araujo",$B:$B,"&lt;&gt;Lucas Luiz Romero")*(23/1083),IF(C4540="JR",SUMIFS($D:$D,$A:$A,$A4540,$B:$B,"&lt;&gt;Patrícia Karla de Sousa Araújo",$B:$B,"&lt;&gt;Lorena Dias de Araujo",$B:$B,"&lt;&gt;Lucas Luiz Romero")*(20/1083),IF(C4540="Estágio",SUMIFS($D:$D,$A:$A,$A4540,$B:$B,"&lt;&gt;Patrícia Karla de Sousa Araújo",$B:$B,"&lt;&gt;Lorena Dias de Araujo",$B:$B,"&lt;&gt;Lucas Luiz Romero")*(10/1083),0)))))),0)</f>
        <v/>
      </c>
      <c r="K4540" s="3">
        <f>I4540-J4540</f>
        <v/>
      </c>
      <c r="L4540" s="3">
        <f>IF(K4540&lt;-5,"CRÍTICO",IF(K4540&lt;0,"ATENÇÃO",IF(K4540&lt;=5,"OPORTUNO","MUITO BOM")))</f>
        <v/>
      </c>
      <c r="M4540" s="3" t="n">
        <v>0</v>
      </c>
      <c r="N4540" s="3" t="n">
        <v>100</v>
      </c>
      <c r="O4540" s="12" t="n">
        <v>25</v>
      </c>
    </row>
    <row r="4541">
      <c r="A4541" s="10" t="n">
        <v>46168</v>
      </c>
      <c r="B4541" t="inlineStr">
        <is>
          <t>Isabella Borges de Oliveira</t>
        </is>
      </c>
      <c r="C4541" s="1" t="inlineStr">
        <is>
          <t>Técnico II</t>
        </is>
      </c>
      <c r="D4541" s="3" t="n">
        <v>24</v>
      </c>
      <c r="E4541" s="3" t="n">
        <v>23</v>
      </c>
      <c r="F4541" s="3" t="n">
        <v>15.03</v>
      </c>
      <c r="G4541" s="3" t="n">
        <v>1</v>
      </c>
      <c r="I4541" s="3" t="n">
        <v>24</v>
      </c>
      <c r="J4541" s="3" t="n">
        <v>22</v>
      </c>
      <c r="K4541" s="3" t="n">
        <v>2</v>
      </c>
      <c r="L4541" s="3" t="inlineStr">
        <is>
          <t>BOM</t>
        </is>
      </c>
      <c r="M4541" s="3" t="n">
        <v>20</v>
      </c>
      <c r="N4541" s="3" t="n">
        <v>98.98</v>
      </c>
      <c r="O4541" s="12" t="n">
        <v>21.23655913978495</v>
      </c>
    </row>
    <row r="4542">
      <c r="A4542" s="10" t="n">
        <v>46133</v>
      </c>
      <c r="B4542" t="inlineStr">
        <is>
          <t>Maysa Victoria Dias Moura</t>
        </is>
      </c>
      <c r="C4542" s="1" t="inlineStr">
        <is>
          <t>Técnico III</t>
        </is>
      </c>
      <c r="D4542" s="3" t="n">
        <v>0</v>
      </c>
      <c r="E4542" s="3" t="n">
        <v>0</v>
      </c>
      <c r="F4542" s="3" t="n">
        <v>0</v>
      </c>
      <c r="G4542" s="3" t="n">
        <v>0</v>
      </c>
      <c r="H4542" s="3" t="n">
        <v>0</v>
      </c>
      <c r="I4542" s="3">
        <f>E4542+G4542+H4542</f>
        <v/>
      </c>
      <c r="J4542" s="3">
        <f>ROUND(MIN(IF(C4542="Técnico III",35,IF(C4542="Técnico II",28,IF(C4542="Técnico I",23,IF(C4542="JR",20,IF(C4542="Estágio",10,0))))),IF(C4542="Técnico III",SUMIFS($D:$D,$A:$A,$A4542,$B:$B,"&lt;&gt;Patrícia Karla de Sousa Araújo",$B:$B,"&lt;&gt;Lorena Dias de Araujo",$B:$B,"&lt;&gt;Lucas Luiz Romero")*(35/1083),IF(C4542="Técnico II",SUMIFS($D:$D,$A:$A,$A4542,$B:$B,"&lt;&gt;Patrícia Karla de Sousa Araújo",$B:$B,"&lt;&gt;Lorena Dias de Araujo",$B:$B,"&lt;&gt;Lucas Luiz Romero")*(28/1083),IF(C4542="Técnico I",SUMIFS($D:$D,$A:$A,$A4542,$B:$B,"&lt;&gt;Patrícia Karla de Sousa Araújo",$B:$B,"&lt;&gt;Lorena Dias de Araujo",$B:$B,"&lt;&gt;Lucas Luiz Romero")*(23/1083),IF(C4542="JR",SUMIFS($D:$D,$A:$A,$A4542,$B:$B,"&lt;&gt;Patrícia Karla de Sousa Araújo",$B:$B,"&lt;&gt;Lorena Dias de Araujo",$B:$B,"&lt;&gt;Lucas Luiz Romero")*(20/1083),IF(C4542="Estágio",SUMIFS($D:$D,$A:$A,$A4542,$B:$B,"&lt;&gt;Patrícia Karla de Sousa Araújo",$B:$B,"&lt;&gt;Lorena Dias de Araujo",$B:$B,"&lt;&gt;Lucas Luiz Romero")*(10/1083),0)))))),0)</f>
        <v/>
      </c>
      <c r="K4542" s="3">
        <f>I4542-J4542</f>
        <v/>
      </c>
      <c r="L4542" s="3">
        <f>IF(K4542&lt;-5,"CRÍTICO",IF(K4542&lt;0,"ATENÇÃO",IF(K4542&lt;=5,"OPORTUNO","MUITO BOM")))</f>
        <v/>
      </c>
      <c r="M4542" s="3" t="n">
        <v>0</v>
      </c>
      <c r="N4542" s="3" t="n">
        <v>95.48999999999999</v>
      </c>
      <c r="O4542" s="12" t="n">
        <v>28.37022132796781</v>
      </c>
    </row>
    <row r="4543">
      <c r="A4543" s="10" t="n">
        <v>46168</v>
      </c>
      <c r="B4543" t="inlineStr">
        <is>
          <t>Jessica Faria da Silveira</t>
        </is>
      </c>
      <c r="C4543" s="1" t="inlineStr">
        <is>
          <t>Técnico II</t>
        </is>
      </c>
      <c r="D4543" s="3" t="n">
        <v>34</v>
      </c>
      <c r="E4543" s="3" t="n">
        <v>20</v>
      </c>
      <c r="F4543" s="3" t="n">
        <v>7.25</v>
      </c>
      <c r="G4543" s="3" t="n">
        <v>0</v>
      </c>
      <c r="H4543" s="3" t="n">
        <v>0</v>
      </c>
      <c r="I4543" s="3" t="n">
        <v>20</v>
      </c>
      <c r="J4543" s="3" t="n">
        <v>22</v>
      </c>
      <c r="K4543" s="3" t="n">
        <v>-2</v>
      </c>
      <c r="L4543" s="3" t="inlineStr">
        <is>
          <t>ATENÇÃO</t>
        </is>
      </c>
      <c r="M4543" s="3" t="n">
        <v>21</v>
      </c>
      <c r="N4543" s="3" t="n">
        <v>98.94</v>
      </c>
      <c r="O4543" s="12" t="n">
        <v>22.92817679558011</v>
      </c>
    </row>
    <row r="4544">
      <c r="A4544" s="10" t="n">
        <v>46133</v>
      </c>
      <c r="B4544" t="inlineStr">
        <is>
          <t>Milena Sales</t>
        </is>
      </c>
      <c r="C4544" s="1" t="inlineStr">
        <is>
          <t>JR</t>
        </is>
      </c>
      <c r="D4544" s="3" t="n">
        <v>0</v>
      </c>
      <c r="E4544" s="3" t="n">
        <v>0</v>
      </c>
      <c r="F4544" s="3" t="n">
        <v>0</v>
      </c>
      <c r="G4544" s="3" t="n">
        <v>0</v>
      </c>
      <c r="H4544" s="3" t="n">
        <v>0</v>
      </c>
      <c r="I4544" s="3">
        <f>E4544+G4544+H4544</f>
        <v/>
      </c>
      <c r="J4544" s="3">
        <f>ROUND(MIN(IF(C4544="Técnico III",35,IF(C4544="Técnico II",28,IF(C4544="Técnico I",23,IF(C4544="JR",20,IF(C4544="Estágio",10,0))))),IF(C4544="Técnico III",SUMIFS($D:$D,$A:$A,$A4544,$B:$B,"&lt;&gt;Patrícia Karla de Sousa Araújo",$B:$B,"&lt;&gt;Lorena Dias de Araujo",$B:$B,"&lt;&gt;Lucas Luiz Romero")*(35/1083),IF(C4544="Técnico II",SUMIFS($D:$D,$A:$A,$A4544,$B:$B,"&lt;&gt;Patrícia Karla de Sousa Araújo",$B:$B,"&lt;&gt;Lorena Dias de Araujo",$B:$B,"&lt;&gt;Lucas Luiz Romero")*(28/1083),IF(C4544="Técnico I",SUMIFS($D:$D,$A:$A,$A4544,$B:$B,"&lt;&gt;Patrícia Karla de Sousa Araújo",$B:$B,"&lt;&gt;Lorena Dias de Araujo",$B:$B,"&lt;&gt;Lucas Luiz Romero")*(23/1083),IF(C4544="JR",SUMIFS($D:$D,$A:$A,$A4544,$B:$B,"&lt;&gt;Patrícia Karla de Sousa Araújo",$B:$B,"&lt;&gt;Lorena Dias de Araujo",$B:$B,"&lt;&gt;Lucas Luiz Romero")*(20/1083),IF(C4544="Estágio",SUMIFS($D:$D,$A:$A,$A4544,$B:$B,"&lt;&gt;Patrícia Karla de Sousa Araújo",$B:$B,"&lt;&gt;Lorena Dias de Araujo",$B:$B,"&lt;&gt;Lucas Luiz Romero")*(10/1083),0)))))),0)</f>
        <v/>
      </c>
      <c r="K4544" s="3">
        <f>I4544-J4544</f>
        <v/>
      </c>
      <c r="L4544" s="3">
        <f>IF(K4544&lt;-5,"CRÍTICO",IF(K4544&lt;0,"ATENÇÃO",IF(K4544&lt;=5,"OPORTUNO","MUITO BOM")))</f>
        <v/>
      </c>
      <c r="M4544" s="3" t="n">
        <v>0</v>
      </c>
      <c r="N4544" s="3" t="n">
        <v>96.15000000000001</v>
      </c>
      <c r="O4544" s="12" t="n">
        <v>24.04580152671756</v>
      </c>
    </row>
    <row r="4545">
      <c r="A4545" s="10" t="n">
        <v>46133</v>
      </c>
      <c r="B4545" t="inlineStr">
        <is>
          <t>Patrícia Karla de Sousa Araújo</t>
        </is>
      </c>
      <c r="C4545" s="1" t="inlineStr">
        <is>
          <t>Técnico II</t>
        </is>
      </c>
      <c r="D4545" s="3" t="n">
        <v>0</v>
      </c>
      <c r="E4545" s="3" t="n">
        <v>0</v>
      </c>
      <c r="F4545" s="3" t="n">
        <v>0</v>
      </c>
      <c r="G4545" s="3" t="n">
        <v>0</v>
      </c>
      <c r="H4545" s="3" t="n">
        <v>0</v>
      </c>
      <c r="I4545" s="3">
        <f>E4545+G4545+H4545</f>
        <v/>
      </c>
      <c r="J4545" s="3">
        <f>ROUND(MIN(IF(C4545="Técnico III",35,IF(C4545="Técnico II",28,IF(C4545="Técnico I",23,IF(C4545="JR",20,IF(C4545="Estágio",10,0))))),IF(C4545="Técnico III",SUMIFS($D:$D,$A:$A,$A4545,$B:$B,"&lt;&gt;Patrícia Karla de Sousa Araújo",$B:$B,"&lt;&gt;Lorena Dias de Araujo",$B:$B,"&lt;&gt;Lucas Luiz Romero")*(35/1083),IF(C4545="Técnico II",SUMIFS($D:$D,$A:$A,$A4545,$B:$B,"&lt;&gt;Patrícia Karla de Sousa Araújo",$B:$B,"&lt;&gt;Lorena Dias de Araujo",$B:$B,"&lt;&gt;Lucas Luiz Romero")*(28/1083),IF(C4545="Técnico I",SUMIFS($D:$D,$A:$A,$A4545,$B:$B,"&lt;&gt;Patrícia Karla de Sousa Araújo",$B:$B,"&lt;&gt;Lorena Dias de Araujo",$B:$B,"&lt;&gt;Lucas Luiz Romero")*(23/1083),IF(C4545="JR",SUMIFS($D:$D,$A:$A,$A4545,$B:$B,"&lt;&gt;Patrícia Karla de Sousa Araújo",$B:$B,"&lt;&gt;Lorena Dias de Araujo",$B:$B,"&lt;&gt;Lucas Luiz Romero")*(20/1083),IF(C4545="Estágio",SUMIFS($D:$D,$A:$A,$A4545,$B:$B,"&lt;&gt;Patrícia Karla de Sousa Araújo",$B:$B,"&lt;&gt;Lorena Dias de Araujo",$B:$B,"&lt;&gt;Lucas Luiz Romero")*(10/1083),0)))))),0)</f>
        <v/>
      </c>
      <c r="K4545" s="3">
        <f>I4545-J4545</f>
        <v/>
      </c>
      <c r="L4545" s="3">
        <f>IF(K4545&lt;-5,"CRÍTICO",IF(K4545&lt;0,"ATENÇÃO",IF(K4545&lt;=5,"OPORTUNO","MUITO BOM")))</f>
        <v/>
      </c>
      <c r="M4545" s="3" t="n">
        <v>0</v>
      </c>
      <c r="N4545" s="3" t="n">
        <v>99.02</v>
      </c>
      <c r="O4545" s="12" t="n">
        <v>34.7972972972973</v>
      </c>
    </row>
    <row r="4546">
      <c r="A4546" s="10" t="n">
        <v>46133</v>
      </c>
      <c r="B4546" t="inlineStr">
        <is>
          <t>Paulo Ricardo Santos</t>
        </is>
      </c>
      <c r="C4546" s="1" t="inlineStr">
        <is>
          <t>JR</t>
        </is>
      </c>
      <c r="D4546" s="3" t="n">
        <v>0</v>
      </c>
      <c r="E4546" s="3" t="n">
        <v>0</v>
      </c>
      <c r="F4546" s="3" t="n">
        <v>0</v>
      </c>
      <c r="G4546" s="3" t="n">
        <v>0</v>
      </c>
      <c r="H4546" s="3" t="n">
        <v>0</v>
      </c>
      <c r="I4546" s="3">
        <f>E4546+G4546+H4546</f>
        <v/>
      </c>
      <c r="J4546" s="3">
        <f>ROUND(MIN(IF(C4546="Técnico III",35,IF(C4546="Técnico II",28,IF(C4546="Técnico I",23,IF(C4546="JR",20,IF(C4546="Estágio",10,0))))),IF(C4546="Técnico III",SUMIFS($D:$D,$A:$A,$A4546,$B:$B,"&lt;&gt;Patrícia Karla de Sousa Araújo",$B:$B,"&lt;&gt;Lorena Dias de Araujo",$B:$B,"&lt;&gt;Lucas Luiz Romero")*(35/1083),IF(C4546="Técnico II",SUMIFS($D:$D,$A:$A,$A4546,$B:$B,"&lt;&gt;Patrícia Karla de Sousa Araújo",$B:$B,"&lt;&gt;Lorena Dias de Araujo",$B:$B,"&lt;&gt;Lucas Luiz Romero")*(28/1083),IF(C4546="Técnico I",SUMIFS($D:$D,$A:$A,$A4546,$B:$B,"&lt;&gt;Patrícia Karla de Sousa Araújo",$B:$B,"&lt;&gt;Lorena Dias de Araujo",$B:$B,"&lt;&gt;Lucas Luiz Romero")*(23/1083),IF(C4546="JR",SUMIFS($D:$D,$A:$A,$A4546,$B:$B,"&lt;&gt;Patrícia Karla de Sousa Araújo",$B:$B,"&lt;&gt;Lorena Dias de Araujo",$B:$B,"&lt;&gt;Lucas Luiz Romero")*(20/1083),IF(C4546="Estágio",SUMIFS($D:$D,$A:$A,$A4546,$B:$B,"&lt;&gt;Patrícia Karla de Sousa Araújo",$B:$B,"&lt;&gt;Lorena Dias de Araujo",$B:$B,"&lt;&gt;Lucas Luiz Romero")*(10/1083),0)))))),0)</f>
        <v/>
      </c>
      <c r="K4546" s="3">
        <f>I4546-J4546</f>
        <v/>
      </c>
      <c r="L4546" s="3">
        <f>IF(K4546&lt;-5,"CRÍTICO",IF(K4546&lt;0,"ATENÇÃO",IF(K4546&lt;=5,"OPORTUNO","MUITO BOM")))</f>
        <v/>
      </c>
      <c r="M4546" s="3" t="n">
        <v>0</v>
      </c>
      <c r="N4546" s="3" t="n">
        <v>98.84</v>
      </c>
      <c r="O4546" s="12" t="n">
        <v>31.86813186813187</v>
      </c>
    </row>
    <row r="4547">
      <c r="A4547" s="10" t="n">
        <v>46133</v>
      </c>
      <c r="B4547" t="inlineStr">
        <is>
          <t>Pedro Luiz Mota Sousa</t>
        </is>
      </c>
      <c r="C4547" s="1" t="inlineStr">
        <is>
          <t>JR</t>
        </is>
      </c>
      <c r="D4547" s="3" t="n">
        <v>0</v>
      </c>
      <c r="E4547" s="3" t="n">
        <v>0</v>
      </c>
      <c r="F4547" s="3" t="n">
        <v>0</v>
      </c>
      <c r="G4547" s="3" t="n">
        <v>0</v>
      </c>
      <c r="H4547" s="3" t="n">
        <v>0</v>
      </c>
      <c r="I4547" s="3">
        <f>E4547+G4547+H4547</f>
        <v/>
      </c>
      <c r="J4547" s="3">
        <f>ROUND(MIN(IF(C4547="Técnico III",35,IF(C4547="Técnico II",28,IF(C4547="Técnico I",23,IF(C4547="JR",20,IF(C4547="Estágio",10,0))))),IF(C4547="Técnico III",SUMIFS($D:$D,$A:$A,$A4547,$B:$B,"&lt;&gt;Patrícia Karla de Sousa Araújo",$B:$B,"&lt;&gt;Lorena Dias de Araujo",$B:$B,"&lt;&gt;Lucas Luiz Romero")*(35/1083),IF(C4547="Técnico II",SUMIFS($D:$D,$A:$A,$A4547,$B:$B,"&lt;&gt;Patrícia Karla de Sousa Araújo",$B:$B,"&lt;&gt;Lorena Dias de Araujo",$B:$B,"&lt;&gt;Lucas Luiz Romero")*(28/1083),IF(C4547="Técnico I",SUMIFS($D:$D,$A:$A,$A4547,$B:$B,"&lt;&gt;Patrícia Karla de Sousa Araújo",$B:$B,"&lt;&gt;Lorena Dias de Araujo",$B:$B,"&lt;&gt;Lucas Luiz Romero")*(23/1083),IF(C4547="JR",SUMIFS($D:$D,$A:$A,$A4547,$B:$B,"&lt;&gt;Patrícia Karla de Sousa Araújo",$B:$B,"&lt;&gt;Lorena Dias de Araujo",$B:$B,"&lt;&gt;Lucas Luiz Romero")*(20/1083),IF(C4547="Estágio",SUMIFS($D:$D,$A:$A,$A4547,$B:$B,"&lt;&gt;Patrícia Karla de Sousa Araújo",$B:$B,"&lt;&gt;Lorena Dias de Araujo",$B:$B,"&lt;&gt;Lucas Luiz Romero")*(10/1083),0)))))),0)</f>
        <v/>
      </c>
      <c r="K4547" s="3">
        <f>I4547-J4547</f>
        <v/>
      </c>
      <c r="L4547" s="3">
        <f>IF(K4547&lt;-5,"CRÍTICO",IF(K4547&lt;0,"ATENÇÃO",IF(K4547&lt;=5,"OPORTUNO","MUITO BOM")))</f>
        <v/>
      </c>
      <c r="M4547" s="3" t="n">
        <v>0</v>
      </c>
      <c r="N4547" s="3" t="n">
        <v>100</v>
      </c>
      <c r="O4547" s="12" t="n">
        <v>34.66666666666667</v>
      </c>
    </row>
    <row r="4548">
      <c r="A4548" s="10" t="n">
        <v>46168</v>
      </c>
      <c r="B4548" t="inlineStr">
        <is>
          <t>Lizandra Gomes Duarte</t>
        </is>
      </c>
      <c r="C4548" s="1" t="inlineStr">
        <is>
          <t>Técnico II</t>
        </is>
      </c>
      <c r="D4548" s="3" t="n">
        <v>21</v>
      </c>
      <c r="E4548" s="3" t="n">
        <v>20</v>
      </c>
      <c r="F4548" s="3" t="n">
        <v>20.39</v>
      </c>
      <c r="G4548" s="3" t="n">
        <v>0</v>
      </c>
      <c r="I4548" s="3" t="n">
        <v>20</v>
      </c>
      <c r="J4548" s="3" t="n">
        <v>22</v>
      </c>
      <c r="K4548" s="3" t="n">
        <v>-2</v>
      </c>
      <c r="L4548" s="3" t="inlineStr">
        <is>
          <t>ATENÇÃO</t>
        </is>
      </c>
      <c r="M4548" s="3" t="n">
        <v>17</v>
      </c>
      <c r="N4548" s="3" t="n">
        <v>99</v>
      </c>
      <c r="O4548" s="12" t="n">
        <v>24.52316076294278</v>
      </c>
    </row>
    <row r="4549">
      <c r="A4549" s="10" t="n">
        <v>46133</v>
      </c>
      <c r="B4549" t="inlineStr">
        <is>
          <t>Raane Batista Matos</t>
        </is>
      </c>
      <c r="C4549" s="1" t="inlineStr">
        <is>
          <t>Técnico I</t>
        </is>
      </c>
      <c r="D4549" s="3" t="n">
        <v>0</v>
      </c>
      <c r="E4549" s="3" t="n">
        <v>0</v>
      </c>
      <c r="F4549" s="3" t="n">
        <v>0</v>
      </c>
      <c r="G4549" s="3" t="n">
        <v>0</v>
      </c>
      <c r="H4549" s="3" t="n">
        <v>0</v>
      </c>
      <c r="I4549" s="3">
        <f>E4549+G4549+H4549</f>
        <v/>
      </c>
      <c r="J4549" s="3">
        <f>ROUND(MIN(IF(C4549="Técnico III",35,IF(C4549="Técnico II",28,IF(C4549="Técnico I",23,IF(C4549="JR",20,IF(C4549="Estágio",10,0))))),IF(C4549="Técnico III",SUMIFS($D:$D,$A:$A,$A4549,$B:$B,"&lt;&gt;Patrícia Karla de Sousa Araújo",$B:$B,"&lt;&gt;Lorena Dias de Araujo",$B:$B,"&lt;&gt;Lucas Luiz Romero")*(35/1083),IF(C4549="Técnico II",SUMIFS($D:$D,$A:$A,$A4549,$B:$B,"&lt;&gt;Patrícia Karla de Sousa Araújo",$B:$B,"&lt;&gt;Lorena Dias de Araujo",$B:$B,"&lt;&gt;Lucas Luiz Romero")*(28/1083),IF(C4549="Técnico I",SUMIFS($D:$D,$A:$A,$A4549,$B:$B,"&lt;&gt;Patrícia Karla de Sousa Araújo",$B:$B,"&lt;&gt;Lorena Dias de Araujo",$B:$B,"&lt;&gt;Lucas Luiz Romero")*(23/1083),IF(C4549="JR",SUMIFS($D:$D,$A:$A,$A4549,$B:$B,"&lt;&gt;Patrícia Karla de Sousa Araújo",$B:$B,"&lt;&gt;Lorena Dias de Araujo",$B:$B,"&lt;&gt;Lucas Luiz Romero")*(20/1083),IF(C4549="Estágio",SUMIFS($D:$D,$A:$A,$A4549,$B:$B,"&lt;&gt;Patrícia Karla de Sousa Araújo",$B:$B,"&lt;&gt;Lorena Dias de Araujo",$B:$B,"&lt;&gt;Lucas Luiz Romero")*(10/1083),0)))))),0)</f>
        <v/>
      </c>
      <c r="K4549" s="3">
        <f>I4549-J4549</f>
        <v/>
      </c>
      <c r="L4549" s="3">
        <f>IF(K4549&lt;-5,"CRÍTICO",IF(K4549&lt;0,"ATENÇÃO",IF(K4549&lt;=5,"OPORTUNO","MUITO BOM")))</f>
        <v/>
      </c>
      <c r="M4549" s="3" t="n">
        <v>0</v>
      </c>
      <c r="N4549" s="3" t="n">
        <v>98.31999999999999</v>
      </c>
      <c r="O4549" s="12" t="n">
        <v>26.85851318944844</v>
      </c>
    </row>
    <row r="4550">
      <c r="A4550" s="10" t="n">
        <v>46133</v>
      </c>
      <c r="B4550" t="inlineStr">
        <is>
          <t>Rafael Gomes de Morais</t>
        </is>
      </c>
      <c r="C4550" s="1" t="inlineStr">
        <is>
          <t>Técnico III</t>
        </is>
      </c>
      <c r="D4550" s="3" t="n">
        <v>0</v>
      </c>
      <c r="E4550" s="3" t="n">
        <v>0</v>
      </c>
      <c r="F4550" s="3" t="n">
        <v>0</v>
      </c>
      <c r="G4550" s="3" t="n">
        <v>0</v>
      </c>
      <c r="H4550" s="3" t="n">
        <v>0</v>
      </c>
      <c r="I4550" s="3">
        <f>E4550+G4550+H4550</f>
        <v/>
      </c>
      <c r="J4550" s="3">
        <f>ROUND(MIN(IF(C4550="Técnico III",35,IF(C4550="Técnico II",28,IF(C4550="Técnico I",23,IF(C4550="JR",20,IF(C4550="Estágio",10,0))))),IF(C4550="Técnico III",SUMIFS($D:$D,$A:$A,$A4550,$B:$B,"&lt;&gt;Patrícia Karla de Sousa Araújo",$B:$B,"&lt;&gt;Lorena Dias de Araujo",$B:$B,"&lt;&gt;Lucas Luiz Romero")*(35/1083),IF(C4550="Técnico II",SUMIFS($D:$D,$A:$A,$A4550,$B:$B,"&lt;&gt;Patrícia Karla de Sousa Araújo",$B:$B,"&lt;&gt;Lorena Dias de Araujo",$B:$B,"&lt;&gt;Lucas Luiz Romero")*(28/1083),IF(C4550="Técnico I",SUMIFS($D:$D,$A:$A,$A4550,$B:$B,"&lt;&gt;Patrícia Karla de Sousa Araújo",$B:$B,"&lt;&gt;Lorena Dias de Araujo",$B:$B,"&lt;&gt;Lucas Luiz Romero")*(23/1083),IF(C4550="JR",SUMIFS($D:$D,$A:$A,$A4550,$B:$B,"&lt;&gt;Patrícia Karla de Sousa Araújo",$B:$B,"&lt;&gt;Lorena Dias de Araujo",$B:$B,"&lt;&gt;Lucas Luiz Romero")*(20/1083),IF(C4550="Estágio",SUMIFS($D:$D,$A:$A,$A4550,$B:$B,"&lt;&gt;Patrícia Karla de Sousa Araújo",$B:$B,"&lt;&gt;Lorena Dias de Araujo",$B:$B,"&lt;&gt;Lucas Luiz Romero")*(10/1083),0)))))),0)</f>
        <v/>
      </c>
      <c r="K4550" s="3">
        <f>I4550-J4550</f>
        <v/>
      </c>
      <c r="L4550" s="3">
        <f>IF(K4550&lt;-5,"CRÍTICO",IF(K4550&lt;0,"ATENÇÃO",IF(K4550&lt;=5,"OPORTUNO","MUITO BOM")))</f>
        <v/>
      </c>
      <c r="M4550" s="3" t="n">
        <v>0</v>
      </c>
      <c r="N4550" s="3" t="n">
        <v>100</v>
      </c>
      <c r="O4550" s="12" t="n">
        <v>31.13553113553114</v>
      </c>
    </row>
    <row r="4551">
      <c r="A4551" s="10" t="n">
        <v>46133</v>
      </c>
      <c r="B4551" t="inlineStr">
        <is>
          <t>Sara Maria Monteiro Lopes</t>
        </is>
      </c>
      <c r="C4551" s="1" t="inlineStr">
        <is>
          <t>Técnico I</t>
        </is>
      </c>
      <c r="D4551" s="3" t="n">
        <v>0</v>
      </c>
      <c r="E4551" s="3" t="n">
        <v>0</v>
      </c>
      <c r="F4551" s="3" t="n">
        <v>0</v>
      </c>
      <c r="G4551" s="3" t="n">
        <v>0</v>
      </c>
      <c r="H4551" s="3" t="n">
        <v>0</v>
      </c>
      <c r="I4551" s="3">
        <f>E4551+G4551+H4551</f>
        <v/>
      </c>
      <c r="J4551" s="3">
        <f>ROUND(MIN(IF(C4551="Técnico III",35,IF(C4551="Técnico II",28,IF(C4551="Técnico I",23,IF(C4551="JR",20,IF(C4551="Estágio",10,0))))),IF(C4551="Técnico III",SUMIFS($D:$D,$A:$A,$A4551,$B:$B,"&lt;&gt;Patrícia Karla de Sousa Araújo",$B:$B,"&lt;&gt;Lorena Dias de Araujo",$B:$B,"&lt;&gt;Lucas Luiz Romero")*(35/1083),IF(C4551="Técnico II",SUMIFS($D:$D,$A:$A,$A4551,$B:$B,"&lt;&gt;Patrícia Karla de Sousa Araújo",$B:$B,"&lt;&gt;Lorena Dias de Araujo",$B:$B,"&lt;&gt;Lucas Luiz Romero")*(28/1083),IF(C4551="Técnico I",SUMIFS($D:$D,$A:$A,$A4551,$B:$B,"&lt;&gt;Patrícia Karla de Sousa Araújo",$B:$B,"&lt;&gt;Lorena Dias de Araujo",$B:$B,"&lt;&gt;Lucas Luiz Romero")*(23/1083),IF(C4551="JR",SUMIFS($D:$D,$A:$A,$A4551,$B:$B,"&lt;&gt;Patrícia Karla de Sousa Araújo",$B:$B,"&lt;&gt;Lorena Dias de Araujo",$B:$B,"&lt;&gt;Lucas Luiz Romero")*(20/1083),IF(C4551="Estágio",SUMIFS($D:$D,$A:$A,$A4551,$B:$B,"&lt;&gt;Patrícia Karla de Sousa Araújo",$B:$B,"&lt;&gt;Lorena Dias de Araujo",$B:$B,"&lt;&gt;Lucas Luiz Romero")*(10/1083),0)))))),0)</f>
        <v/>
      </c>
      <c r="K4551" s="3">
        <f>I4551-J4551</f>
        <v/>
      </c>
      <c r="L4551" s="3">
        <f>IF(K4551&lt;-5,"CRÍTICO",IF(K4551&lt;0,"ATENÇÃO",IF(K4551&lt;=5,"OPORTUNO","MUITO BOM")))</f>
        <v/>
      </c>
      <c r="M4551" s="3" t="n">
        <v>0</v>
      </c>
      <c r="N4551" s="3" t="n">
        <v>100</v>
      </c>
      <c r="O4551" s="12" t="n">
        <v>26.36986301369863</v>
      </c>
    </row>
    <row r="4552">
      <c r="A4552" s="10" t="n">
        <v>46133</v>
      </c>
      <c r="B4552" t="inlineStr">
        <is>
          <t>Sarah Steffanie de Lima Borges</t>
        </is>
      </c>
      <c r="C4552" s="1" t="inlineStr">
        <is>
          <t>Técnico III</t>
        </is>
      </c>
      <c r="D4552" s="3" t="n">
        <v>0</v>
      </c>
      <c r="E4552" s="3" t="n">
        <v>0</v>
      </c>
      <c r="F4552" s="3" t="n">
        <v>0</v>
      </c>
      <c r="G4552" s="3" t="n">
        <v>0</v>
      </c>
      <c r="H4552" s="3" t="n">
        <v>0</v>
      </c>
      <c r="I4552" s="3">
        <f>E4552+G4552+H4552</f>
        <v/>
      </c>
      <c r="J4552" s="3">
        <f>ROUND(MIN(IF(C4552="Técnico III",35,IF(C4552="Técnico II",28,IF(C4552="Técnico I",23,IF(C4552="JR",20,IF(C4552="Estágio",10,0))))),IF(C4552="Técnico III",SUMIFS($D:$D,$A:$A,$A4552,$B:$B,"&lt;&gt;Patrícia Karla de Sousa Araújo",$B:$B,"&lt;&gt;Lorena Dias de Araujo",$B:$B,"&lt;&gt;Lucas Luiz Romero")*(35/1083),IF(C4552="Técnico II",SUMIFS($D:$D,$A:$A,$A4552,$B:$B,"&lt;&gt;Patrícia Karla de Sousa Araújo",$B:$B,"&lt;&gt;Lorena Dias de Araujo",$B:$B,"&lt;&gt;Lucas Luiz Romero")*(28/1083),IF(C4552="Técnico I",SUMIFS($D:$D,$A:$A,$A4552,$B:$B,"&lt;&gt;Patrícia Karla de Sousa Araújo",$B:$B,"&lt;&gt;Lorena Dias de Araujo",$B:$B,"&lt;&gt;Lucas Luiz Romero")*(23/1083),IF(C4552="JR",SUMIFS($D:$D,$A:$A,$A4552,$B:$B,"&lt;&gt;Patrícia Karla de Sousa Araújo",$B:$B,"&lt;&gt;Lorena Dias de Araujo",$B:$B,"&lt;&gt;Lucas Luiz Romero")*(20/1083),IF(C4552="Estágio",SUMIFS($D:$D,$A:$A,$A4552,$B:$B,"&lt;&gt;Patrícia Karla de Sousa Araújo",$B:$B,"&lt;&gt;Lorena Dias de Araujo",$B:$B,"&lt;&gt;Lucas Luiz Romero")*(10/1083),0)))))),0)</f>
        <v/>
      </c>
      <c r="K4552" s="3">
        <f>I4552-J4552</f>
        <v/>
      </c>
      <c r="L4552" s="3">
        <f>IF(K4552&lt;-5,"CRÍTICO",IF(K4552&lt;0,"ATENÇÃO",IF(K4552&lt;=5,"OPORTUNO","MUITO BOM")))</f>
        <v/>
      </c>
      <c r="M4552" s="3" t="n">
        <v>0</v>
      </c>
      <c r="N4552" s="3" t="n">
        <v>99.20999999999999</v>
      </c>
      <c r="O4552" s="12" t="n">
        <v>25.18891687657431</v>
      </c>
    </row>
    <row r="4553">
      <c r="A4553" s="10" t="n">
        <v>46168</v>
      </c>
      <c r="B4553" t="inlineStr">
        <is>
          <t>Lorena Dias de Araujo</t>
        </is>
      </c>
      <c r="C4553" s="1" t="inlineStr">
        <is>
          <t>Técnico II</t>
        </is>
      </c>
      <c r="D4553" s="3" t="n">
        <v>18</v>
      </c>
      <c r="E4553" s="3" t="n">
        <v>17</v>
      </c>
      <c r="F4553" s="3" t="n">
        <v>22.25</v>
      </c>
      <c r="G4553" s="3" t="n">
        <v>0</v>
      </c>
      <c r="H4553" s="3" t="n">
        <v>0</v>
      </c>
      <c r="I4553" s="3" t="n">
        <v>17</v>
      </c>
      <c r="J4553" s="3" t="n">
        <v>22</v>
      </c>
      <c r="K4553" s="3" t="n">
        <v>-5</v>
      </c>
      <c r="L4553" s="3" t="inlineStr">
        <is>
          <t>ATENÇÃO</t>
        </is>
      </c>
      <c r="M4553" s="3" t="n">
        <v>15</v>
      </c>
      <c r="N4553" s="3" t="n">
        <v>100</v>
      </c>
      <c r="O4553" s="12" t="n">
        <v>26.4367816091954</v>
      </c>
    </row>
    <row r="4554">
      <c r="A4554" s="10" t="n">
        <v>46168</v>
      </c>
      <c r="B4554" t="inlineStr">
        <is>
          <t>Patrícia Karla de Sousa Araújo</t>
        </is>
      </c>
      <c r="C4554" s="1" t="inlineStr">
        <is>
          <t>Técnico II</t>
        </is>
      </c>
      <c r="D4554" s="3" t="n">
        <v>0</v>
      </c>
      <c r="E4554" s="3" t="n">
        <v>0</v>
      </c>
      <c r="F4554" s="3" t="n">
        <v>0</v>
      </c>
      <c r="G4554" s="3" t="n">
        <v>0</v>
      </c>
      <c r="H4554" s="3" t="n">
        <v>0</v>
      </c>
      <c r="I4554" s="3" t="n">
        <v>0</v>
      </c>
      <c r="J4554" s="3" t="n">
        <v>0</v>
      </c>
      <c r="K4554" s="3" t="n">
        <v>0</v>
      </c>
      <c r="L4554" s="3" t="inlineStr">
        <is>
          <t>BOM</t>
        </is>
      </c>
      <c r="M4554" s="3" t="n">
        <v>0</v>
      </c>
      <c r="N4554" s="3" t="n">
        <v>100</v>
      </c>
      <c r="O4554" s="12" t="n">
        <v>21.10091743119266</v>
      </c>
    </row>
    <row r="4555">
      <c r="A4555" s="10" t="n">
        <v>46168</v>
      </c>
      <c r="B4555" t="inlineStr">
        <is>
          <t>Clessiane Pereira dos Santos</t>
        </is>
      </c>
      <c r="C4555" s="1" t="inlineStr">
        <is>
          <t>Técnico I</t>
        </is>
      </c>
      <c r="D4555" s="3" t="n">
        <v>28</v>
      </c>
      <c r="E4555" s="3" t="n">
        <v>26</v>
      </c>
      <c r="F4555" s="3" t="n">
        <v>15.35</v>
      </c>
      <c r="G4555" s="3" t="n">
        <v>2</v>
      </c>
      <c r="I4555" s="3" t="n">
        <v>28</v>
      </c>
      <c r="J4555" s="3" t="n">
        <v>18</v>
      </c>
      <c r="K4555" s="3" t="n">
        <v>10</v>
      </c>
      <c r="L4555" s="3" t="inlineStr">
        <is>
          <t>EXCELENTE</t>
        </is>
      </c>
      <c r="M4555" s="3" t="n">
        <v>25</v>
      </c>
      <c r="N4555" s="3" t="n">
        <v>97.48</v>
      </c>
      <c r="O4555" s="12" t="n">
        <v>25.40106951871658</v>
      </c>
    </row>
    <row r="4556">
      <c r="A4556" s="10" t="n">
        <v>46168</v>
      </c>
      <c r="B4556" t="inlineStr">
        <is>
          <t>Daniel Gomes da Silva</t>
        </is>
      </c>
      <c r="C4556" s="1" t="inlineStr">
        <is>
          <t>Técnico I</t>
        </is>
      </c>
      <c r="D4556" s="3" t="n">
        <v>20</v>
      </c>
      <c r="E4556" s="3" t="n">
        <v>17</v>
      </c>
      <c r="F4556" s="3" t="n">
        <v>16.54</v>
      </c>
      <c r="G4556" s="3" t="n">
        <v>0</v>
      </c>
      <c r="I4556" s="3" t="n">
        <v>17</v>
      </c>
      <c r="J4556" s="3" t="n">
        <v>18</v>
      </c>
      <c r="K4556" s="3" t="n">
        <v>-1</v>
      </c>
      <c r="L4556" s="3" t="inlineStr">
        <is>
          <t>ATENÇÃO</t>
        </is>
      </c>
      <c r="M4556" s="3" t="n">
        <v>13</v>
      </c>
      <c r="N4556" s="3" t="n">
        <v>100</v>
      </c>
      <c r="O4556" s="12" t="n">
        <v>22.58064516129032</v>
      </c>
    </row>
    <row r="4557">
      <c r="A4557" s="10" t="n">
        <v>46168</v>
      </c>
      <c r="B4557" t="inlineStr">
        <is>
          <t>Gabriel Gomes de Andrade</t>
        </is>
      </c>
      <c r="C4557" s="1" t="inlineStr">
        <is>
          <t>Técnico I</t>
        </is>
      </c>
      <c r="D4557" s="3" t="n">
        <v>20</v>
      </c>
      <c r="E4557" s="3" t="n">
        <v>20</v>
      </c>
      <c r="F4557" s="3" t="n">
        <v>21.49</v>
      </c>
      <c r="G4557" s="3" t="n">
        <v>2</v>
      </c>
      <c r="H4557" s="3" t="n">
        <v>0</v>
      </c>
      <c r="I4557" s="3" t="n">
        <v>22</v>
      </c>
      <c r="J4557" s="3" t="n">
        <v>18</v>
      </c>
      <c r="K4557" s="3" t="n">
        <v>4</v>
      </c>
      <c r="L4557" s="3" t="inlineStr">
        <is>
          <t>BOM</t>
        </is>
      </c>
      <c r="M4557" s="3" t="n">
        <v>19</v>
      </c>
      <c r="N4557" s="3" t="n">
        <v>99.06</v>
      </c>
      <c r="O4557" s="12" t="n">
        <v>22.33009708737864</v>
      </c>
    </row>
    <row r="4558">
      <c r="A4558" s="10" t="n">
        <v>46168</v>
      </c>
      <c r="B4558" t="inlineStr">
        <is>
          <t>Luiz Fernando de Carvalho Junior</t>
        </is>
      </c>
      <c r="C4558" s="1" t="inlineStr">
        <is>
          <t>Técnico I</t>
        </is>
      </c>
      <c r="D4558" s="3" t="n">
        <v>28</v>
      </c>
      <c r="E4558" s="3" t="n">
        <v>27</v>
      </c>
      <c r="F4558" s="3" t="n">
        <v>16.45</v>
      </c>
      <c r="G4558" s="3" t="n">
        <v>1</v>
      </c>
      <c r="I4558" s="3" t="n">
        <v>28</v>
      </c>
      <c r="J4558" s="3" t="n">
        <v>18</v>
      </c>
      <c r="K4558" s="3" t="n">
        <v>10</v>
      </c>
      <c r="L4558" s="3" t="inlineStr">
        <is>
          <t>EXCELENTE</t>
        </is>
      </c>
      <c r="M4558" s="3" t="n">
        <v>26</v>
      </c>
      <c r="N4558" s="3" t="n">
        <v>94.55</v>
      </c>
      <c r="O4558" s="12" t="n">
        <v>24.25876010781671</v>
      </c>
    </row>
    <row r="4559">
      <c r="A4559" s="10" t="n">
        <v>46168</v>
      </c>
      <c r="B4559" t="inlineStr">
        <is>
          <t>Raane Batista Matos</t>
        </is>
      </c>
      <c r="C4559" s="1" t="inlineStr">
        <is>
          <t>Técnico I</t>
        </is>
      </c>
      <c r="D4559" s="3" t="n">
        <v>29</v>
      </c>
      <c r="E4559" s="3" t="n">
        <v>26</v>
      </c>
      <c r="F4559" s="3" t="n">
        <v>15.57</v>
      </c>
      <c r="G4559" s="3" t="n">
        <v>4</v>
      </c>
      <c r="I4559" s="3" t="n">
        <v>30</v>
      </c>
      <c r="J4559" s="3" t="n">
        <v>18</v>
      </c>
      <c r="K4559" s="3" t="n">
        <v>12</v>
      </c>
      <c r="L4559" s="3" t="inlineStr">
        <is>
          <t>EXCELENTE</t>
        </is>
      </c>
      <c r="M4559" s="3" t="n">
        <v>22</v>
      </c>
      <c r="N4559" s="3" t="n">
        <v>98</v>
      </c>
      <c r="O4559" s="12" t="n">
        <v>22.57217847769029</v>
      </c>
    </row>
    <row r="4560">
      <c r="A4560" s="10" t="n">
        <v>46168</v>
      </c>
      <c r="B4560" t="inlineStr">
        <is>
          <t>Sara Maria Monteiro Lopes</t>
        </is>
      </c>
      <c r="C4560" s="1" t="inlineStr">
        <is>
          <t>Técnico I</t>
        </is>
      </c>
      <c r="D4560" s="3" t="n">
        <v>15</v>
      </c>
      <c r="E4560" s="3" t="n">
        <v>15</v>
      </c>
      <c r="F4560" s="3" t="n">
        <v>37</v>
      </c>
      <c r="G4560" s="3" t="n">
        <v>0</v>
      </c>
      <c r="H4560" s="3" t="n">
        <v>0</v>
      </c>
      <c r="I4560" s="3" t="n">
        <v>15</v>
      </c>
      <c r="J4560" s="3" t="n">
        <v>18</v>
      </c>
      <c r="K4560" s="3" t="n">
        <v>-3</v>
      </c>
      <c r="L4560" s="3" t="inlineStr">
        <is>
          <t>ATENÇÃO</t>
        </is>
      </c>
      <c r="M4560" s="3" t="n">
        <v>14</v>
      </c>
      <c r="N4560" s="3" t="n">
        <v>100</v>
      </c>
      <c r="O4560" s="12" t="n">
        <v>19.35483870967742</v>
      </c>
    </row>
    <row r="4561">
      <c r="A4561" s="10" t="n">
        <v>46168</v>
      </c>
      <c r="B4561" t="inlineStr">
        <is>
          <t>Matheus Farias De Souza</t>
        </is>
      </c>
      <c r="C4561" s="1" t="inlineStr">
        <is>
          <t>Técnico III</t>
        </is>
      </c>
      <c r="D4561" s="3" t="n">
        <v>0</v>
      </c>
      <c r="E4561" s="3" t="n">
        <v>0</v>
      </c>
      <c r="F4561" s="3" t="n">
        <v>0</v>
      </c>
      <c r="G4561" s="3" t="n">
        <v>0</v>
      </c>
      <c r="H4561" s="3" t="n">
        <v>47</v>
      </c>
      <c r="I4561" s="3" t="n">
        <v>47</v>
      </c>
      <c r="J4561" s="3" t="n">
        <v>27</v>
      </c>
      <c r="K4561" s="3" t="n">
        <v>20</v>
      </c>
      <c r="L4561" s="3" t="inlineStr">
        <is>
          <t>EXCELENTE</t>
        </is>
      </c>
      <c r="M4561" s="3" t="n">
        <v>18</v>
      </c>
      <c r="N4561" s="3" t="n">
        <v>98.39</v>
      </c>
      <c r="O4561" s="12" t="n">
        <v>9.066666666666666</v>
      </c>
    </row>
    <row r="4562">
      <c r="A4562" s="5" t="n">
        <v>46149</v>
      </c>
      <c r="B4562" s="6" t="inlineStr">
        <is>
          <t>Pedro Luiz Mota Sousa</t>
        </is>
      </c>
      <c r="C4562" s="1" t="inlineStr">
        <is>
          <t>JR</t>
        </is>
      </c>
      <c r="D4562" s="3" t="n">
        <v>19</v>
      </c>
      <c r="E4562" s="3" t="n">
        <v>19</v>
      </c>
      <c r="F4562" s="3" t="n">
        <v>17.09</v>
      </c>
      <c r="G4562" s="3" t="n">
        <v>5</v>
      </c>
      <c r="H4562" s="3" t="n">
        <v>0</v>
      </c>
      <c r="I4562" s="3">
        <f>E4562+G4562+H4562</f>
        <v/>
      </c>
      <c r="J4562" s="3">
        <f>ROUND(MIN(IF(C4562="Técnico III",35,IF(C4562="Técnico II",28,IF(C4562="Técnico I",23,IF(C4562="JR",20,IF(C4562="Estágio",10,0))))),IF(C4562="Técnico III",SUMIFS($D:$D,$A:$A,$A4562,$B:$B,"&lt;&gt;Patrícia Karla de Sousa Araújo",$B:$B,"&lt;&gt;Lorena Dias de Araujo",$B:$B,"&lt;&gt;Lucas Luiz Romero")*(35/1083),IF(C4562="Técnico II",SUMIFS($D:$D,$A:$A,$A4562,$B:$B,"&lt;&gt;Patrícia Karla de Sousa Araújo",$B:$B,"&lt;&gt;Lorena Dias de Araujo",$B:$B,"&lt;&gt;Lucas Luiz Romero")*(28/1083),IF(C4562="Técnico I",SUMIFS($D:$D,$A:$A,$A4562,$B:$B,"&lt;&gt;Patrícia Karla de Sousa Araújo",$B:$B,"&lt;&gt;Lorena Dias de Araujo",$B:$B,"&lt;&gt;Lucas Luiz Romero")*(23/1083),IF(C4562="JR",SUMIFS($D:$D,$A:$A,$A4562,$B:$B,"&lt;&gt;Patrícia Karla de Sousa Araújo",$B:$B,"&lt;&gt;Lorena Dias de Araujo",$B:$B,"&lt;&gt;Lucas Luiz Romero")*(20/1083),IF(C4562="Estágio",SUMIFS($D:$D,$A:$A,$A4562,$B:$B,"&lt;&gt;Patrícia Karla de Sousa Araújo",$B:$B,"&lt;&gt;Lorena Dias de Araujo",$B:$B,"&lt;&gt;Lucas Luiz Romero")*(10/1083),0)))))),0)</f>
        <v/>
      </c>
      <c r="K4562" s="3">
        <f>I4562-J4562</f>
        <v/>
      </c>
      <c r="L4562" s="3">
        <f>IF(K4562&lt;-5,"CRÍTICO",IF(K4562&lt;0,"ATENÇÃO",IF(K4562&lt;=5,"OPORTUNO","MUITO BOM")))</f>
        <v/>
      </c>
      <c r="M4562" s="3" t="n">
        <v>25</v>
      </c>
      <c r="N4562" s="3" t="n">
        <v>100</v>
      </c>
      <c r="O4562" s="12" t="n">
        <v>16.34241245136187</v>
      </c>
    </row>
    <row r="4563">
      <c r="A4563" s="5" t="n">
        <v>46150</v>
      </c>
      <c r="B4563" s="6" t="inlineStr">
        <is>
          <t>Pedro Luiz Mota Sousa</t>
        </is>
      </c>
      <c r="C4563" s="1" t="inlineStr">
        <is>
          <t>JR</t>
        </is>
      </c>
      <c r="D4563" s="3" t="n">
        <v>18</v>
      </c>
      <c r="E4563" s="3" t="n">
        <v>17</v>
      </c>
      <c r="F4563" s="3" t="n">
        <v>18.3</v>
      </c>
      <c r="G4563" s="3" t="n">
        <v>0</v>
      </c>
      <c r="H4563" s="3" t="n">
        <v>0</v>
      </c>
      <c r="I4563" s="3">
        <f>E4563+G4563+H4563</f>
        <v/>
      </c>
      <c r="J4563" s="3">
        <f>ROUND(MIN(IF(C4563="Técnico III",35,IF(C4563="Técnico II",28,IF(C4563="Técnico I",23,IF(C4563="JR",20,IF(C4563="Estágio",10,0))))),IF(C4563="Técnico III",SUMIFS($D:$D,$A:$A,$A4563,$B:$B,"&lt;&gt;Patrícia Karla de Sousa Araújo",$B:$B,"&lt;&gt;Lorena Dias de Araujo",$B:$B,"&lt;&gt;Lucas Luiz Romero")*(35/1083),IF(C4563="Técnico II",SUMIFS($D:$D,$A:$A,$A4563,$B:$B,"&lt;&gt;Patrícia Karla de Sousa Araújo",$B:$B,"&lt;&gt;Lorena Dias de Araujo",$B:$B,"&lt;&gt;Lucas Luiz Romero")*(28/1083),IF(C4563="Técnico I",SUMIFS($D:$D,$A:$A,$A4563,$B:$B,"&lt;&gt;Patrícia Karla de Sousa Araújo",$B:$B,"&lt;&gt;Lorena Dias de Araujo",$B:$B,"&lt;&gt;Lucas Luiz Romero")*(23/1083),IF(C4563="JR",SUMIFS($D:$D,$A:$A,$A4563,$B:$B,"&lt;&gt;Patrícia Karla de Sousa Araújo",$B:$B,"&lt;&gt;Lorena Dias de Araujo",$B:$B,"&lt;&gt;Lucas Luiz Romero")*(20/1083),IF(C4563="Estágio",SUMIFS($D:$D,$A:$A,$A4563,$B:$B,"&lt;&gt;Patrícia Karla de Sousa Araújo",$B:$B,"&lt;&gt;Lorena Dias de Araujo",$B:$B,"&lt;&gt;Lucas Luiz Romero")*(10/1083),0)))))),0)</f>
        <v/>
      </c>
      <c r="K4563" s="3">
        <f>I4563-J4563</f>
        <v/>
      </c>
      <c r="L4563" s="3">
        <f>IF(K4563&lt;-5,"CRÍTICO",IF(K4563&lt;0,"ATENÇÃO",IF(K4563&lt;=5,"OPORTUNO","MUITO BOM")))</f>
        <v/>
      </c>
      <c r="M4563" s="3" t="n">
        <v>16</v>
      </c>
      <c r="N4563" s="3" t="n">
        <v>100</v>
      </c>
      <c r="O4563" s="12" t="n">
        <v>16.34241245136187</v>
      </c>
    </row>
    <row r="4564">
      <c r="A4564" s="11" t="n">
        <v>46168</v>
      </c>
      <c r="B4564" t="inlineStr">
        <is>
          <t>Alisson de Freitas Silva</t>
        </is>
      </c>
      <c r="C4564" s="1" t="inlineStr">
        <is>
          <t>Técnico II</t>
        </is>
      </c>
      <c r="D4564" s="3" t="n">
        <v>28</v>
      </c>
      <c r="E4564" s="3" t="n">
        <v>21</v>
      </c>
      <c r="F4564" s="3" t="n">
        <v>15.57</v>
      </c>
      <c r="G4564" s="3" t="n">
        <v>2</v>
      </c>
      <c r="H4564" s="3" t="n">
        <v>0</v>
      </c>
      <c r="I4564" s="3" t="n">
        <v>23</v>
      </c>
      <c r="J4564" s="3" t="n">
        <v>22</v>
      </c>
      <c r="K4564" s="3" t="n">
        <v>1</v>
      </c>
      <c r="L4564" s="3" t="inlineStr">
        <is>
          <t>BOM</t>
        </is>
      </c>
      <c r="M4564" s="3" t="n">
        <v>17</v>
      </c>
      <c r="N4564" s="3" t="n">
        <v>99.18000000000001</v>
      </c>
      <c r="O4564" s="12" t="n">
        <v>25.64102564102564</v>
      </c>
    </row>
    <row r="4565">
      <c r="A4565" s="10" t="n">
        <v>46168</v>
      </c>
      <c r="B4565" t="inlineStr">
        <is>
          <t>Ana Karollyne Souza Faria</t>
        </is>
      </c>
      <c r="C4565" s="1" t="inlineStr">
        <is>
          <t>Técnico I</t>
        </is>
      </c>
      <c r="D4565" s="3" t="n">
        <v>24</v>
      </c>
      <c r="E4565" s="3" t="n">
        <v>22</v>
      </c>
      <c r="F4565" s="3" t="n">
        <v>18.55</v>
      </c>
      <c r="G4565" s="3" t="n">
        <v>1</v>
      </c>
      <c r="I4565" s="3" t="n">
        <v>23</v>
      </c>
      <c r="J4565" s="3" t="n">
        <v>18</v>
      </c>
      <c r="K4565" s="3" t="n">
        <v>5</v>
      </c>
      <c r="L4565" s="3" t="inlineStr">
        <is>
          <t>BOM</t>
        </is>
      </c>
      <c r="M4565" s="3" t="n">
        <v>21</v>
      </c>
      <c r="N4565" s="3" t="n">
        <v>96.25</v>
      </c>
      <c r="O4565" s="12" t="n">
        <v>27.29211087420043</v>
      </c>
    </row>
    <row r="4566">
      <c r="A4566" s="5" t="n">
        <v>46153</v>
      </c>
      <c r="B4566" s="6" t="inlineStr">
        <is>
          <t>Pedro Luiz Mota Sousa</t>
        </is>
      </c>
      <c r="C4566" s="1" t="inlineStr">
        <is>
          <t>JR</t>
        </is>
      </c>
      <c r="D4566" s="3" t="n">
        <v>17</v>
      </c>
      <c r="E4566" s="3" t="n">
        <v>17</v>
      </c>
      <c r="F4566" s="3" t="n">
        <v>20.21</v>
      </c>
      <c r="G4566" s="3" t="n">
        <v>3</v>
      </c>
      <c r="H4566" s="3" t="n">
        <v>0</v>
      </c>
      <c r="I4566" s="3">
        <f>E4566+G4566+H4566</f>
        <v/>
      </c>
      <c r="J4566" s="3">
        <f>ROUND(MIN(IF(C4566="Técnico III",35,IF(C4566="Técnico II",28,IF(C4566="Técnico I",23,IF(C4566="JR",20,IF(C4566="Estágio",10,0))))),IF(C4566="Técnico III",SUMIFS($D:$D,$A:$A,$A4566,$B:$B,"&lt;&gt;Patrícia Karla de Sousa Araújo",$B:$B,"&lt;&gt;Lorena Dias de Araujo",$B:$B,"&lt;&gt;Lucas Luiz Romero")*(35/1083),IF(C4566="Técnico II",SUMIFS($D:$D,$A:$A,$A4566,$B:$B,"&lt;&gt;Patrícia Karla de Sousa Araújo",$B:$B,"&lt;&gt;Lorena Dias de Araujo",$B:$B,"&lt;&gt;Lucas Luiz Romero")*(28/1083),IF(C4566="Técnico I",SUMIFS($D:$D,$A:$A,$A4566,$B:$B,"&lt;&gt;Patrícia Karla de Sousa Araújo",$B:$B,"&lt;&gt;Lorena Dias de Araujo",$B:$B,"&lt;&gt;Lucas Luiz Romero")*(23/1083),IF(C4566="JR",SUMIFS($D:$D,$A:$A,$A4566,$B:$B,"&lt;&gt;Patrícia Karla de Sousa Araújo",$B:$B,"&lt;&gt;Lorena Dias de Araujo",$B:$B,"&lt;&gt;Lucas Luiz Romero")*(20/1083),IF(C4566="Estágio",SUMIFS($D:$D,$A:$A,$A4566,$B:$B,"&lt;&gt;Patrícia Karla de Sousa Araújo",$B:$B,"&lt;&gt;Lorena Dias de Araujo",$B:$B,"&lt;&gt;Lucas Luiz Romero")*(10/1083),0)))))),0)</f>
        <v/>
      </c>
      <c r="K4566" s="3">
        <f>I4566-J4566</f>
        <v/>
      </c>
      <c r="L4566" s="3">
        <f>IF(K4566&lt;-5,"CRÍTICO",IF(K4566&lt;0,"ATENÇÃO",IF(K4566&lt;=5,"OPORTUNO","MUITO BOM")))</f>
        <v/>
      </c>
      <c r="M4566" s="3" t="n">
        <v>17</v>
      </c>
      <c r="N4566" s="3" t="n">
        <v>100</v>
      </c>
      <c r="O4566" s="12" t="n">
        <v>16.34241245136187</v>
      </c>
    </row>
    <row r="4567">
      <c r="A4567" s="5" t="n">
        <v>46154</v>
      </c>
      <c r="B4567" s="6" t="inlineStr">
        <is>
          <t>Pedro Luiz Mota Sousa</t>
        </is>
      </c>
      <c r="C4567" s="1" t="inlineStr">
        <is>
          <t>JR</t>
        </is>
      </c>
      <c r="D4567" s="3" t="n">
        <v>12</v>
      </c>
      <c r="E4567" s="3" t="n">
        <v>12</v>
      </c>
      <c r="F4567" s="3" t="n">
        <v>21.47</v>
      </c>
      <c r="G4567" s="3" t="n">
        <v>0</v>
      </c>
      <c r="H4567" s="3" t="n">
        <v>0</v>
      </c>
      <c r="I4567" s="3">
        <f>E4567+G4567+H4567</f>
        <v/>
      </c>
      <c r="J4567" s="3">
        <f>ROUND(MIN(IF(C4567="Técnico III",35,IF(C4567="Técnico II",28,IF(C4567="Técnico I",23,IF(C4567="JR",20,IF(C4567="Estágio",10,0))))),IF(C4567="Técnico III",SUMIFS($D:$D,$A:$A,$A4567,$B:$B,"&lt;&gt;Patrícia Karla de Sousa Araújo",$B:$B,"&lt;&gt;Lorena Dias de Araujo",$B:$B,"&lt;&gt;Lucas Luiz Romero")*(35/1083),IF(C4567="Técnico II",SUMIFS($D:$D,$A:$A,$A4567,$B:$B,"&lt;&gt;Patrícia Karla de Sousa Araújo",$B:$B,"&lt;&gt;Lorena Dias de Araujo",$B:$B,"&lt;&gt;Lucas Luiz Romero")*(28/1083),IF(C4567="Técnico I",SUMIFS($D:$D,$A:$A,$A4567,$B:$B,"&lt;&gt;Patrícia Karla de Sousa Araújo",$B:$B,"&lt;&gt;Lorena Dias de Araujo",$B:$B,"&lt;&gt;Lucas Luiz Romero")*(23/1083),IF(C4567="JR",SUMIFS($D:$D,$A:$A,$A4567,$B:$B,"&lt;&gt;Patrícia Karla de Sousa Araújo",$B:$B,"&lt;&gt;Lorena Dias de Araujo",$B:$B,"&lt;&gt;Lucas Luiz Romero")*(20/1083),IF(C4567="Estágio",SUMIFS($D:$D,$A:$A,$A4567,$B:$B,"&lt;&gt;Patrícia Karla de Sousa Araújo",$B:$B,"&lt;&gt;Lorena Dias de Araujo",$B:$B,"&lt;&gt;Lucas Luiz Romero")*(10/1083),0)))))),0)</f>
        <v/>
      </c>
      <c r="K4567" s="3">
        <f>I4567-J4567</f>
        <v/>
      </c>
      <c r="L4567" s="3">
        <f>IF(K4567&lt;-5,"CRÍTICO",IF(K4567&lt;0,"ATENÇÃO",IF(K4567&lt;=5,"OPORTUNO","MUITO BOM")))</f>
        <v/>
      </c>
      <c r="M4567" s="3" t="n">
        <v>9</v>
      </c>
      <c r="N4567" s="3" t="n">
        <v>100</v>
      </c>
      <c r="O4567" s="12" t="n">
        <v>16.34241245136187</v>
      </c>
    </row>
    <row r="4568">
      <c r="A4568" s="5" t="n">
        <v>46155</v>
      </c>
      <c r="B4568" s="6" t="inlineStr">
        <is>
          <t>Pedro Luiz Mota Sousa</t>
        </is>
      </c>
      <c r="C4568" s="1" t="inlineStr">
        <is>
          <t>JR</t>
        </is>
      </c>
      <c r="D4568" s="3" t="n">
        <v>15</v>
      </c>
      <c r="E4568" s="3" t="n">
        <v>14</v>
      </c>
      <c r="F4568" s="3" t="n">
        <v>13.2</v>
      </c>
      <c r="G4568" s="3" t="n">
        <v>4</v>
      </c>
      <c r="H4568" s="3" t="n">
        <v>0</v>
      </c>
      <c r="I4568" s="3">
        <f>E4568+G4568+H4568</f>
        <v/>
      </c>
      <c r="J4568" s="3">
        <f>ROUND(MIN(IF(C4568="Técnico III",35,IF(C4568="Técnico II",28,IF(C4568="Técnico I",23,IF(C4568="JR",20,IF(C4568="Estágio",10,0))))),IF(C4568="Técnico III",SUMIFS($D:$D,$A:$A,$A4568,$B:$B,"&lt;&gt;Patrícia Karla de Sousa Araújo",$B:$B,"&lt;&gt;Lorena Dias de Araujo",$B:$B,"&lt;&gt;Lucas Luiz Romero")*(35/1083),IF(C4568="Técnico II",SUMIFS($D:$D,$A:$A,$A4568,$B:$B,"&lt;&gt;Patrícia Karla de Sousa Araújo",$B:$B,"&lt;&gt;Lorena Dias de Araujo",$B:$B,"&lt;&gt;Lucas Luiz Romero")*(28/1083),IF(C4568="Técnico I",SUMIFS($D:$D,$A:$A,$A4568,$B:$B,"&lt;&gt;Patrícia Karla de Sousa Araújo",$B:$B,"&lt;&gt;Lorena Dias de Araujo",$B:$B,"&lt;&gt;Lucas Luiz Romero")*(23/1083),IF(C4568="JR",SUMIFS($D:$D,$A:$A,$A4568,$B:$B,"&lt;&gt;Patrícia Karla de Sousa Araújo",$B:$B,"&lt;&gt;Lorena Dias de Araujo",$B:$B,"&lt;&gt;Lucas Luiz Romero")*(20/1083),IF(C4568="Estágio",SUMIFS($D:$D,$A:$A,$A4568,$B:$B,"&lt;&gt;Patrícia Karla de Sousa Araújo",$B:$B,"&lt;&gt;Lorena Dias de Araujo",$B:$B,"&lt;&gt;Lucas Luiz Romero")*(10/1083),0)))))),0)</f>
        <v/>
      </c>
      <c r="K4568" s="3">
        <f>I4568-J4568</f>
        <v/>
      </c>
      <c r="L4568" s="3">
        <f>IF(K4568&lt;-5,"CRÍTICO",IF(K4568&lt;0,"ATENÇÃO",IF(K4568&lt;=5,"OPORTUNO","MUITO BOM")))</f>
        <v/>
      </c>
      <c r="M4568" s="3" t="n">
        <v>18</v>
      </c>
      <c r="N4568" s="3" t="n">
        <v>100</v>
      </c>
      <c r="O4568" s="12" t="n">
        <v>16.34241245136187</v>
      </c>
    </row>
    <row r="4569">
      <c r="A4569" s="5" t="n">
        <v>46156</v>
      </c>
      <c r="B4569" s="6" t="inlineStr">
        <is>
          <t>Pedro Luiz Mota Sousa</t>
        </is>
      </c>
      <c r="C4569" s="1" t="inlineStr">
        <is>
          <t>JR</t>
        </is>
      </c>
      <c r="D4569" s="3" t="n">
        <v>6</v>
      </c>
      <c r="E4569" s="3" t="n">
        <v>6</v>
      </c>
      <c r="F4569" s="3" t="n">
        <v>23.26</v>
      </c>
      <c r="G4569" s="3" t="n">
        <v>0</v>
      </c>
      <c r="H4569" s="3" t="n">
        <v>0</v>
      </c>
      <c r="I4569" s="3">
        <f>E4569+G4569+H4569</f>
        <v/>
      </c>
      <c r="J4569" s="3">
        <f>ROUND(MIN(IF(C4569="Técnico III",35,IF(C4569="Técnico II",28,IF(C4569="Técnico I",23,IF(C4569="JR",20,IF(C4569="Estágio",10,0))))),IF(C4569="Técnico III",SUMIFS($D:$D,$A:$A,$A4569,$B:$B,"&lt;&gt;Patrícia Karla de Sousa Araújo",$B:$B,"&lt;&gt;Lorena Dias de Araujo",$B:$B,"&lt;&gt;Lucas Luiz Romero")*(35/1083),IF(C4569="Técnico II",SUMIFS($D:$D,$A:$A,$A4569,$B:$B,"&lt;&gt;Patrícia Karla de Sousa Araújo",$B:$B,"&lt;&gt;Lorena Dias de Araujo",$B:$B,"&lt;&gt;Lucas Luiz Romero")*(28/1083),IF(C4569="Técnico I",SUMIFS($D:$D,$A:$A,$A4569,$B:$B,"&lt;&gt;Patrícia Karla de Sousa Araújo",$B:$B,"&lt;&gt;Lorena Dias de Araujo",$B:$B,"&lt;&gt;Lucas Luiz Romero")*(23/1083),IF(C4569="JR",SUMIFS($D:$D,$A:$A,$A4569,$B:$B,"&lt;&gt;Patrícia Karla de Sousa Araújo",$B:$B,"&lt;&gt;Lorena Dias de Araujo",$B:$B,"&lt;&gt;Lucas Luiz Romero")*(20/1083),IF(C4569="Estágio",SUMIFS($D:$D,$A:$A,$A4569,$B:$B,"&lt;&gt;Patrícia Karla de Sousa Araújo",$B:$B,"&lt;&gt;Lorena Dias de Araujo",$B:$B,"&lt;&gt;Lucas Luiz Romero")*(10/1083),0)))))),0)</f>
        <v/>
      </c>
      <c r="K4569" s="3">
        <f>I4569-J4569</f>
        <v/>
      </c>
      <c r="L4569" s="3">
        <f>IF(K4569&lt;-5,"CRÍTICO",IF(K4569&lt;0,"ATENÇÃO",IF(K4569&lt;=5,"OPORTUNO","MUITO BOM")))</f>
        <v/>
      </c>
      <c r="M4569" s="3" t="n">
        <v>5</v>
      </c>
      <c r="N4569" s="3" t="n">
        <v>100</v>
      </c>
      <c r="O4569" s="12" t="n">
        <v>16.34241245136187</v>
      </c>
    </row>
    <row r="4570">
      <c r="A4570" s="5" t="n">
        <v>46157</v>
      </c>
      <c r="B4570" s="6" t="inlineStr">
        <is>
          <t>Pedro Luiz Mota Sousa</t>
        </is>
      </c>
      <c r="C4570" s="1" t="inlineStr">
        <is>
          <t>JR</t>
        </is>
      </c>
      <c r="D4570" s="3" t="n">
        <v>14</v>
      </c>
      <c r="E4570" s="3" t="n">
        <v>12</v>
      </c>
      <c r="F4570" s="3" t="n">
        <v>15.53</v>
      </c>
      <c r="G4570" s="3" t="n">
        <v>2</v>
      </c>
      <c r="H4570" s="3" t="n">
        <v>0</v>
      </c>
      <c r="I4570" s="3">
        <f>E4570+G4570+H4570</f>
        <v/>
      </c>
      <c r="J4570" s="3">
        <f>ROUND(MIN(IF(C4570="Técnico III",35,IF(C4570="Técnico II",28,IF(C4570="Técnico I",23,IF(C4570="JR",20,IF(C4570="Estágio",10,0))))),IF(C4570="Técnico III",SUMIFS($D:$D,$A:$A,$A4570,$B:$B,"&lt;&gt;Patrícia Karla de Sousa Araújo",$B:$B,"&lt;&gt;Lorena Dias de Araujo",$B:$B,"&lt;&gt;Lucas Luiz Romero")*(35/1083),IF(C4570="Técnico II",SUMIFS($D:$D,$A:$A,$A4570,$B:$B,"&lt;&gt;Patrícia Karla de Sousa Araújo",$B:$B,"&lt;&gt;Lorena Dias de Araujo",$B:$B,"&lt;&gt;Lucas Luiz Romero")*(28/1083),IF(C4570="Técnico I",SUMIFS($D:$D,$A:$A,$A4570,$B:$B,"&lt;&gt;Patrícia Karla de Sousa Araújo",$B:$B,"&lt;&gt;Lorena Dias de Araujo",$B:$B,"&lt;&gt;Lucas Luiz Romero")*(23/1083),IF(C4570="JR",SUMIFS($D:$D,$A:$A,$A4570,$B:$B,"&lt;&gt;Patrícia Karla de Sousa Araújo",$B:$B,"&lt;&gt;Lorena Dias de Araujo",$B:$B,"&lt;&gt;Lucas Luiz Romero")*(20/1083),IF(C4570="Estágio",SUMIFS($D:$D,$A:$A,$A4570,$B:$B,"&lt;&gt;Patrícia Karla de Sousa Araújo",$B:$B,"&lt;&gt;Lorena Dias de Araujo",$B:$B,"&lt;&gt;Lucas Luiz Romero")*(10/1083),0)))))),0)</f>
        <v/>
      </c>
      <c r="K4570" s="3">
        <f>I4570-J4570</f>
        <v/>
      </c>
      <c r="L4570" s="3">
        <f>IF(K4570&lt;-5,"CRÍTICO",IF(K4570&lt;0,"ATENÇÃO",IF(K4570&lt;=5,"OPORTUNO","MUITO BOM")))</f>
        <v/>
      </c>
      <c r="M4570" s="3" t="n">
        <v>16</v>
      </c>
      <c r="N4570" s="3" t="n">
        <v>100</v>
      </c>
      <c r="O4570" s="12" t="n">
        <v>16.34241245136187</v>
      </c>
    </row>
    <row r="4571">
      <c r="A4571" s="5" t="n">
        <v>46160</v>
      </c>
      <c r="B4571" s="6" t="inlineStr">
        <is>
          <t>Pedro Luiz Mota Sousa</t>
        </is>
      </c>
      <c r="C4571" s="1" t="inlineStr">
        <is>
          <t>JR</t>
        </is>
      </c>
      <c r="D4571" s="3" t="n">
        <v>14</v>
      </c>
      <c r="E4571" s="3" t="n">
        <v>13</v>
      </c>
      <c r="F4571" s="3" t="n">
        <v>20.47</v>
      </c>
      <c r="G4571" s="3" t="n">
        <v>2</v>
      </c>
      <c r="H4571" s="3" t="n">
        <v>0</v>
      </c>
      <c r="I4571" s="3" t="n">
        <v>15</v>
      </c>
      <c r="J4571" s="3" t="n">
        <v>15</v>
      </c>
      <c r="K4571" s="3" t="n">
        <v>0</v>
      </c>
      <c r="L4571" s="3" t="inlineStr">
        <is>
          <t>BOM</t>
        </is>
      </c>
      <c r="M4571" s="3" t="n">
        <v>14</v>
      </c>
      <c r="N4571" s="3" t="n">
        <v>100</v>
      </c>
      <c r="O4571" s="12" t="n">
        <v>16.34241245136187</v>
      </c>
    </row>
    <row r="4572">
      <c r="A4572" s="7" t="n">
        <v>46161</v>
      </c>
      <c r="B4572" s="8" t="inlineStr">
        <is>
          <t>Pedro Luiz Mota Sousa</t>
        </is>
      </c>
      <c r="C4572" s="1" t="inlineStr">
        <is>
          <t>JR</t>
        </is>
      </c>
      <c r="D4572" s="3" t="n">
        <v>17</v>
      </c>
      <c r="E4572" s="3" t="n">
        <v>17</v>
      </c>
      <c r="F4572" s="3" t="n">
        <v>23.57</v>
      </c>
      <c r="G4572" s="3" t="n">
        <v>0</v>
      </c>
      <c r="H4572" s="3" t="n">
        <v>0</v>
      </c>
      <c r="I4572" s="3" t="n">
        <v>17</v>
      </c>
      <c r="J4572" s="3" t="n">
        <v>17</v>
      </c>
      <c r="K4572" s="3" t="n">
        <v>0</v>
      </c>
      <c r="L4572" s="3" t="inlineStr">
        <is>
          <t>BOM</t>
        </is>
      </c>
      <c r="M4572" s="3" t="n">
        <v>15</v>
      </c>
      <c r="N4572" s="3" t="n">
        <v>100</v>
      </c>
      <c r="O4572" s="12" t="n">
        <v>16.34241245136187</v>
      </c>
    </row>
    <row r="4573">
      <c r="A4573" s="7" t="n">
        <v>46162</v>
      </c>
      <c r="B4573" s="8" t="inlineStr">
        <is>
          <t>Pedro Luiz Mota Sousa</t>
        </is>
      </c>
      <c r="C4573" s="1" t="inlineStr">
        <is>
          <t>JR</t>
        </is>
      </c>
      <c r="D4573" s="3" t="n">
        <v>15</v>
      </c>
      <c r="E4573" s="3" t="n">
        <v>13</v>
      </c>
      <c r="F4573" s="3" t="n">
        <v>18.21</v>
      </c>
      <c r="G4573" s="3" t="n">
        <v>2</v>
      </c>
      <c r="H4573" s="3" t="n">
        <v>0</v>
      </c>
      <c r="I4573" s="3" t="n">
        <v>15</v>
      </c>
      <c r="J4573" s="3" t="n">
        <v>15</v>
      </c>
      <c r="K4573" s="3" t="n">
        <v>0</v>
      </c>
      <c r="L4573" s="3" t="inlineStr">
        <is>
          <t>BOM</t>
        </is>
      </c>
      <c r="M4573" s="3" t="n">
        <v>15</v>
      </c>
      <c r="N4573" s="3" t="n">
        <v>100</v>
      </c>
      <c r="O4573" s="12" t="n">
        <v>16.34241245136187</v>
      </c>
    </row>
    <row r="4574">
      <c r="A4574" s="5" t="n">
        <v>46163</v>
      </c>
      <c r="B4574" s="6" t="inlineStr">
        <is>
          <t>Pedro Luiz Mota Sousa</t>
        </is>
      </c>
      <c r="C4574" s="1" t="inlineStr">
        <is>
          <t>JR</t>
        </is>
      </c>
      <c r="D4574" s="3" t="n">
        <v>16</v>
      </c>
      <c r="E4574" s="3" t="n">
        <v>14</v>
      </c>
      <c r="F4574" s="3" t="n">
        <v>23.22</v>
      </c>
      <c r="G4574" s="3" t="n">
        <v>0</v>
      </c>
      <c r="H4574" s="3" t="n">
        <v>0</v>
      </c>
      <c r="I4574" s="3" t="n">
        <v>14</v>
      </c>
      <c r="J4574" s="3" t="n">
        <v>13</v>
      </c>
      <c r="K4574" s="3" t="n">
        <v>1</v>
      </c>
      <c r="L4574" s="3" t="inlineStr">
        <is>
          <t>BOM</t>
        </is>
      </c>
      <c r="M4574" s="3" t="n">
        <v>12</v>
      </c>
      <c r="N4574" s="3" t="n">
        <v>100</v>
      </c>
      <c r="O4574" s="12" t="n">
        <v>16.34241245136187</v>
      </c>
    </row>
    <row r="4575">
      <c r="A4575" s="9" t="n">
        <v>46164</v>
      </c>
      <c r="B4575" s="6" t="inlineStr">
        <is>
          <t>Pedro Luiz Mota Sousa</t>
        </is>
      </c>
      <c r="C4575" s="1" t="inlineStr">
        <is>
          <t>JR</t>
        </is>
      </c>
      <c r="D4575" s="3" t="n">
        <v>17</v>
      </c>
      <c r="E4575" s="3" t="n">
        <v>17</v>
      </c>
      <c r="F4575" s="3" t="n">
        <v>17.24</v>
      </c>
      <c r="G4575" s="3" t="n">
        <v>2</v>
      </c>
      <c r="H4575" s="3" t="n">
        <v>0</v>
      </c>
      <c r="I4575" s="3" t="n">
        <v>19</v>
      </c>
      <c r="J4575" s="3" t="n">
        <v>11</v>
      </c>
      <c r="K4575" s="3" t="n">
        <v>8</v>
      </c>
      <c r="L4575" s="3" t="inlineStr">
        <is>
          <t>EXCELENTE</t>
        </is>
      </c>
      <c r="M4575" s="3" t="n">
        <v>15</v>
      </c>
      <c r="N4575" s="3" t="n">
        <v>100</v>
      </c>
      <c r="O4575" s="12" t="n">
        <v>16.34241245136187</v>
      </c>
    </row>
    <row r="4576">
      <c r="A4576" s="10" t="n">
        <v>46167</v>
      </c>
      <c r="B4576" t="inlineStr">
        <is>
          <t>Pedro Luiz Mota Sousa</t>
        </is>
      </c>
      <c r="C4576" s="1" t="inlineStr">
        <is>
          <t>JR</t>
        </is>
      </c>
      <c r="D4576" s="3" t="n">
        <v>13</v>
      </c>
      <c r="E4576" s="3" t="n">
        <v>12</v>
      </c>
      <c r="F4576" s="3" t="n">
        <v>15.01</v>
      </c>
      <c r="G4576" s="3" t="n">
        <v>0</v>
      </c>
      <c r="H4576" s="3" t="n">
        <v>0</v>
      </c>
      <c r="I4576" s="3" t="n">
        <v>12</v>
      </c>
      <c r="J4576" s="3" t="n">
        <v>13</v>
      </c>
      <c r="K4576" s="3" t="n">
        <v>-1</v>
      </c>
      <c r="L4576" s="3" t="inlineStr">
        <is>
          <t>ATENÇÃO</t>
        </is>
      </c>
      <c r="M4576" s="3" t="n">
        <v>10</v>
      </c>
      <c r="N4576" s="3" t="n">
        <v>100</v>
      </c>
      <c r="O4576" s="12" t="n">
        <v>16.34241245136187</v>
      </c>
    </row>
    <row r="4577">
      <c r="A4577" s="10" t="n">
        <v>46168</v>
      </c>
      <c r="B4577" t="inlineStr">
        <is>
          <t>Pedro Luiz Mota Sousa</t>
        </is>
      </c>
      <c r="C4577" s="1" t="inlineStr">
        <is>
          <t>JR</t>
        </is>
      </c>
      <c r="D4577" s="3" t="n">
        <v>17</v>
      </c>
      <c r="E4577" s="3" t="n">
        <v>16</v>
      </c>
      <c r="F4577" s="3" t="n">
        <v>15.28</v>
      </c>
      <c r="G4577" s="3" t="n">
        <v>2</v>
      </c>
      <c r="H4577" s="3" t="n">
        <v>0</v>
      </c>
      <c r="I4577" s="3" t="n">
        <v>18</v>
      </c>
      <c r="J4577" s="3" t="n">
        <v>16</v>
      </c>
      <c r="K4577" s="3" t="n">
        <v>2</v>
      </c>
      <c r="L4577" s="3" t="inlineStr">
        <is>
          <t>BOM</t>
        </is>
      </c>
      <c r="M4577" s="3" t="n">
        <v>13</v>
      </c>
      <c r="N4577" s="3" t="n">
        <v>100</v>
      </c>
      <c r="O4577" s="12" t="n">
        <v>18.67704280155642</v>
      </c>
    </row>
    <row r="4578">
      <c r="A4578" s="11" t="n">
        <v>46169</v>
      </c>
      <c r="B4578" t="inlineStr">
        <is>
          <t>Alisson de Freitas Silva</t>
        </is>
      </c>
      <c r="C4578" s="1" t="inlineStr">
        <is>
          <t>Técnico II</t>
        </is>
      </c>
      <c r="D4578" s="3" t="n">
        <v>35</v>
      </c>
      <c r="E4578" s="3" t="n">
        <v>28</v>
      </c>
      <c r="F4578" s="3" t="n">
        <v>7.36</v>
      </c>
      <c r="G4578" s="3" t="n">
        <v>1</v>
      </c>
      <c r="H4578" s="3" t="n">
        <v>0</v>
      </c>
      <c r="I4578" s="3" t="n">
        <v>29</v>
      </c>
      <c r="J4578" s="3" t="n">
        <v>22</v>
      </c>
      <c r="K4578" s="3" t="n">
        <v>7</v>
      </c>
      <c r="L4578" s="3" t="inlineStr">
        <is>
          <t>EXCELENTE</t>
        </is>
      </c>
      <c r="M4578" s="3" t="n">
        <v>24</v>
      </c>
      <c r="N4578" s="3" t="n">
        <v>99.22</v>
      </c>
      <c r="O4578" s="12" t="n">
        <v>24.26666666666667</v>
      </c>
    </row>
    <row r="4579">
      <c r="A4579" s="10" t="n">
        <v>46169</v>
      </c>
      <c r="B4579" t="inlineStr">
        <is>
          <t>Amanda Moura Ferreira</t>
        </is>
      </c>
      <c r="C4579" s="1" t="inlineStr">
        <is>
          <t>Técnico III</t>
        </is>
      </c>
      <c r="D4579" s="3" t="n">
        <v>0</v>
      </c>
      <c r="E4579" s="3" t="n">
        <v>0</v>
      </c>
      <c r="F4579" s="3" t="n">
        <v>0</v>
      </c>
      <c r="G4579" s="3" t="n">
        <v>0</v>
      </c>
      <c r="H4579" s="3" t="n">
        <v>0</v>
      </c>
      <c r="I4579" s="3" t="n">
        <v>0</v>
      </c>
      <c r="J4579" s="3" t="n">
        <v>0</v>
      </c>
      <c r="K4579" s="3" t="n">
        <v>0</v>
      </c>
      <c r="L4579" s="3" t="inlineStr">
        <is>
          <t>BOM</t>
        </is>
      </c>
      <c r="M4579" s="3" t="n">
        <v>0</v>
      </c>
      <c r="N4579" s="3" t="n">
        <v>100</v>
      </c>
      <c r="O4579" s="12" t="n">
        <v>0</v>
      </c>
    </row>
    <row r="4580">
      <c r="A4580" s="10" t="n">
        <v>46169</v>
      </c>
      <c r="B4580" t="inlineStr">
        <is>
          <t>Ana Karollyne Souza Faria</t>
        </is>
      </c>
      <c r="C4580" s="1" t="inlineStr">
        <is>
          <t>Técnico I</t>
        </is>
      </c>
      <c r="D4580" s="3" t="n">
        <v>24</v>
      </c>
      <c r="E4580" s="3" t="n">
        <v>24</v>
      </c>
      <c r="F4580" s="3" t="n">
        <v>17.36</v>
      </c>
      <c r="G4580" s="3" t="n">
        <v>2</v>
      </c>
      <c r="I4580" s="3" t="n">
        <v>26</v>
      </c>
      <c r="J4580" s="3" t="n">
        <v>18</v>
      </c>
      <c r="K4580" s="3" t="n">
        <v>8</v>
      </c>
      <c r="L4580" s="3" t="inlineStr">
        <is>
          <t>EXCELENTE</t>
        </is>
      </c>
      <c r="M4580" s="3" t="n">
        <v>23</v>
      </c>
      <c r="N4580" s="3" t="n">
        <v>96.43000000000001</v>
      </c>
      <c r="O4580" s="12" t="n">
        <v>26.01626016260163</v>
      </c>
    </row>
    <row r="4581">
      <c r="A4581" s="10" t="n">
        <v>46169</v>
      </c>
      <c r="B4581" t="inlineStr">
        <is>
          <t>Ana Paula Da Luz Silva Aleixo</t>
        </is>
      </c>
      <c r="C4581" s="1" t="inlineStr">
        <is>
          <t>Técnico III</t>
        </is>
      </c>
      <c r="D4581" s="3" t="n">
        <v>34</v>
      </c>
      <c r="E4581" s="3" t="n">
        <v>33</v>
      </c>
      <c r="F4581" s="3" t="n">
        <v>12.31</v>
      </c>
      <c r="G4581" s="3" t="n">
        <v>4</v>
      </c>
      <c r="H4581" s="3" t="n">
        <v>0</v>
      </c>
      <c r="I4581" s="3" t="n">
        <v>37</v>
      </c>
      <c r="J4581" s="3" t="n">
        <v>28</v>
      </c>
      <c r="K4581" s="3" t="n">
        <v>9</v>
      </c>
      <c r="L4581" s="3" t="inlineStr">
        <is>
          <t>EXCELENTE</t>
        </is>
      </c>
      <c r="M4581" s="3" t="n">
        <v>28</v>
      </c>
      <c r="N4581" s="3" t="n">
        <v>97.14</v>
      </c>
      <c r="O4581" s="12" t="n">
        <v>20</v>
      </c>
    </row>
    <row r="4582">
      <c r="A4582" s="10" t="n">
        <v>46169</v>
      </c>
      <c r="B4582" t="inlineStr">
        <is>
          <t>Brenda de Menezes Silva</t>
        </is>
      </c>
      <c r="C4582" s="1" t="inlineStr">
        <is>
          <t>Técnico II</t>
        </is>
      </c>
      <c r="D4582" s="3" t="n">
        <v>28</v>
      </c>
      <c r="E4582" s="3" t="n">
        <v>27</v>
      </c>
      <c r="F4582" s="3" t="n">
        <v>15.42</v>
      </c>
      <c r="G4582" s="3" t="n">
        <v>4</v>
      </c>
      <c r="I4582" s="3" t="n">
        <v>31</v>
      </c>
      <c r="J4582" s="3" t="n">
        <v>22</v>
      </c>
      <c r="K4582" s="3" t="n">
        <v>9</v>
      </c>
      <c r="L4582" s="3" t="inlineStr">
        <is>
          <t>EXCELENTE</t>
        </is>
      </c>
      <c r="M4582" s="3" t="n">
        <v>23</v>
      </c>
      <c r="N4582" s="3" t="n">
        <v>99.38</v>
      </c>
      <c r="O4582" s="12" t="n">
        <v>20.45855379188712</v>
      </c>
    </row>
    <row r="4583">
      <c r="A4583" s="10" t="n">
        <v>46169</v>
      </c>
      <c r="B4583" t="inlineStr">
        <is>
          <t>Carlos Mateus Cassimiro Nunes</t>
        </is>
      </c>
      <c r="C4583" s="1" t="inlineStr">
        <is>
          <t>Técnico II</t>
        </is>
      </c>
      <c r="D4583" s="3" t="n">
        <v>29</v>
      </c>
      <c r="E4583" s="3" t="n">
        <v>28</v>
      </c>
      <c r="F4583" s="3" t="n">
        <v>17.26</v>
      </c>
      <c r="G4583" s="3" t="n">
        <v>0</v>
      </c>
      <c r="I4583" s="3" t="n">
        <v>28</v>
      </c>
      <c r="J4583" s="3" t="n">
        <v>22</v>
      </c>
      <c r="K4583" s="3" t="n">
        <v>6</v>
      </c>
      <c r="L4583" s="3" t="inlineStr">
        <is>
          <t>EXCELENTE</t>
        </is>
      </c>
      <c r="M4583" s="3" t="n">
        <v>27</v>
      </c>
      <c r="N4583" s="3" t="n">
        <v>99.15000000000001</v>
      </c>
      <c r="O4583" s="12" t="n">
        <v>21.19815668202765</v>
      </c>
    </row>
    <row r="4584">
      <c r="A4584" s="10" t="n">
        <v>46169</v>
      </c>
      <c r="B4584" t="inlineStr">
        <is>
          <t>Clessiane Pereira dos Santos</t>
        </is>
      </c>
      <c r="C4584" s="1" t="inlineStr">
        <is>
          <t>Técnico I</t>
        </is>
      </c>
      <c r="D4584" s="3" t="n">
        <v>19</v>
      </c>
      <c r="E4584" s="3" t="n">
        <v>17</v>
      </c>
      <c r="F4584" s="3" t="n">
        <v>18.58</v>
      </c>
      <c r="G4584" s="3" t="n">
        <v>2</v>
      </c>
      <c r="I4584" s="3" t="n">
        <v>19</v>
      </c>
      <c r="J4584" s="3" t="n">
        <v>18</v>
      </c>
      <c r="K4584" s="3" t="n">
        <v>1</v>
      </c>
      <c r="L4584" s="3" t="inlineStr">
        <is>
          <t>BOM</t>
        </is>
      </c>
      <c r="M4584" s="3" t="n">
        <v>20</v>
      </c>
      <c r="N4584" s="3" t="n">
        <v>96.92</v>
      </c>
      <c r="O4584" s="12" t="n">
        <v>24.61928934010152</v>
      </c>
    </row>
    <row r="4585">
      <c r="A4585" s="10" t="n">
        <v>46169</v>
      </c>
      <c r="B4585" t="inlineStr">
        <is>
          <t>Cristiane Ramos da Silva Rocha</t>
        </is>
      </c>
      <c r="C4585" s="1" t="inlineStr">
        <is>
          <t>Técnico III</t>
        </is>
      </c>
      <c r="D4585" s="3" t="n">
        <v>31</v>
      </c>
      <c r="E4585" s="3" t="n">
        <v>23</v>
      </c>
      <c r="F4585" s="3" t="n">
        <v>10.12</v>
      </c>
      <c r="G4585" s="3" t="n">
        <v>0</v>
      </c>
      <c r="I4585" s="3" t="n">
        <v>23</v>
      </c>
      <c r="J4585" s="3" t="n">
        <v>28</v>
      </c>
      <c r="K4585" s="3" t="n">
        <v>-5</v>
      </c>
      <c r="L4585" s="3" t="inlineStr">
        <is>
          <t>ATENÇÃO</t>
        </is>
      </c>
      <c r="M4585" s="3" t="n">
        <v>21</v>
      </c>
      <c r="N4585" s="3" t="n">
        <v>93.02</v>
      </c>
      <c r="O4585" s="12" t="n">
        <v>25.25458248472505</v>
      </c>
    </row>
    <row r="4586">
      <c r="A4586" s="10" t="n">
        <v>46169</v>
      </c>
      <c r="B4586" t="inlineStr">
        <is>
          <t>Damyllis Lorraine de Oliveira Gonçalves</t>
        </is>
      </c>
      <c r="C4586" s="1" t="inlineStr">
        <is>
          <t>Técnico II</t>
        </is>
      </c>
      <c r="D4586" s="3" t="n">
        <v>0</v>
      </c>
      <c r="E4586" s="3" t="n">
        <v>0</v>
      </c>
      <c r="F4586" s="3" t="n">
        <v>0</v>
      </c>
      <c r="G4586" s="3" t="n">
        <v>0</v>
      </c>
      <c r="H4586" s="3" t="n">
        <v>0</v>
      </c>
      <c r="I4586" s="3" t="n">
        <v>0</v>
      </c>
      <c r="J4586" s="3" t="n">
        <v>0</v>
      </c>
      <c r="K4586" s="3" t="n">
        <v>0</v>
      </c>
      <c r="L4586" s="3" t="inlineStr">
        <is>
          <t>BOM</t>
        </is>
      </c>
      <c r="M4586" s="3" t="n">
        <v>0</v>
      </c>
      <c r="N4586" s="3" t="n">
        <v>98.88</v>
      </c>
      <c r="O4586" s="12" t="n">
        <v>25</v>
      </c>
    </row>
    <row r="4587">
      <c r="A4587" s="10" t="n">
        <v>46169</v>
      </c>
      <c r="B4587" t="inlineStr">
        <is>
          <t>Daniel Gomes da Silva</t>
        </is>
      </c>
      <c r="C4587" s="1" t="inlineStr">
        <is>
          <t>Técnico I</t>
        </is>
      </c>
      <c r="D4587" s="3" t="n">
        <v>27</v>
      </c>
      <c r="E4587" s="3" t="n">
        <v>25</v>
      </c>
      <c r="F4587" s="3" t="n">
        <v>12.26</v>
      </c>
      <c r="G4587" s="3" t="n">
        <v>0</v>
      </c>
      <c r="I4587" s="3" t="n">
        <v>25</v>
      </c>
      <c r="J4587" s="3" t="n">
        <v>18</v>
      </c>
      <c r="K4587" s="3" t="n">
        <v>7</v>
      </c>
      <c r="L4587" s="3" t="inlineStr">
        <is>
          <t>EXCELENTE</t>
        </is>
      </c>
      <c r="M4587" s="3" t="n">
        <v>17</v>
      </c>
      <c r="N4587" s="3" t="n">
        <v>100</v>
      </c>
      <c r="O4587" s="12" t="n">
        <v>22.2972972972973</v>
      </c>
    </row>
    <row r="4588">
      <c r="A4588" s="10" t="n">
        <v>46169</v>
      </c>
      <c r="B4588" t="inlineStr">
        <is>
          <t>Davylla Rodrigues Freitas Silva</t>
        </is>
      </c>
      <c r="C4588" s="1" t="inlineStr">
        <is>
          <t>Técnico III</t>
        </is>
      </c>
      <c r="D4588" s="3" t="n">
        <v>0</v>
      </c>
      <c r="E4588" s="3" t="n">
        <v>0</v>
      </c>
      <c r="F4588" s="3" t="n">
        <v>0</v>
      </c>
      <c r="G4588" s="3" t="n">
        <v>0</v>
      </c>
      <c r="H4588" s="3" t="n">
        <v>0</v>
      </c>
      <c r="I4588" s="3" t="n">
        <v>0</v>
      </c>
      <c r="J4588" s="3" t="n">
        <v>0</v>
      </c>
      <c r="K4588" s="3" t="n">
        <v>0</v>
      </c>
      <c r="L4588" s="3" t="inlineStr">
        <is>
          <t>BOM</t>
        </is>
      </c>
      <c r="M4588" s="3" t="n">
        <v>0</v>
      </c>
      <c r="N4588" s="3" t="n">
        <v>99.20999999999999</v>
      </c>
      <c r="O4588" s="12" t="n">
        <v>29.57198443579767</v>
      </c>
    </row>
    <row r="4589">
      <c r="A4589" s="10" t="n">
        <v>46169</v>
      </c>
      <c r="B4589" t="inlineStr">
        <is>
          <t>Emilly Kamilly Medeiros Miranda</t>
        </is>
      </c>
      <c r="C4589" s="1" t="inlineStr">
        <is>
          <t>Técnico II</t>
        </is>
      </c>
      <c r="D4589" s="3" t="n">
        <v>32</v>
      </c>
      <c r="E4589" s="3" t="n">
        <v>31</v>
      </c>
      <c r="F4589" s="3" t="n">
        <v>17.24</v>
      </c>
      <c r="G4589" s="3" t="n">
        <v>2</v>
      </c>
      <c r="I4589" s="3" t="n">
        <v>33</v>
      </c>
      <c r="J4589" s="3" t="n">
        <v>22</v>
      </c>
      <c r="K4589" s="3" t="n">
        <v>11</v>
      </c>
      <c r="L4589" s="3" t="inlineStr">
        <is>
          <t>EXCELENTE</t>
        </is>
      </c>
      <c r="M4589" s="3" t="n">
        <v>27</v>
      </c>
      <c r="N4589" s="3" t="n">
        <v>99.09</v>
      </c>
      <c r="O4589" s="12" t="n">
        <v>18.52731591448931</v>
      </c>
    </row>
    <row r="4590">
      <c r="A4590" s="10" t="n">
        <v>46169</v>
      </c>
      <c r="B4590" t="inlineStr">
        <is>
          <t>Francielson de Oliveira</t>
        </is>
      </c>
      <c r="C4590" s="1" t="inlineStr">
        <is>
          <t>Técnico III</t>
        </is>
      </c>
      <c r="D4590" s="3" t="n">
        <v>32</v>
      </c>
      <c r="E4590" s="3" t="n">
        <v>31</v>
      </c>
      <c r="F4590" s="3" t="n">
        <v>14</v>
      </c>
      <c r="G4590" s="3" t="n">
        <v>3</v>
      </c>
      <c r="H4590" s="3" t="n">
        <v>0</v>
      </c>
      <c r="I4590" s="3" t="n">
        <v>34</v>
      </c>
      <c r="J4590" s="3" t="n">
        <v>28</v>
      </c>
      <c r="K4590" s="3" t="n">
        <v>6</v>
      </c>
      <c r="L4590" s="3" t="inlineStr">
        <is>
          <t>EXCELENTE</t>
        </is>
      </c>
      <c r="M4590" s="3" t="n">
        <v>31</v>
      </c>
      <c r="N4590" s="3" t="n">
        <v>100</v>
      </c>
      <c r="O4590" s="12" t="n">
        <v>11.53846153846154</v>
      </c>
    </row>
    <row r="4591">
      <c r="A4591" s="10" t="n">
        <v>46169</v>
      </c>
      <c r="B4591" t="inlineStr">
        <is>
          <t>Francilene Ferreira de Jesus</t>
        </is>
      </c>
      <c r="C4591" s="1" t="inlineStr">
        <is>
          <t>Técnico II</t>
        </is>
      </c>
      <c r="D4591" s="3" t="n">
        <v>0</v>
      </c>
      <c r="E4591" s="3" t="n">
        <v>0</v>
      </c>
      <c r="F4591" s="3" t="n">
        <v>0</v>
      </c>
      <c r="G4591" s="3" t="n">
        <v>0</v>
      </c>
      <c r="H4591" s="3" t="n">
        <v>0</v>
      </c>
      <c r="I4591" s="3" t="n">
        <v>0</v>
      </c>
      <c r="J4591" s="3" t="n">
        <v>0</v>
      </c>
      <c r="K4591" s="3" t="n">
        <v>0</v>
      </c>
      <c r="L4591" s="3" t="inlineStr">
        <is>
          <t>BOM</t>
        </is>
      </c>
      <c r="M4591" s="3" t="n">
        <v>0</v>
      </c>
      <c r="N4591" s="3" t="n">
        <v>100</v>
      </c>
      <c r="O4591" s="12" t="n">
        <v>17.24137931034483</v>
      </c>
    </row>
    <row r="4592">
      <c r="A4592" s="10" t="n">
        <v>46169</v>
      </c>
      <c r="B4592" t="inlineStr">
        <is>
          <t>Gabriel Gomes de Andrade</t>
        </is>
      </c>
      <c r="C4592" s="1" t="inlineStr">
        <is>
          <t>Técnico I</t>
        </is>
      </c>
      <c r="D4592" s="3" t="n">
        <v>22</v>
      </c>
      <c r="E4592" s="3" t="n">
        <v>18</v>
      </c>
      <c r="F4592" s="3" t="n">
        <v>13.48</v>
      </c>
      <c r="G4592" s="3" t="n">
        <v>3</v>
      </c>
      <c r="H4592" s="3" t="n">
        <v>0</v>
      </c>
      <c r="I4592" s="3" t="n">
        <v>21</v>
      </c>
      <c r="J4592" s="3" t="n">
        <v>18</v>
      </c>
      <c r="K4592" s="3" t="n">
        <v>3</v>
      </c>
      <c r="L4592" s="3" t="inlineStr">
        <is>
          <t>BOM</t>
        </is>
      </c>
      <c r="M4592" s="3" t="n">
        <v>20</v>
      </c>
      <c r="N4592" s="3" t="n">
        <v>99.14</v>
      </c>
      <c r="O4592" s="12" t="n">
        <v>21.27659574468085</v>
      </c>
    </row>
    <row r="4593">
      <c r="A4593" s="10" t="n">
        <v>46169</v>
      </c>
      <c r="B4593" t="inlineStr">
        <is>
          <t>Isabella Borges de Oliveira</t>
        </is>
      </c>
      <c r="C4593" s="1" t="inlineStr">
        <is>
          <t>Técnico II</t>
        </is>
      </c>
      <c r="D4593" s="3" t="n">
        <v>20</v>
      </c>
      <c r="E4593" s="3" t="n">
        <v>19</v>
      </c>
      <c r="F4593" s="3" t="n">
        <v>23.31</v>
      </c>
      <c r="G4593" s="3" t="n">
        <v>1</v>
      </c>
      <c r="I4593" s="3" t="n">
        <v>20</v>
      </c>
      <c r="J4593" s="3" t="n">
        <v>22</v>
      </c>
      <c r="K4593" s="3" t="n">
        <v>-2</v>
      </c>
      <c r="L4593" s="3" t="inlineStr">
        <is>
          <t>ATENÇÃO</t>
        </is>
      </c>
      <c r="M4593" s="3" t="n">
        <v>18</v>
      </c>
      <c r="N4593" s="3" t="n">
        <v>99.06999999999999</v>
      </c>
      <c r="O4593" s="12" t="n">
        <v>20.51282051282051</v>
      </c>
    </row>
    <row r="4594">
      <c r="A4594" s="10" t="n">
        <v>46169</v>
      </c>
      <c r="B4594" t="inlineStr">
        <is>
          <t>Janaina Lima dos Reis Urany</t>
        </is>
      </c>
      <c r="C4594" s="1" t="inlineStr">
        <is>
          <t>Técnico III</t>
        </is>
      </c>
      <c r="D4594" s="3" t="n">
        <v>38</v>
      </c>
      <c r="E4594" s="3" t="n">
        <v>34</v>
      </c>
      <c r="F4594" s="3" t="n">
        <v>15</v>
      </c>
      <c r="G4594" s="3" t="n">
        <v>4</v>
      </c>
      <c r="I4594" s="3" t="n">
        <v>38</v>
      </c>
      <c r="J4594" s="3" t="n">
        <v>28</v>
      </c>
      <c r="K4594" s="3" t="n">
        <v>10</v>
      </c>
      <c r="L4594" s="3" t="inlineStr">
        <is>
          <t>EXCELENTE</t>
        </is>
      </c>
      <c r="M4594" s="3" t="n">
        <v>35</v>
      </c>
      <c r="N4594" s="3" t="n">
        <v>99.05</v>
      </c>
      <c r="O4594" s="12" t="n">
        <v>22.15657311669129</v>
      </c>
    </row>
    <row r="4595">
      <c r="A4595" s="10" t="n">
        <v>46169</v>
      </c>
      <c r="B4595" t="inlineStr">
        <is>
          <t>Jaqueline Evangelista da Silva Martins</t>
        </is>
      </c>
      <c r="C4595" s="1" t="inlineStr">
        <is>
          <t>Técnico III</t>
        </is>
      </c>
      <c r="D4595" s="3" t="n">
        <v>20</v>
      </c>
      <c r="E4595" s="3" t="n">
        <v>15</v>
      </c>
      <c r="F4595" s="3" t="n">
        <v>10.47</v>
      </c>
      <c r="G4595" s="3" t="n">
        <v>1</v>
      </c>
      <c r="I4595" s="3" t="n">
        <v>16</v>
      </c>
      <c r="J4595" s="3" t="n">
        <v>28</v>
      </c>
      <c r="K4595" s="3" t="n">
        <v>-12</v>
      </c>
      <c r="L4595" s="3" t="inlineStr">
        <is>
          <t>CRÍTICO</t>
        </is>
      </c>
      <c r="M4595" s="3" t="n">
        <v>17</v>
      </c>
      <c r="N4595" s="3" t="n">
        <v>97.62</v>
      </c>
      <c r="O4595" s="12" t="n">
        <v>36.15023474178404</v>
      </c>
    </row>
    <row r="4596">
      <c r="A4596" s="10" t="n">
        <v>46169</v>
      </c>
      <c r="B4596" t="inlineStr">
        <is>
          <t>Jessica Faria da Silveira</t>
        </is>
      </c>
      <c r="C4596" s="1" t="inlineStr">
        <is>
          <t>Técnico II</t>
        </is>
      </c>
      <c r="D4596" s="3" t="n">
        <v>8</v>
      </c>
      <c r="E4596" s="3" t="n">
        <v>5</v>
      </c>
      <c r="F4596" s="3" t="n">
        <v>12.02</v>
      </c>
      <c r="G4596" s="3" t="n">
        <v>0</v>
      </c>
      <c r="H4596" s="3" t="n">
        <v>0</v>
      </c>
      <c r="I4596" s="3" t="n">
        <v>5</v>
      </c>
      <c r="J4596" s="3" t="n">
        <v>22</v>
      </c>
      <c r="K4596" s="3" t="n">
        <v>-17</v>
      </c>
      <c r="L4596" s="3" t="inlineStr">
        <is>
          <t>CRÍTICO</t>
        </is>
      </c>
      <c r="M4596" s="3" t="n">
        <v>5</v>
      </c>
      <c r="N4596" s="3" t="n">
        <v>99.02</v>
      </c>
      <c r="O4596" s="12" t="n">
        <v>22.88828337874659</v>
      </c>
    </row>
    <row r="4597">
      <c r="A4597" s="10" t="n">
        <v>46169</v>
      </c>
      <c r="B4597" t="inlineStr">
        <is>
          <t>Jéssica Fé Moura</t>
        </is>
      </c>
      <c r="C4597" s="1" t="inlineStr">
        <is>
          <t>Técnico III</t>
        </is>
      </c>
      <c r="D4597" s="3" t="n">
        <v>0</v>
      </c>
      <c r="E4597" s="3" t="n">
        <v>0</v>
      </c>
      <c r="F4597" s="3" t="n">
        <v>0</v>
      </c>
      <c r="G4597" s="3" t="n">
        <v>0</v>
      </c>
      <c r="H4597" s="3" t="n">
        <v>0</v>
      </c>
      <c r="I4597" s="3" t="n">
        <v>0</v>
      </c>
      <c r="J4597" s="3" t="n">
        <v>0</v>
      </c>
      <c r="K4597" s="3" t="n">
        <v>0</v>
      </c>
      <c r="L4597" s="3" t="inlineStr">
        <is>
          <t>BOM</t>
        </is>
      </c>
      <c r="M4597" s="3" t="n">
        <v>0</v>
      </c>
      <c r="N4597" s="3" t="n">
        <v>0</v>
      </c>
      <c r="O4597" s="12" t="n">
        <v>0</v>
      </c>
    </row>
    <row r="4598">
      <c r="A4598" s="10" t="n">
        <v>46169</v>
      </c>
      <c r="B4598" t="inlineStr">
        <is>
          <t>Kerollen Cristielly de Jesus Siqueira</t>
        </is>
      </c>
      <c r="C4598" s="1" t="inlineStr">
        <is>
          <t>Técnico III</t>
        </is>
      </c>
      <c r="D4598" s="3" t="n">
        <v>26</v>
      </c>
      <c r="E4598" s="3" t="n">
        <v>26</v>
      </c>
      <c r="F4598" s="3" t="n">
        <v>16.55</v>
      </c>
      <c r="G4598" s="3" t="n">
        <v>0</v>
      </c>
      <c r="I4598" s="3" t="n">
        <v>26</v>
      </c>
      <c r="J4598" s="3" t="n">
        <v>28</v>
      </c>
      <c r="K4598" s="3" t="n">
        <v>-2</v>
      </c>
      <c r="L4598" s="3" t="inlineStr">
        <is>
          <t>ATENÇÃO</t>
        </is>
      </c>
      <c r="M4598" s="3" t="n">
        <v>25</v>
      </c>
      <c r="N4598" s="3" t="n">
        <v>97.03</v>
      </c>
      <c r="O4598" s="12" t="n">
        <v>16.84210526315789</v>
      </c>
    </row>
    <row r="4599">
      <c r="A4599" s="10" t="n">
        <v>46169</v>
      </c>
      <c r="B4599" t="inlineStr">
        <is>
          <t>Leandro Oliveira de Sousa</t>
        </is>
      </c>
      <c r="C4599" s="1" t="inlineStr">
        <is>
          <t>Técnico III</t>
        </is>
      </c>
      <c r="D4599" s="3" t="n">
        <v>28</v>
      </c>
      <c r="E4599" s="3" t="n">
        <v>27</v>
      </c>
      <c r="F4599" s="3" t="n">
        <v>18.32</v>
      </c>
      <c r="G4599" s="3" t="n">
        <v>0</v>
      </c>
      <c r="I4599" s="3" t="n">
        <v>27</v>
      </c>
      <c r="J4599" s="3" t="n">
        <v>28</v>
      </c>
      <c r="K4599" s="3" t="n">
        <v>-1</v>
      </c>
      <c r="L4599" s="3" t="inlineStr">
        <is>
          <t>ATENÇÃO</t>
        </is>
      </c>
      <c r="M4599" s="3" t="n">
        <v>23</v>
      </c>
      <c r="N4599" s="3" t="n">
        <v>100</v>
      </c>
      <c r="O4599" s="12" t="n">
        <v>18.64035087719298</v>
      </c>
    </row>
    <row r="4600">
      <c r="A4600" s="10" t="n">
        <v>46169</v>
      </c>
      <c r="B4600" t="inlineStr">
        <is>
          <t>Lizandra Gomes Duarte</t>
        </is>
      </c>
      <c r="C4600" s="1" t="inlineStr">
        <is>
          <t>Técnico II</t>
        </is>
      </c>
      <c r="D4600" s="3" t="n">
        <v>27</v>
      </c>
      <c r="E4600" s="3" t="n">
        <v>25</v>
      </c>
      <c r="F4600" s="3" t="n">
        <v>18.3</v>
      </c>
      <c r="G4600" s="3" t="n">
        <v>5</v>
      </c>
      <c r="I4600" s="3" t="n">
        <v>30</v>
      </c>
      <c r="J4600" s="3" t="n">
        <v>22</v>
      </c>
      <c r="K4600" s="3" t="n">
        <v>8</v>
      </c>
      <c r="L4600" s="3" t="inlineStr">
        <is>
          <t>EXCELENTE</t>
        </is>
      </c>
      <c r="M4600" s="3" t="n">
        <v>23</v>
      </c>
      <c r="N4600" s="3" t="n">
        <v>99.09999999999999</v>
      </c>
      <c r="O4600" s="12" t="n">
        <v>23.58974358974359</v>
      </c>
    </row>
    <row r="4601">
      <c r="A4601" s="10" t="n">
        <v>46169</v>
      </c>
      <c r="B4601" t="inlineStr">
        <is>
          <t>Lorena Dias de Araujo</t>
        </is>
      </c>
      <c r="C4601" s="1" t="inlineStr">
        <is>
          <t>Técnico II</t>
        </is>
      </c>
      <c r="D4601" s="3" t="n">
        <v>26</v>
      </c>
      <c r="E4601" s="3" t="n">
        <v>23</v>
      </c>
      <c r="F4601" s="3" t="n">
        <v>15.44</v>
      </c>
      <c r="G4601" s="3" t="n">
        <v>0</v>
      </c>
      <c r="H4601" s="3" t="n">
        <v>0</v>
      </c>
      <c r="I4601" s="3" t="n">
        <v>23</v>
      </c>
      <c r="J4601" s="3" t="n">
        <v>22</v>
      </c>
      <c r="K4601" s="3" t="n">
        <v>1</v>
      </c>
      <c r="L4601" s="3" t="inlineStr">
        <is>
          <t>BOM</t>
        </is>
      </c>
      <c r="M4601" s="3" t="n">
        <v>21</v>
      </c>
      <c r="N4601" s="3" t="n">
        <v>100</v>
      </c>
      <c r="O4601" s="12" t="n">
        <v>25.47425474254743</v>
      </c>
    </row>
    <row r="4602">
      <c r="A4602" s="10" t="n">
        <v>46169</v>
      </c>
      <c r="B4602" t="inlineStr">
        <is>
          <t>Lucas Luiz Romero</t>
        </is>
      </c>
      <c r="C4602" s="1" t="inlineStr">
        <is>
          <t>Técnico III</t>
        </is>
      </c>
      <c r="D4602" s="3" t="n">
        <v>0</v>
      </c>
      <c r="E4602" s="3" t="n">
        <v>0</v>
      </c>
      <c r="F4602" s="3" t="n">
        <v>0</v>
      </c>
      <c r="G4602" s="3" t="n">
        <v>0</v>
      </c>
      <c r="H4602" s="3" t="n">
        <v>0</v>
      </c>
      <c r="I4602" s="3" t="n">
        <v>0</v>
      </c>
      <c r="J4602" s="3" t="n">
        <v>0</v>
      </c>
      <c r="K4602" s="3" t="n">
        <v>0</v>
      </c>
      <c r="L4602" s="3" t="inlineStr">
        <is>
          <t>BOM</t>
        </is>
      </c>
      <c r="M4602" s="3" t="n">
        <v>2</v>
      </c>
      <c r="N4602" s="3" t="n">
        <v>100</v>
      </c>
      <c r="O4602" s="12" t="n">
        <v>22.91666666666666</v>
      </c>
    </row>
    <row r="4603">
      <c r="A4603" s="10" t="n">
        <v>46169</v>
      </c>
      <c r="B4603" t="inlineStr">
        <is>
          <t>Luiz Fernando de Carvalho Junior</t>
        </is>
      </c>
      <c r="C4603" s="1" t="inlineStr">
        <is>
          <t>Técnico I</t>
        </is>
      </c>
      <c r="D4603" s="3" t="n">
        <v>20</v>
      </c>
      <c r="E4603" s="3" t="n">
        <v>18</v>
      </c>
      <c r="F4603" s="3" t="n">
        <v>19.09</v>
      </c>
      <c r="G4603" s="3" t="n">
        <v>0</v>
      </c>
      <c r="I4603" s="3" t="n">
        <v>18</v>
      </c>
      <c r="J4603" s="3" t="n">
        <v>18</v>
      </c>
      <c r="K4603" s="3" t="n">
        <v>0</v>
      </c>
      <c r="L4603" s="3" t="inlineStr">
        <is>
          <t>BOM</t>
        </is>
      </c>
      <c r="M4603" s="3" t="n">
        <v>21</v>
      </c>
      <c r="N4603" s="3" t="n">
        <v>94.83</v>
      </c>
      <c r="O4603" s="12" t="n">
        <v>23.72448979591837</v>
      </c>
    </row>
    <row r="4604">
      <c r="A4604" s="10" t="n">
        <v>46169</v>
      </c>
      <c r="B4604" t="inlineStr">
        <is>
          <t>Matheus Farias De Souza</t>
        </is>
      </c>
      <c r="C4604" s="1" t="inlineStr">
        <is>
          <t>Técnico III</t>
        </is>
      </c>
      <c r="D4604" s="3" t="n">
        <v>0</v>
      </c>
      <c r="E4604" s="3" t="n">
        <v>0</v>
      </c>
      <c r="F4604" s="3" t="n">
        <v>0</v>
      </c>
      <c r="G4604" s="3" t="n">
        <v>0</v>
      </c>
      <c r="H4604" s="3" t="n">
        <v>37</v>
      </c>
      <c r="I4604" s="3" t="n">
        <v>37</v>
      </c>
      <c r="J4604" s="3" t="n">
        <v>28</v>
      </c>
      <c r="K4604" s="3" t="n">
        <v>9</v>
      </c>
      <c r="L4604" s="3" t="inlineStr">
        <is>
          <t>EXCELENTE</t>
        </is>
      </c>
      <c r="M4604" s="3" t="n">
        <v>23</v>
      </c>
      <c r="N4604" s="3" t="n">
        <v>98.44</v>
      </c>
      <c r="O4604" s="12" t="n">
        <v>8.542713567839195</v>
      </c>
    </row>
    <row r="4605">
      <c r="A4605" s="10" t="n">
        <v>46169</v>
      </c>
      <c r="B4605" t="inlineStr">
        <is>
          <t>Maysa Victoria Dias Moura</t>
        </is>
      </c>
      <c r="C4605" s="1" t="inlineStr">
        <is>
          <t>Técnico III</t>
        </is>
      </c>
      <c r="D4605" s="3" t="n">
        <v>36</v>
      </c>
      <c r="E4605" s="3" t="n">
        <v>29</v>
      </c>
      <c r="F4605" s="3" t="n">
        <v>10.09</v>
      </c>
      <c r="G4605" s="3" t="n">
        <v>7</v>
      </c>
      <c r="I4605" s="3" t="n">
        <v>36</v>
      </c>
      <c r="J4605" s="3" t="n">
        <v>28</v>
      </c>
      <c r="K4605" s="3" t="n">
        <v>8</v>
      </c>
      <c r="L4605" s="3" t="inlineStr">
        <is>
          <t>EXCELENTE</t>
        </is>
      </c>
      <c r="M4605" s="3" t="n">
        <v>25</v>
      </c>
      <c r="N4605" s="3" t="n">
        <v>96.62</v>
      </c>
      <c r="O4605" s="12" t="n">
        <v>24.09381663113006</v>
      </c>
    </row>
    <row r="4606">
      <c r="A4606" s="10" t="n">
        <v>46169</v>
      </c>
      <c r="B4606" t="inlineStr">
        <is>
          <t>Patrícia Karla de Sousa Araújo</t>
        </is>
      </c>
      <c r="C4606" s="1" t="inlineStr">
        <is>
          <t>Técnico II</t>
        </is>
      </c>
      <c r="D4606" s="3" t="n">
        <v>0</v>
      </c>
      <c r="E4606" s="3" t="n">
        <v>0</v>
      </c>
      <c r="F4606" s="3" t="n">
        <v>0</v>
      </c>
      <c r="G4606" s="3" t="n">
        <v>0</v>
      </c>
      <c r="H4606" s="3" t="n">
        <v>0</v>
      </c>
      <c r="I4606" s="3" t="n">
        <v>0</v>
      </c>
      <c r="J4606" s="3" t="n">
        <v>0</v>
      </c>
      <c r="K4606" s="3" t="n">
        <v>0</v>
      </c>
      <c r="L4606" s="3" t="inlineStr">
        <is>
          <t>BOM</t>
        </is>
      </c>
      <c r="M4606" s="3" t="n">
        <v>0</v>
      </c>
      <c r="N4606" s="3" t="n">
        <v>100</v>
      </c>
      <c r="O4606" s="12" t="n">
        <v>21.10091743119266</v>
      </c>
    </row>
    <row r="4607">
      <c r="A4607" s="10" t="n">
        <v>46169</v>
      </c>
      <c r="B4607" t="inlineStr">
        <is>
          <t>Raane Batista Matos</t>
        </is>
      </c>
      <c r="C4607" s="1" t="inlineStr">
        <is>
          <t>Técnico I</t>
        </is>
      </c>
      <c r="D4607" s="3" t="n">
        <v>31</v>
      </c>
      <c r="E4607" s="3" t="n">
        <v>27</v>
      </c>
      <c r="F4607" s="3" t="n">
        <v>15.47</v>
      </c>
      <c r="G4607" s="3" t="n">
        <v>4</v>
      </c>
      <c r="I4607" s="3" t="n">
        <v>31</v>
      </c>
      <c r="J4607" s="3" t="n">
        <v>18</v>
      </c>
      <c r="K4607" s="3" t="n">
        <v>13</v>
      </c>
      <c r="L4607" s="3" t="inlineStr">
        <is>
          <t>EXCELENTE</t>
        </is>
      </c>
      <c r="M4607" s="3" t="n">
        <v>23</v>
      </c>
      <c r="N4607" s="3" t="n">
        <v>98.25</v>
      </c>
      <c r="O4607" s="12" t="n">
        <v>22.52475247524752</v>
      </c>
    </row>
    <row r="4608">
      <c r="A4608" s="10" t="n">
        <v>46169</v>
      </c>
      <c r="B4608" t="inlineStr">
        <is>
          <t>Rafael Gomes de Morais</t>
        </is>
      </c>
      <c r="C4608" s="1" t="inlineStr">
        <is>
          <t>Técnico III</t>
        </is>
      </c>
      <c r="D4608" s="3" t="n">
        <v>41</v>
      </c>
      <c r="E4608" s="3" t="n">
        <v>35</v>
      </c>
      <c r="F4608" s="3" t="n">
        <v>10.39</v>
      </c>
      <c r="G4608" s="3" t="n">
        <v>1</v>
      </c>
      <c r="I4608" s="3" t="n">
        <v>36</v>
      </c>
      <c r="J4608" s="3" t="n">
        <v>28</v>
      </c>
      <c r="K4608" s="3" t="n">
        <v>8</v>
      </c>
      <c r="L4608" s="3" t="inlineStr">
        <is>
          <t>EXCELENTE</t>
        </is>
      </c>
      <c r="M4608" s="3" t="n">
        <v>27</v>
      </c>
      <c r="N4608" s="3" t="n">
        <v>99.43000000000001</v>
      </c>
      <c r="O4608" s="12" t="n">
        <v>26.01156069364162</v>
      </c>
    </row>
    <row r="4609">
      <c r="A4609" s="10" t="n">
        <v>46169</v>
      </c>
      <c r="B4609" t="inlineStr">
        <is>
          <t>Sara Maria Monteiro Lopes</t>
        </is>
      </c>
      <c r="C4609" s="1" t="inlineStr">
        <is>
          <t>Técnico I</t>
        </is>
      </c>
      <c r="D4609" s="3" t="n">
        <v>20</v>
      </c>
      <c r="E4609" s="3" t="n">
        <v>19</v>
      </c>
      <c r="F4609" s="3" t="n">
        <v>23.5</v>
      </c>
      <c r="G4609" s="3" t="n">
        <v>3</v>
      </c>
      <c r="H4609" s="3" t="n">
        <v>0</v>
      </c>
      <c r="I4609" s="3" t="n">
        <v>22</v>
      </c>
      <c r="J4609" s="3" t="n">
        <v>18</v>
      </c>
      <c r="K4609" s="3" t="n">
        <v>4</v>
      </c>
      <c r="L4609" s="3" t="inlineStr">
        <is>
          <t>BOM</t>
        </is>
      </c>
      <c r="M4609" s="3" t="n">
        <v>16</v>
      </c>
      <c r="N4609" s="3" t="n">
        <v>100</v>
      </c>
      <c r="O4609" s="12" t="n">
        <v>19.31818181818182</v>
      </c>
    </row>
    <row r="4610">
      <c r="A4610" s="10" t="n">
        <v>46169</v>
      </c>
      <c r="B4610" t="inlineStr">
        <is>
          <t>Sarah Steffanie de Lima Borges</t>
        </is>
      </c>
      <c r="C4610" s="1" t="inlineStr">
        <is>
          <t>Técnico III</t>
        </is>
      </c>
      <c r="D4610" s="3" t="n">
        <v>22</v>
      </c>
      <c r="E4610" s="3" t="n">
        <v>21</v>
      </c>
      <c r="F4610" s="3" t="n">
        <v>24.18</v>
      </c>
      <c r="G4610" s="3" t="n">
        <v>0</v>
      </c>
      <c r="I4610" s="3" t="n">
        <v>21</v>
      </c>
      <c r="J4610" s="3" t="n">
        <v>28</v>
      </c>
      <c r="K4610" s="3" t="n">
        <v>-7</v>
      </c>
      <c r="L4610" s="3" t="inlineStr">
        <is>
          <t>CRÍTICO</t>
        </is>
      </c>
      <c r="M4610" s="3" t="n">
        <v>17</v>
      </c>
      <c r="N4610" s="3" t="n">
        <v>97.17</v>
      </c>
      <c r="O4610" s="12" t="n">
        <v>20.98445595854922</v>
      </c>
    </row>
    <row r="4611">
      <c r="A4611" s="10" t="n">
        <v>46169</v>
      </c>
      <c r="B4611" t="inlineStr">
        <is>
          <t>Pedro Luiz Mota Sousa</t>
        </is>
      </c>
      <c r="C4611" s="1" t="inlineStr">
        <is>
          <t>JR</t>
        </is>
      </c>
      <c r="D4611" s="3" t="n">
        <v>21</v>
      </c>
      <c r="E4611" s="3" t="n">
        <v>19</v>
      </c>
      <c r="F4611" s="3" t="n">
        <v>15.53</v>
      </c>
      <c r="G4611" s="3" t="n">
        <v>2</v>
      </c>
      <c r="H4611" s="3" t="n">
        <v>0</v>
      </c>
      <c r="I4611" s="3" t="n">
        <v>21</v>
      </c>
      <c r="J4611" s="3" t="n">
        <v>16</v>
      </c>
      <c r="K4611" s="3" t="n">
        <v>5</v>
      </c>
      <c r="L4611" s="3" t="inlineStr">
        <is>
          <t>BOM</t>
        </is>
      </c>
      <c r="M4611" s="3" t="n">
        <v>17</v>
      </c>
      <c r="N4611" s="3" t="n">
        <v>100</v>
      </c>
      <c r="O4611" s="12" t="n">
        <v>18.24817518248175</v>
      </c>
    </row>
    <row r="4612">
      <c r="A4612" s="10" t="n">
        <v>46170</v>
      </c>
      <c r="B4612" t="inlineStr">
        <is>
          <t>Pedro Luiz Mota Sousa</t>
        </is>
      </c>
      <c r="C4612" s="1" t="inlineStr">
        <is>
          <t>JR</t>
        </is>
      </c>
      <c r="D4612" s="3" t="n">
        <v>19</v>
      </c>
      <c r="E4612" s="3" t="n">
        <v>18</v>
      </c>
      <c r="F4612" s="3" t="n">
        <v>17.07</v>
      </c>
      <c r="G4612" s="3" t="n">
        <v>2</v>
      </c>
      <c r="H4612" s="3" t="n">
        <v>0</v>
      </c>
      <c r="I4612" s="3" t="n">
        <v>20</v>
      </c>
      <c r="J4612" s="3" t="n">
        <v>15</v>
      </c>
      <c r="K4612" s="3" t="n">
        <v>5</v>
      </c>
      <c r="L4612" s="3" t="inlineStr">
        <is>
          <t>BOM</t>
        </is>
      </c>
      <c r="M4612" s="3" t="n">
        <v>17</v>
      </c>
      <c r="N4612" s="3" t="n">
        <v>100</v>
      </c>
      <c r="O4612" s="12" t="n">
        <v>19.24398625429554</v>
      </c>
    </row>
    <row r="4613">
      <c r="A4613" s="10" t="n">
        <v>46171</v>
      </c>
      <c r="B4613" t="inlineStr">
        <is>
          <t>Pedro Luiz Mota Sousa</t>
        </is>
      </c>
      <c r="C4613" s="1" t="inlineStr">
        <is>
          <t>JR</t>
        </is>
      </c>
      <c r="D4613" s="3" t="n">
        <v>18</v>
      </c>
      <c r="E4613" s="3" t="n">
        <v>17</v>
      </c>
      <c r="F4613" s="3" t="n">
        <v>22</v>
      </c>
      <c r="G4613" s="3" t="n">
        <v>0</v>
      </c>
      <c r="H4613" s="3" t="n">
        <v>0</v>
      </c>
      <c r="I4613" s="3" t="n">
        <v>17</v>
      </c>
      <c r="J4613" s="3" t="n">
        <v>16</v>
      </c>
      <c r="K4613" s="3" t="n">
        <v>1</v>
      </c>
      <c r="L4613" s="3" t="inlineStr">
        <is>
          <t>BOM</t>
        </is>
      </c>
      <c r="M4613" s="3" t="n">
        <v>3</v>
      </c>
      <c r="N4613" s="3" t="n">
        <v>100</v>
      </c>
      <c r="O4613" s="12" t="n">
        <v>19.04761904761905</v>
      </c>
    </row>
    <row r="4614">
      <c r="A4614" s="10" t="n">
        <v>46143</v>
      </c>
      <c r="B4614" t="inlineStr">
        <is>
          <t>Quirino Diogo Leite Torres</t>
        </is>
      </c>
      <c r="C4614" s="1" t="inlineStr">
        <is>
          <t>Estágio</t>
        </is>
      </c>
      <c r="D4614" s="3" t="n">
        <v>0</v>
      </c>
      <c r="E4614" s="3" t="n">
        <v>0</v>
      </c>
      <c r="F4614" s="3" t="n">
        <v>0</v>
      </c>
      <c r="G4614" s="3" t="n">
        <v>0</v>
      </c>
      <c r="H4614" s="3" t="n">
        <v>0</v>
      </c>
      <c r="I4614" s="3">
        <f>E4614+G4614+H4614</f>
        <v/>
      </c>
      <c r="J4614" s="3">
        <f>ROUND(MIN(IF(C4614="Técnico III",35,IF(C4614="Técnico II",28,IF(C4614="Técnico I",23,IF(C4614="JR",20,IF(C4614="Estágio",10,0))))),IF(C4614="Técnico III",SUMIFS($D:$D,$A:$A,$A4614,$B:$B,"&lt;&gt;Patrícia Karla de Sousa Araújo",$B:$B,"&lt;&gt;Lorena Dias de Araujo",$B:$B,"&lt;&gt;Lucas Luiz Romero")*(35/1083),IF(C4614="Técnico II",SUMIFS($D:$D,$A:$A,$A4614,$B:$B,"&lt;&gt;Patrícia Karla de Sousa Araújo",$B:$B,"&lt;&gt;Lorena Dias de Araujo",$B:$B,"&lt;&gt;Lucas Luiz Romero")*(28/1083),IF(C4614="Técnico I",SUMIFS($D:$D,$A:$A,$A4614,$B:$B,"&lt;&gt;Patrícia Karla de Sousa Araújo",$B:$B,"&lt;&gt;Lorena Dias de Araujo",$B:$B,"&lt;&gt;Lucas Luiz Romero")*(23/1083),IF(C4614="JR",SUMIFS($D:$D,$A:$A,$A4614,$B:$B,"&lt;&gt;Patrícia Karla de Sousa Araújo",$B:$B,"&lt;&gt;Lorena Dias de Araujo",$B:$B,"&lt;&gt;Lucas Luiz Romero")*(20/1083),IF(C4614="Estágio",SUMIFS($D:$D,$A:$A,$A4614,$B:$B,"&lt;&gt;Patrícia Karla de Sousa Araújo",$B:$B,"&lt;&gt;Lorena Dias de Araujo",$B:$B,"&lt;&gt;Lucas Luiz Romero")*(10/1083),0)))))),0)</f>
        <v/>
      </c>
      <c r="K4614" s="3">
        <f>I4614-J4614</f>
        <v/>
      </c>
      <c r="L4614" s="3">
        <f>IF(K4614&lt;-5,"CRÍTICO",IF(K4614&lt;0,"ATENÇÃO",IF(K4614&lt;=5,"OPORTUNO","MUITO BOM")))</f>
        <v/>
      </c>
      <c r="M4614" s="3" t="n">
        <v>0</v>
      </c>
      <c r="N4614" s="3" t="n">
        <v>98.36</v>
      </c>
      <c r="O4614" s="12" t="n">
        <v>21.91780821917808</v>
      </c>
    </row>
    <row r="4615">
      <c r="A4615" s="5" t="n">
        <v>46146</v>
      </c>
      <c r="B4615" s="6" t="inlineStr">
        <is>
          <t>Quirino Diogo Leite Torres</t>
        </is>
      </c>
      <c r="C4615" s="1" t="inlineStr">
        <is>
          <t>Estágio</t>
        </is>
      </c>
      <c r="D4615" s="3" t="n">
        <v>14</v>
      </c>
      <c r="E4615" s="3" t="n">
        <v>14</v>
      </c>
      <c r="F4615" s="3" t="n">
        <v>34.04</v>
      </c>
      <c r="G4615" s="3" t="n">
        <v>1</v>
      </c>
      <c r="H4615" s="3" t="n">
        <v>0</v>
      </c>
      <c r="I4615" s="3">
        <f>E4615+G4615+H4615</f>
        <v/>
      </c>
      <c r="J4615" s="3">
        <f>ROUND(MIN(IF(C4615="Técnico III",35,IF(C4615="Técnico II",28,IF(C4615="Técnico I",23,IF(C4615="JR",20,IF(C4615="Estágio",10,0))))),IF(C4615="Técnico III",SUMIFS($D:$D,$A:$A,$A4615,$B:$B,"&lt;&gt;Patrícia Karla de Sousa Araújo",$B:$B,"&lt;&gt;Lorena Dias de Araujo",$B:$B,"&lt;&gt;Lucas Luiz Romero")*(35/1083),IF(C4615="Técnico II",SUMIFS($D:$D,$A:$A,$A4615,$B:$B,"&lt;&gt;Patrícia Karla de Sousa Araújo",$B:$B,"&lt;&gt;Lorena Dias de Araujo",$B:$B,"&lt;&gt;Lucas Luiz Romero")*(28/1083),IF(C4615="Técnico I",SUMIFS($D:$D,$A:$A,$A4615,$B:$B,"&lt;&gt;Patrícia Karla de Sousa Araújo",$B:$B,"&lt;&gt;Lorena Dias de Araujo",$B:$B,"&lt;&gt;Lucas Luiz Romero")*(23/1083),IF(C4615="JR",SUMIFS($D:$D,$A:$A,$A4615,$B:$B,"&lt;&gt;Patrícia Karla de Sousa Araújo",$B:$B,"&lt;&gt;Lorena Dias de Araujo",$B:$B,"&lt;&gt;Lucas Luiz Romero")*(20/1083),IF(C4615="Estágio",SUMIFS($D:$D,$A:$A,$A4615,$B:$B,"&lt;&gt;Patrícia Karla de Sousa Araújo",$B:$B,"&lt;&gt;Lorena Dias de Araujo",$B:$B,"&lt;&gt;Lucas Luiz Romero")*(10/1083),0)))))),0)</f>
        <v/>
      </c>
      <c r="K4615" s="3">
        <f>I4615-J4615</f>
        <v/>
      </c>
      <c r="L4615" s="3">
        <f>IF(K4615&lt;-5,"CRÍTICO",IF(K4615&lt;0,"ATENÇÃO",IF(K4615&lt;=5,"OPORTUNO","MUITO BOM")))</f>
        <v/>
      </c>
      <c r="M4615" s="3" t="n">
        <v>12</v>
      </c>
      <c r="N4615" s="3" t="n">
        <v>98.36</v>
      </c>
      <c r="O4615" s="12" t="n">
        <v>21.91780821917808</v>
      </c>
    </row>
    <row r="4616">
      <c r="A4616" s="5" t="n">
        <v>46147</v>
      </c>
      <c r="B4616" s="6" t="inlineStr">
        <is>
          <t>Quirino Diogo Leite Torres</t>
        </is>
      </c>
      <c r="C4616" s="1" t="inlineStr">
        <is>
          <t>Estágio</t>
        </is>
      </c>
      <c r="D4616" s="3" t="n">
        <v>22</v>
      </c>
      <c r="E4616" s="3" t="n">
        <v>18</v>
      </c>
      <c r="F4616" s="3" t="n">
        <v>18.46</v>
      </c>
      <c r="G4616" s="3" t="n">
        <v>1</v>
      </c>
      <c r="H4616" s="3" t="n">
        <v>0</v>
      </c>
      <c r="I4616" s="3">
        <f>E4616+G4616+H4616</f>
        <v/>
      </c>
      <c r="J4616" s="3">
        <f>ROUND(MIN(IF(C4616="Técnico III",35,IF(C4616="Técnico II",28,IF(C4616="Técnico I",23,IF(C4616="JR",20,IF(C4616="Estágio",10,0))))),IF(C4616="Técnico III",SUMIFS($D:$D,$A:$A,$A4616,$B:$B,"&lt;&gt;Patrícia Karla de Sousa Araújo",$B:$B,"&lt;&gt;Lorena Dias de Araujo",$B:$B,"&lt;&gt;Lucas Luiz Romero")*(35/1083),IF(C4616="Técnico II",SUMIFS($D:$D,$A:$A,$A4616,$B:$B,"&lt;&gt;Patrícia Karla de Sousa Araújo",$B:$B,"&lt;&gt;Lorena Dias de Araujo",$B:$B,"&lt;&gt;Lucas Luiz Romero")*(28/1083),IF(C4616="Técnico I",SUMIFS($D:$D,$A:$A,$A4616,$B:$B,"&lt;&gt;Patrícia Karla de Sousa Araújo",$B:$B,"&lt;&gt;Lorena Dias de Araujo",$B:$B,"&lt;&gt;Lucas Luiz Romero")*(23/1083),IF(C4616="JR",SUMIFS($D:$D,$A:$A,$A4616,$B:$B,"&lt;&gt;Patrícia Karla de Sousa Araújo",$B:$B,"&lt;&gt;Lorena Dias de Araujo",$B:$B,"&lt;&gt;Lucas Luiz Romero")*(20/1083),IF(C4616="Estágio",SUMIFS($D:$D,$A:$A,$A4616,$B:$B,"&lt;&gt;Patrícia Karla de Sousa Araújo",$B:$B,"&lt;&gt;Lorena Dias de Araujo",$B:$B,"&lt;&gt;Lucas Luiz Romero")*(10/1083),0)))))),0)</f>
        <v/>
      </c>
      <c r="K4616" s="3">
        <f>I4616-J4616</f>
        <v/>
      </c>
      <c r="L4616" s="3">
        <f>IF(K4616&lt;-5,"CRÍTICO",IF(K4616&lt;0,"ATENÇÃO",IF(K4616&lt;=5,"OPORTUNO","MUITO BOM")))</f>
        <v/>
      </c>
      <c r="M4616" s="3" t="n">
        <v>18</v>
      </c>
      <c r="N4616" s="3" t="n">
        <v>98.36</v>
      </c>
      <c r="O4616" s="12" t="n">
        <v>21.91780821917808</v>
      </c>
    </row>
    <row r="4617">
      <c r="A4617" s="5" t="n">
        <v>46148</v>
      </c>
      <c r="B4617" s="6" t="inlineStr">
        <is>
          <t>Quirino Diogo Leite Torres</t>
        </is>
      </c>
      <c r="C4617" s="1" t="inlineStr">
        <is>
          <t>Estágio</t>
        </is>
      </c>
      <c r="D4617" s="3" t="n">
        <v>17</v>
      </c>
      <c r="E4617" s="3" t="n">
        <v>15</v>
      </c>
      <c r="F4617" s="3" t="n">
        <v>22.06</v>
      </c>
      <c r="G4617" s="3" t="n">
        <v>0</v>
      </c>
      <c r="H4617" s="3" t="n">
        <v>0</v>
      </c>
      <c r="I4617" s="3">
        <f>E4617+G4617+H4617</f>
        <v/>
      </c>
      <c r="J4617" s="3">
        <f>ROUND(MIN(IF(C4617="Técnico III",35,IF(C4617="Técnico II",28,IF(C4617="Técnico I",23,IF(C4617="JR",20,IF(C4617="Estágio",10,0))))),IF(C4617="Técnico III",SUMIFS($D:$D,$A:$A,$A4617,$B:$B,"&lt;&gt;Patrícia Karla de Sousa Araújo",$B:$B,"&lt;&gt;Lorena Dias de Araujo",$B:$B,"&lt;&gt;Lucas Luiz Romero")*(35/1083),IF(C4617="Técnico II",SUMIFS($D:$D,$A:$A,$A4617,$B:$B,"&lt;&gt;Patrícia Karla de Sousa Araújo",$B:$B,"&lt;&gt;Lorena Dias de Araujo",$B:$B,"&lt;&gt;Lucas Luiz Romero")*(28/1083),IF(C4617="Técnico I",SUMIFS($D:$D,$A:$A,$A4617,$B:$B,"&lt;&gt;Patrícia Karla de Sousa Araújo",$B:$B,"&lt;&gt;Lorena Dias de Araujo",$B:$B,"&lt;&gt;Lucas Luiz Romero")*(23/1083),IF(C4617="JR",SUMIFS($D:$D,$A:$A,$A4617,$B:$B,"&lt;&gt;Patrícia Karla de Sousa Araújo",$B:$B,"&lt;&gt;Lorena Dias de Araujo",$B:$B,"&lt;&gt;Lucas Luiz Romero")*(20/1083),IF(C4617="Estágio",SUMIFS($D:$D,$A:$A,$A4617,$B:$B,"&lt;&gt;Patrícia Karla de Sousa Araújo",$B:$B,"&lt;&gt;Lorena Dias de Araujo",$B:$B,"&lt;&gt;Lucas Luiz Romero")*(10/1083),0)))))),0)</f>
        <v/>
      </c>
      <c r="K4617" s="3">
        <f>I4617-J4617</f>
        <v/>
      </c>
      <c r="L4617" s="3">
        <f>IF(K4617&lt;-5,"CRÍTICO",IF(K4617&lt;0,"ATENÇÃO",IF(K4617&lt;=5,"OPORTUNO","MUITO BOM")))</f>
        <v/>
      </c>
      <c r="M4617" s="3" t="n">
        <v>14</v>
      </c>
      <c r="N4617" s="3" t="n">
        <v>98.36</v>
      </c>
      <c r="O4617" s="12" t="n">
        <v>21.91780821917808</v>
      </c>
    </row>
    <row r="4618">
      <c r="A4618" s="5" t="n">
        <v>46149</v>
      </c>
      <c r="B4618" s="6" t="inlineStr">
        <is>
          <t>Quirino Diogo Leite Torres</t>
        </is>
      </c>
      <c r="C4618" s="1" t="inlineStr">
        <is>
          <t>Estágio</t>
        </is>
      </c>
      <c r="D4618" s="3" t="n">
        <v>15</v>
      </c>
      <c r="E4618" s="3" t="n">
        <v>15</v>
      </c>
      <c r="F4618" s="3" t="n">
        <v>32.02</v>
      </c>
      <c r="G4618" s="3" t="n">
        <v>0</v>
      </c>
      <c r="H4618" s="3" t="n">
        <v>0</v>
      </c>
      <c r="I4618" s="3">
        <f>E4618+G4618+H4618</f>
        <v/>
      </c>
      <c r="J4618" s="3">
        <f>ROUND(MIN(IF(C4618="Técnico III",35,IF(C4618="Técnico II",28,IF(C4618="Técnico I",23,IF(C4618="JR",20,IF(C4618="Estágio",10,0))))),IF(C4618="Técnico III",SUMIFS($D:$D,$A:$A,$A4618,$B:$B,"&lt;&gt;Patrícia Karla de Sousa Araújo",$B:$B,"&lt;&gt;Lorena Dias de Araujo",$B:$B,"&lt;&gt;Lucas Luiz Romero")*(35/1083),IF(C4618="Técnico II",SUMIFS($D:$D,$A:$A,$A4618,$B:$B,"&lt;&gt;Patrícia Karla de Sousa Araújo",$B:$B,"&lt;&gt;Lorena Dias de Araujo",$B:$B,"&lt;&gt;Lucas Luiz Romero")*(28/1083),IF(C4618="Técnico I",SUMIFS($D:$D,$A:$A,$A4618,$B:$B,"&lt;&gt;Patrícia Karla de Sousa Araújo",$B:$B,"&lt;&gt;Lorena Dias de Araujo",$B:$B,"&lt;&gt;Lucas Luiz Romero")*(23/1083),IF(C4618="JR",SUMIFS($D:$D,$A:$A,$A4618,$B:$B,"&lt;&gt;Patrícia Karla de Sousa Araújo",$B:$B,"&lt;&gt;Lorena Dias de Araujo",$B:$B,"&lt;&gt;Lucas Luiz Romero")*(20/1083),IF(C4618="Estágio",SUMIFS($D:$D,$A:$A,$A4618,$B:$B,"&lt;&gt;Patrícia Karla de Sousa Araújo",$B:$B,"&lt;&gt;Lorena Dias de Araujo",$B:$B,"&lt;&gt;Lucas Luiz Romero")*(10/1083),0)))))),0)</f>
        <v/>
      </c>
      <c r="K4618" s="3">
        <f>I4618-J4618</f>
        <v/>
      </c>
      <c r="L4618" s="3">
        <f>IF(K4618&lt;-5,"CRÍTICO",IF(K4618&lt;0,"ATENÇÃO",IF(K4618&lt;=5,"OPORTUNO","MUITO BOM")))</f>
        <v/>
      </c>
      <c r="M4618" s="3" t="n">
        <v>13</v>
      </c>
      <c r="N4618" s="3" t="n">
        <v>98.36</v>
      </c>
      <c r="O4618" s="12" t="n">
        <v>21.91780821917808</v>
      </c>
    </row>
    <row r="4619">
      <c r="A4619" s="5" t="n">
        <v>46150</v>
      </c>
      <c r="B4619" s="6" t="inlineStr">
        <is>
          <t>Quirino Diogo Leite Torres</t>
        </is>
      </c>
      <c r="C4619" s="1" t="inlineStr">
        <is>
          <t>Estágio</t>
        </is>
      </c>
      <c r="D4619" s="3" t="n">
        <v>17</v>
      </c>
      <c r="E4619" s="3" t="n">
        <v>17</v>
      </c>
      <c r="F4619" s="3" t="n">
        <v>28.35</v>
      </c>
      <c r="G4619" s="3" t="n">
        <v>0</v>
      </c>
      <c r="H4619" s="3" t="n">
        <v>0</v>
      </c>
      <c r="I4619" s="3">
        <f>E4619+G4619+H4619</f>
        <v/>
      </c>
      <c r="J4619" s="3">
        <f>ROUND(MIN(IF(C4619="Técnico III",35,IF(C4619="Técnico II",28,IF(C4619="Técnico I",23,IF(C4619="JR",20,IF(C4619="Estágio",10,0))))),IF(C4619="Técnico III",SUMIFS($D:$D,$A:$A,$A4619,$B:$B,"&lt;&gt;Patrícia Karla de Sousa Araújo",$B:$B,"&lt;&gt;Lorena Dias de Araujo",$B:$B,"&lt;&gt;Lucas Luiz Romero")*(35/1083),IF(C4619="Técnico II",SUMIFS($D:$D,$A:$A,$A4619,$B:$B,"&lt;&gt;Patrícia Karla de Sousa Araújo",$B:$B,"&lt;&gt;Lorena Dias de Araujo",$B:$B,"&lt;&gt;Lucas Luiz Romero")*(28/1083),IF(C4619="Técnico I",SUMIFS($D:$D,$A:$A,$A4619,$B:$B,"&lt;&gt;Patrícia Karla de Sousa Araújo",$B:$B,"&lt;&gt;Lorena Dias de Araujo",$B:$B,"&lt;&gt;Lucas Luiz Romero")*(23/1083),IF(C4619="JR",SUMIFS($D:$D,$A:$A,$A4619,$B:$B,"&lt;&gt;Patrícia Karla de Sousa Araújo",$B:$B,"&lt;&gt;Lorena Dias de Araujo",$B:$B,"&lt;&gt;Lucas Luiz Romero")*(20/1083),IF(C4619="Estágio",SUMIFS($D:$D,$A:$A,$A4619,$B:$B,"&lt;&gt;Patrícia Karla de Sousa Araújo",$B:$B,"&lt;&gt;Lorena Dias de Araujo",$B:$B,"&lt;&gt;Lucas Luiz Romero")*(10/1083),0)))))),0)</f>
        <v/>
      </c>
      <c r="K4619" s="3">
        <f>I4619-J4619</f>
        <v/>
      </c>
      <c r="L4619" s="3">
        <f>IF(K4619&lt;-5,"CRÍTICO",IF(K4619&lt;0,"ATENÇÃO",IF(K4619&lt;=5,"OPORTUNO","MUITO BOM")))</f>
        <v/>
      </c>
      <c r="M4619" s="3" t="n">
        <v>11</v>
      </c>
      <c r="N4619" s="3" t="n">
        <v>98.36</v>
      </c>
      <c r="O4619" s="12" t="n">
        <v>21.91780821917808</v>
      </c>
    </row>
    <row r="4620">
      <c r="A4620" s="5" t="n">
        <v>46153</v>
      </c>
      <c r="B4620" s="6" t="inlineStr">
        <is>
          <t>Quirino Diogo Leite Torres</t>
        </is>
      </c>
      <c r="C4620" s="1" t="inlineStr">
        <is>
          <t>Estágio</t>
        </is>
      </c>
      <c r="D4620" s="3" t="n">
        <v>16</v>
      </c>
      <c r="E4620" s="3" t="n">
        <v>16</v>
      </c>
      <c r="F4620" s="3" t="n">
        <v>30.41</v>
      </c>
      <c r="G4620" s="3" t="n">
        <v>0</v>
      </c>
      <c r="H4620" s="3" t="n">
        <v>0</v>
      </c>
      <c r="I4620" s="3">
        <f>E4620+G4620+H4620</f>
        <v/>
      </c>
      <c r="J4620" s="3">
        <f>ROUND(MIN(IF(C4620="Técnico III",35,IF(C4620="Técnico II",28,IF(C4620="Técnico I",23,IF(C4620="JR",20,IF(C4620="Estágio",10,0))))),IF(C4620="Técnico III",SUMIFS($D:$D,$A:$A,$A4620,$B:$B,"&lt;&gt;Patrícia Karla de Sousa Araújo",$B:$B,"&lt;&gt;Lorena Dias de Araujo",$B:$B,"&lt;&gt;Lucas Luiz Romero")*(35/1083),IF(C4620="Técnico II",SUMIFS($D:$D,$A:$A,$A4620,$B:$B,"&lt;&gt;Patrícia Karla de Sousa Araújo",$B:$B,"&lt;&gt;Lorena Dias de Araujo",$B:$B,"&lt;&gt;Lucas Luiz Romero")*(28/1083),IF(C4620="Técnico I",SUMIFS($D:$D,$A:$A,$A4620,$B:$B,"&lt;&gt;Patrícia Karla de Sousa Araújo",$B:$B,"&lt;&gt;Lorena Dias de Araujo",$B:$B,"&lt;&gt;Lucas Luiz Romero")*(23/1083),IF(C4620="JR",SUMIFS($D:$D,$A:$A,$A4620,$B:$B,"&lt;&gt;Patrícia Karla de Sousa Araújo",$B:$B,"&lt;&gt;Lorena Dias de Araujo",$B:$B,"&lt;&gt;Lucas Luiz Romero")*(20/1083),IF(C4620="Estágio",SUMIFS($D:$D,$A:$A,$A4620,$B:$B,"&lt;&gt;Patrícia Karla de Sousa Araújo",$B:$B,"&lt;&gt;Lorena Dias de Araujo",$B:$B,"&lt;&gt;Lucas Luiz Romero")*(10/1083),0)))))),0)</f>
        <v/>
      </c>
      <c r="K4620" s="3">
        <f>I4620-J4620</f>
        <v/>
      </c>
      <c r="L4620" s="3">
        <f>IF(K4620&lt;-5,"CRÍTICO",IF(K4620&lt;0,"ATENÇÃO",IF(K4620&lt;=5,"OPORTUNO","MUITO BOM")))</f>
        <v/>
      </c>
      <c r="M4620" s="3" t="n">
        <v>15</v>
      </c>
      <c r="N4620" s="3" t="n">
        <v>98.36</v>
      </c>
      <c r="O4620" s="12" t="n">
        <v>21.91780821917808</v>
      </c>
    </row>
    <row r="4621">
      <c r="A4621" s="5" t="n">
        <v>46154</v>
      </c>
      <c r="B4621" s="6" t="inlineStr">
        <is>
          <t>Quirino Diogo Leite Torres</t>
        </is>
      </c>
      <c r="C4621" s="1" t="inlineStr">
        <is>
          <t>Estágio</t>
        </is>
      </c>
      <c r="D4621" s="3" t="n">
        <v>20</v>
      </c>
      <c r="E4621" s="3" t="n">
        <v>17</v>
      </c>
      <c r="F4621" s="3" t="n">
        <v>24.05</v>
      </c>
      <c r="G4621" s="3" t="n">
        <v>0</v>
      </c>
      <c r="H4621" s="3" t="n">
        <v>0</v>
      </c>
      <c r="I4621" s="3">
        <f>E4621+G4621+H4621</f>
        <v/>
      </c>
      <c r="J4621" s="3">
        <f>ROUND(MIN(IF(C4621="Técnico III",35,IF(C4621="Técnico II",28,IF(C4621="Técnico I",23,IF(C4621="JR",20,IF(C4621="Estágio",10,0))))),IF(C4621="Técnico III",SUMIFS($D:$D,$A:$A,$A4621,$B:$B,"&lt;&gt;Patrícia Karla de Sousa Araújo",$B:$B,"&lt;&gt;Lorena Dias de Araujo",$B:$B,"&lt;&gt;Lucas Luiz Romero")*(35/1083),IF(C4621="Técnico II",SUMIFS($D:$D,$A:$A,$A4621,$B:$B,"&lt;&gt;Patrícia Karla de Sousa Araújo",$B:$B,"&lt;&gt;Lorena Dias de Araujo",$B:$B,"&lt;&gt;Lucas Luiz Romero")*(28/1083),IF(C4621="Técnico I",SUMIFS($D:$D,$A:$A,$A4621,$B:$B,"&lt;&gt;Patrícia Karla de Sousa Araújo",$B:$B,"&lt;&gt;Lorena Dias de Araujo",$B:$B,"&lt;&gt;Lucas Luiz Romero")*(23/1083),IF(C4621="JR",SUMIFS($D:$D,$A:$A,$A4621,$B:$B,"&lt;&gt;Patrícia Karla de Sousa Araújo",$B:$B,"&lt;&gt;Lorena Dias de Araujo",$B:$B,"&lt;&gt;Lucas Luiz Romero")*(20/1083),IF(C4621="Estágio",SUMIFS($D:$D,$A:$A,$A4621,$B:$B,"&lt;&gt;Patrícia Karla de Sousa Araújo",$B:$B,"&lt;&gt;Lorena Dias de Araujo",$B:$B,"&lt;&gt;Lucas Luiz Romero")*(10/1083),0)))))),0)</f>
        <v/>
      </c>
      <c r="K4621" s="3">
        <f>I4621-J4621</f>
        <v/>
      </c>
      <c r="L4621" s="3">
        <f>IF(K4621&lt;-5,"CRÍTICO",IF(K4621&lt;0,"ATENÇÃO",IF(K4621&lt;=5,"OPORTUNO","MUITO BOM")))</f>
        <v/>
      </c>
      <c r="M4621" s="3" t="n">
        <v>13</v>
      </c>
      <c r="N4621" s="3" t="n">
        <v>98.36</v>
      </c>
      <c r="O4621" s="12" t="n">
        <v>21.91780821917808</v>
      </c>
    </row>
    <row r="4622">
      <c r="A4622" s="5" t="n">
        <v>46155</v>
      </c>
      <c r="B4622" s="6" t="inlineStr">
        <is>
          <t>Quirino Diogo Leite Torres</t>
        </is>
      </c>
      <c r="C4622" s="1" t="inlineStr">
        <is>
          <t>Estágio</t>
        </is>
      </c>
      <c r="D4622" s="3" t="n">
        <v>19</v>
      </c>
      <c r="E4622" s="3" t="n">
        <v>18</v>
      </c>
      <c r="F4622" s="3" t="n">
        <v>23.42</v>
      </c>
      <c r="G4622" s="3" t="n">
        <v>0</v>
      </c>
      <c r="H4622" s="3" t="n">
        <v>0</v>
      </c>
      <c r="I4622" s="3">
        <f>E4622+G4622+H4622</f>
        <v/>
      </c>
      <c r="J4622" s="3">
        <f>ROUND(MIN(IF(C4622="Técnico III",35,IF(C4622="Técnico II",28,IF(C4622="Técnico I",23,IF(C4622="JR",20,IF(C4622="Estágio",10,0))))),IF(C4622="Técnico III",SUMIFS($D:$D,$A:$A,$A4622,$B:$B,"&lt;&gt;Patrícia Karla de Sousa Araújo",$B:$B,"&lt;&gt;Lorena Dias de Araujo",$B:$B,"&lt;&gt;Lucas Luiz Romero")*(35/1083),IF(C4622="Técnico II",SUMIFS($D:$D,$A:$A,$A4622,$B:$B,"&lt;&gt;Patrícia Karla de Sousa Araújo",$B:$B,"&lt;&gt;Lorena Dias de Araujo",$B:$B,"&lt;&gt;Lucas Luiz Romero")*(28/1083),IF(C4622="Técnico I",SUMIFS($D:$D,$A:$A,$A4622,$B:$B,"&lt;&gt;Patrícia Karla de Sousa Araújo",$B:$B,"&lt;&gt;Lorena Dias de Araujo",$B:$B,"&lt;&gt;Lucas Luiz Romero")*(23/1083),IF(C4622="JR",SUMIFS($D:$D,$A:$A,$A4622,$B:$B,"&lt;&gt;Patrícia Karla de Sousa Araújo",$B:$B,"&lt;&gt;Lorena Dias de Araujo",$B:$B,"&lt;&gt;Lucas Luiz Romero")*(20/1083),IF(C4622="Estágio",SUMIFS($D:$D,$A:$A,$A4622,$B:$B,"&lt;&gt;Patrícia Karla de Sousa Araújo",$B:$B,"&lt;&gt;Lorena Dias de Araujo",$B:$B,"&lt;&gt;Lucas Luiz Romero")*(10/1083),0)))))),0)</f>
        <v/>
      </c>
      <c r="K4622" s="3">
        <f>I4622-J4622</f>
        <v/>
      </c>
      <c r="L4622" s="3">
        <f>IF(K4622&lt;-5,"CRÍTICO",IF(K4622&lt;0,"ATENÇÃO",IF(K4622&lt;=5,"OPORTUNO","MUITO BOM")))</f>
        <v/>
      </c>
      <c r="M4622" s="3" t="n">
        <v>13</v>
      </c>
      <c r="N4622" s="3" t="n">
        <v>98.36</v>
      </c>
      <c r="O4622" s="12" t="n">
        <v>21.91780821917808</v>
      </c>
    </row>
    <row r="4623">
      <c r="A4623" s="10" t="n">
        <v>46170</v>
      </c>
      <c r="B4623" t="inlineStr">
        <is>
          <t>Alisson de Freitas Silva</t>
        </is>
      </c>
      <c r="C4623" s="1" t="inlineStr">
        <is>
          <t>Técnico II</t>
        </is>
      </c>
      <c r="D4623" s="3" t="n">
        <v>21</v>
      </c>
      <c r="E4623" s="3" t="n">
        <v>16</v>
      </c>
      <c r="F4623" s="3" t="n">
        <v>13.45</v>
      </c>
      <c r="G4623" s="3" t="n">
        <v>2</v>
      </c>
      <c r="H4623" s="3" t="n">
        <v>0</v>
      </c>
      <c r="I4623" s="3" t="n">
        <v>18</v>
      </c>
      <c r="J4623" s="3" t="n">
        <v>22</v>
      </c>
      <c r="K4623" s="3" t="n">
        <v>-4</v>
      </c>
      <c r="L4623" s="3" t="inlineStr">
        <is>
          <t>ATENÇÃO</t>
        </is>
      </c>
      <c r="M4623" s="3" t="n">
        <v>14</v>
      </c>
      <c r="N4623" s="3" t="n">
        <v>99.23</v>
      </c>
      <c r="O4623" s="12" t="n">
        <v>24.42159383033419</v>
      </c>
    </row>
    <row r="4624">
      <c r="A4624" s="10" t="n">
        <v>46170</v>
      </c>
      <c r="B4624" t="inlineStr">
        <is>
          <t>Amanda Moura Ferreira</t>
        </is>
      </c>
      <c r="C4624" s="1" t="inlineStr">
        <is>
          <t>Técnico III</t>
        </is>
      </c>
      <c r="D4624" s="3" t="n">
        <v>0</v>
      </c>
      <c r="E4624" s="3" t="n">
        <v>0</v>
      </c>
      <c r="F4624" s="3" t="n">
        <v>0</v>
      </c>
      <c r="G4624" s="3" t="n">
        <v>0</v>
      </c>
      <c r="H4624" s="3" t="n">
        <v>0</v>
      </c>
      <c r="I4624" s="3" t="n">
        <v>0</v>
      </c>
      <c r="J4624" s="3" t="n">
        <v>0</v>
      </c>
      <c r="K4624" s="3" t="n">
        <v>0</v>
      </c>
      <c r="L4624" s="3" t="inlineStr">
        <is>
          <t>BOM</t>
        </is>
      </c>
      <c r="M4624" s="3" t="n">
        <v>0</v>
      </c>
      <c r="N4624" s="3" t="n">
        <v>100</v>
      </c>
      <c r="O4624" s="12" t="n">
        <v>0</v>
      </c>
    </row>
    <row r="4625">
      <c r="A4625" s="10" t="n">
        <v>46170</v>
      </c>
      <c r="B4625" t="inlineStr">
        <is>
          <t>Ana Karollyne Souza Faria</t>
        </is>
      </c>
      <c r="C4625" s="1" t="inlineStr">
        <is>
          <t>Técnico I</t>
        </is>
      </c>
      <c r="D4625" s="3" t="n">
        <v>31</v>
      </c>
      <c r="E4625" s="3" t="n">
        <v>29</v>
      </c>
      <c r="F4625" s="3" t="n">
        <v>18.41</v>
      </c>
      <c r="G4625" s="3" t="n">
        <v>5</v>
      </c>
      <c r="H4625" s="3" t="n">
        <v>0</v>
      </c>
      <c r="I4625" s="3" t="n">
        <v>34</v>
      </c>
      <c r="J4625" s="3" t="n">
        <v>18</v>
      </c>
      <c r="K4625" s="3" t="n">
        <v>16</v>
      </c>
      <c r="L4625" s="3" t="inlineStr">
        <is>
          <t>EXCELENTE</t>
        </is>
      </c>
      <c r="M4625" s="3" t="n">
        <v>28</v>
      </c>
      <c r="N4625" s="3" t="n">
        <v>96.59</v>
      </c>
      <c r="O4625" s="12" t="n">
        <v>26.34615384615385</v>
      </c>
    </row>
    <row r="4626">
      <c r="A4626" s="10" t="n">
        <v>46170</v>
      </c>
      <c r="B4626" t="inlineStr">
        <is>
          <t>Ana Paula Da Luz Silva Aleixo</t>
        </is>
      </c>
      <c r="C4626" s="1" t="inlineStr">
        <is>
          <t>Técnico III</t>
        </is>
      </c>
      <c r="D4626" s="3" t="n">
        <v>16</v>
      </c>
      <c r="E4626" s="3" t="n">
        <v>14</v>
      </c>
      <c r="F4626" s="3" t="n">
        <v>10.31</v>
      </c>
      <c r="G4626" s="3" t="n">
        <v>3</v>
      </c>
      <c r="H4626" s="3" t="n">
        <v>0</v>
      </c>
      <c r="I4626" s="3" t="n">
        <v>17</v>
      </c>
      <c r="J4626" s="3" t="n">
        <v>27</v>
      </c>
      <c r="K4626" s="3" t="n">
        <v>-10</v>
      </c>
      <c r="L4626" s="3" t="inlineStr">
        <is>
          <t>CRÍTICO</t>
        </is>
      </c>
      <c r="M4626" s="3" t="n">
        <v>12</v>
      </c>
      <c r="N4626" s="3" t="n">
        <v>97.17</v>
      </c>
      <c r="O4626" s="12" t="n">
        <v>20.19950124688279</v>
      </c>
    </row>
    <row r="4627">
      <c r="A4627" s="10" t="n">
        <v>46170</v>
      </c>
      <c r="B4627" t="inlineStr">
        <is>
          <t>Brenda de Menezes Silva</t>
        </is>
      </c>
      <c r="C4627" s="1" t="inlineStr">
        <is>
          <t>Técnico II</t>
        </is>
      </c>
      <c r="D4627" s="3" t="n">
        <v>38</v>
      </c>
      <c r="E4627" s="3" t="n">
        <v>35</v>
      </c>
      <c r="F4627" s="3" t="n">
        <v>12</v>
      </c>
      <c r="G4627" s="3" t="n">
        <v>2</v>
      </c>
      <c r="H4627" s="3" t="n">
        <v>0</v>
      </c>
      <c r="I4627" s="3" t="n">
        <v>37</v>
      </c>
      <c r="J4627" s="3" t="n">
        <v>22</v>
      </c>
      <c r="K4627" s="3" t="n">
        <v>15</v>
      </c>
      <c r="L4627" s="3" t="inlineStr">
        <is>
          <t>EXCELENTE</t>
        </is>
      </c>
      <c r="M4627" s="3" t="n">
        <v>37</v>
      </c>
      <c r="N4627" s="3" t="n">
        <v>99.41</v>
      </c>
      <c r="O4627" s="12" t="n">
        <v>21.6887417218543</v>
      </c>
    </row>
    <row r="4628">
      <c r="A4628" s="10" t="n">
        <v>46170</v>
      </c>
      <c r="B4628" t="inlineStr">
        <is>
          <t>Carlos Mateus Cassimiro Nunes</t>
        </is>
      </c>
      <c r="C4628" s="1" t="inlineStr">
        <is>
          <t>Técnico II</t>
        </is>
      </c>
      <c r="D4628" s="3" t="n">
        <v>27</v>
      </c>
      <c r="E4628" s="3" t="n">
        <v>26</v>
      </c>
      <c r="F4628" s="3" t="n">
        <v>20.03</v>
      </c>
      <c r="G4628" s="3" t="n">
        <v>1</v>
      </c>
      <c r="H4628" s="3" t="n">
        <v>0</v>
      </c>
      <c r="I4628" s="3" t="n">
        <v>27</v>
      </c>
      <c r="J4628" s="3" t="n">
        <v>22</v>
      </c>
      <c r="K4628" s="3" t="n">
        <v>5</v>
      </c>
      <c r="L4628" s="3" t="inlineStr">
        <is>
          <t>BOM</t>
        </is>
      </c>
      <c r="M4628" s="3" t="n">
        <v>27</v>
      </c>
      <c r="N4628" s="3" t="n">
        <v>99.17</v>
      </c>
      <c r="O4628" s="12" t="n">
        <v>21.69197396963124</v>
      </c>
    </row>
    <row r="4629">
      <c r="A4629" s="10" t="n">
        <v>46170</v>
      </c>
      <c r="B4629" t="inlineStr">
        <is>
          <t>Clessiane Pereira dos Santos</t>
        </is>
      </c>
      <c r="C4629" s="1" t="inlineStr">
        <is>
          <t>Técnico I</t>
        </is>
      </c>
      <c r="D4629" s="3" t="n">
        <v>24</v>
      </c>
      <c r="E4629" s="3" t="n">
        <v>23</v>
      </c>
      <c r="F4629" s="3" t="n">
        <v>17.14</v>
      </c>
      <c r="G4629" s="3" t="n">
        <v>0</v>
      </c>
      <c r="H4629" s="3" t="n">
        <v>0</v>
      </c>
      <c r="I4629" s="3" t="n">
        <v>23</v>
      </c>
      <c r="J4629" s="3" t="n">
        <v>18</v>
      </c>
      <c r="K4629" s="3" t="n">
        <v>5</v>
      </c>
      <c r="L4629" s="3" t="inlineStr">
        <is>
          <t>BOM</t>
        </is>
      </c>
      <c r="M4629" s="3" t="n">
        <v>23</v>
      </c>
      <c r="N4629" s="3" t="n">
        <v>97.08</v>
      </c>
      <c r="O4629" s="12" t="n">
        <v>25.17985611510791</v>
      </c>
    </row>
    <row r="4630">
      <c r="A4630" s="10" t="n">
        <v>46170</v>
      </c>
      <c r="B4630" t="inlineStr">
        <is>
          <t>Cristiane Ramos da Silva Rocha</t>
        </is>
      </c>
      <c r="C4630" s="1" t="inlineStr">
        <is>
          <t>Técnico III</t>
        </is>
      </c>
      <c r="D4630" s="3" t="n">
        <v>30</v>
      </c>
      <c r="E4630" s="3" t="n">
        <v>27</v>
      </c>
      <c r="F4630" s="3" t="n">
        <v>15.08</v>
      </c>
      <c r="G4630" s="3" t="n">
        <v>0</v>
      </c>
      <c r="H4630" s="3" t="n">
        <v>0</v>
      </c>
      <c r="I4630" s="3" t="n">
        <v>27</v>
      </c>
      <c r="J4630" s="3" t="n">
        <v>27</v>
      </c>
      <c r="K4630" s="3" t="n">
        <v>0</v>
      </c>
      <c r="L4630" s="3" t="inlineStr">
        <is>
          <t>BOM</t>
        </is>
      </c>
      <c r="M4630" s="3" t="n">
        <v>23</v>
      </c>
      <c r="N4630" s="3" t="n">
        <v>93.33</v>
      </c>
      <c r="O4630" s="12" t="n">
        <v>26.4591439688716</v>
      </c>
    </row>
    <row r="4631">
      <c r="A4631" s="10" t="n">
        <v>46170</v>
      </c>
      <c r="B4631" t="inlineStr">
        <is>
          <t>Damyllis Lorraine de Oliveira Gonçalves</t>
        </is>
      </c>
      <c r="C4631" s="1" t="inlineStr">
        <is>
          <t>Técnico II</t>
        </is>
      </c>
      <c r="D4631" s="3" t="n">
        <v>0</v>
      </c>
      <c r="E4631" s="3" t="n">
        <v>0</v>
      </c>
      <c r="F4631" s="3" t="n">
        <v>0</v>
      </c>
      <c r="G4631" s="3" t="n">
        <v>0</v>
      </c>
      <c r="H4631" s="3" t="n">
        <v>0</v>
      </c>
      <c r="I4631" s="3" t="n">
        <v>0</v>
      </c>
      <c r="J4631" s="3" t="n">
        <v>0</v>
      </c>
      <c r="K4631" s="3" t="n">
        <v>0</v>
      </c>
      <c r="L4631" s="3" t="inlineStr">
        <is>
          <t>BOM</t>
        </is>
      </c>
      <c r="M4631" s="3" t="n">
        <v>0</v>
      </c>
      <c r="N4631" s="3" t="n">
        <v>98.88</v>
      </c>
      <c r="O4631" s="12" t="n">
        <v>25.89285714285715</v>
      </c>
    </row>
    <row r="4632">
      <c r="A4632" s="10" t="n">
        <v>46170</v>
      </c>
      <c r="B4632" t="inlineStr">
        <is>
          <t>Daniel Gomes da Silva</t>
        </is>
      </c>
      <c r="C4632" s="1" t="inlineStr">
        <is>
          <t>Técnico I</t>
        </is>
      </c>
      <c r="D4632" s="3" t="n">
        <v>24</v>
      </c>
      <c r="E4632" s="3" t="n">
        <v>23</v>
      </c>
      <c r="F4632" s="3" t="n">
        <v>15.29</v>
      </c>
      <c r="G4632" s="3" t="n">
        <v>0</v>
      </c>
      <c r="H4632" s="3" t="n">
        <v>0</v>
      </c>
      <c r="I4632" s="3" t="n">
        <v>23</v>
      </c>
      <c r="J4632" s="3" t="n">
        <v>18</v>
      </c>
      <c r="K4632" s="3" t="n">
        <v>5</v>
      </c>
      <c r="L4632" s="3" t="inlineStr">
        <is>
          <t>BOM</t>
        </is>
      </c>
      <c r="M4632" s="3" t="n">
        <v>19</v>
      </c>
      <c r="N4632" s="3" t="n">
        <v>100</v>
      </c>
      <c r="O4632" s="12" t="n">
        <v>21.90476190476191</v>
      </c>
    </row>
    <row r="4633">
      <c r="A4633" s="10" t="n">
        <v>46170</v>
      </c>
      <c r="B4633" t="inlineStr">
        <is>
          <t>Davylla Rodrigues Freitas Silva</t>
        </is>
      </c>
      <c r="C4633" s="1" t="inlineStr">
        <is>
          <t>Técnico III</t>
        </is>
      </c>
      <c r="D4633" s="3" t="n">
        <v>0</v>
      </c>
      <c r="E4633" s="3" t="n">
        <v>0</v>
      </c>
      <c r="F4633" s="3" t="n">
        <v>0</v>
      </c>
      <c r="G4633" s="3" t="n">
        <v>0</v>
      </c>
      <c r="H4633" s="3" t="n">
        <v>0</v>
      </c>
      <c r="I4633" s="3" t="n">
        <v>0</v>
      </c>
      <c r="J4633" s="3" t="n">
        <v>0</v>
      </c>
      <c r="K4633" s="3" t="n">
        <v>0</v>
      </c>
      <c r="L4633" s="3" t="inlineStr">
        <is>
          <t>BOM</t>
        </is>
      </c>
      <c r="M4633" s="3" t="n">
        <v>0</v>
      </c>
      <c r="N4633" s="3" t="n">
        <v>99.22</v>
      </c>
      <c r="O4633" s="12" t="n">
        <v>30.73929961089494</v>
      </c>
    </row>
    <row r="4634">
      <c r="A4634" s="10" t="n">
        <v>46170</v>
      </c>
      <c r="B4634" t="inlineStr">
        <is>
          <t>Emilly Kamilly Medeiros Miranda</t>
        </is>
      </c>
      <c r="C4634" s="1" t="inlineStr">
        <is>
          <t>Técnico II</t>
        </is>
      </c>
      <c r="D4634" s="3" t="n">
        <v>32</v>
      </c>
      <c r="E4634" s="3" t="n">
        <v>29</v>
      </c>
      <c r="F4634" s="3" t="n">
        <v>13.49</v>
      </c>
      <c r="G4634" s="3" t="n">
        <v>4</v>
      </c>
      <c r="H4634" s="3" t="n">
        <v>0</v>
      </c>
      <c r="I4634" s="3" t="n">
        <v>33</v>
      </c>
      <c r="J4634" s="3" t="n">
        <v>22</v>
      </c>
      <c r="K4634" s="3" t="n">
        <v>11</v>
      </c>
      <c r="L4634" s="3" t="inlineStr">
        <is>
          <t>EXCELENTE</t>
        </is>
      </c>
      <c r="M4634" s="3" t="n">
        <v>28</v>
      </c>
      <c r="N4634" s="3" t="n">
        <v>99.14</v>
      </c>
      <c r="O4634" s="12" t="n">
        <v>18.93095768374165</v>
      </c>
    </row>
    <row r="4635">
      <c r="A4635" s="10" t="n">
        <v>46170</v>
      </c>
      <c r="B4635" t="inlineStr">
        <is>
          <t>Francielson de Oliveira</t>
        </is>
      </c>
      <c r="C4635" s="1" t="inlineStr">
        <is>
          <t>Técnico III</t>
        </is>
      </c>
      <c r="D4635" s="3" t="n">
        <v>34</v>
      </c>
      <c r="E4635" s="3" t="n">
        <v>34</v>
      </c>
      <c r="F4635" s="3" t="n">
        <v>14.12</v>
      </c>
      <c r="G4635" s="3" t="n">
        <v>0</v>
      </c>
      <c r="H4635" s="3" t="n">
        <v>0</v>
      </c>
      <c r="I4635" s="3" t="n">
        <v>34</v>
      </c>
      <c r="J4635" s="3" t="n">
        <v>27</v>
      </c>
      <c r="K4635" s="3" t="n">
        <v>7</v>
      </c>
      <c r="L4635" s="3" t="inlineStr">
        <is>
          <t>EXCELENTE</t>
        </is>
      </c>
      <c r="M4635" s="3" t="n">
        <v>35</v>
      </c>
      <c r="N4635" s="3" t="n">
        <v>100</v>
      </c>
      <c r="O4635" s="12" t="n">
        <v>10.79136690647482</v>
      </c>
    </row>
    <row r="4636">
      <c r="A4636" s="10" t="n">
        <v>46170</v>
      </c>
      <c r="B4636" t="inlineStr">
        <is>
          <t>Francilene Ferreira de Jesus</t>
        </is>
      </c>
      <c r="C4636" s="1" t="inlineStr">
        <is>
          <t>Técnico II</t>
        </is>
      </c>
      <c r="D4636" s="3" t="n">
        <v>0</v>
      </c>
      <c r="E4636" s="3" t="n">
        <v>0</v>
      </c>
      <c r="F4636" s="3" t="n">
        <v>0</v>
      </c>
      <c r="G4636" s="3" t="n">
        <v>0</v>
      </c>
      <c r="H4636" s="3" t="n">
        <v>0</v>
      </c>
      <c r="I4636" s="3" t="n">
        <v>0</v>
      </c>
      <c r="J4636" s="3" t="n">
        <v>0</v>
      </c>
      <c r="K4636" s="3" t="n">
        <v>0</v>
      </c>
      <c r="L4636" s="3" t="inlineStr">
        <is>
          <t>BOM</t>
        </is>
      </c>
      <c r="M4636" s="3" t="n">
        <v>0</v>
      </c>
      <c r="N4636" s="3" t="n">
        <v>100</v>
      </c>
      <c r="O4636" s="12" t="n">
        <v>17.24137931034483</v>
      </c>
    </row>
    <row r="4637">
      <c r="A4637" s="10" t="n">
        <v>46170</v>
      </c>
      <c r="B4637" t="inlineStr">
        <is>
          <t>Gabriel Gomes de Andrade</t>
        </is>
      </c>
      <c r="C4637" s="1" t="inlineStr">
        <is>
          <t>Técnico I</t>
        </is>
      </c>
      <c r="D4637" s="3" t="n">
        <v>18</v>
      </c>
      <c r="E4637" s="3" t="n">
        <v>17</v>
      </c>
      <c r="F4637" s="3" t="n">
        <v>23.42</v>
      </c>
      <c r="G4637" s="3" t="n">
        <v>2</v>
      </c>
      <c r="H4637" s="3" t="n">
        <v>0</v>
      </c>
      <c r="I4637" s="3" t="n">
        <v>19</v>
      </c>
      <c r="J4637" s="3" t="n">
        <v>18</v>
      </c>
      <c r="K4637" s="3" t="n">
        <v>1</v>
      </c>
      <c r="L4637" s="3" t="inlineStr">
        <is>
          <t>BOM</t>
        </is>
      </c>
      <c r="M4637" s="3" t="n">
        <v>14</v>
      </c>
      <c r="N4637" s="3" t="n">
        <v>99.17</v>
      </c>
      <c r="O4637" s="12" t="n">
        <v>22.44897959183674</v>
      </c>
    </row>
    <row r="4638">
      <c r="A4638" s="10" t="n">
        <v>46170</v>
      </c>
      <c r="B4638" t="inlineStr">
        <is>
          <t>Isabella Borges de Oliveira</t>
        </is>
      </c>
      <c r="C4638" s="1" t="inlineStr">
        <is>
          <t>Técnico II</t>
        </is>
      </c>
      <c r="D4638" s="3" t="n">
        <v>25</v>
      </c>
      <c r="E4638" s="3" t="n">
        <v>24</v>
      </c>
      <c r="F4638" s="3" t="n">
        <v>20.45</v>
      </c>
      <c r="G4638" s="3" t="n">
        <v>3</v>
      </c>
      <c r="H4638" s="3" t="n">
        <v>0</v>
      </c>
      <c r="I4638" s="3" t="n">
        <v>27</v>
      </c>
      <c r="J4638" s="3" t="n">
        <v>22</v>
      </c>
      <c r="K4638" s="3" t="n">
        <v>5</v>
      </c>
      <c r="L4638" s="3" t="inlineStr">
        <is>
          <t>BOM</t>
        </is>
      </c>
      <c r="M4638" s="3" t="n">
        <v>22</v>
      </c>
      <c r="N4638" s="3" t="n">
        <v>99.09999999999999</v>
      </c>
      <c r="O4638" s="12" t="n">
        <v>20.87378640776699</v>
      </c>
    </row>
    <row r="4639">
      <c r="A4639" s="10" t="n">
        <v>46170</v>
      </c>
      <c r="B4639" t="inlineStr">
        <is>
          <t>Janaina Lima dos Reis Urany</t>
        </is>
      </c>
      <c r="C4639" s="1" t="inlineStr">
        <is>
          <t>Técnico III</t>
        </is>
      </c>
      <c r="D4639" s="3" t="n">
        <v>43</v>
      </c>
      <c r="E4639" s="3" t="n">
        <v>40</v>
      </c>
      <c r="F4639" s="3" t="n">
        <v>12.22</v>
      </c>
      <c r="G4639" s="3" t="n">
        <v>5</v>
      </c>
      <c r="H4639" s="3" t="n">
        <v>0</v>
      </c>
      <c r="I4639" s="3" t="n">
        <v>45</v>
      </c>
      <c r="J4639" s="3" t="n">
        <v>27</v>
      </c>
      <c r="K4639" s="3" t="n">
        <v>18</v>
      </c>
      <c r="L4639" s="3" t="inlineStr">
        <is>
          <t>EXCELENTE</t>
        </is>
      </c>
      <c r="M4639" s="3" t="n">
        <v>37</v>
      </c>
      <c r="N4639" s="3" t="n">
        <v>99.09999999999999</v>
      </c>
      <c r="O4639" s="12" t="n">
        <v>23.24929971988795</v>
      </c>
    </row>
    <row r="4640">
      <c r="A4640" s="10" t="n">
        <v>46170</v>
      </c>
      <c r="B4640" t="inlineStr">
        <is>
          <t>Jaqueline Evangelista da Silva Martins</t>
        </is>
      </c>
      <c r="C4640" s="1" t="inlineStr">
        <is>
          <t>Técnico III</t>
        </is>
      </c>
      <c r="D4640" s="3" t="n">
        <v>27</v>
      </c>
      <c r="E4640" s="3" t="n">
        <v>26</v>
      </c>
      <c r="F4640" s="3" t="n">
        <v>14.18</v>
      </c>
      <c r="G4640" s="3" t="n">
        <v>1</v>
      </c>
      <c r="H4640" s="3" t="n">
        <v>0</v>
      </c>
      <c r="I4640" s="3" t="n">
        <v>27</v>
      </c>
      <c r="J4640" s="3" t="n">
        <v>27</v>
      </c>
      <c r="K4640" s="3" t="n">
        <v>0</v>
      </c>
      <c r="L4640" s="3" t="inlineStr">
        <is>
          <t>BOM</t>
        </is>
      </c>
      <c r="M4640" s="3" t="n">
        <v>23</v>
      </c>
      <c r="N4640" s="3" t="n">
        <v>97.66</v>
      </c>
      <c r="O4640" s="12" t="n">
        <v>35.85746102449889</v>
      </c>
    </row>
    <row r="4641">
      <c r="A4641" s="10" t="n">
        <v>46170</v>
      </c>
      <c r="B4641" t="inlineStr">
        <is>
          <t>Jessica Faria da Silveira</t>
        </is>
      </c>
      <c r="C4641" s="1" t="inlineStr">
        <is>
          <t>Técnico II</t>
        </is>
      </c>
      <c r="D4641" s="3" t="n">
        <v>0</v>
      </c>
      <c r="E4641" s="3" t="n">
        <v>0</v>
      </c>
      <c r="F4641" s="3" t="n">
        <v>0</v>
      </c>
      <c r="G4641" s="3" t="n">
        <v>0</v>
      </c>
      <c r="H4641" s="3" t="n">
        <v>0</v>
      </c>
      <c r="I4641" s="3" t="n">
        <v>0</v>
      </c>
      <c r="J4641" s="3" t="n">
        <v>0</v>
      </c>
      <c r="K4641" s="3" t="n">
        <v>0</v>
      </c>
      <c r="L4641" s="3" t="inlineStr">
        <is>
          <t>BOM</t>
        </is>
      </c>
      <c r="M4641" s="3" t="n">
        <v>0</v>
      </c>
      <c r="N4641" s="3" t="n">
        <v>99.05</v>
      </c>
      <c r="O4641" s="12" t="n">
        <v>23.97820163487738</v>
      </c>
    </row>
    <row r="4642">
      <c r="A4642" s="10" t="n">
        <v>46170</v>
      </c>
      <c r="B4642" t="inlineStr">
        <is>
          <t>Jéssica Fé Moura</t>
        </is>
      </c>
      <c r="C4642" s="1" t="inlineStr">
        <is>
          <t>Técnico III</t>
        </is>
      </c>
      <c r="D4642" s="3" t="n">
        <v>0</v>
      </c>
      <c r="E4642" s="3" t="n">
        <v>0</v>
      </c>
      <c r="F4642" s="3" t="n">
        <v>0</v>
      </c>
      <c r="G4642" s="3" t="n">
        <v>0</v>
      </c>
      <c r="H4642" s="3" t="n">
        <v>0</v>
      </c>
      <c r="I4642" s="3" t="n">
        <v>0</v>
      </c>
      <c r="J4642" s="3" t="n">
        <v>0</v>
      </c>
      <c r="K4642" s="3" t="n">
        <v>0</v>
      </c>
      <c r="L4642" s="3" t="inlineStr">
        <is>
          <t>BOM</t>
        </is>
      </c>
      <c r="M4642" s="3" t="n">
        <v>0</v>
      </c>
      <c r="N4642" s="3" t="n">
        <v>0</v>
      </c>
      <c r="O4642" s="12" t="n">
        <v>0</v>
      </c>
    </row>
    <row r="4643">
      <c r="A4643" s="10" t="n">
        <v>46170</v>
      </c>
      <c r="B4643" t="inlineStr">
        <is>
          <t>Kerollen Cristielly de Jesus Siqueira</t>
        </is>
      </c>
      <c r="C4643" s="1" t="inlineStr">
        <is>
          <t>Técnico III</t>
        </is>
      </c>
      <c r="D4643" s="3" t="n">
        <v>33</v>
      </c>
      <c r="E4643" s="3" t="n">
        <v>33</v>
      </c>
      <c r="F4643" s="3" t="n">
        <v>15.16</v>
      </c>
      <c r="G4643" s="3" t="n">
        <v>0</v>
      </c>
      <c r="H4643" s="3" t="n">
        <v>0</v>
      </c>
      <c r="I4643" s="3" t="n">
        <v>33</v>
      </c>
      <c r="J4643" s="3" t="n">
        <v>27</v>
      </c>
      <c r="K4643" s="3" t="n">
        <v>6</v>
      </c>
      <c r="L4643" s="3" t="inlineStr">
        <is>
          <t>EXCELENTE</t>
        </is>
      </c>
      <c r="M4643" s="3" t="n">
        <v>33</v>
      </c>
      <c r="N4643" s="3" t="n">
        <v>97.17</v>
      </c>
      <c r="O4643" s="12" t="n">
        <v>17.43341404358353</v>
      </c>
    </row>
    <row r="4644">
      <c r="A4644" s="10" t="n">
        <v>46170</v>
      </c>
      <c r="B4644" t="inlineStr">
        <is>
          <t>Leandro Oliveira de Sousa</t>
        </is>
      </c>
      <c r="C4644" s="1" t="inlineStr">
        <is>
          <t>Técnico III</t>
        </is>
      </c>
      <c r="D4644" s="3" t="n">
        <v>30</v>
      </c>
      <c r="E4644" s="3" t="n">
        <v>29</v>
      </c>
      <c r="F4644" s="3" t="n">
        <v>17.19</v>
      </c>
      <c r="G4644" s="3" t="n">
        <v>0</v>
      </c>
      <c r="H4644" s="3" t="n">
        <v>0</v>
      </c>
      <c r="I4644" s="3" t="n">
        <v>29</v>
      </c>
      <c r="J4644" s="3" t="n">
        <v>27</v>
      </c>
      <c r="K4644" s="3" t="n">
        <v>2</v>
      </c>
      <c r="L4644" s="3" t="inlineStr">
        <is>
          <t>BOM</t>
        </is>
      </c>
      <c r="M4644" s="3" t="n">
        <v>26</v>
      </c>
      <c r="N4644" s="3" t="n">
        <v>100</v>
      </c>
      <c r="O4644" s="12" t="n">
        <v>19.33471933471933</v>
      </c>
    </row>
    <row r="4645">
      <c r="A4645" s="10" t="n">
        <v>46170</v>
      </c>
      <c r="B4645" t="inlineStr">
        <is>
          <t>Lizandra Gomes Duarte</t>
        </is>
      </c>
      <c r="C4645" s="1" t="inlineStr">
        <is>
          <t>Técnico II</t>
        </is>
      </c>
      <c r="D4645" s="3" t="n">
        <v>26</v>
      </c>
      <c r="E4645" s="3" t="n">
        <v>22</v>
      </c>
      <c r="F4645" s="3" t="n">
        <v>18.4</v>
      </c>
      <c r="G4645" s="3" t="n">
        <v>0</v>
      </c>
      <c r="H4645" s="3" t="n">
        <v>0</v>
      </c>
      <c r="I4645" s="3" t="n">
        <v>22</v>
      </c>
      <c r="J4645" s="3" t="n">
        <v>22</v>
      </c>
      <c r="K4645" s="3" t="n">
        <v>0</v>
      </c>
      <c r="L4645" s="3" t="inlineStr">
        <is>
          <t>BOM</t>
        </is>
      </c>
      <c r="M4645" s="3" t="n">
        <v>9</v>
      </c>
      <c r="N4645" s="3" t="n">
        <v>99.12</v>
      </c>
      <c r="O4645" s="12" t="n">
        <v>24.06015037593985</v>
      </c>
    </row>
    <row r="4646">
      <c r="A4646" s="10" t="n">
        <v>46170</v>
      </c>
      <c r="B4646" t="inlineStr">
        <is>
          <t>Lorena Dias de Araujo</t>
        </is>
      </c>
      <c r="C4646" s="1" t="inlineStr">
        <is>
          <t>Técnico II</t>
        </is>
      </c>
      <c r="D4646" s="3" t="n">
        <v>0</v>
      </c>
      <c r="E4646" s="3" t="n">
        <v>0</v>
      </c>
      <c r="F4646" s="3" t="n">
        <v>0</v>
      </c>
      <c r="G4646" s="3" t="n">
        <v>0</v>
      </c>
      <c r="H4646" s="3" t="n">
        <v>0</v>
      </c>
      <c r="I4646" s="3" t="n">
        <v>0</v>
      </c>
      <c r="J4646" s="3" t="n">
        <v>0</v>
      </c>
      <c r="K4646" s="3" t="n">
        <v>0</v>
      </c>
      <c r="L4646" s="3" t="inlineStr">
        <is>
          <t>BOM</t>
        </is>
      </c>
      <c r="M4646" s="3" t="n">
        <v>0</v>
      </c>
      <c r="N4646" s="3" t="n">
        <v>100</v>
      </c>
      <c r="O4646" s="12" t="n">
        <v>26.75675675675675</v>
      </c>
    </row>
    <row r="4647">
      <c r="A4647" s="10" t="n">
        <v>46170</v>
      </c>
      <c r="B4647" t="inlineStr">
        <is>
          <t>Lucas Luiz Romero</t>
        </is>
      </c>
      <c r="C4647" s="1" t="inlineStr">
        <is>
          <t>Técnico III</t>
        </is>
      </c>
      <c r="D4647" s="3" t="n">
        <v>0</v>
      </c>
      <c r="E4647" s="3" t="n">
        <v>0</v>
      </c>
      <c r="F4647" s="3" t="n">
        <v>0</v>
      </c>
      <c r="G4647" s="3" t="n">
        <v>0</v>
      </c>
      <c r="H4647" s="3" t="n">
        <v>0</v>
      </c>
      <c r="I4647" s="3" t="n">
        <v>0</v>
      </c>
      <c r="J4647" s="3" t="n">
        <v>0</v>
      </c>
      <c r="K4647" s="3" t="n">
        <v>0</v>
      </c>
      <c r="L4647" s="3" t="inlineStr">
        <is>
          <t>BOM</t>
        </is>
      </c>
      <c r="M4647" s="3" t="n">
        <v>12</v>
      </c>
      <c r="N4647" s="3" t="n">
        <v>100</v>
      </c>
      <c r="O4647" s="12" t="n">
        <v>28.7037037037037</v>
      </c>
    </row>
    <row r="4648">
      <c r="A4648" s="10" t="n">
        <v>46170</v>
      </c>
      <c r="B4648" t="inlineStr">
        <is>
          <t>Luiz Fernando de Carvalho Junior</t>
        </is>
      </c>
      <c r="C4648" s="1" t="inlineStr">
        <is>
          <t>Técnico I</t>
        </is>
      </c>
      <c r="D4648" s="3" t="n">
        <v>25</v>
      </c>
      <c r="E4648" s="3" t="n">
        <v>23</v>
      </c>
      <c r="F4648" s="3" t="n">
        <v>17.12</v>
      </c>
      <c r="G4648" s="3" t="n">
        <v>1</v>
      </c>
      <c r="H4648" s="3" t="n">
        <v>0</v>
      </c>
      <c r="I4648" s="3" t="n">
        <v>24</v>
      </c>
      <c r="J4648" s="3" t="n">
        <v>18</v>
      </c>
      <c r="K4648" s="3" t="n">
        <v>6</v>
      </c>
      <c r="L4648" s="3" t="inlineStr">
        <is>
          <t>EXCELENTE</t>
        </is>
      </c>
      <c r="M4648" s="3" t="n">
        <v>22</v>
      </c>
      <c r="N4648" s="3" t="n">
        <v>94.87</v>
      </c>
      <c r="O4648" s="12" t="n">
        <v>23.24455205811138</v>
      </c>
    </row>
    <row r="4649">
      <c r="A4649" s="10" t="n">
        <v>46170</v>
      </c>
      <c r="B4649" t="inlineStr">
        <is>
          <t>Matheus Farias De Souza</t>
        </is>
      </c>
      <c r="C4649" s="1" t="inlineStr">
        <is>
          <t>Técnico III</t>
        </is>
      </c>
      <c r="D4649" s="3" t="n">
        <v>0</v>
      </c>
      <c r="E4649" s="3" t="n">
        <v>0</v>
      </c>
      <c r="F4649" s="3" t="n">
        <v>0</v>
      </c>
      <c r="G4649" s="3" t="n">
        <v>0</v>
      </c>
      <c r="H4649" s="3" t="n">
        <v>32</v>
      </c>
      <c r="I4649" s="3" t="n">
        <v>32</v>
      </c>
      <c r="J4649" s="3" t="n">
        <v>27</v>
      </c>
      <c r="K4649" s="3" t="n">
        <v>5</v>
      </c>
      <c r="L4649" s="3" t="inlineStr">
        <is>
          <t>BOM</t>
        </is>
      </c>
      <c r="M4649" s="3" t="n">
        <v>15</v>
      </c>
      <c r="N4649" s="3" t="n">
        <v>98.44</v>
      </c>
      <c r="O4649" s="12" t="n">
        <v>8.232445520581114</v>
      </c>
    </row>
    <row r="4650">
      <c r="A4650" s="10" t="n">
        <v>46170</v>
      </c>
      <c r="B4650" t="inlineStr">
        <is>
          <t>Maysa Victoria Dias Moura</t>
        </is>
      </c>
      <c r="C4650" s="1" t="inlineStr">
        <is>
          <t>Técnico III</t>
        </is>
      </c>
      <c r="D4650" s="3" t="n">
        <v>28</v>
      </c>
      <c r="E4650" s="3" t="n">
        <v>22</v>
      </c>
      <c r="F4650" s="3" t="n">
        <v>16.5</v>
      </c>
      <c r="G4650" s="3" t="n">
        <v>9</v>
      </c>
      <c r="H4650" s="3" t="n">
        <v>0</v>
      </c>
      <c r="I4650" s="3" t="n">
        <v>31</v>
      </c>
      <c r="J4650" s="3" t="n">
        <v>27</v>
      </c>
      <c r="K4650" s="3" t="n">
        <v>4</v>
      </c>
      <c r="L4650" s="3" t="inlineStr">
        <is>
          <t>BOM</t>
        </is>
      </c>
      <c r="M4650" s="3" t="n">
        <v>22</v>
      </c>
      <c r="N4650" s="3" t="n">
        <v>96.69</v>
      </c>
      <c r="O4650" s="12" t="n">
        <v>24.64358452138493</v>
      </c>
    </row>
    <row r="4651">
      <c r="A4651" s="10" t="n">
        <v>46170</v>
      </c>
      <c r="B4651" t="inlineStr">
        <is>
          <t>Patrícia Karla de Sousa Araújo</t>
        </is>
      </c>
      <c r="C4651" s="1" t="inlineStr">
        <is>
          <t>Técnico II</t>
        </is>
      </c>
      <c r="D4651" s="3" t="n">
        <v>0</v>
      </c>
      <c r="E4651" s="3" t="n">
        <v>0</v>
      </c>
      <c r="F4651" s="3" t="n">
        <v>0</v>
      </c>
      <c r="G4651" s="3" t="n">
        <v>0</v>
      </c>
      <c r="H4651" s="3" t="n">
        <v>0</v>
      </c>
      <c r="I4651" s="3" t="n">
        <v>0</v>
      </c>
      <c r="J4651" s="3" t="n">
        <v>0</v>
      </c>
      <c r="K4651" s="3" t="n">
        <v>0</v>
      </c>
      <c r="L4651" s="3" t="inlineStr">
        <is>
          <t>BOM</t>
        </is>
      </c>
      <c r="M4651" s="3" t="n">
        <v>0</v>
      </c>
      <c r="N4651" s="3" t="n">
        <v>100</v>
      </c>
      <c r="O4651" s="12" t="n">
        <v>21.55963302752294</v>
      </c>
    </row>
    <row r="4652">
      <c r="A4652" s="10" t="n">
        <v>46170</v>
      </c>
      <c r="B4652" t="inlineStr">
        <is>
          <t>Raane Batista Matos</t>
        </is>
      </c>
      <c r="C4652" s="1" t="inlineStr">
        <is>
          <t>Técnico I</t>
        </is>
      </c>
      <c r="D4652" s="3" t="n">
        <v>24</v>
      </c>
      <c r="E4652" s="3" t="n">
        <v>23</v>
      </c>
      <c r="F4652" s="3" t="n">
        <v>23.35</v>
      </c>
      <c r="G4652" s="3" t="n">
        <v>3</v>
      </c>
      <c r="H4652" s="3" t="n">
        <v>0</v>
      </c>
      <c r="I4652" s="3" t="n">
        <v>26</v>
      </c>
      <c r="J4652" s="3" t="n">
        <v>18</v>
      </c>
      <c r="K4652" s="3" t="n">
        <v>8</v>
      </c>
      <c r="L4652" s="3" t="inlineStr">
        <is>
          <t>EXCELENTE</t>
        </is>
      </c>
      <c r="M4652" s="3" t="n">
        <v>18</v>
      </c>
      <c r="N4652" s="3" t="n">
        <v>98.29000000000001</v>
      </c>
      <c r="O4652" s="12" t="n">
        <v>23.22274881516588</v>
      </c>
    </row>
    <row r="4653">
      <c r="A4653" s="10" t="n">
        <v>46170</v>
      </c>
      <c r="B4653" t="inlineStr">
        <is>
          <t>Rafael Gomes de Morais</t>
        </is>
      </c>
      <c r="C4653" s="1" t="inlineStr">
        <is>
          <t>Técnico III</t>
        </is>
      </c>
      <c r="D4653" s="3" t="n">
        <v>47</v>
      </c>
      <c r="E4653" s="3" t="n">
        <v>41</v>
      </c>
      <c r="F4653" s="3" t="n">
        <v>8.25</v>
      </c>
      <c r="G4653" s="3" t="n">
        <v>0</v>
      </c>
      <c r="H4653" s="3" t="n">
        <v>0</v>
      </c>
      <c r="I4653" s="3" t="n">
        <v>41</v>
      </c>
      <c r="J4653" s="3" t="n">
        <v>27</v>
      </c>
      <c r="K4653" s="3" t="n">
        <v>14</v>
      </c>
      <c r="L4653" s="3" t="inlineStr">
        <is>
          <t>EXCELENTE</t>
        </is>
      </c>
      <c r="M4653" s="3" t="n">
        <v>36</v>
      </c>
      <c r="N4653" s="3" t="n">
        <v>99.44</v>
      </c>
      <c r="O4653" s="12" t="n">
        <v>26.84684684684684</v>
      </c>
    </row>
    <row r="4654">
      <c r="A4654" s="10" t="n">
        <v>46170</v>
      </c>
      <c r="B4654" t="inlineStr">
        <is>
          <t>Sara Maria Monteiro Lopes</t>
        </is>
      </c>
      <c r="C4654" s="1" t="inlineStr">
        <is>
          <t>Técnico I</t>
        </is>
      </c>
      <c r="D4654" s="3" t="n">
        <v>19</v>
      </c>
      <c r="E4654" s="3" t="n">
        <v>19</v>
      </c>
      <c r="F4654" s="3" t="n">
        <v>24.14</v>
      </c>
      <c r="G4654" s="3" t="n">
        <v>3</v>
      </c>
      <c r="H4654" s="3" t="n">
        <v>0</v>
      </c>
      <c r="I4654" s="3" t="n">
        <v>22</v>
      </c>
      <c r="J4654" s="3" t="n">
        <v>18</v>
      </c>
      <c r="K4654" s="3" t="n">
        <v>4</v>
      </c>
      <c r="L4654" s="3" t="inlineStr">
        <is>
          <t>BOM</t>
        </is>
      </c>
      <c r="M4654" s="3" t="n">
        <v>16</v>
      </c>
      <c r="N4654" s="3" t="n">
        <v>100</v>
      </c>
      <c r="O4654" s="12" t="n">
        <v>19.35483870967742</v>
      </c>
    </row>
    <row r="4655">
      <c r="A4655" s="10" t="n">
        <v>46170</v>
      </c>
      <c r="B4655" t="inlineStr">
        <is>
          <t>Sarah Steffanie de Lima Borges</t>
        </is>
      </c>
      <c r="C4655" s="1" t="inlineStr">
        <is>
          <t>Técnico III</t>
        </is>
      </c>
      <c r="D4655" s="3" t="n">
        <v>22</v>
      </c>
      <c r="E4655" s="3" t="n">
        <v>21</v>
      </c>
      <c r="F4655" s="3" t="n">
        <v>19.16</v>
      </c>
      <c r="G4655" s="3" t="n">
        <v>0</v>
      </c>
      <c r="H4655" s="3" t="n">
        <v>0</v>
      </c>
      <c r="I4655" s="3" t="n">
        <v>21</v>
      </c>
      <c r="J4655" s="3" t="n">
        <v>27</v>
      </c>
      <c r="K4655" s="3" t="n">
        <v>-6</v>
      </c>
      <c r="L4655" s="3" t="inlineStr">
        <is>
          <t>CRÍTICO</t>
        </is>
      </c>
      <c r="M4655" s="3" t="n">
        <v>18</v>
      </c>
      <c r="N4655" s="3" t="n">
        <v>97.25</v>
      </c>
      <c r="O4655" s="12" t="n">
        <v>21.33995037220843</v>
      </c>
    </row>
    <row r="4656">
      <c r="A4656" s="5" t="n">
        <v>46156</v>
      </c>
      <c r="B4656" s="6" t="inlineStr">
        <is>
          <t>Quirino Diogo Leite Torres</t>
        </is>
      </c>
      <c r="C4656" s="1" t="inlineStr">
        <is>
          <t>Estágio</t>
        </is>
      </c>
      <c r="D4656" s="3" t="n">
        <v>19</v>
      </c>
      <c r="E4656" s="3" t="n">
        <v>18</v>
      </c>
      <c r="F4656" s="3" t="n">
        <v>24.18</v>
      </c>
      <c r="G4656" s="3" t="n">
        <v>0</v>
      </c>
      <c r="H4656" s="3" t="n">
        <v>0</v>
      </c>
      <c r="I4656" s="3">
        <f>E4656+G4656+H4656</f>
        <v/>
      </c>
      <c r="J4656" s="3">
        <f>ROUND(MIN(IF(C4656="Técnico III",35,IF(C4656="Técnico II",28,IF(C4656="Técnico I",23,IF(C4656="JR",20,IF(C4656="Estágio",10,0))))),IF(C4656="Técnico III",SUMIFS($D:$D,$A:$A,$A4656,$B:$B,"&lt;&gt;Patrícia Karla de Sousa Araújo",$B:$B,"&lt;&gt;Lorena Dias de Araujo",$B:$B,"&lt;&gt;Lucas Luiz Romero")*(35/1083),IF(C4656="Técnico II",SUMIFS($D:$D,$A:$A,$A4656,$B:$B,"&lt;&gt;Patrícia Karla de Sousa Araújo",$B:$B,"&lt;&gt;Lorena Dias de Araujo",$B:$B,"&lt;&gt;Lucas Luiz Romero")*(28/1083),IF(C4656="Técnico I",SUMIFS($D:$D,$A:$A,$A4656,$B:$B,"&lt;&gt;Patrícia Karla de Sousa Araújo",$B:$B,"&lt;&gt;Lorena Dias de Araujo",$B:$B,"&lt;&gt;Lucas Luiz Romero")*(23/1083),IF(C4656="JR",SUMIFS($D:$D,$A:$A,$A4656,$B:$B,"&lt;&gt;Patrícia Karla de Sousa Araújo",$B:$B,"&lt;&gt;Lorena Dias de Araujo",$B:$B,"&lt;&gt;Lucas Luiz Romero")*(20/1083),IF(C4656="Estágio",SUMIFS($D:$D,$A:$A,$A4656,$B:$B,"&lt;&gt;Patrícia Karla de Sousa Araújo",$B:$B,"&lt;&gt;Lorena Dias de Araujo",$B:$B,"&lt;&gt;Lucas Luiz Romero")*(10/1083),0)))))),0)</f>
        <v/>
      </c>
      <c r="K4656" s="3">
        <f>I4656-J4656</f>
        <v/>
      </c>
      <c r="L4656" s="3">
        <f>IF(K4656&lt;-5,"CRÍTICO",IF(K4656&lt;0,"ATENÇÃO",IF(K4656&lt;=5,"OPORTUNO","MUITO BOM")))</f>
        <v/>
      </c>
      <c r="M4656" s="3" t="n">
        <v>15</v>
      </c>
      <c r="N4656" s="3" t="n">
        <v>98.36</v>
      </c>
      <c r="O4656" s="12" t="n">
        <v>21.91780821917808</v>
      </c>
    </row>
    <row r="4657">
      <c r="A4657" s="5" t="n">
        <v>46157</v>
      </c>
      <c r="B4657" s="6" t="inlineStr">
        <is>
          <t>Quirino Diogo Leite Torres</t>
        </is>
      </c>
      <c r="C4657" s="1" t="inlineStr">
        <is>
          <t>Estágio</t>
        </is>
      </c>
      <c r="D4657" s="3" t="n">
        <v>17</v>
      </c>
      <c r="E4657" s="3" t="n">
        <v>15</v>
      </c>
      <c r="F4657" s="3" t="n">
        <v>23.57</v>
      </c>
      <c r="G4657" s="3" t="n">
        <v>0</v>
      </c>
      <c r="H4657" s="3" t="n">
        <v>0</v>
      </c>
      <c r="I4657" s="3">
        <f>E4657+G4657+H4657</f>
        <v/>
      </c>
      <c r="J4657" s="3">
        <f>ROUND(MIN(IF(C4657="Técnico III",35,IF(C4657="Técnico II",28,IF(C4657="Técnico I",23,IF(C4657="JR",20,IF(C4657="Estágio",10,0))))),IF(C4657="Técnico III",SUMIFS($D:$D,$A:$A,$A4657,$B:$B,"&lt;&gt;Patrícia Karla de Sousa Araújo",$B:$B,"&lt;&gt;Lorena Dias de Araujo",$B:$B,"&lt;&gt;Lucas Luiz Romero")*(35/1083),IF(C4657="Técnico II",SUMIFS($D:$D,$A:$A,$A4657,$B:$B,"&lt;&gt;Patrícia Karla de Sousa Araújo",$B:$B,"&lt;&gt;Lorena Dias de Araujo",$B:$B,"&lt;&gt;Lucas Luiz Romero")*(28/1083),IF(C4657="Técnico I",SUMIFS($D:$D,$A:$A,$A4657,$B:$B,"&lt;&gt;Patrícia Karla de Sousa Araújo",$B:$B,"&lt;&gt;Lorena Dias de Araujo",$B:$B,"&lt;&gt;Lucas Luiz Romero")*(23/1083),IF(C4657="JR",SUMIFS($D:$D,$A:$A,$A4657,$B:$B,"&lt;&gt;Patrícia Karla de Sousa Araújo",$B:$B,"&lt;&gt;Lorena Dias de Araujo",$B:$B,"&lt;&gt;Lucas Luiz Romero")*(20/1083),IF(C4657="Estágio",SUMIFS($D:$D,$A:$A,$A4657,$B:$B,"&lt;&gt;Patrícia Karla de Sousa Araújo",$B:$B,"&lt;&gt;Lorena Dias de Araujo",$B:$B,"&lt;&gt;Lucas Luiz Romero")*(10/1083),0)))))),0)</f>
        <v/>
      </c>
      <c r="K4657" s="3">
        <f>I4657-J4657</f>
        <v/>
      </c>
      <c r="L4657" s="3">
        <f>IF(K4657&lt;-5,"CRÍTICO",IF(K4657&lt;0,"ATENÇÃO",IF(K4657&lt;=5,"OPORTUNO","MUITO BOM")))</f>
        <v/>
      </c>
      <c r="M4657" s="3" t="n">
        <v>14</v>
      </c>
      <c r="N4657" s="3" t="n">
        <v>98.36</v>
      </c>
      <c r="O4657" s="12" t="n">
        <v>21.91780821917808</v>
      </c>
    </row>
    <row r="4658">
      <c r="A4658" s="5" t="n">
        <v>46160</v>
      </c>
      <c r="B4658" s="6" t="inlineStr">
        <is>
          <t>Quirino Diogo Leite Torres</t>
        </is>
      </c>
      <c r="C4658" s="1" t="inlineStr">
        <is>
          <t>Estágio</t>
        </is>
      </c>
      <c r="D4658" s="3" t="n">
        <v>14</v>
      </c>
      <c r="E4658" s="3" t="n">
        <v>13</v>
      </c>
      <c r="F4658" s="3" t="n">
        <v>29.09</v>
      </c>
      <c r="G4658" s="3" t="n">
        <v>0</v>
      </c>
      <c r="H4658" s="3" t="n">
        <v>0</v>
      </c>
      <c r="I4658" s="3" t="n">
        <v>13</v>
      </c>
      <c r="J4658" s="3" t="n">
        <v>8</v>
      </c>
      <c r="K4658" s="3" t="n">
        <v>5</v>
      </c>
      <c r="L4658" s="3" t="inlineStr">
        <is>
          <t>BOM</t>
        </is>
      </c>
      <c r="M4658" s="3" t="n">
        <v>9</v>
      </c>
      <c r="N4658" s="3" t="n">
        <v>98.36</v>
      </c>
      <c r="O4658" s="12" t="n">
        <v>21.91780821917808</v>
      </c>
    </row>
    <row r="4659">
      <c r="A4659" s="7" t="n">
        <v>46161</v>
      </c>
      <c r="B4659" s="8" t="inlineStr">
        <is>
          <t>Quirino Diogo Leite Torres</t>
        </is>
      </c>
      <c r="C4659" s="1" t="inlineStr">
        <is>
          <t>Estágio</t>
        </is>
      </c>
      <c r="D4659" s="3" t="n">
        <v>20</v>
      </c>
      <c r="E4659" s="3" t="n">
        <v>19</v>
      </c>
      <c r="F4659" s="3" t="n">
        <v>25.31</v>
      </c>
      <c r="G4659" s="3" t="n">
        <v>0</v>
      </c>
      <c r="H4659" s="3" t="n">
        <v>0</v>
      </c>
      <c r="I4659" s="3" t="n">
        <v>19</v>
      </c>
      <c r="J4659" s="3" t="n">
        <v>8</v>
      </c>
      <c r="K4659" s="3" t="n">
        <v>11</v>
      </c>
      <c r="L4659" s="3" t="inlineStr">
        <is>
          <t>EXCELENTE</t>
        </is>
      </c>
      <c r="M4659" s="3" t="n">
        <v>16</v>
      </c>
      <c r="N4659" s="3" t="n">
        <v>98.36</v>
      </c>
      <c r="O4659" s="12" t="n">
        <v>21.91780821917808</v>
      </c>
    </row>
    <row r="4660">
      <c r="A4660" s="7" t="n">
        <v>46162</v>
      </c>
      <c r="B4660" s="8" t="inlineStr">
        <is>
          <t>Quirino Diogo Leite Torres</t>
        </is>
      </c>
      <c r="C4660" s="1" t="inlineStr">
        <is>
          <t>Estágio</t>
        </is>
      </c>
      <c r="D4660" s="3" t="n">
        <v>18</v>
      </c>
      <c r="E4660" s="3" t="n">
        <v>15</v>
      </c>
      <c r="F4660" s="3" t="n">
        <v>25.22</v>
      </c>
      <c r="G4660" s="3" t="n">
        <v>0</v>
      </c>
      <c r="H4660" s="3" t="n">
        <v>0</v>
      </c>
      <c r="I4660" s="3" t="n">
        <v>15</v>
      </c>
      <c r="J4660" s="3" t="n">
        <v>7</v>
      </c>
      <c r="K4660" s="3" t="n">
        <v>8</v>
      </c>
      <c r="L4660" s="3" t="inlineStr">
        <is>
          <t>EXCELENTE</t>
        </is>
      </c>
      <c r="M4660" s="3" t="n">
        <v>13</v>
      </c>
      <c r="N4660" s="3" t="n">
        <v>98.36</v>
      </c>
      <c r="O4660" s="12" t="n">
        <v>21.91780821917808</v>
      </c>
    </row>
    <row r="4661">
      <c r="A4661" s="5" t="n">
        <v>46163</v>
      </c>
      <c r="B4661" s="6" t="inlineStr">
        <is>
          <t>Quirino Diogo Leite Torres</t>
        </is>
      </c>
      <c r="C4661" s="1" t="inlineStr">
        <is>
          <t>Estágio</t>
        </is>
      </c>
      <c r="D4661" s="3" t="n">
        <v>20</v>
      </c>
      <c r="E4661" s="3" t="n">
        <v>18</v>
      </c>
      <c r="F4661" s="3" t="n">
        <v>16.49</v>
      </c>
      <c r="G4661" s="3" t="n">
        <v>0</v>
      </c>
      <c r="H4661" s="3" t="n">
        <v>0</v>
      </c>
      <c r="I4661" s="3" t="n">
        <v>18</v>
      </c>
      <c r="J4661" s="3" t="n">
        <v>6</v>
      </c>
      <c r="K4661" s="3" t="n">
        <v>12</v>
      </c>
      <c r="L4661" s="3" t="inlineStr">
        <is>
          <t>EXCELENTE</t>
        </is>
      </c>
      <c r="M4661" s="3" t="n">
        <v>13</v>
      </c>
      <c r="N4661" s="3" t="n">
        <v>98.36</v>
      </c>
      <c r="O4661" s="12" t="n">
        <v>21.91780821917808</v>
      </c>
    </row>
    <row r="4662">
      <c r="A4662" s="9" t="n">
        <v>46164</v>
      </c>
      <c r="B4662" s="6" t="inlineStr">
        <is>
          <t>Quirino Diogo Leite Torres</t>
        </is>
      </c>
      <c r="C4662" s="1" t="inlineStr">
        <is>
          <t>Estágio</t>
        </is>
      </c>
      <c r="D4662" s="3" t="n">
        <v>17</v>
      </c>
      <c r="E4662" s="3" t="n">
        <v>15</v>
      </c>
      <c r="F4662" s="3" t="n">
        <v>25.36</v>
      </c>
      <c r="G4662" s="3" t="n">
        <v>0</v>
      </c>
      <c r="H4662" s="3" t="n">
        <v>0</v>
      </c>
      <c r="I4662" s="3" t="n">
        <v>15</v>
      </c>
      <c r="J4662" s="3" t="n">
        <v>6</v>
      </c>
      <c r="K4662" s="3" t="n">
        <v>9</v>
      </c>
      <c r="L4662" s="3" t="inlineStr">
        <is>
          <t>EXCELENTE</t>
        </is>
      </c>
      <c r="M4662" s="3" t="n">
        <v>9</v>
      </c>
      <c r="N4662" s="3" t="n">
        <v>98.36</v>
      </c>
      <c r="O4662" s="12" t="n">
        <v>21.91780821917808</v>
      </c>
    </row>
    <row r="4663">
      <c r="A4663" s="10" t="n">
        <v>46167</v>
      </c>
      <c r="B4663" t="inlineStr">
        <is>
          <t>Quirino Diogo Leite Torres</t>
        </is>
      </c>
      <c r="C4663" s="1" t="inlineStr">
        <is>
          <t>Estágio</t>
        </is>
      </c>
      <c r="D4663" s="3" t="n">
        <v>17</v>
      </c>
      <c r="E4663" s="3" t="n">
        <v>17</v>
      </c>
      <c r="F4663" s="3" t="n">
        <v>32.24</v>
      </c>
      <c r="G4663" s="3" t="n">
        <v>0</v>
      </c>
      <c r="H4663" s="3" t="n">
        <v>0</v>
      </c>
      <c r="I4663" s="3" t="n">
        <v>17</v>
      </c>
      <c r="J4663" s="3" t="n">
        <v>6</v>
      </c>
      <c r="K4663" s="3" t="n">
        <v>11</v>
      </c>
      <c r="L4663" s="3" t="inlineStr">
        <is>
          <t>EXCELENTE</t>
        </is>
      </c>
      <c r="M4663" s="3" t="n">
        <v>11</v>
      </c>
      <c r="N4663" s="3" t="n">
        <v>98.36</v>
      </c>
      <c r="O4663" s="12" t="n">
        <v>21.91780821917808</v>
      </c>
    </row>
    <row r="4664">
      <c r="A4664" s="10" t="n">
        <v>46168</v>
      </c>
      <c r="B4664" t="inlineStr">
        <is>
          <t>Quirino Diogo Leite Torres</t>
        </is>
      </c>
      <c r="C4664" s="1" t="inlineStr">
        <is>
          <t>Estágio</t>
        </is>
      </c>
      <c r="D4664" s="3" t="n">
        <v>14</v>
      </c>
      <c r="E4664" s="3" t="n">
        <v>13</v>
      </c>
      <c r="F4664" s="3" t="n">
        <v>29.12</v>
      </c>
      <c r="G4664" s="3" t="n">
        <v>0</v>
      </c>
      <c r="H4664" s="3" t="n">
        <v>0</v>
      </c>
      <c r="I4664" s="3" t="n">
        <v>13</v>
      </c>
      <c r="J4664" s="3" t="n">
        <v>8</v>
      </c>
      <c r="K4664" s="3" t="n">
        <v>5</v>
      </c>
      <c r="L4664" s="3" t="inlineStr">
        <is>
          <t>BOM</t>
        </is>
      </c>
      <c r="M4664" s="3" t="n">
        <v>12</v>
      </c>
      <c r="N4664" s="3" t="n">
        <v>98.36</v>
      </c>
      <c r="O4664" s="12" t="n">
        <v>24.20091324200913</v>
      </c>
    </row>
    <row r="4665">
      <c r="A4665" s="10" t="n">
        <v>46169</v>
      </c>
      <c r="B4665" t="inlineStr">
        <is>
          <t>Quirino Diogo Leite Torres</t>
        </is>
      </c>
      <c r="C4665" s="1" t="inlineStr">
        <is>
          <t>Estágio</t>
        </is>
      </c>
      <c r="D4665" s="3" t="n">
        <v>19</v>
      </c>
      <c r="E4665" s="3" t="n">
        <v>16</v>
      </c>
      <c r="F4665" s="3" t="n">
        <v>27.02</v>
      </c>
      <c r="G4665" s="3" t="n">
        <v>0</v>
      </c>
      <c r="H4665" s="3" t="n">
        <v>0</v>
      </c>
      <c r="I4665" s="3" t="n">
        <v>16</v>
      </c>
      <c r="J4665" s="3" t="n">
        <v>8</v>
      </c>
      <c r="K4665" s="3" t="n">
        <v>8</v>
      </c>
      <c r="L4665" s="3" t="inlineStr">
        <is>
          <t>EXCELENTE</t>
        </is>
      </c>
      <c r="M4665" s="3" t="n">
        <v>15</v>
      </c>
      <c r="N4665" s="3" t="n">
        <v>97.06</v>
      </c>
      <c r="O4665" s="12" t="n">
        <v>23.5042735042735</v>
      </c>
    </row>
    <row r="4666">
      <c r="A4666" s="10" t="n">
        <v>46170</v>
      </c>
      <c r="B4666" t="inlineStr">
        <is>
          <t>Quirino Diogo Leite Torres</t>
        </is>
      </c>
      <c r="C4666" s="1" t="inlineStr">
        <is>
          <t>Estágio</t>
        </is>
      </c>
      <c r="D4666" s="3" t="n">
        <v>14</v>
      </c>
      <c r="E4666" s="3" t="n">
        <v>14</v>
      </c>
      <c r="F4666" s="3" t="n">
        <v>32.02</v>
      </c>
      <c r="G4666" s="3" t="n">
        <v>0</v>
      </c>
      <c r="H4666" s="3" t="n">
        <v>0</v>
      </c>
      <c r="I4666" s="3" t="n">
        <v>14</v>
      </c>
      <c r="J4666" s="3" t="n">
        <v>8</v>
      </c>
      <c r="K4666" s="3" t="n">
        <v>6</v>
      </c>
      <c r="L4666" s="3" t="inlineStr">
        <is>
          <t>EXCELENTE</t>
        </is>
      </c>
      <c r="M4666" s="3" t="n">
        <v>11</v>
      </c>
      <c r="N4666" s="3" t="n">
        <v>97.18000000000001</v>
      </c>
      <c r="O4666" s="12" t="n">
        <v>24.48979591836735</v>
      </c>
    </row>
    <row r="4667">
      <c r="A4667" s="10" t="n">
        <v>46171</v>
      </c>
      <c r="B4667" t="inlineStr">
        <is>
          <t>Quirino Diogo Leite Torres</t>
        </is>
      </c>
      <c r="C4667" s="1" t="inlineStr">
        <is>
          <t>Estágio</t>
        </is>
      </c>
      <c r="D4667" s="3" t="n">
        <v>15</v>
      </c>
      <c r="E4667" s="3" t="n">
        <v>15</v>
      </c>
      <c r="F4667" s="3" t="n">
        <v>32.12</v>
      </c>
      <c r="G4667" s="3" t="n">
        <v>0</v>
      </c>
      <c r="H4667" s="3" t="n">
        <v>0</v>
      </c>
      <c r="I4667" s="3" t="n">
        <v>15</v>
      </c>
      <c r="J4667" s="3" t="n">
        <v>8</v>
      </c>
      <c r="K4667" s="3" t="n">
        <v>7</v>
      </c>
      <c r="L4667" s="3" t="inlineStr">
        <is>
          <t>EXCELENTE</t>
        </is>
      </c>
      <c r="M4667" s="3" t="n">
        <v>3</v>
      </c>
      <c r="N4667" s="3" t="n">
        <v>97.26000000000001</v>
      </c>
      <c r="O4667" s="12" t="n">
        <v>24.19354838709678</v>
      </c>
    </row>
    <row r="4668">
      <c r="A4668" s="10" t="n">
        <v>46171</v>
      </c>
      <c r="B4668" t="inlineStr">
        <is>
          <t>Alisson de Freitas Silva</t>
        </is>
      </c>
      <c r="C4668" s="1" t="inlineStr">
        <is>
          <t>Técnico II</t>
        </is>
      </c>
      <c r="D4668" s="3" t="n">
        <v>29</v>
      </c>
      <c r="E4668" s="3" t="n">
        <v>15</v>
      </c>
      <c r="F4668" s="3" t="n">
        <v>10</v>
      </c>
      <c r="G4668" s="3" t="n">
        <v>0</v>
      </c>
      <c r="I4668" s="3" t="n">
        <v>15</v>
      </c>
      <c r="J4668" s="3" t="n">
        <v>22</v>
      </c>
      <c r="K4668" s="3" t="n">
        <v>-7</v>
      </c>
      <c r="L4668" s="3" t="inlineStr">
        <is>
          <t>CRÍTICO</t>
        </is>
      </c>
      <c r="M4668" s="3" t="n">
        <v>0</v>
      </c>
      <c r="N4668" s="3" t="n">
        <v>99.23999999999999</v>
      </c>
      <c r="O4668" s="12" t="n">
        <v>24.42159383033419</v>
      </c>
    </row>
    <row r="4669">
      <c r="A4669" s="10" t="n">
        <v>46171</v>
      </c>
      <c r="B4669" t="inlineStr">
        <is>
          <t>Amanda Moura Ferreira</t>
        </is>
      </c>
      <c r="C4669" s="1" t="inlineStr">
        <is>
          <t>Técnico III</t>
        </is>
      </c>
      <c r="D4669" s="3" t="n">
        <v>0</v>
      </c>
      <c r="E4669" s="3" t="n">
        <v>0</v>
      </c>
      <c r="F4669" s="3" t="n">
        <v>0</v>
      </c>
      <c r="G4669" s="3" t="n">
        <v>0</v>
      </c>
      <c r="H4669" s="3" t="n">
        <v>0</v>
      </c>
      <c r="I4669" s="3" t="n">
        <v>0</v>
      </c>
      <c r="J4669" s="3" t="n">
        <v>0</v>
      </c>
      <c r="K4669" s="3" t="n">
        <v>0</v>
      </c>
      <c r="L4669" s="3" t="inlineStr">
        <is>
          <t>BOM</t>
        </is>
      </c>
      <c r="M4669" s="3" t="n">
        <v>0</v>
      </c>
      <c r="N4669" s="3" t="n">
        <v>100</v>
      </c>
      <c r="O4669" s="12" t="n">
        <v>0</v>
      </c>
    </row>
    <row r="4670">
      <c r="A4670" s="10" t="n">
        <v>46171</v>
      </c>
      <c r="B4670" t="inlineStr">
        <is>
          <t>Ana Karollyne Souza Faria</t>
        </is>
      </c>
      <c r="C4670" s="1" t="inlineStr">
        <is>
          <t>Técnico I</t>
        </is>
      </c>
      <c r="D4670" s="3" t="n">
        <v>46</v>
      </c>
      <c r="E4670" s="3" t="n">
        <v>44</v>
      </c>
      <c r="F4670" s="3" t="n">
        <v>11.45</v>
      </c>
      <c r="G4670" s="3" t="n">
        <v>3</v>
      </c>
      <c r="I4670" s="3" t="n">
        <v>47</v>
      </c>
      <c r="J4670" s="3" t="n">
        <v>18</v>
      </c>
      <c r="K4670" s="3" t="n">
        <v>29</v>
      </c>
      <c r="L4670" s="3" t="inlineStr">
        <is>
          <t>EXCELENTE</t>
        </is>
      </c>
      <c r="M4670" s="3" t="n">
        <v>9</v>
      </c>
      <c r="N4670" s="3" t="n">
        <v>96.61</v>
      </c>
      <c r="O4670" s="12" t="n">
        <v>25.89792060491493</v>
      </c>
    </row>
    <row r="4671">
      <c r="A4671" s="10" t="n">
        <v>46171</v>
      </c>
      <c r="B4671" t="inlineStr">
        <is>
          <t>Ana Paula Da Luz Silva Aleixo</t>
        </is>
      </c>
      <c r="C4671" s="1" t="inlineStr">
        <is>
          <t>Técnico III</t>
        </is>
      </c>
      <c r="D4671" s="3" t="n">
        <v>31</v>
      </c>
      <c r="E4671" s="3" t="n">
        <v>27</v>
      </c>
      <c r="F4671" s="3" t="n">
        <v>15.07</v>
      </c>
      <c r="G4671" s="3" t="n">
        <v>0</v>
      </c>
      <c r="H4671" s="3" t="n">
        <v>0</v>
      </c>
      <c r="I4671" s="3" t="n">
        <v>27</v>
      </c>
      <c r="J4671" s="3" t="n">
        <v>27</v>
      </c>
      <c r="K4671" s="3" t="n">
        <v>0</v>
      </c>
      <c r="L4671" s="3" t="inlineStr">
        <is>
          <t>BOM</t>
        </is>
      </c>
      <c r="M4671" s="3" t="n">
        <v>6</v>
      </c>
      <c r="N4671" s="3" t="n">
        <v>97.25</v>
      </c>
      <c r="O4671" s="12" t="n">
        <v>19.9017199017199</v>
      </c>
    </row>
    <row r="4672">
      <c r="A4672" s="10" t="n">
        <v>46171</v>
      </c>
      <c r="B4672" t="inlineStr">
        <is>
          <t>Brenda de Menezes Silva</t>
        </is>
      </c>
      <c r="C4672" s="1" t="inlineStr">
        <is>
          <t>Técnico II</t>
        </is>
      </c>
      <c r="D4672" s="3" t="n">
        <v>33</v>
      </c>
      <c r="E4672" s="3" t="n">
        <v>28</v>
      </c>
      <c r="F4672" s="3" t="n">
        <v>14.03</v>
      </c>
      <c r="G4672" s="3" t="n">
        <v>1</v>
      </c>
      <c r="I4672" s="3" t="n">
        <v>29</v>
      </c>
      <c r="J4672" s="3" t="n">
        <v>22</v>
      </c>
      <c r="K4672" s="3" t="n">
        <v>7</v>
      </c>
      <c r="L4672" s="3" t="inlineStr">
        <is>
          <t>EXCELENTE</t>
        </is>
      </c>
      <c r="M4672" s="3" t="n">
        <v>5</v>
      </c>
      <c r="N4672" s="3" t="n">
        <v>99.43000000000001</v>
      </c>
      <c r="O4672" s="12" t="n">
        <v>21.51067323481116</v>
      </c>
    </row>
    <row r="4673">
      <c r="A4673" s="10" t="n">
        <v>46171</v>
      </c>
      <c r="B4673" t="inlineStr">
        <is>
          <t>Carlos Mateus Cassimiro Nunes</t>
        </is>
      </c>
      <c r="C4673" s="1" t="inlineStr">
        <is>
          <t>Técnico II</t>
        </is>
      </c>
      <c r="D4673" s="3" t="n">
        <v>29</v>
      </c>
      <c r="E4673" s="3" t="n">
        <v>28</v>
      </c>
      <c r="F4673" s="3" t="n">
        <v>17.07</v>
      </c>
      <c r="G4673" s="3" t="n">
        <v>0</v>
      </c>
      <c r="I4673" s="3" t="n">
        <v>28</v>
      </c>
      <c r="J4673" s="3" t="n">
        <v>22</v>
      </c>
      <c r="K4673" s="3" t="n">
        <v>6</v>
      </c>
      <c r="L4673" s="3" t="inlineStr">
        <is>
          <t>EXCELENTE</t>
        </is>
      </c>
      <c r="M4673" s="3" t="n">
        <v>6</v>
      </c>
      <c r="N4673" s="3" t="n">
        <v>98.40000000000001</v>
      </c>
      <c r="O4673" s="12" t="n">
        <v>21.41327623126339</v>
      </c>
    </row>
    <row r="4674">
      <c r="A4674" s="10" t="n">
        <v>46171</v>
      </c>
      <c r="B4674" t="inlineStr">
        <is>
          <t>Clessiane Pereira dos Santos</t>
        </is>
      </c>
      <c r="C4674" s="1" t="inlineStr">
        <is>
          <t>Técnico I</t>
        </is>
      </c>
      <c r="D4674" s="3" t="n">
        <v>16</v>
      </c>
      <c r="E4674" s="3" t="n">
        <v>16</v>
      </c>
      <c r="F4674" s="3" t="n">
        <v>18.41</v>
      </c>
      <c r="G4674" s="3" t="n">
        <v>0</v>
      </c>
      <c r="I4674" s="3" t="n">
        <v>16</v>
      </c>
      <c r="J4674" s="3" t="n">
        <v>18</v>
      </c>
      <c r="K4674" s="3" t="n">
        <v>-2</v>
      </c>
      <c r="L4674" s="3" t="inlineStr">
        <is>
          <t>ATENÇÃO</t>
        </is>
      </c>
      <c r="M4674" s="3" t="n">
        <v>4</v>
      </c>
      <c r="N4674" s="3" t="n">
        <v>97.09999999999999</v>
      </c>
      <c r="O4674" s="12" t="n">
        <v>24.94061757719715</v>
      </c>
    </row>
    <row r="4675">
      <c r="A4675" s="10" t="n">
        <v>46171</v>
      </c>
      <c r="B4675" t="inlineStr">
        <is>
          <t>Cristiane Ramos da Silva Rocha</t>
        </is>
      </c>
      <c r="C4675" s="1" t="inlineStr">
        <is>
          <t>Técnico III</t>
        </is>
      </c>
      <c r="D4675" s="3" t="n">
        <v>34</v>
      </c>
      <c r="E4675" s="3" t="n">
        <v>28</v>
      </c>
      <c r="F4675" s="3" t="n">
        <v>11.48</v>
      </c>
      <c r="G4675" s="3" t="n">
        <v>0</v>
      </c>
      <c r="I4675" s="3" t="n">
        <v>28</v>
      </c>
      <c r="J4675" s="3" t="n">
        <v>27</v>
      </c>
      <c r="K4675" s="3" t="n">
        <v>1</v>
      </c>
      <c r="L4675" s="3" t="inlineStr">
        <is>
          <t>BOM</t>
        </is>
      </c>
      <c r="M4675" s="3" t="n">
        <v>1</v>
      </c>
      <c r="N4675" s="3" t="n">
        <v>92.97</v>
      </c>
      <c r="O4675" s="12" t="n">
        <v>26.40776699029126</v>
      </c>
    </row>
    <row r="4676">
      <c r="A4676" s="10" t="n">
        <v>46171</v>
      </c>
      <c r="B4676" t="inlineStr">
        <is>
          <t>Damyllis Lorraine de Oliveira Gonçalves</t>
        </is>
      </c>
      <c r="C4676" s="1" t="inlineStr">
        <is>
          <t>Técnico II</t>
        </is>
      </c>
      <c r="D4676" s="3" t="n">
        <v>0</v>
      </c>
      <c r="E4676" s="3" t="n">
        <v>0</v>
      </c>
      <c r="F4676" s="3" t="n">
        <v>0</v>
      </c>
      <c r="G4676" s="3" t="n">
        <v>0</v>
      </c>
      <c r="H4676" s="3" t="n">
        <v>0</v>
      </c>
      <c r="I4676" s="3" t="n">
        <v>0</v>
      </c>
      <c r="J4676" s="3" t="n">
        <v>0</v>
      </c>
      <c r="K4676" s="3" t="n">
        <v>0</v>
      </c>
      <c r="L4676" s="3" t="inlineStr">
        <is>
          <t>BOM</t>
        </is>
      </c>
      <c r="M4676" s="3" t="n">
        <v>0</v>
      </c>
      <c r="N4676" s="3" t="n">
        <v>98.91</v>
      </c>
      <c r="O4676" s="12" t="n">
        <v>25.89285714285715</v>
      </c>
    </row>
    <row r="4677">
      <c r="A4677" s="10" t="n">
        <v>46171</v>
      </c>
      <c r="B4677" t="inlineStr">
        <is>
          <t>Daniel Gomes da Silva</t>
        </is>
      </c>
      <c r="C4677" s="1" t="inlineStr">
        <is>
          <t>Técnico I</t>
        </is>
      </c>
      <c r="D4677" s="3" t="n">
        <v>21</v>
      </c>
      <c r="E4677" s="3" t="n">
        <v>19</v>
      </c>
      <c r="F4677" s="3" t="n">
        <v>16.45</v>
      </c>
      <c r="G4677" s="3" t="n">
        <v>0</v>
      </c>
      <c r="I4677" s="3" t="n">
        <v>19</v>
      </c>
      <c r="J4677" s="3" t="n">
        <v>18</v>
      </c>
      <c r="K4677" s="3" t="n">
        <v>1</v>
      </c>
      <c r="L4677" s="3" t="inlineStr">
        <is>
          <t>BOM</t>
        </is>
      </c>
      <c r="M4677" s="3" t="n">
        <v>2</v>
      </c>
      <c r="N4677" s="3" t="n">
        <v>100</v>
      </c>
      <c r="O4677" s="12" t="n">
        <v>21.76656151419558</v>
      </c>
    </row>
    <row r="4678">
      <c r="A4678" s="10" t="n">
        <v>46171</v>
      </c>
      <c r="B4678" t="inlineStr">
        <is>
          <t>Davylla Rodrigues Freitas Silva</t>
        </is>
      </c>
      <c r="C4678" s="1" t="inlineStr">
        <is>
          <t>Técnico III</t>
        </is>
      </c>
      <c r="D4678" s="3" t="n">
        <v>0</v>
      </c>
      <c r="E4678" s="3" t="n">
        <v>0</v>
      </c>
      <c r="F4678" s="3" t="n">
        <v>0</v>
      </c>
      <c r="G4678" s="3" t="n">
        <v>0</v>
      </c>
      <c r="H4678" s="3" t="n">
        <v>0</v>
      </c>
      <c r="I4678" s="3" t="n">
        <v>0</v>
      </c>
      <c r="J4678" s="3" t="n">
        <v>0</v>
      </c>
      <c r="K4678" s="3" t="n">
        <v>0</v>
      </c>
      <c r="L4678" s="3" t="inlineStr">
        <is>
          <t>BOM</t>
        </is>
      </c>
      <c r="M4678" s="3" t="n">
        <v>0</v>
      </c>
      <c r="N4678" s="3" t="n">
        <v>99.23</v>
      </c>
      <c r="O4678" s="12" t="n">
        <v>30.73929961089494</v>
      </c>
    </row>
    <row r="4679">
      <c r="A4679" s="10" t="n">
        <v>46171</v>
      </c>
      <c r="B4679" t="inlineStr">
        <is>
          <t>Emilly Kamilly Medeiros Miranda</t>
        </is>
      </c>
      <c r="C4679" s="1" t="inlineStr">
        <is>
          <t>Técnico II</t>
        </is>
      </c>
      <c r="D4679" s="3" t="n">
        <v>28</v>
      </c>
      <c r="E4679" s="3" t="n">
        <v>26</v>
      </c>
      <c r="F4679" s="3" t="n">
        <v>15.39</v>
      </c>
      <c r="G4679" s="3" t="n">
        <v>0</v>
      </c>
      <c r="I4679" s="3" t="n">
        <v>26</v>
      </c>
      <c r="J4679" s="3" t="n">
        <v>22</v>
      </c>
      <c r="K4679" s="3" t="n">
        <v>4</v>
      </c>
      <c r="L4679" s="3" t="inlineStr">
        <is>
          <t>BOM</t>
        </is>
      </c>
      <c r="M4679" s="3" t="n">
        <v>2</v>
      </c>
      <c r="N4679" s="3" t="n">
        <v>99.16</v>
      </c>
      <c r="O4679" s="12" t="n">
        <v>18.8470066518847</v>
      </c>
    </row>
    <row r="4680">
      <c r="A4680" s="10" t="n">
        <v>46171</v>
      </c>
      <c r="B4680" t="inlineStr">
        <is>
          <t>Francielson de Oliveira</t>
        </is>
      </c>
      <c r="C4680" s="1" t="inlineStr">
        <is>
          <t>Técnico III</t>
        </is>
      </c>
      <c r="D4680" s="3" t="n">
        <v>30</v>
      </c>
      <c r="E4680" s="3" t="n">
        <v>30</v>
      </c>
      <c r="F4680" s="3" t="n">
        <v>15.24</v>
      </c>
      <c r="G4680" s="3" t="n">
        <v>0</v>
      </c>
      <c r="H4680" s="3" t="n">
        <v>0</v>
      </c>
      <c r="I4680" s="3" t="n">
        <v>30</v>
      </c>
      <c r="J4680" s="3" t="n">
        <v>27</v>
      </c>
      <c r="K4680" s="3" t="n">
        <v>3</v>
      </c>
      <c r="L4680" s="3" t="inlineStr">
        <is>
          <t>BOM</t>
        </is>
      </c>
      <c r="M4680" s="3" t="n">
        <v>3</v>
      </c>
      <c r="N4680" s="3" t="n">
        <v>100</v>
      </c>
      <c r="O4680" s="12" t="n">
        <v>10.56338028169014</v>
      </c>
    </row>
    <row r="4681">
      <c r="A4681" s="10" t="n">
        <v>46171</v>
      </c>
      <c r="B4681" t="inlineStr">
        <is>
          <t>Francilene Ferreira de Jesus</t>
        </is>
      </c>
      <c r="C4681" s="1" t="inlineStr">
        <is>
          <t>Técnico II</t>
        </is>
      </c>
      <c r="D4681" s="3" t="n">
        <v>0</v>
      </c>
      <c r="E4681" s="3" t="n">
        <v>0</v>
      </c>
      <c r="F4681" s="3" t="n">
        <v>0</v>
      </c>
      <c r="G4681" s="3" t="n">
        <v>0</v>
      </c>
      <c r="H4681" s="3" t="n">
        <v>0</v>
      </c>
      <c r="I4681" s="3" t="n">
        <v>0</v>
      </c>
      <c r="J4681" s="3" t="n">
        <v>0</v>
      </c>
      <c r="K4681" s="3" t="n">
        <v>0</v>
      </c>
      <c r="L4681" s="3" t="inlineStr">
        <is>
          <t>BOM</t>
        </is>
      </c>
      <c r="M4681" s="3" t="n">
        <v>0</v>
      </c>
      <c r="N4681" s="3" t="n">
        <v>100</v>
      </c>
      <c r="O4681" s="12" t="n">
        <v>17.24137931034483</v>
      </c>
    </row>
    <row r="4682">
      <c r="A4682" s="10" t="n">
        <v>46171</v>
      </c>
      <c r="B4682" t="inlineStr">
        <is>
          <t>Gabriel Gomes de Andrade</t>
        </is>
      </c>
      <c r="C4682" s="1" t="inlineStr">
        <is>
          <t>Técnico I</t>
        </is>
      </c>
      <c r="D4682" s="3" t="n">
        <v>19</v>
      </c>
      <c r="E4682" s="3" t="n">
        <v>16</v>
      </c>
      <c r="F4682" s="3" t="n">
        <v>17.22</v>
      </c>
      <c r="G4682" s="3" t="n">
        <v>0</v>
      </c>
      <c r="H4682" s="3" t="n">
        <v>0</v>
      </c>
      <c r="I4682" s="3" t="n">
        <v>16</v>
      </c>
      <c r="J4682" s="3" t="n">
        <v>18</v>
      </c>
      <c r="K4682" s="3" t="n">
        <v>-2</v>
      </c>
      <c r="L4682" s="3" t="inlineStr">
        <is>
          <t>ATENÇÃO</t>
        </is>
      </c>
      <c r="M4682" s="3" t="n">
        <v>3</v>
      </c>
      <c r="N4682" s="3" t="n">
        <v>99.19</v>
      </c>
      <c r="O4682" s="12" t="n">
        <v>22.25433526011561</v>
      </c>
    </row>
    <row r="4683">
      <c r="A4683" s="10" t="n">
        <v>46171</v>
      </c>
      <c r="B4683" t="inlineStr">
        <is>
          <t>Isabella Borges de Oliveira</t>
        </is>
      </c>
      <c r="C4683" s="1" t="inlineStr">
        <is>
          <t>Técnico II</t>
        </is>
      </c>
      <c r="D4683" s="3" t="n">
        <v>27</v>
      </c>
      <c r="E4683" s="3" t="n">
        <v>26</v>
      </c>
      <c r="F4683" s="3" t="n">
        <v>24.11</v>
      </c>
      <c r="G4683" s="3" t="n">
        <v>0</v>
      </c>
      <c r="I4683" s="3" t="n">
        <v>26</v>
      </c>
      <c r="J4683" s="3" t="n">
        <v>22</v>
      </c>
      <c r="K4683" s="3" t="n">
        <v>4</v>
      </c>
      <c r="L4683" s="3" t="inlineStr">
        <is>
          <t>BOM</t>
        </is>
      </c>
      <c r="M4683" s="3" t="n">
        <v>4</v>
      </c>
      <c r="N4683" s="3" t="n">
        <v>99.13</v>
      </c>
      <c r="O4683" s="12" t="n">
        <v>20.67307692307692</v>
      </c>
    </row>
    <row r="4684">
      <c r="A4684" s="10" t="n">
        <v>46171</v>
      </c>
      <c r="B4684" t="inlineStr">
        <is>
          <t>Janaina Lima dos Reis Urany</t>
        </is>
      </c>
      <c r="C4684" s="1" t="inlineStr">
        <is>
          <t>Técnico III</t>
        </is>
      </c>
      <c r="D4684" s="3" t="n">
        <v>48</v>
      </c>
      <c r="E4684" s="3" t="n">
        <v>40</v>
      </c>
      <c r="F4684" s="3" t="n">
        <v>10.51</v>
      </c>
      <c r="G4684" s="3" t="n">
        <v>2</v>
      </c>
      <c r="I4684" s="3" t="n">
        <v>42</v>
      </c>
      <c r="J4684" s="3" t="n">
        <v>27</v>
      </c>
      <c r="K4684" s="3" t="n">
        <v>15</v>
      </c>
      <c r="L4684" s="3" t="inlineStr">
        <is>
          <t>EXCELENTE</t>
        </is>
      </c>
      <c r="M4684" s="3" t="n">
        <v>7</v>
      </c>
      <c r="N4684" s="3" t="n">
        <v>99.12</v>
      </c>
      <c r="O4684" s="12" t="n">
        <v>23.02357836338419</v>
      </c>
    </row>
    <row r="4685">
      <c r="A4685" s="10" t="n">
        <v>46171</v>
      </c>
      <c r="B4685" t="inlineStr">
        <is>
          <t>Jaqueline Evangelista da Silva Martins</t>
        </is>
      </c>
      <c r="C4685" s="1" t="inlineStr">
        <is>
          <t>Técnico III</t>
        </is>
      </c>
      <c r="D4685" s="3" t="n">
        <v>27</v>
      </c>
      <c r="E4685" s="3" t="n">
        <v>26</v>
      </c>
      <c r="F4685" s="3" t="n">
        <v>14.02</v>
      </c>
      <c r="G4685" s="3" t="n">
        <v>4</v>
      </c>
      <c r="I4685" s="3" t="n">
        <v>30</v>
      </c>
      <c r="J4685" s="3" t="n">
        <v>27</v>
      </c>
      <c r="K4685" s="3" t="n">
        <v>3</v>
      </c>
      <c r="L4685" s="3" t="inlineStr">
        <is>
          <t>BOM</t>
        </is>
      </c>
      <c r="M4685" s="3" t="n">
        <v>0</v>
      </c>
      <c r="N4685" s="3" t="n">
        <v>97.70999999999999</v>
      </c>
      <c r="O4685" s="12" t="n">
        <v>35.85746102449889</v>
      </c>
    </row>
    <row r="4686">
      <c r="A4686" s="10" t="n">
        <v>46171</v>
      </c>
      <c r="B4686" t="inlineStr">
        <is>
          <t>Jessica Faria da Silveira</t>
        </is>
      </c>
      <c r="C4686" s="1" t="inlineStr">
        <is>
          <t>Técnico II</t>
        </is>
      </c>
      <c r="D4686" s="3" t="n">
        <v>0</v>
      </c>
      <c r="E4686" s="3" t="n">
        <v>0</v>
      </c>
      <c r="F4686" s="3" t="n">
        <v>0</v>
      </c>
      <c r="G4686" s="3" t="n">
        <v>0</v>
      </c>
      <c r="H4686" s="3" t="n">
        <v>0</v>
      </c>
      <c r="I4686" s="3" t="n">
        <v>0</v>
      </c>
      <c r="J4686" s="3" t="n">
        <v>0</v>
      </c>
      <c r="K4686" s="3" t="n">
        <v>0</v>
      </c>
      <c r="L4686" s="3" t="inlineStr">
        <is>
          <t>BOM</t>
        </is>
      </c>
      <c r="M4686" s="3" t="n">
        <v>0</v>
      </c>
      <c r="N4686" s="3" t="n">
        <v>99.06</v>
      </c>
      <c r="O4686" s="12" t="n">
        <v>23.97820163487738</v>
      </c>
    </row>
    <row r="4687">
      <c r="A4687" s="10" t="n">
        <v>46171</v>
      </c>
      <c r="B4687" t="inlineStr">
        <is>
          <t>Jéssica Fé Moura</t>
        </is>
      </c>
      <c r="C4687" s="1" t="inlineStr">
        <is>
          <t>Técnico III</t>
        </is>
      </c>
      <c r="D4687" s="3" t="n">
        <v>0</v>
      </c>
      <c r="E4687" s="3" t="n">
        <v>0</v>
      </c>
      <c r="F4687" s="3" t="n">
        <v>0</v>
      </c>
      <c r="G4687" s="3" t="n">
        <v>0</v>
      </c>
      <c r="H4687" s="3" t="n">
        <v>0</v>
      </c>
      <c r="I4687" s="3" t="n">
        <v>0</v>
      </c>
      <c r="J4687" s="3" t="n">
        <v>0</v>
      </c>
      <c r="K4687" s="3" t="n">
        <v>0</v>
      </c>
      <c r="L4687" s="3" t="inlineStr">
        <is>
          <t>BOM</t>
        </is>
      </c>
      <c r="M4687" s="3" t="n">
        <v>0</v>
      </c>
      <c r="N4687" s="3" t="n">
        <v>0</v>
      </c>
      <c r="O4687" s="12" t="n">
        <v>0</v>
      </c>
    </row>
    <row r="4688">
      <c r="A4688" s="10" t="n">
        <v>46171</v>
      </c>
      <c r="B4688" t="inlineStr">
        <is>
          <t>Kerollen Cristielly de Jesus Siqueira</t>
        </is>
      </c>
      <c r="C4688" s="1" t="inlineStr">
        <is>
          <t>Técnico III</t>
        </is>
      </c>
      <c r="D4688" s="3" t="n">
        <v>28</v>
      </c>
      <c r="E4688" s="3" t="n">
        <v>28</v>
      </c>
      <c r="F4688" s="3" t="n">
        <v>19.06</v>
      </c>
      <c r="G4688" s="3" t="n">
        <v>0</v>
      </c>
      <c r="I4688" s="3" t="n">
        <v>28</v>
      </c>
      <c r="J4688" s="3" t="n">
        <v>27</v>
      </c>
      <c r="K4688" s="3" t="n">
        <v>1</v>
      </c>
      <c r="L4688" s="3" t="inlineStr">
        <is>
          <t>BOM</t>
        </is>
      </c>
      <c r="M4688" s="3" t="n">
        <v>2</v>
      </c>
      <c r="N4688" s="3" t="n">
        <v>97.27</v>
      </c>
      <c r="O4688" s="12" t="n">
        <v>17.59036144578313</v>
      </c>
    </row>
    <row r="4689">
      <c r="A4689" s="10" t="n">
        <v>46171</v>
      </c>
      <c r="B4689" t="inlineStr">
        <is>
          <t>Leandro Oliveira de Sousa</t>
        </is>
      </c>
      <c r="C4689" s="1" t="inlineStr">
        <is>
          <t>Técnico III</t>
        </is>
      </c>
      <c r="D4689" s="3" t="n">
        <v>28</v>
      </c>
      <c r="E4689" s="3" t="n">
        <v>27</v>
      </c>
      <c r="F4689" s="3" t="n">
        <v>17.01</v>
      </c>
      <c r="G4689" s="3" t="n">
        <v>0</v>
      </c>
      <c r="I4689" s="3" t="n">
        <v>27</v>
      </c>
      <c r="J4689" s="3" t="n">
        <v>27</v>
      </c>
      <c r="K4689" s="3" t="n">
        <v>0</v>
      </c>
      <c r="L4689" s="3" t="inlineStr">
        <is>
          <t>BOM</t>
        </is>
      </c>
      <c r="M4689" s="3" t="n">
        <v>5</v>
      </c>
      <c r="N4689" s="3" t="n">
        <v>100</v>
      </c>
      <c r="O4689" s="12" t="n">
        <v>19.34156378600823</v>
      </c>
    </row>
    <row r="4690">
      <c r="A4690" s="10" t="n">
        <v>46171</v>
      </c>
      <c r="B4690" t="inlineStr">
        <is>
          <t>Lizandra Gomes Duarte</t>
        </is>
      </c>
      <c r="C4690" s="1" t="inlineStr">
        <is>
          <t>Técnico II</t>
        </is>
      </c>
      <c r="D4690" s="3" t="n">
        <v>35</v>
      </c>
      <c r="E4690" s="3" t="n">
        <v>30</v>
      </c>
      <c r="F4690" s="3" t="n">
        <v>12.19</v>
      </c>
      <c r="G4690" s="3" t="n">
        <v>2</v>
      </c>
      <c r="I4690" s="3" t="n">
        <v>32</v>
      </c>
      <c r="J4690" s="3" t="n">
        <v>22</v>
      </c>
      <c r="K4690" s="3" t="n">
        <v>10</v>
      </c>
      <c r="L4690" s="3" t="inlineStr">
        <is>
          <t>EXCELENTE</t>
        </is>
      </c>
      <c r="M4690" s="3" t="n">
        <v>7</v>
      </c>
      <c r="N4690" s="3" t="n">
        <v>99.13</v>
      </c>
      <c r="O4690" s="12" t="n">
        <v>23.64532019704433</v>
      </c>
    </row>
    <row r="4691">
      <c r="A4691" s="10" t="n">
        <v>46171</v>
      </c>
      <c r="B4691" t="inlineStr">
        <is>
          <t>Lorena Dias de Araujo</t>
        </is>
      </c>
      <c r="C4691" s="1" t="inlineStr">
        <is>
          <t>Técnico II</t>
        </is>
      </c>
      <c r="D4691" s="3" t="n">
        <v>28</v>
      </c>
      <c r="E4691" s="3" t="n">
        <v>24</v>
      </c>
      <c r="F4691" s="3" t="n">
        <v>15.08</v>
      </c>
      <c r="G4691" s="3" t="n">
        <v>0</v>
      </c>
      <c r="H4691" s="3" t="n">
        <v>0</v>
      </c>
      <c r="I4691" s="3" t="n">
        <v>24</v>
      </c>
      <c r="J4691" s="3" t="n">
        <v>22</v>
      </c>
      <c r="K4691" s="3" t="n">
        <v>2</v>
      </c>
      <c r="L4691" s="3" t="inlineStr">
        <is>
          <t>BOM</t>
        </is>
      </c>
      <c r="M4691" s="3" t="n">
        <v>5</v>
      </c>
      <c r="N4691" s="3" t="n">
        <v>100</v>
      </c>
      <c r="O4691" s="12" t="n">
        <v>26.66666666666667</v>
      </c>
    </row>
    <row r="4692">
      <c r="A4692" s="10" t="n">
        <v>46171</v>
      </c>
      <c r="B4692" t="inlineStr">
        <is>
          <t>Lucas Luiz Romero</t>
        </is>
      </c>
      <c r="C4692" s="1" t="inlineStr">
        <is>
          <t>Técnico III</t>
        </is>
      </c>
      <c r="D4692" s="3" t="n">
        <v>27</v>
      </c>
      <c r="E4692" s="3" t="n">
        <v>22</v>
      </c>
      <c r="F4692" s="3" t="n">
        <v>10.05</v>
      </c>
      <c r="G4692" s="3" t="n">
        <v>0</v>
      </c>
      <c r="H4692" s="3" t="n">
        <v>0</v>
      </c>
      <c r="I4692" s="3" t="n">
        <v>22</v>
      </c>
      <c r="J4692" s="3" t="n">
        <v>27</v>
      </c>
      <c r="K4692" s="3" t="n">
        <v>-5</v>
      </c>
      <c r="L4692" s="3" t="inlineStr">
        <is>
          <t>ATENÇÃO</t>
        </is>
      </c>
      <c r="M4692" s="3" t="n">
        <v>4</v>
      </c>
      <c r="N4692" s="3" t="n">
        <v>100</v>
      </c>
      <c r="O4692" s="12" t="n">
        <v>27.67857142857143</v>
      </c>
    </row>
    <row r="4693">
      <c r="A4693" s="10" t="n">
        <v>46171</v>
      </c>
      <c r="B4693" t="inlineStr">
        <is>
          <t>Luiz Fernando de Carvalho Junior</t>
        </is>
      </c>
      <c r="C4693" s="1" t="inlineStr">
        <is>
          <t>Técnico I</t>
        </is>
      </c>
      <c r="D4693" s="3" t="n">
        <v>17</v>
      </c>
      <c r="E4693" s="3" t="n">
        <v>16</v>
      </c>
      <c r="F4693" s="3" t="n">
        <v>25.16</v>
      </c>
      <c r="G4693" s="3" t="n">
        <v>0</v>
      </c>
      <c r="I4693" s="3" t="n">
        <v>16</v>
      </c>
      <c r="J4693" s="3" t="n">
        <v>18</v>
      </c>
      <c r="K4693" s="3" t="n">
        <v>-2</v>
      </c>
      <c r="L4693" s="3" t="inlineStr">
        <is>
          <t>ATENÇÃO</t>
        </is>
      </c>
      <c r="M4693" s="3" t="n">
        <v>3</v>
      </c>
      <c r="N4693" s="3" t="n">
        <v>94.95999999999999</v>
      </c>
      <c r="O4693" s="12" t="n">
        <v>23.07692307692308</v>
      </c>
    </row>
    <row r="4694">
      <c r="A4694" s="10" t="n">
        <v>46171</v>
      </c>
      <c r="B4694" t="inlineStr">
        <is>
          <t>Matheus Farias De Souza</t>
        </is>
      </c>
      <c r="C4694" s="1" t="inlineStr">
        <is>
          <t>Técnico III</t>
        </is>
      </c>
      <c r="D4694" s="3" t="n">
        <v>0</v>
      </c>
      <c r="E4694" s="3" t="n">
        <v>0</v>
      </c>
      <c r="F4694" s="3" t="n">
        <v>0</v>
      </c>
      <c r="G4694" s="3" t="n">
        <v>0</v>
      </c>
      <c r="H4694" s="3" t="n">
        <v>41</v>
      </c>
      <c r="I4694" s="3" t="n">
        <v>41</v>
      </c>
      <c r="J4694" s="3" t="n">
        <v>27</v>
      </c>
      <c r="K4694" s="3" t="n">
        <v>14</v>
      </c>
      <c r="L4694" s="3" t="inlineStr">
        <is>
          <t>EXCELENTE</t>
        </is>
      </c>
      <c r="M4694" s="3" t="n">
        <v>22</v>
      </c>
      <c r="N4694" s="3" t="n">
        <v>98.44</v>
      </c>
      <c r="O4694" s="12" t="n">
        <v>7.816091954022989</v>
      </c>
    </row>
    <row r="4695">
      <c r="A4695" s="10" t="n">
        <v>46171</v>
      </c>
      <c r="B4695" t="inlineStr">
        <is>
          <t>Maysa Victoria Dias Moura</t>
        </is>
      </c>
      <c r="C4695" s="1" t="inlineStr">
        <is>
          <t>Técnico III</t>
        </is>
      </c>
      <c r="D4695" s="3" t="n">
        <v>36</v>
      </c>
      <c r="E4695" s="3" t="n">
        <v>29</v>
      </c>
      <c r="F4695" s="3" t="n">
        <v>10.1</v>
      </c>
      <c r="G4695" s="3" t="n">
        <v>9</v>
      </c>
      <c r="I4695" s="3" t="n">
        <v>38</v>
      </c>
      <c r="J4695" s="3" t="n">
        <v>27</v>
      </c>
      <c r="K4695" s="3" t="n">
        <v>11</v>
      </c>
      <c r="L4695" s="3" t="inlineStr">
        <is>
          <t>EXCELENTE</t>
        </is>
      </c>
      <c r="M4695" s="3" t="n">
        <v>4</v>
      </c>
      <c r="N4695" s="3" t="n">
        <v>96.79000000000001</v>
      </c>
      <c r="O4695" s="12" t="n">
        <v>24.44444444444444</v>
      </c>
    </row>
    <row r="4696">
      <c r="A4696" s="10" t="n">
        <v>46171</v>
      </c>
      <c r="B4696" t="inlineStr">
        <is>
          <t>Patrícia Karla de Sousa Araújo</t>
        </is>
      </c>
      <c r="C4696" s="1" t="inlineStr">
        <is>
          <t>Técnico II</t>
        </is>
      </c>
      <c r="D4696" s="3" t="n">
        <v>0</v>
      </c>
      <c r="E4696" s="3" t="n">
        <v>0</v>
      </c>
      <c r="F4696" s="3" t="n">
        <v>0</v>
      </c>
      <c r="G4696" s="3" t="n">
        <v>0</v>
      </c>
      <c r="H4696" s="3" t="n">
        <v>0</v>
      </c>
      <c r="I4696" s="3" t="n">
        <v>0</v>
      </c>
      <c r="J4696" s="3" t="n">
        <v>0</v>
      </c>
      <c r="K4696" s="3" t="n">
        <v>0</v>
      </c>
      <c r="L4696" s="3" t="inlineStr">
        <is>
          <t>BOM</t>
        </is>
      </c>
      <c r="M4696" s="3" t="n">
        <v>0</v>
      </c>
      <c r="N4696" s="3" t="n">
        <v>100</v>
      </c>
      <c r="O4696" s="12" t="n">
        <v>21.55963302752294</v>
      </c>
    </row>
    <row r="4697">
      <c r="A4697" s="10" t="n">
        <v>46171</v>
      </c>
      <c r="B4697" t="inlineStr">
        <is>
          <t>Raane Batista Matos</t>
        </is>
      </c>
      <c r="C4697" s="1" t="inlineStr">
        <is>
          <t>Técnico I</t>
        </is>
      </c>
      <c r="D4697" s="3" t="n">
        <v>25</v>
      </c>
      <c r="E4697" s="3" t="n">
        <v>23</v>
      </c>
      <c r="F4697" s="3" t="n">
        <v>20.3</v>
      </c>
      <c r="G4697" s="3" t="n">
        <v>3</v>
      </c>
      <c r="I4697" s="3" t="n">
        <v>26</v>
      </c>
      <c r="J4697" s="3" t="n">
        <v>18</v>
      </c>
      <c r="K4697" s="3" t="n">
        <v>8</v>
      </c>
      <c r="L4697" s="3" t="inlineStr">
        <is>
          <t>EXCELENTE</t>
        </is>
      </c>
      <c r="M4697" s="3" t="n">
        <v>2</v>
      </c>
      <c r="N4697" s="3" t="n">
        <v>98.36</v>
      </c>
      <c r="O4697" s="12" t="n">
        <v>23.11320754716981</v>
      </c>
    </row>
    <row r="4698">
      <c r="A4698" s="10" t="n">
        <v>46171</v>
      </c>
      <c r="B4698" t="inlineStr">
        <is>
          <t>Rafael Gomes de Morais</t>
        </is>
      </c>
      <c r="C4698" s="1" t="inlineStr">
        <is>
          <t>Técnico III</t>
        </is>
      </c>
      <c r="D4698" s="3" t="n">
        <v>41</v>
      </c>
      <c r="E4698" s="3" t="n">
        <v>37</v>
      </c>
      <c r="F4698" s="3" t="n">
        <v>10.26</v>
      </c>
      <c r="G4698" s="3" t="n">
        <v>0</v>
      </c>
      <c r="I4698" s="3" t="n">
        <v>37</v>
      </c>
      <c r="J4698" s="3" t="n">
        <v>27</v>
      </c>
      <c r="K4698" s="3" t="n">
        <v>10</v>
      </c>
      <c r="L4698" s="3" t="inlineStr">
        <is>
          <t>EXCELENTE</t>
        </is>
      </c>
      <c r="M4698" s="3" t="n">
        <v>3</v>
      </c>
      <c r="N4698" s="3" t="n">
        <v>99.47</v>
      </c>
      <c r="O4698" s="12" t="n">
        <v>26.70250896057348</v>
      </c>
    </row>
    <row r="4699">
      <c r="A4699" s="10" t="n">
        <v>46171</v>
      </c>
      <c r="B4699" t="inlineStr">
        <is>
          <t>Sara Maria Monteiro Lopes</t>
        </is>
      </c>
      <c r="C4699" s="1" t="inlineStr">
        <is>
          <t>Técnico I</t>
        </is>
      </c>
      <c r="D4699" s="3" t="n">
        <v>14</v>
      </c>
      <c r="E4699" s="3" t="n">
        <v>12</v>
      </c>
      <c r="F4699" s="3" t="n">
        <v>27.18</v>
      </c>
      <c r="G4699" s="3" t="n">
        <v>1</v>
      </c>
      <c r="H4699" s="3" t="n">
        <v>0</v>
      </c>
      <c r="I4699" s="3" t="n">
        <v>13</v>
      </c>
      <c r="J4699" s="3" t="n">
        <v>18</v>
      </c>
      <c r="K4699" s="3" t="n">
        <v>-5</v>
      </c>
      <c r="L4699" s="3" t="inlineStr">
        <is>
          <t>ATENÇÃO</t>
        </is>
      </c>
      <c r="M4699" s="3" t="n">
        <v>0</v>
      </c>
      <c r="N4699" s="3" t="n">
        <v>100</v>
      </c>
      <c r="O4699" s="12" t="n">
        <v>19.35483870967742</v>
      </c>
    </row>
    <row r="4700">
      <c r="A4700" s="10" t="n">
        <v>46171</v>
      </c>
      <c r="B4700" t="inlineStr">
        <is>
          <t>Sarah Steffanie de Lima Borges</t>
        </is>
      </c>
      <c r="C4700" s="1" t="inlineStr">
        <is>
          <t>Técnico III</t>
        </is>
      </c>
      <c r="D4700" s="3" t="n">
        <v>27</v>
      </c>
      <c r="E4700" s="3" t="n">
        <v>26</v>
      </c>
      <c r="F4700" s="3" t="n">
        <v>12.14</v>
      </c>
      <c r="G4700" s="3" t="n">
        <v>0</v>
      </c>
      <c r="I4700" s="3" t="n">
        <v>26</v>
      </c>
      <c r="J4700" s="3" t="n">
        <v>27</v>
      </c>
      <c r="K4700" s="3" t="n">
        <v>-1</v>
      </c>
      <c r="L4700" s="3" t="inlineStr">
        <is>
          <t>ATENÇÃO</t>
        </is>
      </c>
      <c r="M4700" s="3" t="n">
        <v>6</v>
      </c>
      <c r="N4700" s="3" t="n">
        <v>97.39</v>
      </c>
      <c r="O4700" s="12" t="n">
        <v>21.27139364303179</v>
      </c>
    </row>
    <row r="4701">
      <c r="A4701" s="10" t="n">
        <v>46174</v>
      </c>
      <c r="B4701" t="inlineStr">
        <is>
          <t>Anna Luiza Rezende Tavares</t>
        </is>
      </c>
      <c r="C4701" t="inlineStr">
        <is>
          <t>JR</t>
        </is>
      </c>
      <c r="D4701" t="n">
        <v>40</v>
      </c>
      <c r="E4701" t="n">
        <v>40</v>
      </c>
      <c r="F4701" t="n">
        <v>15.44</v>
      </c>
      <c r="G4701" t="n">
        <v>0</v>
      </c>
      <c r="H4701" t="n">
        <v>0</v>
      </c>
      <c r="I4701" s="3" t="n">
        <v>40</v>
      </c>
      <c r="J4701" s="3" t="n">
        <v>18</v>
      </c>
      <c r="K4701" s="3" t="n">
        <v>22</v>
      </c>
      <c r="L4701" s="3" t="inlineStr">
        <is>
          <t>EXCELENTE</t>
        </is>
      </c>
      <c r="M4701" t="n">
        <v>37</v>
      </c>
      <c r="N4701" t="n">
        <v>100</v>
      </c>
      <c r="O4701" t="n">
        <v>5.405405405405405</v>
      </c>
    </row>
    <row r="4702">
      <c r="A4702" s="10" t="n">
        <v>46174</v>
      </c>
      <c r="B4702" t="inlineStr">
        <is>
          <t>Claudio de Sousa Velasco Filho</t>
        </is>
      </c>
      <c r="C4702" t="inlineStr">
        <is>
          <t>Estágio</t>
        </is>
      </c>
      <c r="D4702" t="n">
        <v>9</v>
      </c>
      <c r="E4702" t="n">
        <v>9</v>
      </c>
      <c r="F4702" t="n">
        <v>20.48</v>
      </c>
      <c r="G4702" t="n">
        <v>0</v>
      </c>
      <c r="H4702" t="n">
        <v>0</v>
      </c>
      <c r="I4702" s="3" t="n">
        <v>9</v>
      </c>
      <c r="J4702" s="3" t="n">
        <v>9</v>
      </c>
      <c r="K4702" s="3" t="n">
        <v>0</v>
      </c>
      <c r="L4702" s="3" t="inlineStr">
        <is>
          <t>BOM</t>
        </is>
      </c>
      <c r="M4702" t="n">
        <v>11</v>
      </c>
      <c r="N4702" t="n">
        <v>100</v>
      </c>
      <c r="O4702" t="n">
        <v>0</v>
      </c>
    </row>
    <row r="4703">
      <c r="A4703" s="10" t="n">
        <v>46174</v>
      </c>
      <c r="B4703" t="inlineStr">
        <is>
          <t>Emilly Caylane Costa</t>
        </is>
      </c>
      <c r="C4703" t="inlineStr">
        <is>
          <t>Estágio</t>
        </is>
      </c>
      <c r="D4703" t="n">
        <v>8</v>
      </c>
      <c r="E4703" t="n">
        <v>7</v>
      </c>
      <c r="F4703" t="n">
        <v>36.48</v>
      </c>
      <c r="G4703" t="n">
        <v>0</v>
      </c>
      <c r="H4703" t="n">
        <v>0</v>
      </c>
      <c r="I4703" s="3" t="n">
        <v>7</v>
      </c>
      <c r="J4703" s="3" t="n">
        <v>9</v>
      </c>
      <c r="K4703" s="3" t="n">
        <v>-2</v>
      </c>
      <c r="L4703" s="3" t="inlineStr">
        <is>
          <t>ATENÇÃO</t>
        </is>
      </c>
      <c r="M4703" t="n">
        <v>7</v>
      </c>
      <c r="N4703" t="n">
        <v>50</v>
      </c>
      <c r="O4703" t="n">
        <v>14.28571428571428</v>
      </c>
    </row>
    <row r="4704">
      <c r="A4704" s="10" t="n">
        <v>46174</v>
      </c>
      <c r="B4704" t="inlineStr">
        <is>
          <t>Gabriel Alves</t>
        </is>
      </c>
      <c r="C4704" t="inlineStr">
        <is>
          <t>Estágio</t>
        </is>
      </c>
      <c r="D4704" t="n">
        <v>7</v>
      </c>
      <c r="E4704" t="n">
        <v>7</v>
      </c>
      <c r="F4704" t="n">
        <v>45.29</v>
      </c>
      <c r="G4704" t="n">
        <v>0</v>
      </c>
      <c r="H4704" t="n">
        <v>0</v>
      </c>
      <c r="I4704" s="3" t="n">
        <v>7</v>
      </c>
      <c r="J4704" s="3" t="n">
        <v>9</v>
      </c>
      <c r="K4704" s="3" t="n">
        <v>-2</v>
      </c>
      <c r="L4704" s="3" t="inlineStr">
        <is>
          <t>ATENÇÃO</t>
        </is>
      </c>
      <c r="M4704" t="n">
        <v>5</v>
      </c>
      <c r="N4704" t="n">
        <v>0</v>
      </c>
      <c r="O4704" t="n">
        <v>0</v>
      </c>
    </row>
    <row r="4705">
      <c r="A4705" s="10" t="n">
        <v>46174</v>
      </c>
      <c r="B4705" t="inlineStr">
        <is>
          <t>Karina Gonçalves Martins</t>
        </is>
      </c>
      <c r="C4705" t="inlineStr">
        <is>
          <t>JR</t>
        </is>
      </c>
      <c r="D4705" t="n">
        <v>20</v>
      </c>
      <c r="E4705" t="n">
        <v>16</v>
      </c>
      <c r="F4705" t="n">
        <v>12.13</v>
      </c>
      <c r="G4705" t="n">
        <v>0</v>
      </c>
      <c r="H4705" t="n">
        <v>0</v>
      </c>
      <c r="I4705" s="3" t="n">
        <v>16</v>
      </c>
      <c r="J4705" s="3" t="n">
        <v>18</v>
      </c>
      <c r="K4705" s="3" t="n">
        <v>-2</v>
      </c>
      <c r="L4705" s="3" t="inlineStr">
        <is>
          <t>ATENÇÃO</t>
        </is>
      </c>
      <c r="M4705" t="n">
        <v>17</v>
      </c>
      <c r="N4705" t="n">
        <v>100</v>
      </c>
      <c r="O4705" t="n">
        <v>5.88235294117647</v>
      </c>
    </row>
    <row r="4706">
      <c r="A4706" s="10" t="n">
        <v>46174</v>
      </c>
      <c r="B4706" t="inlineStr">
        <is>
          <t>Leandro de Souza Silva</t>
        </is>
      </c>
      <c r="C4706" t="inlineStr">
        <is>
          <t>Técnico I</t>
        </is>
      </c>
      <c r="D4706" t="n">
        <v>11</v>
      </c>
      <c r="E4706" t="n">
        <v>11</v>
      </c>
      <c r="F4706" t="n">
        <v>16.52</v>
      </c>
      <c r="G4706" t="n">
        <v>1</v>
      </c>
      <c r="H4706" t="n">
        <v>0</v>
      </c>
      <c r="I4706" s="3" t="n">
        <v>12</v>
      </c>
      <c r="J4706" s="3" t="n">
        <v>20</v>
      </c>
      <c r="K4706" s="3" t="n">
        <v>-8</v>
      </c>
      <c r="L4706" s="3" t="inlineStr">
        <is>
          <t>CRÍTICO</t>
        </is>
      </c>
      <c r="M4706" t="n">
        <v>9</v>
      </c>
      <c r="N4706" t="n">
        <v>100</v>
      </c>
      <c r="O4706" t="n">
        <v>22.22222222222222</v>
      </c>
    </row>
    <row r="4707">
      <c r="A4707" s="10" t="n">
        <v>46174</v>
      </c>
      <c r="B4707" t="inlineStr">
        <is>
          <t>Maria Eduarda Sousa Costa</t>
        </is>
      </c>
      <c r="C4707" t="inlineStr">
        <is>
          <t>Estágio</t>
        </is>
      </c>
      <c r="D4707" t="n">
        <v>29</v>
      </c>
      <c r="E4707" t="n">
        <v>29</v>
      </c>
      <c r="F4707" t="n">
        <v>20.23</v>
      </c>
      <c r="G4707" t="n">
        <v>1</v>
      </c>
      <c r="H4707" t="n">
        <v>0</v>
      </c>
      <c r="I4707" s="3" t="n">
        <v>30</v>
      </c>
      <c r="J4707" s="3" t="n">
        <v>9</v>
      </c>
      <c r="K4707" s="3" t="n">
        <v>21</v>
      </c>
      <c r="L4707" s="3" t="inlineStr">
        <is>
          <t>EXCELENTE</t>
        </is>
      </c>
      <c r="M4707" t="n">
        <v>40</v>
      </c>
      <c r="N4707" t="n">
        <v>100</v>
      </c>
      <c r="O4707" t="n">
        <v>12.5</v>
      </c>
    </row>
    <row r="4708">
      <c r="A4708" s="10" t="n">
        <v>46174</v>
      </c>
      <c r="B4708" t="inlineStr">
        <is>
          <t>Michelle G Santos</t>
        </is>
      </c>
      <c r="C4708" t="inlineStr">
        <is>
          <t>Estágio</t>
        </is>
      </c>
      <c r="D4708" t="n">
        <v>17</v>
      </c>
      <c r="E4708" t="n">
        <v>17</v>
      </c>
      <c r="F4708" t="n">
        <v>35.54</v>
      </c>
      <c r="G4708" t="n">
        <v>0</v>
      </c>
      <c r="H4708" t="n">
        <v>0</v>
      </c>
      <c r="I4708" s="3" t="n">
        <v>17</v>
      </c>
      <c r="J4708" s="3" t="n">
        <v>9</v>
      </c>
      <c r="K4708" s="3" t="n">
        <v>8</v>
      </c>
      <c r="L4708" s="3" t="inlineStr">
        <is>
          <t>EXCELENTE</t>
        </is>
      </c>
      <c r="M4708" t="n">
        <v>11</v>
      </c>
      <c r="N4708" t="n">
        <v>100</v>
      </c>
      <c r="O4708" t="n">
        <v>9.090909090909092</v>
      </c>
    </row>
    <row r="4709">
      <c r="A4709" s="10" t="n">
        <v>46174</v>
      </c>
      <c r="B4709" t="inlineStr">
        <is>
          <t>Milena Sales</t>
        </is>
      </c>
      <c r="C4709" t="inlineStr">
        <is>
          <t>JR</t>
        </is>
      </c>
      <c r="D4709" t="n">
        <v>46</v>
      </c>
      <c r="E4709" t="n">
        <v>32</v>
      </c>
      <c r="F4709" t="n">
        <v>10.14</v>
      </c>
      <c r="G4709" t="n">
        <v>2</v>
      </c>
      <c r="H4709" t="n">
        <v>0</v>
      </c>
      <c r="I4709" s="3" t="n">
        <v>34</v>
      </c>
      <c r="J4709" s="3" t="n">
        <v>18</v>
      </c>
      <c r="K4709" s="3" t="n">
        <v>16</v>
      </c>
      <c r="L4709" s="3" t="inlineStr">
        <is>
          <t>EXCELENTE</t>
        </is>
      </c>
      <c r="M4709" t="n">
        <v>35</v>
      </c>
      <c r="N4709" t="n">
        <v>100</v>
      </c>
      <c r="O4709" t="n">
        <v>2.857142857142857</v>
      </c>
    </row>
    <row r="4710">
      <c r="A4710" s="10" t="n">
        <v>46174</v>
      </c>
      <c r="B4710" t="inlineStr">
        <is>
          <t>Paulo Ricardo Santos</t>
        </is>
      </c>
      <c r="C4710" t="inlineStr">
        <is>
          <t>Técnico I</t>
        </is>
      </c>
      <c r="D4710" t="n">
        <v>20</v>
      </c>
      <c r="E4710" t="n">
        <v>19</v>
      </c>
      <c r="F4710" t="n">
        <v>20.01</v>
      </c>
      <c r="G4710" t="n">
        <v>0</v>
      </c>
      <c r="H4710" t="n">
        <v>0</v>
      </c>
      <c r="I4710" s="3" t="n">
        <v>19</v>
      </c>
      <c r="J4710" s="3" t="n">
        <v>20</v>
      </c>
      <c r="K4710" s="3" t="n">
        <v>-1</v>
      </c>
      <c r="L4710" s="3" t="inlineStr">
        <is>
          <t>ATENÇÃO</t>
        </is>
      </c>
      <c r="M4710" t="n">
        <v>15</v>
      </c>
      <c r="N4710" t="n">
        <v>100</v>
      </c>
      <c r="O4710" t="n">
        <v>0</v>
      </c>
    </row>
    <row r="4711">
      <c r="A4711" s="10" t="n">
        <v>46174</v>
      </c>
      <c r="B4711" t="inlineStr">
        <is>
          <t>Pedro Luiz Mota Sousa</t>
        </is>
      </c>
      <c r="C4711" t="inlineStr">
        <is>
          <t>Técnico I</t>
        </is>
      </c>
      <c r="D4711" t="n">
        <v>17</v>
      </c>
      <c r="E4711" t="n">
        <v>17</v>
      </c>
      <c r="F4711" t="n">
        <v>23.45</v>
      </c>
      <c r="G4711" t="n">
        <v>0</v>
      </c>
      <c r="H4711" t="n">
        <v>0</v>
      </c>
      <c r="I4711" s="3" t="n">
        <v>17</v>
      </c>
      <c r="J4711" s="3" t="n">
        <v>20</v>
      </c>
      <c r="K4711" s="3" t="n">
        <v>-3</v>
      </c>
      <c r="L4711" s="3" t="inlineStr">
        <is>
          <t>ATENÇÃO</t>
        </is>
      </c>
      <c r="M4711" t="n">
        <v>22</v>
      </c>
      <c r="N4711" t="n">
        <v>100</v>
      </c>
      <c r="O4711" t="n">
        <v>13.63636363636363</v>
      </c>
    </row>
    <row r="4712">
      <c r="A4712" s="10" t="n">
        <v>46174</v>
      </c>
      <c r="B4712" t="inlineStr">
        <is>
          <t>Quirino Diogo Leite Torres</t>
        </is>
      </c>
      <c r="C4712" t="inlineStr">
        <is>
          <t>Estágio</t>
        </is>
      </c>
      <c r="D4712" t="n">
        <v>15</v>
      </c>
      <c r="E4712" t="n">
        <v>15</v>
      </c>
      <c r="F4712" t="n">
        <v>30.26</v>
      </c>
      <c r="G4712" t="n">
        <v>0</v>
      </c>
      <c r="H4712" t="n">
        <v>0</v>
      </c>
      <c r="I4712" s="3" t="n">
        <v>15</v>
      </c>
      <c r="J4712" s="3" t="n">
        <v>9</v>
      </c>
      <c r="K4712" s="3" t="n">
        <v>6</v>
      </c>
      <c r="L4712" s="3" t="inlineStr">
        <is>
          <t>EXCELENTE</t>
        </is>
      </c>
      <c r="M4712" t="n">
        <v>24</v>
      </c>
      <c r="N4712" t="n">
        <v>100</v>
      </c>
      <c r="O4712" t="n">
        <v>8.333333333333332</v>
      </c>
    </row>
    <row r="4713">
      <c r="A4713" s="10" t="n">
        <v>46174</v>
      </c>
      <c r="B4713" t="inlineStr">
        <is>
          <t>Alisson de Freitas Silva</t>
        </is>
      </c>
      <c r="C4713" t="inlineStr">
        <is>
          <t>Técnico II</t>
        </is>
      </c>
      <c r="D4713" t="n">
        <v>30</v>
      </c>
      <c r="E4713" t="n">
        <v>23</v>
      </c>
      <c r="F4713" t="n">
        <v>15.13</v>
      </c>
      <c r="G4713" t="n">
        <v>3</v>
      </c>
      <c r="H4713" t="n">
        <v>0</v>
      </c>
      <c r="I4713" s="3" t="n">
        <v>26</v>
      </c>
      <c r="J4713" s="3" t="n">
        <v>25</v>
      </c>
      <c r="K4713" s="3" t="n">
        <v>1</v>
      </c>
      <c r="L4713" s="3" t="inlineStr">
        <is>
          <t>BOM</t>
        </is>
      </c>
      <c r="M4713" t="n">
        <v>18</v>
      </c>
      <c r="N4713" t="n">
        <v>100</v>
      </c>
      <c r="O4713" t="n">
        <v>5.555555555555555</v>
      </c>
    </row>
    <row r="4714">
      <c r="A4714" s="10" t="n">
        <v>46174</v>
      </c>
      <c r="B4714" t="inlineStr">
        <is>
          <t>Amanda Moura Ferreira</t>
        </is>
      </c>
      <c r="C4714" t="inlineStr">
        <is>
          <t>Técnico III</t>
        </is>
      </c>
      <c r="D4714" t="n">
        <v>22</v>
      </c>
      <c r="E4714" t="n">
        <v>21</v>
      </c>
      <c r="F4714" t="n">
        <v>21.47</v>
      </c>
      <c r="G4714" t="n">
        <v>0</v>
      </c>
      <c r="H4714" t="n">
        <v>0</v>
      </c>
      <c r="I4714" s="3" t="n">
        <v>21</v>
      </c>
      <c r="J4714" s="3" t="n">
        <v>31</v>
      </c>
      <c r="K4714" s="3" t="n">
        <v>-10</v>
      </c>
      <c r="L4714" s="3" t="inlineStr">
        <is>
          <t>CRÍTICO</t>
        </is>
      </c>
      <c r="M4714" t="n">
        <v>19</v>
      </c>
      <c r="N4714" t="n">
        <v>100</v>
      </c>
      <c r="O4714" t="n">
        <v>10.52631578947368</v>
      </c>
    </row>
    <row r="4715">
      <c r="A4715" s="10" t="n">
        <v>46174</v>
      </c>
      <c r="B4715" t="inlineStr">
        <is>
          <t>Ana Karollyne Souza Faria</t>
        </is>
      </c>
      <c r="C4715" t="inlineStr">
        <is>
          <t>Técnico I</t>
        </is>
      </c>
      <c r="D4715" t="n">
        <v>34</v>
      </c>
      <c r="E4715" t="n">
        <v>32</v>
      </c>
      <c r="F4715" t="n">
        <v>19</v>
      </c>
      <c r="G4715" t="n">
        <v>5</v>
      </c>
      <c r="H4715" t="n">
        <v>0</v>
      </c>
      <c r="I4715" s="3" t="n">
        <v>37</v>
      </c>
      <c r="J4715" s="3" t="n">
        <v>20</v>
      </c>
      <c r="K4715" s="3" t="n">
        <v>17</v>
      </c>
      <c r="L4715" s="3" t="inlineStr">
        <is>
          <t>EXCELENTE</t>
        </is>
      </c>
      <c r="M4715" t="n">
        <v>57</v>
      </c>
      <c r="N4715" t="n">
        <v>100</v>
      </c>
      <c r="O4715" t="n">
        <v>3.508771929824561</v>
      </c>
    </row>
    <row r="4716">
      <c r="A4716" s="10" t="n">
        <v>46174</v>
      </c>
      <c r="B4716" t="inlineStr">
        <is>
          <t>Ana Paula Da Luz Silva Aleixo</t>
        </is>
      </c>
      <c r="C4716" t="inlineStr">
        <is>
          <t>Técnico III</t>
        </is>
      </c>
      <c r="D4716" t="n">
        <v>32</v>
      </c>
      <c r="E4716" t="n">
        <v>29</v>
      </c>
      <c r="F4716" t="n">
        <v>16.41</v>
      </c>
      <c r="G4716" t="n">
        <v>0</v>
      </c>
      <c r="H4716" t="n">
        <v>0</v>
      </c>
      <c r="I4716" s="3" t="n">
        <v>29</v>
      </c>
      <c r="J4716" s="3" t="n">
        <v>31</v>
      </c>
      <c r="K4716" s="3" t="n">
        <v>-2</v>
      </c>
      <c r="L4716" s="3" t="inlineStr">
        <is>
          <t>ATENÇÃO</t>
        </is>
      </c>
      <c r="M4716" t="n">
        <v>50</v>
      </c>
      <c r="N4716" t="n">
        <v>100</v>
      </c>
      <c r="O4716" t="n">
        <v>10</v>
      </c>
    </row>
    <row r="4717">
      <c r="A4717" s="10" t="n">
        <v>46174</v>
      </c>
      <c r="B4717" t="inlineStr">
        <is>
          <t>Brenda de Menezes Silva</t>
        </is>
      </c>
      <c r="C4717" t="inlineStr">
        <is>
          <t>Técnico II</t>
        </is>
      </c>
      <c r="D4717" t="n">
        <v>46</v>
      </c>
      <c r="E4717" t="n">
        <v>44</v>
      </c>
      <c r="F4717" t="n">
        <v>13.41</v>
      </c>
      <c r="G4717" t="n">
        <v>5</v>
      </c>
      <c r="H4717" t="n">
        <v>0</v>
      </c>
      <c r="I4717" s="3" t="n">
        <v>49</v>
      </c>
      <c r="J4717" s="3" t="n">
        <v>25</v>
      </c>
      <c r="K4717" s="3" t="n">
        <v>24</v>
      </c>
      <c r="L4717" s="3" t="inlineStr">
        <is>
          <t>EXCELENTE</t>
        </is>
      </c>
      <c r="M4717" t="n">
        <v>71</v>
      </c>
      <c r="N4717" t="n">
        <v>100</v>
      </c>
      <c r="O4717" t="n">
        <v>12.67605633802817</v>
      </c>
    </row>
    <row r="4718">
      <c r="A4718" s="10" t="n">
        <v>46174</v>
      </c>
      <c r="B4718" t="inlineStr">
        <is>
          <t>Carlos Mateus Cassimiro Nunes</t>
        </is>
      </c>
      <c r="C4718" t="inlineStr">
        <is>
          <t>Técnico II</t>
        </is>
      </c>
      <c r="D4718" t="n">
        <v>33</v>
      </c>
      <c r="E4718" t="n">
        <v>32</v>
      </c>
      <c r="F4718" t="n">
        <v>22.14</v>
      </c>
      <c r="G4718" t="n">
        <v>0</v>
      </c>
      <c r="H4718" t="n">
        <v>0</v>
      </c>
      <c r="I4718" s="3" t="n">
        <v>32</v>
      </c>
      <c r="J4718" s="3" t="n">
        <v>25</v>
      </c>
      <c r="K4718" s="3" t="n">
        <v>7</v>
      </c>
      <c r="L4718" s="3" t="inlineStr">
        <is>
          <t>EXCELENTE</t>
        </is>
      </c>
      <c r="M4718" t="n">
        <v>45</v>
      </c>
      <c r="N4718" t="n">
        <v>100</v>
      </c>
      <c r="O4718" t="n">
        <v>8.888888888888889</v>
      </c>
    </row>
    <row r="4719">
      <c r="A4719" s="10" t="n">
        <v>46174</v>
      </c>
      <c r="B4719" t="inlineStr">
        <is>
          <t>Clessiane Pereira dos Santos</t>
        </is>
      </c>
      <c r="C4719" t="inlineStr">
        <is>
          <t>Técnico I</t>
        </is>
      </c>
      <c r="D4719" t="n">
        <v>37</v>
      </c>
      <c r="E4719" t="n">
        <v>33</v>
      </c>
      <c r="F4719" t="n">
        <v>13.41</v>
      </c>
      <c r="G4719" t="n">
        <v>2</v>
      </c>
      <c r="H4719" t="n">
        <v>0</v>
      </c>
      <c r="I4719" s="3" t="n">
        <v>35</v>
      </c>
      <c r="J4719" s="3" t="n">
        <v>20</v>
      </c>
      <c r="K4719" s="3" t="n">
        <v>15</v>
      </c>
      <c r="L4719" s="3" t="inlineStr">
        <is>
          <t>EXCELENTE</t>
        </is>
      </c>
      <c r="M4719" t="n">
        <v>34</v>
      </c>
      <c r="N4719" t="n">
        <v>100</v>
      </c>
      <c r="O4719" t="n">
        <v>17.64705882352941</v>
      </c>
    </row>
    <row r="4720">
      <c r="A4720" s="10" t="n">
        <v>46174</v>
      </c>
      <c r="B4720" t="inlineStr">
        <is>
          <t>Cristiane Ramos da Silva Rocha</t>
        </is>
      </c>
      <c r="C4720" t="inlineStr">
        <is>
          <t>Técnico III</t>
        </is>
      </c>
      <c r="D4720" t="n">
        <v>41</v>
      </c>
      <c r="E4720" t="n">
        <v>40</v>
      </c>
      <c r="F4720" t="n">
        <v>11.54</v>
      </c>
      <c r="G4720" t="n">
        <v>1</v>
      </c>
      <c r="H4720" t="n">
        <v>0</v>
      </c>
      <c r="I4720" s="3" t="n">
        <v>41</v>
      </c>
      <c r="J4720" s="3" t="n">
        <v>31</v>
      </c>
      <c r="K4720" s="3" t="n">
        <v>10</v>
      </c>
      <c r="L4720" s="3" t="inlineStr">
        <is>
          <t>EXCELENTE</t>
        </is>
      </c>
      <c r="M4720" t="n">
        <v>62</v>
      </c>
      <c r="N4720" t="n">
        <v>90</v>
      </c>
      <c r="O4720" t="n">
        <v>16.12903225806452</v>
      </c>
    </row>
    <row r="4721">
      <c r="A4721" s="10" t="n">
        <v>46174</v>
      </c>
      <c r="B4721" t="inlineStr">
        <is>
          <t>Damyllis Lorraine de Oliveira Gonçalves</t>
        </is>
      </c>
      <c r="C4721" t="inlineStr">
        <is>
          <t>Técnico II</t>
        </is>
      </c>
      <c r="D4721" t="n">
        <v>0</v>
      </c>
      <c r="E4721" t="n">
        <v>0</v>
      </c>
      <c r="F4721" t="n">
        <v>0</v>
      </c>
      <c r="G4721" t="n">
        <v>0</v>
      </c>
      <c r="H4721" t="n">
        <v>0</v>
      </c>
      <c r="I4721" s="3" t="n">
        <v>0</v>
      </c>
      <c r="J4721" s="3" t="n">
        <v>0</v>
      </c>
      <c r="K4721" s="3" t="n">
        <v>0</v>
      </c>
      <c r="L4721" s="3" t="inlineStr">
        <is>
          <t>BOM</t>
        </is>
      </c>
      <c r="M4721" t="n">
        <v>0</v>
      </c>
      <c r="N4721" t="n">
        <v>0</v>
      </c>
      <c r="O4721" t="n">
        <v>0</v>
      </c>
    </row>
    <row r="4722">
      <c r="A4722" s="10" t="n">
        <v>46174</v>
      </c>
      <c r="B4722" t="inlineStr">
        <is>
          <t>Daniel Gomes da Silva</t>
        </is>
      </c>
      <c r="C4722" t="inlineStr">
        <is>
          <t>Técnico I</t>
        </is>
      </c>
      <c r="D4722" t="n">
        <v>20</v>
      </c>
      <c r="E4722" t="n">
        <v>20</v>
      </c>
      <c r="F4722" t="n">
        <v>18.54</v>
      </c>
      <c r="G4722" t="n">
        <v>1</v>
      </c>
      <c r="H4722" t="n">
        <v>0</v>
      </c>
      <c r="I4722" s="3" t="n">
        <v>21</v>
      </c>
      <c r="J4722" s="3" t="n">
        <v>20</v>
      </c>
      <c r="K4722" s="3" t="n">
        <v>1</v>
      </c>
      <c r="L4722" s="3" t="inlineStr">
        <is>
          <t>BOM</t>
        </is>
      </c>
      <c r="M4722" t="n">
        <v>25</v>
      </c>
      <c r="N4722" t="n">
        <v>100</v>
      </c>
      <c r="O4722" t="n">
        <v>8</v>
      </c>
    </row>
    <row r="4723">
      <c r="A4723" s="10" t="n">
        <v>46174</v>
      </c>
      <c r="B4723" t="inlineStr">
        <is>
          <t>Davylla Rodrigues Freitas Silva</t>
        </is>
      </c>
      <c r="C4723" t="inlineStr">
        <is>
          <t>Técnico III</t>
        </is>
      </c>
      <c r="D4723" t="n">
        <v>1</v>
      </c>
      <c r="E4723" t="n">
        <v>1</v>
      </c>
      <c r="F4723" t="n">
        <v>32.22</v>
      </c>
      <c r="G4723" t="n">
        <v>0</v>
      </c>
      <c r="H4723" t="n">
        <v>0</v>
      </c>
      <c r="I4723" s="3" t="n">
        <v>1</v>
      </c>
      <c r="J4723" s="3" t="n">
        <v>31</v>
      </c>
      <c r="K4723" s="3" t="n">
        <v>-30</v>
      </c>
      <c r="L4723" s="3" t="inlineStr">
        <is>
          <t>CRÍTICO</t>
        </is>
      </c>
      <c r="M4723" t="n">
        <v>0</v>
      </c>
      <c r="N4723" t="n">
        <v>0</v>
      </c>
      <c r="O4723" t="n">
        <v>0</v>
      </c>
    </row>
    <row r="4724">
      <c r="A4724" s="10" t="n">
        <v>46174</v>
      </c>
      <c r="B4724" t="inlineStr">
        <is>
          <t>Emilly Kamilly Medeiros Miranda</t>
        </is>
      </c>
      <c r="C4724" t="inlineStr">
        <is>
          <t>Técnico II</t>
        </is>
      </c>
      <c r="D4724" t="n">
        <v>38</v>
      </c>
      <c r="E4724" t="n">
        <v>33</v>
      </c>
      <c r="F4724" t="n">
        <v>15.57</v>
      </c>
      <c r="G4724" t="n">
        <v>5</v>
      </c>
      <c r="H4724" t="n">
        <v>0</v>
      </c>
      <c r="I4724" s="3" t="n">
        <v>38</v>
      </c>
      <c r="J4724" s="3" t="n">
        <v>25</v>
      </c>
      <c r="K4724" s="3" t="n">
        <v>13</v>
      </c>
      <c r="L4724" s="3" t="inlineStr">
        <is>
          <t>EXCELENTE</t>
        </is>
      </c>
      <c r="M4724" t="n">
        <v>35</v>
      </c>
      <c r="N4724" t="n">
        <v>100</v>
      </c>
      <c r="O4724" t="n">
        <v>0</v>
      </c>
    </row>
    <row r="4725">
      <c r="A4725" s="10" t="n">
        <v>46174</v>
      </c>
      <c r="B4725" t="inlineStr">
        <is>
          <t>Francielson de Oliveira</t>
        </is>
      </c>
      <c r="C4725" t="inlineStr">
        <is>
          <t>Técnico III</t>
        </is>
      </c>
      <c r="D4725" t="n">
        <v>41</v>
      </c>
      <c r="E4725" t="n">
        <v>39</v>
      </c>
      <c r="F4725" t="n">
        <v>16.58</v>
      </c>
      <c r="G4725" t="n">
        <v>2</v>
      </c>
      <c r="H4725" t="n">
        <v>0</v>
      </c>
      <c r="I4725" s="3" t="n">
        <v>41</v>
      </c>
      <c r="J4725" s="3" t="n">
        <v>31</v>
      </c>
      <c r="K4725" s="3" t="n">
        <v>10</v>
      </c>
      <c r="L4725" s="3" t="inlineStr">
        <is>
          <t>EXCELENTE</t>
        </is>
      </c>
      <c r="M4725" t="n">
        <v>67</v>
      </c>
      <c r="N4725" t="n">
        <v>100</v>
      </c>
      <c r="O4725" t="n">
        <v>1.492537313432836</v>
      </c>
    </row>
    <row r="4726">
      <c r="A4726" s="10" t="n">
        <v>46174</v>
      </c>
      <c r="B4726" t="inlineStr">
        <is>
          <t>Francilene Ferreira de Jesus</t>
        </is>
      </c>
      <c r="C4726" t="inlineStr">
        <is>
          <t>Técnico II</t>
        </is>
      </c>
      <c r="D4726" t="n">
        <v>0</v>
      </c>
      <c r="E4726" t="n">
        <v>0</v>
      </c>
      <c r="F4726" t="n">
        <v>0</v>
      </c>
      <c r="G4726" t="n">
        <v>0</v>
      </c>
      <c r="H4726" t="n">
        <v>0</v>
      </c>
      <c r="I4726" s="3" t="n">
        <v>0</v>
      </c>
      <c r="J4726" s="3" t="n">
        <v>0</v>
      </c>
      <c r="K4726" s="3" t="n">
        <v>0</v>
      </c>
      <c r="L4726" s="3" t="inlineStr">
        <is>
          <t>BOM</t>
        </is>
      </c>
      <c r="M4726" t="n">
        <v>0</v>
      </c>
      <c r="N4726" t="n">
        <v>0</v>
      </c>
      <c r="O4726" t="n">
        <v>0</v>
      </c>
    </row>
    <row r="4727">
      <c r="A4727" s="10" t="n">
        <v>46174</v>
      </c>
      <c r="B4727" t="inlineStr">
        <is>
          <t>Gabriel Gomes de Andrade</t>
        </is>
      </c>
      <c r="C4727" t="inlineStr">
        <is>
          <t>Técnico I</t>
        </is>
      </c>
      <c r="D4727" t="n">
        <v>24</v>
      </c>
      <c r="E4727" t="n">
        <v>22</v>
      </c>
      <c r="F4727" t="n">
        <v>15.19</v>
      </c>
      <c r="G4727" t="n">
        <v>0</v>
      </c>
      <c r="H4727" t="n">
        <v>0</v>
      </c>
      <c r="I4727" s="3" t="n">
        <v>22</v>
      </c>
      <c r="J4727" s="3" t="n">
        <v>20</v>
      </c>
      <c r="K4727" s="3" t="n">
        <v>2</v>
      </c>
      <c r="L4727" s="3" t="inlineStr">
        <is>
          <t>BOM</t>
        </is>
      </c>
      <c r="M4727" t="n">
        <v>21</v>
      </c>
      <c r="N4727" t="n">
        <v>100</v>
      </c>
      <c r="O4727" t="n">
        <v>23.80952380952381</v>
      </c>
    </row>
    <row r="4728">
      <c r="A4728" s="10" t="n">
        <v>46174</v>
      </c>
      <c r="B4728" t="inlineStr">
        <is>
          <t>Isabella Borges de Oliveira</t>
        </is>
      </c>
      <c r="C4728" t="inlineStr">
        <is>
          <t>Técnico II</t>
        </is>
      </c>
      <c r="D4728" t="n">
        <v>34</v>
      </c>
      <c r="E4728" t="n">
        <v>33</v>
      </c>
      <c r="F4728" t="n">
        <v>20.26</v>
      </c>
      <c r="G4728" t="n">
        <v>3</v>
      </c>
      <c r="H4728" t="n">
        <v>0</v>
      </c>
      <c r="I4728" s="3" t="n">
        <v>36</v>
      </c>
      <c r="J4728" s="3" t="n">
        <v>25</v>
      </c>
      <c r="K4728" s="3" t="n">
        <v>11</v>
      </c>
      <c r="L4728" s="3" t="inlineStr">
        <is>
          <t>EXCELENTE</t>
        </is>
      </c>
      <c r="M4728" t="n">
        <v>28</v>
      </c>
      <c r="N4728" t="n">
        <v>100</v>
      </c>
      <c r="O4728" t="n">
        <v>3.571428571428571</v>
      </c>
    </row>
    <row r="4729">
      <c r="A4729" s="10" t="n">
        <v>46174</v>
      </c>
      <c r="B4729" t="inlineStr">
        <is>
          <t>Janaina Lima dos Reis Urany</t>
        </is>
      </c>
      <c r="C4729" t="inlineStr">
        <is>
          <t>Técnico III</t>
        </is>
      </c>
      <c r="D4729" t="n">
        <v>0</v>
      </c>
      <c r="E4729" t="n">
        <v>0</v>
      </c>
      <c r="F4729" t="n">
        <v>0</v>
      </c>
      <c r="G4729" t="n">
        <v>0</v>
      </c>
      <c r="H4729" t="n">
        <v>0</v>
      </c>
      <c r="I4729" s="3" t="n">
        <v>0</v>
      </c>
      <c r="J4729" s="3" t="n">
        <v>0</v>
      </c>
      <c r="K4729" s="3" t="n">
        <v>0</v>
      </c>
      <c r="L4729" s="3" t="inlineStr">
        <is>
          <t>BOM</t>
        </is>
      </c>
      <c r="M4729" t="n">
        <v>0</v>
      </c>
      <c r="N4729" t="n">
        <v>100</v>
      </c>
      <c r="O4729" t="n">
        <v>0</v>
      </c>
    </row>
    <row r="4730">
      <c r="A4730" s="10" t="n">
        <v>46174</v>
      </c>
      <c r="B4730" t="inlineStr">
        <is>
          <t>Jaqueline Evangelista da Silva Martins</t>
        </is>
      </c>
      <c r="C4730" t="inlineStr">
        <is>
          <t>Técnico III</t>
        </is>
      </c>
      <c r="D4730" t="n">
        <v>40</v>
      </c>
      <c r="E4730" t="n">
        <v>34</v>
      </c>
      <c r="F4730" t="n">
        <v>15.47</v>
      </c>
      <c r="G4730" t="n">
        <v>7</v>
      </c>
      <c r="H4730" t="n">
        <v>0</v>
      </c>
      <c r="I4730" s="3" t="n">
        <v>41</v>
      </c>
      <c r="J4730" s="3" t="n">
        <v>31</v>
      </c>
      <c r="K4730" s="3" t="n">
        <v>10</v>
      </c>
      <c r="L4730" s="3" t="inlineStr">
        <is>
          <t>EXCELENTE</t>
        </is>
      </c>
      <c r="M4730" t="n">
        <v>41</v>
      </c>
      <c r="N4730" t="n">
        <v>100</v>
      </c>
      <c r="O4730" t="n">
        <v>2.439024390243902</v>
      </c>
    </row>
    <row r="4731">
      <c r="A4731" s="10" t="n">
        <v>46174</v>
      </c>
      <c r="B4731" t="inlineStr">
        <is>
          <t>Jessica Faria da Silveira</t>
        </is>
      </c>
      <c r="C4731" t="inlineStr">
        <is>
          <t>Técnico II</t>
        </is>
      </c>
      <c r="D4731" t="n">
        <v>0</v>
      </c>
      <c r="E4731" t="n">
        <v>0</v>
      </c>
      <c r="F4731" t="n">
        <v>0</v>
      </c>
      <c r="G4731" t="n">
        <v>0</v>
      </c>
      <c r="H4731" t="n">
        <v>0</v>
      </c>
      <c r="I4731" s="3" t="n">
        <v>0</v>
      </c>
      <c r="J4731" s="3" t="n">
        <v>0</v>
      </c>
      <c r="K4731" s="3" t="n">
        <v>0</v>
      </c>
      <c r="L4731" s="3" t="inlineStr">
        <is>
          <t>BOM</t>
        </is>
      </c>
      <c r="M4731" t="n">
        <v>0</v>
      </c>
      <c r="N4731" t="n">
        <v>100</v>
      </c>
      <c r="O4731" t="n">
        <v>0</v>
      </c>
    </row>
    <row r="4732">
      <c r="A4732" s="10" t="n">
        <v>46174</v>
      </c>
      <c r="B4732" t="inlineStr">
        <is>
          <t>Jéssica Fé Moura</t>
        </is>
      </c>
      <c r="C4732" t="inlineStr">
        <is>
          <t>Técnico III</t>
        </is>
      </c>
      <c r="D4732" t="n">
        <v>0</v>
      </c>
      <c r="E4732" t="n">
        <v>0</v>
      </c>
      <c r="F4732" t="n">
        <v>0</v>
      </c>
      <c r="G4732" t="n">
        <v>0</v>
      </c>
      <c r="H4732" t="n">
        <v>0</v>
      </c>
      <c r="I4732" s="3" t="n">
        <v>0</v>
      </c>
      <c r="J4732" s="3" t="n">
        <v>0</v>
      </c>
      <c r="K4732" s="3" t="n">
        <v>0</v>
      </c>
      <c r="L4732" s="3" t="inlineStr">
        <is>
          <t>BOM</t>
        </is>
      </c>
      <c r="M4732" t="n">
        <v>0</v>
      </c>
      <c r="N4732" t="n">
        <v>0</v>
      </c>
      <c r="O4732" t="n">
        <v>0</v>
      </c>
    </row>
    <row r="4733">
      <c r="A4733" s="10" t="n">
        <v>46174</v>
      </c>
      <c r="B4733" t="inlineStr">
        <is>
          <t>Kerollen Cristielly de Jesus Siqueira</t>
        </is>
      </c>
      <c r="C4733" t="inlineStr">
        <is>
          <t>Técnico III</t>
        </is>
      </c>
      <c r="D4733" t="n">
        <v>0</v>
      </c>
      <c r="E4733" t="n">
        <v>0</v>
      </c>
      <c r="F4733" t="n">
        <v>0</v>
      </c>
      <c r="G4733" t="n">
        <v>0</v>
      </c>
      <c r="H4733" t="n">
        <v>0</v>
      </c>
      <c r="I4733" s="3" t="n">
        <v>0</v>
      </c>
      <c r="J4733" s="3" t="n">
        <v>0</v>
      </c>
      <c r="K4733" s="3" t="n">
        <v>0</v>
      </c>
      <c r="L4733" s="3" t="inlineStr">
        <is>
          <t>BOM</t>
        </is>
      </c>
      <c r="M4733" t="n">
        <v>0</v>
      </c>
      <c r="N4733" t="n">
        <v>100</v>
      </c>
      <c r="O4733" t="n">
        <v>0</v>
      </c>
    </row>
    <row r="4734">
      <c r="A4734" s="10" t="n">
        <v>46174</v>
      </c>
      <c r="B4734" t="inlineStr">
        <is>
          <t>Leandro Oliveira de Sousa</t>
        </is>
      </c>
      <c r="C4734" t="inlineStr">
        <is>
          <t>Técnico III</t>
        </is>
      </c>
      <c r="D4734" t="n">
        <v>38</v>
      </c>
      <c r="E4734" t="n">
        <v>34</v>
      </c>
      <c r="F4734" t="n">
        <v>18.31</v>
      </c>
      <c r="G4734" t="n">
        <v>4</v>
      </c>
      <c r="H4734" t="n">
        <v>0</v>
      </c>
      <c r="I4734" s="3" t="n">
        <v>38</v>
      </c>
      <c r="J4734" s="3" t="n">
        <v>31</v>
      </c>
      <c r="K4734" s="3" t="n">
        <v>7</v>
      </c>
      <c r="L4734" s="3" t="inlineStr">
        <is>
          <t>EXCELENTE</t>
        </is>
      </c>
      <c r="M4734" t="n">
        <v>52</v>
      </c>
      <c r="N4734" t="n">
        <v>100</v>
      </c>
      <c r="O4734" t="n">
        <v>5.769230769230769</v>
      </c>
    </row>
    <row r="4735">
      <c r="A4735" s="10" t="n">
        <v>46174</v>
      </c>
      <c r="B4735" t="inlineStr">
        <is>
          <t>Lizandra Gomes Duarte</t>
        </is>
      </c>
      <c r="C4735" t="inlineStr">
        <is>
          <t>Técnico II</t>
        </is>
      </c>
      <c r="D4735" t="n">
        <v>33</v>
      </c>
      <c r="E4735" t="n">
        <v>31</v>
      </c>
      <c r="F4735" t="n">
        <v>20.04</v>
      </c>
      <c r="G4735" t="n">
        <v>3</v>
      </c>
      <c r="H4735" t="n">
        <v>0</v>
      </c>
      <c r="I4735" s="3" t="n">
        <v>34</v>
      </c>
      <c r="J4735" s="3" t="n">
        <v>25</v>
      </c>
      <c r="K4735" s="3" t="n">
        <v>9</v>
      </c>
      <c r="L4735" s="3" t="inlineStr">
        <is>
          <t>EXCELENTE</t>
        </is>
      </c>
      <c r="M4735" t="n">
        <v>14</v>
      </c>
      <c r="N4735" t="n">
        <v>100</v>
      </c>
      <c r="O4735" t="n">
        <v>7.142857142857142</v>
      </c>
    </row>
    <row r="4736">
      <c r="A4736" s="10" t="n">
        <v>46174</v>
      </c>
      <c r="B4736" t="inlineStr">
        <is>
          <t>Lorena Dias de Araujo</t>
        </is>
      </c>
      <c r="C4736" t="inlineStr">
        <is>
          <t>Técnico II</t>
        </is>
      </c>
      <c r="D4736" t="n">
        <v>28</v>
      </c>
      <c r="E4736" t="n">
        <v>23</v>
      </c>
      <c r="F4736" t="n">
        <v>15.36</v>
      </c>
      <c r="G4736" t="n">
        <v>0</v>
      </c>
      <c r="H4736" t="n">
        <v>0</v>
      </c>
      <c r="I4736" s="3" t="n">
        <v>23</v>
      </c>
      <c r="J4736" s="3" t="n">
        <v>25</v>
      </c>
      <c r="K4736" s="3" t="n">
        <v>-2</v>
      </c>
      <c r="L4736" s="3" t="inlineStr">
        <is>
          <t>ATENÇÃO</t>
        </is>
      </c>
      <c r="M4736" t="n">
        <v>38</v>
      </c>
      <c r="N4736" t="n">
        <v>100</v>
      </c>
      <c r="O4736" t="n">
        <v>15.78947368421053</v>
      </c>
    </row>
    <row r="4737">
      <c r="A4737" s="10" t="n">
        <v>46174</v>
      </c>
      <c r="B4737" t="inlineStr">
        <is>
          <t>Lucas Luiz Romero</t>
        </is>
      </c>
      <c r="C4737" t="inlineStr">
        <is>
          <t>Técnico III</t>
        </is>
      </c>
      <c r="D4737" t="n">
        <v>0</v>
      </c>
      <c r="E4737" t="n">
        <v>0</v>
      </c>
      <c r="F4737" t="n">
        <v>0</v>
      </c>
      <c r="G4737" t="n">
        <v>0</v>
      </c>
      <c r="H4737" t="n">
        <v>0</v>
      </c>
      <c r="I4737" s="3" t="n">
        <v>0</v>
      </c>
      <c r="J4737" s="3" t="n">
        <v>0</v>
      </c>
      <c r="K4737" s="3" t="n">
        <v>0</v>
      </c>
      <c r="L4737" s="3" t="inlineStr">
        <is>
          <t>BOM</t>
        </is>
      </c>
      <c r="M4737" t="n">
        <v>16</v>
      </c>
      <c r="N4737" t="n">
        <v>40</v>
      </c>
      <c r="O4737" t="n">
        <v>12.5</v>
      </c>
    </row>
    <row r="4738">
      <c r="A4738" s="10" t="n">
        <v>46174</v>
      </c>
      <c r="B4738" t="inlineStr">
        <is>
          <t>Luiz Fernando de Carvalho Junior</t>
        </is>
      </c>
      <c r="C4738" t="inlineStr">
        <is>
          <t>Técnico I</t>
        </is>
      </c>
      <c r="D4738" t="n">
        <v>29</v>
      </c>
      <c r="E4738" t="n">
        <v>25</v>
      </c>
      <c r="F4738" t="n">
        <v>19.05</v>
      </c>
      <c r="G4738" t="n">
        <v>1</v>
      </c>
      <c r="H4738" t="n">
        <v>0</v>
      </c>
      <c r="I4738" s="3" t="n">
        <v>26</v>
      </c>
      <c r="J4738" s="3" t="n">
        <v>20</v>
      </c>
      <c r="K4738" s="3" t="n">
        <v>6</v>
      </c>
      <c r="L4738" s="3" t="inlineStr">
        <is>
          <t>EXCELENTE</t>
        </is>
      </c>
      <c r="M4738" t="n">
        <v>25</v>
      </c>
      <c r="N4738" t="n">
        <v>100</v>
      </c>
      <c r="O4738" t="n">
        <v>4</v>
      </c>
    </row>
    <row r="4739">
      <c r="A4739" s="10" t="n">
        <v>46174</v>
      </c>
      <c r="B4739" t="inlineStr">
        <is>
          <t>Matheus Farias De Souza</t>
        </is>
      </c>
      <c r="C4739" t="inlineStr">
        <is>
          <t>Técnico III</t>
        </is>
      </c>
      <c r="D4739" t="n">
        <v>0</v>
      </c>
      <c r="E4739" t="n">
        <v>0</v>
      </c>
      <c r="F4739" t="n">
        <v>0</v>
      </c>
      <c r="G4739" t="n">
        <v>0</v>
      </c>
      <c r="H4739" t="n">
        <v>0</v>
      </c>
      <c r="I4739" s="3" t="n">
        <v>0</v>
      </c>
      <c r="J4739" s="3" t="n">
        <v>0</v>
      </c>
      <c r="K4739" s="3" t="n">
        <v>0</v>
      </c>
      <c r="L4739" s="3" t="inlineStr">
        <is>
          <t>BOM</t>
        </is>
      </c>
      <c r="M4739" t="n">
        <v>9</v>
      </c>
      <c r="N4739" t="n">
        <v>0</v>
      </c>
      <c r="O4739" t="n">
        <v>0</v>
      </c>
    </row>
    <row r="4740">
      <c r="A4740" s="10" t="n">
        <v>46174</v>
      </c>
      <c r="B4740" t="inlineStr">
        <is>
          <t>Maysa Victoria Dias Moura</t>
        </is>
      </c>
      <c r="C4740" t="inlineStr">
        <is>
          <t>Técnico III</t>
        </is>
      </c>
      <c r="D4740" t="n">
        <v>37</v>
      </c>
      <c r="E4740" t="n">
        <v>33</v>
      </c>
      <c r="F4740" t="n">
        <v>14.02</v>
      </c>
      <c r="G4740" t="n">
        <v>10</v>
      </c>
      <c r="H4740" t="n">
        <v>0</v>
      </c>
      <c r="I4740" s="3" t="n">
        <v>43</v>
      </c>
      <c r="J4740" s="3" t="n">
        <v>31</v>
      </c>
      <c r="K4740" s="3" t="n">
        <v>12</v>
      </c>
      <c r="L4740" s="3" t="inlineStr">
        <is>
          <t>EXCELENTE</t>
        </is>
      </c>
      <c r="M4740" t="n">
        <v>46</v>
      </c>
      <c r="N4740" t="n">
        <v>100</v>
      </c>
      <c r="O4740" t="n">
        <v>13.04347826086956</v>
      </c>
    </row>
    <row r="4741">
      <c r="A4741" s="10" t="n">
        <v>46174</v>
      </c>
      <c r="B4741" t="inlineStr">
        <is>
          <t>Patrícia Karla de Sousa Araújo</t>
        </is>
      </c>
      <c r="C4741" t="inlineStr">
        <is>
          <t>Técnico II</t>
        </is>
      </c>
      <c r="D4741" t="n">
        <v>0</v>
      </c>
      <c r="E4741" t="n">
        <v>0</v>
      </c>
      <c r="F4741" t="n">
        <v>0</v>
      </c>
      <c r="G4741" t="n">
        <v>0</v>
      </c>
      <c r="H4741" t="n">
        <v>0</v>
      </c>
      <c r="I4741" s="3" t="n">
        <v>0</v>
      </c>
      <c r="J4741" s="3" t="n">
        <v>0</v>
      </c>
      <c r="K4741" s="3" t="n">
        <v>0</v>
      </c>
      <c r="L4741" s="3" t="inlineStr">
        <is>
          <t>BOM</t>
        </is>
      </c>
      <c r="M4741" t="n">
        <v>0</v>
      </c>
      <c r="N4741" t="n">
        <v>100</v>
      </c>
      <c r="O4741" t="n">
        <v>0</v>
      </c>
    </row>
    <row r="4742">
      <c r="A4742" s="10" t="n">
        <v>46174</v>
      </c>
      <c r="B4742" t="inlineStr">
        <is>
          <t>Raane Batista Matos</t>
        </is>
      </c>
      <c r="C4742" t="inlineStr">
        <is>
          <t>Técnico I</t>
        </is>
      </c>
      <c r="D4742" t="n">
        <v>35</v>
      </c>
      <c r="E4742" t="n">
        <v>29</v>
      </c>
      <c r="F4742" t="n">
        <v>17.24</v>
      </c>
      <c r="G4742" t="n">
        <v>9</v>
      </c>
      <c r="H4742" t="n">
        <v>0</v>
      </c>
      <c r="I4742" s="3" t="n">
        <v>38</v>
      </c>
      <c r="J4742" s="3" t="n">
        <v>20</v>
      </c>
      <c r="K4742" s="3" t="n">
        <v>18</v>
      </c>
      <c r="L4742" s="3" t="inlineStr">
        <is>
          <t>EXCELENTE</t>
        </is>
      </c>
      <c r="M4742" t="n">
        <v>30</v>
      </c>
      <c r="N4742" t="n">
        <v>80</v>
      </c>
      <c r="O4742" t="n">
        <v>6.666666666666667</v>
      </c>
    </row>
    <row r="4743">
      <c r="A4743" s="10" t="n">
        <v>46174</v>
      </c>
      <c r="B4743" t="inlineStr">
        <is>
          <t>Rafael Gomes de Morais</t>
        </is>
      </c>
      <c r="C4743" t="inlineStr">
        <is>
          <t>Técnico III</t>
        </is>
      </c>
      <c r="D4743" t="n">
        <v>49</v>
      </c>
      <c r="E4743" t="n">
        <v>44</v>
      </c>
      <c r="F4743" t="n">
        <v>11.59</v>
      </c>
      <c r="G4743" t="n">
        <v>0</v>
      </c>
      <c r="H4743" t="n">
        <v>0</v>
      </c>
      <c r="I4743" s="3" t="n">
        <v>44</v>
      </c>
      <c r="J4743" s="3" t="n">
        <v>31</v>
      </c>
      <c r="K4743" s="3" t="n">
        <v>13</v>
      </c>
      <c r="L4743" s="3" t="inlineStr">
        <is>
          <t>EXCELENTE</t>
        </is>
      </c>
      <c r="M4743" t="n">
        <v>67</v>
      </c>
      <c r="N4743" t="n">
        <v>100</v>
      </c>
      <c r="O4743" t="n">
        <v>13.43283582089552</v>
      </c>
    </row>
    <row r="4744">
      <c r="A4744" s="10" t="n">
        <v>46174</v>
      </c>
      <c r="B4744" t="inlineStr">
        <is>
          <t>Sara Maria Monteiro Lopes</t>
        </is>
      </c>
      <c r="C4744" t="inlineStr">
        <is>
          <t>Técnico I</t>
        </is>
      </c>
      <c r="D4744" t="n">
        <v>18</v>
      </c>
      <c r="E4744" t="n">
        <v>17</v>
      </c>
      <c r="F4744" t="n">
        <v>31.41</v>
      </c>
      <c r="G4744" t="n">
        <v>4</v>
      </c>
      <c r="H4744" t="n">
        <v>0</v>
      </c>
      <c r="I4744" s="3" t="n">
        <v>21</v>
      </c>
      <c r="J4744" s="3" t="n">
        <v>20</v>
      </c>
      <c r="K4744" s="3" t="n">
        <v>1</v>
      </c>
      <c r="L4744" s="3" t="inlineStr">
        <is>
          <t>BOM</t>
        </is>
      </c>
      <c r="M4744" t="n">
        <v>12</v>
      </c>
      <c r="N4744" t="n">
        <v>100</v>
      </c>
      <c r="O4744" t="n">
        <v>8.333333333333332</v>
      </c>
    </row>
    <row r="4745">
      <c r="A4745" s="10" t="n">
        <v>46174</v>
      </c>
      <c r="B4745" t="inlineStr">
        <is>
          <t>Sarah Steffanie de Lima Borges</t>
        </is>
      </c>
      <c r="C4745" t="inlineStr">
        <is>
          <t>Técnico III</t>
        </is>
      </c>
      <c r="D4745" t="n">
        <v>0</v>
      </c>
      <c r="E4745" t="n">
        <v>0</v>
      </c>
      <c r="F4745" t="n">
        <v>0</v>
      </c>
      <c r="G4745" t="n">
        <v>0</v>
      </c>
      <c r="H4745" t="n">
        <v>0</v>
      </c>
      <c r="I4745" s="3" t="n">
        <v>0</v>
      </c>
      <c r="J4745" s="3" t="n">
        <v>0</v>
      </c>
      <c r="K4745" s="3" t="n">
        <v>0</v>
      </c>
      <c r="L4745" s="3" t="inlineStr">
        <is>
          <t>BOM</t>
        </is>
      </c>
      <c r="M4745" t="n">
        <v>0</v>
      </c>
      <c r="N4745" t="n">
        <v>100</v>
      </c>
      <c r="O4745" t="n">
        <v>0</v>
      </c>
    </row>
    <row r="4746">
      <c r="A4746" s="10" t="n">
        <v>46175</v>
      </c>
      <c r="B4746" t="inlineStr">
        <is>
          <t>Anna Luiza Rezende Tavares</t>
        </is>
      </c>
      <c r="C4746" t="inlineStr">
        <is>
          <t>JR</t>
        </is>
      </c>
      <c r="D4746" t="n">
        <v>35</v>
      </c>
      <c r="E4746" t="n">
        <v>28</v>
      </c>
      <c r="F4746" t="n">
        <v>13.24</v>
      </c>
      <c r="G4746" t="n">
        <v>3</v>
      </c>
      <c r="H4746" t="n">
        <v>0</v>
      </c>
      <c r="I4746" s="3" t="n">
        <v>31</v>
      </c>
      <c r="J4746" s="3" t="n">
        <v>19</v>
      </c>
      <c r="K4746" s="3" t="n">
        <v>12</v>
      </c>
      <c r="L4746" s="3" t="inlineStr">
        <is>
          <t>EXCELENTE</t>
        </is>
      </c>
      <c r="M4746" t="n">
        <v>8</v>
      </c>
      <c r="N4746" t="n">
        <v>100</v>
      </c>
      <c r="O4746" t="n">
        <v>6.818181818181817</v>
      </c>
    </row>
    <row r="4747">
      <c r="A4747" s="10" t="n">
        <v>46175</v>
      </c>
      <c r="B4747" t="inlineStr">
        <is>
          <t>Claudio de Sousa Velasco Filho</t>
        </is>
      </c>
      <c r="C4747" t="inlineStr">
        <is>
          <t>Estágio</t>
        </is>
      </c>
      <c r="D4747" t="n">
        <v>10</v>
      </c>
      <c r="E4747" t="n">
        <v>8</v>
      </c>
      <c r="F4747" t="n">
        <v>16.59</v>
      </c>
      <c r="G4747" t="n">
        <v>0</v>
      </c>
      <c r="H4747" t="n">
        <v>0</v>
      </c>
      <c r="I4747" s="3" t="n">
        <v>8</v>
      </c>
      <c r="J4747" s="3" t="n">
        <v>10</v>
      </c>
      <c r="K4747" s="3" t="n">
        <v>-2</v>
      </c>
      <c r="L4747" s="3" t="inlineStr">
        <is>
          <t>ATENÇÃO</t>
        </is>
      </c>
      <c r="M4747" t="n">
        <v>7</v>
      </c>
      <c r="N4747" t="n">
        <v>100</v>
      </c>
      <c r="O4747" t="n">
        <v>0</v>
      </c>
    </row>
    <row r="4748">
      <c r="A4748" s="10" t="n">
        <v>46175</v>
      </c>
      <c r="B4748" t="inlineStr">
        <is>
          <t>Emilly Caylane Costa</t>
        </is>
      </c>
      <c r="C4748" t="inlineStr">
        <is>
          <t>Estágio</t>
        </is>
      </c>
      <c r="D4748" t="n">
        <v>55</v>
      </c>
      <c r="E4748" t="n">
        <v>32</v>
      </c>
      <c r="F4748" t="n">
        <v>5.17</v>
      </c>
      <c r="G4748" t="n">
        <v>0</v>
      </c>
      <c r="H4748" t="n">
        <v>0</v>
      </c>
      <c r="I4748" s="3" t="n">
        <v>32</v>
      </c>
      <c r="J4748" s="3" t="n">
        <v>10</v>
      </c>
      <c r="K4748" s="3" t="n">
        <v>22</v>
      </c>
      <c r="L4748" s="3" t="inlineStr">
        <is>
          <t>EXCELENTE</t>
        </is>
      </c>
      <c r="M4748" t="n">
        <v>1</v>
      </c>
      <c r="N4748" t="n">
        <v>50</v>
      </c>
      <c r="O4748" t="n">
        <v>12.5</v>
      </c>
    </row>
    <row r="4749">
      <c r="A4749" s="10" t="n">
        <v>46175</v>
      </c>
      <c r="B4749" t="inlineStr">
        <is>
          <t>Gabriel Alves</t>
        </is>
      </c>
      <c r="C4749" t="inlineStr">
        <is>
          <t>Estágio</t>
        </is>
      </c>
      <c r="D4749" t="n">
        <v>55</v>
      </c>
      <c r="E4749" t="n">
        <v>50</v>
      </c>
      <c r="F4749" t="n">
        <v>7.05</v>
      </c>
      <c r="G4749" t="n">
        <v>0</v>
      </c>
      <c r="H4749" t="n">
        <v>0</v>
      </c>
      <c r="I4749" s="3" t="n">
        <v>50</v>
      </c>
      <c r="J4749" s="3" t="n">
        <v>10</v>
      </c>
      <c r="K4749" s="3" t="n">
        <v>40</v>
      </c>
      <c r="L4749" s="3" t="inlineStr">
        <is>
          <t>EXCELENTE</t>
        </is>
      </c>
      <c r="M4749" t="n">
        <v>0</v>
      </c>
      <c r="N4749" t="n">
        <v>0</v>
      </c>
      <c r="O4749" t="n">
        <v>0</v>
      </c>
    </row>
    <row r="4750">
      <c r="A4750" s="10" t="n">
        <v>46175</v>
      </c>
      <c r="B4750" t="inlineStr">
        <is>
          <t>Karina Gonçalves Martins</t>
        </is>
      </c>
      <c r="C4750" t="inlineStr">
        <is>
          <t>JR</t>
        </is>
      </c>
      <c r="D4750" t="n">
        <v>12</v>
      </c>
      <c r="E4750" t="n">
        <v>11</v>
      </c>
      <c r="F4750" t="n">
        <v>18.38</v>
      </c>
      <c r="G4750" t="n">
        <v>2</v>
      </c>
      <c r="H4750" t="n">
        <v>0</v>
      </c>
      <c r="I4750" s="3" t="n">
        <v>13</v>
      </c>
      <c r="J4750" s="3" t="n">
        <v>19</v>
      </c>
      <c r="K4750" s="3" t="n">
        <v>-6</v>
      </c>
      <c r="L4750" s="3" t="inlineStr">
        <is>
          <t>CRÍTICO</t>
        </is>
      </c>
      <c r="M4750" t="n">
        <v>11</v>
      </c>
      <c r="N4750" t="n">
        <v>100</v>
      </c>
      <c r="O4750" t="n">
        <v>3.571428571428571</v>
      </c>
    </row>
    <row r="4751">
      <c r="A4751" s="10" t="n">
        <v>46175</v>
      </c>
      <c r="B4751" t="inlineStr">
        <is>
          <t>Leandro de Souza Silva</t>
        </is>
      </c>
      <c r="C4751" t="inlineStr">
        <is>
          <t>Técnico I</t>
        </is>
      </c>
      <c r="D4751" t="n">
        <v>12</v>
      </c>
      <c r="E4751" t="n">
        <v>9</v>
      </c>
      <c r="F4751" t="n">
        <v>17.34</v>
      </c>
      <c r="G4751" t="n">
        <v>5</v>
      </c>
      <c r="H4751" t="n">
        <v>0</v>
      </c>
      <c r="I4751" s="3" t="n">
        <v>14</v>
      </c>
      <c r="J4751" s="3" t="n">
        <v>22</v>
      </c>
      <c r="K4751" s="3" t="n">
        <v>-8</v>
      </c>
      <c r="L4751" s="3" t="inlineStr">
        <is>
          <t>CRÍTICO</t>
        </is>
      </c>
      <c r="M4751" t="n">
        <v>9</v>
      </c>
      <c r="N4751" t="n">
        <v>100</v>
      </c>
      <c r="O4751" t="n">
        <v>16.66666666666666</v>
      </c>
    </row>
    <row r="4752">
      <c r="A4752" s="10" t="n">
        <v>46175</v>
      </c>
      <c r="B4752" t="inlineStr">
        <is>
          <t>Maria Eduarda Sousa Costa</t>
        </is>
      </c>
      <c r="C4752" t="inlineStr">
        <is>
          <t>Estágio</t>
        </is>
      </c>
      <c r="D4752" t="n">
        <v>73</v>
      </c>
      <c r="E4752" t="n">
        <v>51</v>
      </c>
      <c r="F4752" t="n">
        <v>8.289999999999999</v>
      </c>
      <c r="G4752" t="n">
        <v>1</v>
      </c>
      <c r="H4752" t="n">
        <v>0</v>
      </c>
      <c r="I4752" s="3" t="n">
        <v>52</v>
      </c>
      <c r="J4752" s="3" t="n">
        <v>10</v>
      </c>
      <c r="K4752" s="3" t="n">
        <v>42</v>
      </c>
      <c r="L4752" s="3" t="inlineStr">
        <is>
          <t>EXCELENTE</t>
        </is>
      </c>
      <c r="M4752" t="n">
        <v>13</v>
      </c>
      <c r="N4752" t="n">
        <v>100</v>
      </c>
      <c r="O4752" t="n">
        <v>13.46153846153846</v>
      </c>
    </row>
    <row r="4753">
      <c r="A4753" s="10" t="n">
        <v>46175</v>
      </c>
      <c r="B4753" t="inlineStr">
        <is>
          <t>Michelle G Santos</t>
        </is>
      </c>
      <c r="C4753" t="inlineStr">
        <is>
          <t>Estágio</t>
        </is>
      </c>
      <c r="D4753" t="n">
        <v>13</v>
      </c>
      <c r="E4753" t="n">
        <v>13</v>
      </c>
      <c r="F4753" t="n">
        <v>43.36</v>
      </c>
      <c r="G4753" t="n">
        <v>0</v>
      </c>
      <c r="H4753" t="n">
        <v>0</v>
      </c>
      <c r="I4753" s="3" t="n">
        <v>13</v>
      </c>
      <c r="J4753" s="3" t="n">
        <v>10</v>
      </c>
      <c r="K4753" s="3" t="n">
        <v>3</v>
      </c>
      <c r="L4753" s="3" t="inlineStr">
        <is>
          <t>BOM</t>
        </is>
      </c>
      <c r="M4753" t="n">
        <v>4</v>
      </c>
      <c r="N4753" t="n">
        <v>100</v>
      </c>
      <c r="O4753" t="n">
        <v>6.666666666666667</v>
      </c>
    </row>
    <row r="4754">
      <c r="A4754" s="10" t="n">
        <v>46175</v>
      </c>
      <c r="B4754" t="inlineStr">
        <is>
          <t>Milena Sales</t>
        </is>
      </c>
      <c r="C4754" t="inlineStr">
        <is>
          <t>JR</t>
        </is>
      </c>
      <c r="D4754" t="n">
        <v>0</v>
      </c>
      <c r="E4754" t="n">
        <v>0</v>
      </c>
      <c r="F4754" t="n">
        <v>0</v>
      </c>
      <c r="G4754" t="n">
        <v>0</v>
      </c>
      <c r="H4754" t="n">
        <v>0</v>
      </c>
      <c r="I4754" s="3" t="n">
        <v>0</v>
      </c>
      <c r="J4754" s="3" t="n">
        <v>0</v>
      </c>
      <c r="K4754" s="3" t="n">
        <v>0</v>
      </c>
      <c r="L4754" s="3" t="inlineStr">
        <is>
          <t>BOM</t>
        </is>
      </c>
      <c r="M4754" t="n">
        <v>0</v>
      </c>
      <c r="N4754" t="n">
        <v>100</v>
      </c>
      <c r="O4754" t="n">
        <v>2.857142857142857</v>
      </c>
    </row>
    <row r="4755">
      <c r="A4755" s="10" t="n">
        <v>46175</v>
      </c>
      <c r="B4755" t="inlineStr">
        <is>
          <t>Paulo Ricardo Santos</t>
        </is>
      </c>
      <c r="C4755" t="inlineStr">
        <is>
          <t>Técnico I</t>
        </is>
      </c>
      <c r="D4755" t="n">
        <v>13</v>
      </c>
      <c r="E4755" t="n">
        <v>13</v>
      </c>
      <c r="F4755" t="n">
        <v>19.17</v>
      </c>
      <c r="G4755" t="n">
        <v>1</v>
      </c>
      <c r="H4755" t="n">
        <v>0</v>
      </c>
      <c r="I4755" s="3" t="n">
        <v>14</v>
      </c>
      <c r="J4755" s="3" t="n">
        <v>22</v>
      </c>
      <c r="K4755" s="3" t="n">
        <v>-8</v>
      </c>
      <c r="L4755" s="3" t="inlineStr">
        <is>
          <t>CRÍTICO</t>
        </is>
      </c>
      <c r="M4755" t="n">
        <v>14</v>
      </c>
      <c r="N4755" t="n">
        <v>100</v>
      </c>
      <c r="O4755" t="n">
        <v>3.448275862068965</v>
      </c>
    </row>
    <row r="4756">
      <c r="A4756" s="10" t="n">
        <v>46175</v>
      </c>
      <c r="B4756" t="inlineStr">
        <is>
          <t>Pedro Luiz Mota Sousa</t>
        </is>
      </c>
      <c r="C4756" t="inlineStr">
        <is>
          <t>Técnico I</t>
        </is>
      </c>
      <c r="D4756" t="n">
        <v>23</v>
      </c>
      <c r="E4756" t="n">
        <v>23</v>
      </c>
      <c r="F4756" t="n">
        <v>15.49</v>
      </c>
      <c r="G4756" t="n">
        <v>6</v>
      </c>
      <c r="H4756" t="n">
        <v>0</v>
      </c>
      <c r="I4756" s="3" t="n">
        <v>29</v>
      </c>
      <c r="J4756" s="3" t="n">
        <v>22</v>
      </c>
      <c r="K4756" s="3" t="n">
        <v>7</v>
      </c>
      <c r="L4756" s="3" t="inlineStr">
        <is>
          <t>EXCELENTE</t>
        </is>
      </c>
      <c r="M4756" t="n">
        <v>29</v>
      </c>
      <c r="N4756" t="n">
        <v>100</v>
      </c>
      <c r="O4756" t="n">
        <v>7.84313725490196</v>
      </c>
    </row>
    <row r="4757">
      <c r="A4757" s="10" t="n">
        <v>46175</v>
      </c>
      <c r="B4757" t="inlineStr">
        <is>
          <t>Quirino Diogo Leite Torres</t>
        </is>
      </c>
      <c r="C4757" t="inlineStr">
        <is>
          <t>Estágio</t>
        </is>
      </c>
      <c r="D4757" t="n">
        <v>19</v>
      </c>
      <c r="E4757" t="n">
        <v>16</v>
      </c>
      <c r="F4757" t="n">
        <v>23.53</v>
      </c>
      <c r="G4757" t="n">
        <v>1</v>
      </c>
      <c r="H4757" t="n">
        <v>0</v>
      </c>
      <c r="I4757" s="3" t="n">
        <v>17</v>
      </c>
      <c r="J4757" s="3" t="n">
        <v>10</v>
      </c>
      <c r="K4757" s="3" t="n">
        <v>7</v>
      </c>
      <c r="L4757" s="3" t="inlineStr">
        <is>
          <t>EXCELENTE</t>
        </is>
      </c>
      <c r="M4757" t="n">
        <v>13</v>
      </c>
      <c r="N4757" t="n">
        <v>100</v>
      </c>
      <c r="O4757" t="n">
        <v>5.405405405405405</v>
      </c>
    </row>
    <row r="4758">
      <c r="A4758" s="10" t="n">
        <v>46175</v>
      </c>
      <c r="B4758" t="inlineStr">
        <is>
          <t>Alisson de Freitas Silva</t>
        </is>
      </c>
      <c r="C4758" t="inlineStr">
        <is>
          <t>Técnico II</t>
        </is>
      </c>
      <c r="D4758" t="n">
        <v>38</v>
      </c>
      <c r="E4758" t="n">
        <v>34</v>
      </c>
      <c r="F4758" t="n">
        <v>17.14</v>
      </c>
      <c r="G4758" t="n">
        <v>0</v>
      </c>
      <c r="H4758" t="n">
        <v>0</v>
      </c>
      <c r="I4758" s="3" t="n">
        <v>34</v>
      </c>
      <c r="J4758" s="3" t="n">
        <v>27</v>
      </c>
      <c r="K4758" s="3" t="n">
        <v>7</v>
      </c>
      <c r="L4758" s="3" t="inlineStr">
        <is>
          <t>EXCELENTE</t>
        </is>
      </c>
      <c r="M4758" t="n">
        <v>6</v>
      </c>
      <c r="N4758" t="n">
        <v>100</v>
      </c>
      <c r="O4758" t="n">
        <v>4.166666666666666</v>
      </c>
    </row>
    <row r="4759">
      <c r="A4759" s="10" t="n">
        <v>46175</v>
      </c>
      <c r="B4759" t="inlineStr">
        <is>
          <t>Amanda Moura Ferreira</t>
        </is>
      </c>
      <c r="C4759" t="inlineStr">
        <is>
          <t>Técnico III</t>
        </is>
      </c>
      <c r="D4759" t="n">
        <v>29</v>
      </c>
      <c r="E4759" t="n">
        <v>25</v>
      </c>
      <c r="F4759" t="n">
        <v>15.24</v>
      </c>
      <c r="G4759" t="n">
        <v>7</v>
      </c>
      <c r="H4759" t="n">
        <v>0</v>
      </c>
      <c r="I4759" s="3" t="n">
        <v>32</v>
      </c>
      <c r="J4759" s="3" t="n">
        <v>34</v>
      </c>
      <c r="K4759" s="3" t="n">
        <v>-2</v>
      </c>
      <c r="L4759" s="3" t="inlineStr">
        <is>
          <t>ATENÇÃO</t>
        </is>
      </c>
      <c r="M4759" t="n">
        <v>29</v>
      </c>
      <c r="N4759" t="n">
        <v>100</v>
      </c>
      <c r="O4759" t="n">
        <v>8.333333333333332</v>
      </c>
    </row>
    <row r="4760">
      <c r="A4760" s="10" t="n">
        <v>46175</v>
      </c>
      <c r="B4760" t="inlineStr">
        <is>
          <t>Ana Karollyne Souza Faria</t>
        </is>
      </c>
      <c r="C4760" t="inlineStr">
        <is>
          <t>Técnico I</t>
        </is>
      </c>
      <c r="D4760" t="n">
        <v>30</v>
      </c>
      <c r="E4760" t="n">
        <v>30</v>
      </c>
      <c r="F4760" t="n">
        <v>17.15</v>
      </c>
      <c r="G4760" t="n">
        <v>5</v>
      </c>
      <c r="H4760" t="n">
        <v>0</v>
      </c>
      <c r="I4760" s="3" t="n">
        <v>35</v>
      </c>
      <c r="J4760" s="3" t="n">
        <v>22</v>
      </c>
      <c r="K4760" s="3" t="n">
        <v>13</v>
      </c>
      <c r="L4760" s="3" t="inlineStr">
        <is>
          <t>EXCELENTE</t>
        </is>
      </c>
      <c r="M4760" t="n">
        <v>31</v>
      </c>
      <c r="N4760" t="n">
        <v>100</v>
      </c>
      <c r="O4760" t="n">
        <v>2.272727272727273</v>
      </c>
    </row>
    <row r="4761">
      <c r="A4761" s="10" t="n">
        <v>46175</v>
      </c>
      <c r="B4761" t="inlineStr">
        <is>
          <t>Ana Paula Da Luz Silva Aleixo</t>
        </is>
      </c>
      <c r="C4761" t="inlineStr">
        <is>
          <t>Técnico III</t>
        </is>
      </c>
      <c r="D4761" t="n">
        <v>28</v>
      </c>
      <c r="E4761" t="n">
        <v>28</v>
      </c>
      <c r="F4761" t="n">
        <v>17.16</v>
      </c>
      <c r="G4761" t="n">
        <v>5</v>
      </c>
      <c r="H4761" t="n">
        <v>0</v>
      </c>
      <c r="I4761" s="3" t="n">
        <v>33</v>
      </c>
      <c r="J4761" s="3" t="n">
        <v>34</v>
      </c>
      <c r="K4761" s="3" t="n">
        <v>-1</v>
      </c>
      <c r="L4761" s="3" t="inlineStr">
        <is>
          <t>ATENÇÃO</t>
        </is>
      </c>
      <c r="M4761" t="n">
        <v>29</v>
      </c>
      <c r="N4761" t="n">
        <v>100</v>
      </c>
      <c r="O4761" t="n">
        <v>6.329113924050633</v>
      </c>
    </row>
    <row r="4762">
      <c r="A4762" s="10" t="n">
        <v>46175</v>
      </c>
      <c r="B4762" t="inlineStr">
        <is>
          <t>Brenda de Menezes Silva</t>
        </is>
      </c>
      <c r="C4762" t="inlineStr">
        <is>
          <t>Técnico II</t>
        </is>
      </c>
      <c r="D4762" t="n">
        <v>34</v>
      </c>
      <c r="E4762" t="n">
        <v>28</v>
      </c>
      <c r="F4762" t="n">
        <v>17.3</v>
      </c>
      <c r="G4762" t="n">
        <v>3</v>
      </c>
      <c r="H4762" t="n">
        <v>0</v>
      </c>
      <c r="I4762" s="3" t="n">
        <v>31</v>
      </c>
      <c r="J4762" s="3" t="n">
        <v>27</v>
      </c>
      <c r="K4762" s="3" t="n">
        <v>4</v>
      </c>
      <c r="L4762" s="3" t="inlineStr">
        <is>
          <t>BOM</t>
        </is>
      </c>
      <c r="M4762" t="n">
        <v>32</v>
      </c>
      <c r="N4762" t="n">
        <v>100</v>
      </c>
      <c r="O4762" t="n">
        <v>10.67961165048544</v>
      </c>
    </row>
    <row r="4763">
      <c r="A4763" s="10" t="n">
        <v>46175</v>
      </c>
      <c r="B4763" t="inlineStr">
        <is>
          <t>Carlos Mateus Cassimiro Nunes</t>
        </is>
      </c>
      <c r="C4763" t="inlineStr">
        <is>
          <t>Técnico II</t>
        </is>
      </c>
      <c r="D4763" t="n">
        <v>41</v>
      </c>
      <c r="E4763" t="n">
        <v>41</v>
      </c>
      <c r="F4763" t="n">
        <v>13.53</v>
      </c>
      <c r="G4763" t="n">
        <v>4</v>
      </c>
      <c r="H4763" t="n">
        <v>0</v>
      </c>
      <c r="I4763" s="3" t="n">
        <v>45</v>
      </c>
      <c r="J4763" s="3" t="n">
        <v>27</v>
      </c>
      <c r="K4763" s="3" t="n">
        <v>18</v>
      </c>
      <c r="L4763" s="3" t="inlineStr">
        <is>
          <t>EXCELENTE</t>
        </is>
      </c>
      <c r="M4763" t="n">
        <v>34</v>
      </c>
      <c r="N4763" t="n">
        <v>100</v>
      </c>
      <c r="O4763" t="n">
        <v>7.59493670886076</v>
      </c>
    </row>
    <row r="4764">
      <c r="A4764" s="10" t="n">
        <v>46175</v>
      </c>
      <c r="B4764" t="inlineStr">
        <is>
          <t>Clessiane Pereira dos Santos</t>
        </is>
      </c>
      <c r="C4764" t="inlineStr">
        <is>
          <t>Técnico I</t>
        </is>
      </c>
      <c r="D4764" t="n">
        <v>22</v>
      </c>
      <c r="E4764" t="n">
        <v>20</v>
      </c>
      <c r="F4764" t="n">
        <v>18.31</v>
      </c>
      <c r="G4764" t="n">
        <v>5</v>
      </c>
      <c r="H4764" t="n">
        <v>0</v>
      </c>
      <c r="I4764" s="3" t="n">
        <v>25</v>
      </c>
      <c r="J4764" s="3" t="n">
        <v>22</v>
      </c>
      <c r="K4764" s="3" t="n">
        <v>3</v>
      </c>
      <c r="L4764" s="3" t="inlineStr">
        <is>
          <t>BOM</t>
        </is>
      </c>
      <c r="M4764" t="n">
        <v>20</v>
      </c>
      <c r="N4764" t="n">
        <v>100</v>
      </c>
      <c r="O4764" t="n">
        <v>16.66666666666666</v>
      </c>
    </row>
    <row r="4765">
      <c r="A4765" s="10" t="n">
        <v>46175</v>
      </c>
      <c r="B4765" t="inlineStr">
        <is>
          <t>Cristiane Ramos da Silva Rocha</t>
        </is>
      </c>
      <c r="C4765" t="inlineStr">
        <is>
          <t>Técnico III</t>
        </is>
      </c>
      <c r="D4765" t="n">
        <v>48</v>
      </c>
      <c r="E4765" t="n">
        <v>47</v>
      </c>
      <c r="F4765" t="n">
        <v>11.5</v>
      </c>
      <c r="G4765" t="n">
        <v>6</v>
      </c>
      <c r="H4765" t="n">
        <v>0</v>
      </c>
      <c r="I4765" s="3" t="n">
        <v>53</v>
      </c>
      <c r="J4765" s="3" t="n">
        <v>34</v>
      </c>
      <c r="K4765" s="3" t="n">
        <v>19</v>
      </c>
      <c r="L4765" s="3" t="inlineStr">
        <is>
          <t>EXCELENTE</t>
        </is>
      </c>
      <c r="M4765" t="n">
        <v>44</v>
      </c>
      <c r="N4765" t="n">
        <v>85.70999999999999</v>
      </c>
      <c r="O4765" t="n">
        <v>11.32075471698113</v>
      </c>
    </row>
    <row r="4766">
      <c r="A4766" s="10" t="n">
        <v>46175</v>
      </c>
      <c r="B4766" t="inlineStr">
        <is>
          <t>Damyllis Lorraine de Oliveira Gonçalves</t>
        </is>
      </c>
      <c r="C4766" t="inlineStr">
        <is>
          <t>Técnico II</t>
        </is>
      </c>
      <c r="D4766" t="n">
        <v>37</v>
      </c>
      <c r="E4766" t="n">
        <v>32</v>
      </c>
      <c r="F4766" t="n">
        <v>15.03</v>
      </c>
      <c r="G4766" t="n">
        <v>1</v>
      </c>
      <c r="H4766" t="n">
        <v>0</v>
      </c>
      <c r="I4766" s="3" t="n">
        <v>33</v>
      </c>
      <c r="J4766" s="3" t="n">
        <v>27</v>
      </c>
      <c r="K4766" s="3" t="n">
        <v>6</v>
      </c>
      <c r="L4766" s="3" t="inlineStr">
        <is>
          <t>EXCELENTE</t>
        </is>
      </c>
      <c r="M4766" t="n">
        <v>28</v>
      </c>
      <c r="N4766" t="n">
        <v>0</v>
      </c>
      <c r="O4766" t="n">
        <v>0</v>
      </c>
    </row>
    <row r="4767">
      <c r="A4767" s="10" t="n">
        <v>46175</v>
      </c>
      <c r="B4767" t="inlineStr">
        <is>
          <t>Daniel Gomes da Silva</t>
        </is>
      </c>
      <c r="C4767" t="inlineStr">
        <is>
          <t>Técnico I</t>
        </is>
      </c>
      <c r="D4767" t="n">
        <v>16</v>
      </c>
      <c r="E4767" t="n">
        <v>16</v>
      </c>
      <c r="F4767" t="n">
        <v>20.33</v>
      </c>
      <c r="G4767" t="n">
        <v>5</v>
      </c>
      <c r="H4767" t="n">
        <v>0</v>
      </c>
      <c r="I4767" s="3" t="n">
        <v>21</v>
      </c>
      <c r="J4767" s="3" t="n">
        <v>22</v>
      </c>
      <c r="K4767" s="3" t="n">
        <v>-1</v>
      </c>
      <c r="L4767" s="3" t="inlineStr">
        <is>
          <t>ATENÇÃO</t>
        </is>
      </c>
      <c r="M4767" t="n">
        <v>17</v>
      </c>
      <c r="N4767" t="n">
        <v>100</v>
      </c>
      <c r="O4767" t="n">
        <v>9.523809523809524</v>
      </c>
    </row>
    <row r="4768">
      <c r="A4768" s="10" t="n">
        <v>46175</v>
      </c>
      <c r="B4768" t="inlineStr">
        <is>
          <t>Davylla Rodrigues Freitas Silva</t>
        </is>
      </c>
      <c r="C4768" t="inlineStr">
        <is>
          <t>Técnico III</t>
        </is>
      </c>
      <c r="D4768" t="n">
        <v>21</v>
      </c>
      <c r="E4768" t="n">
        <v>21</v>
      </c>
      <c r="F4768" t="n">
        <v>27.28</v>
      </c>
      <c r="G4768" t="n">
        <v>6</v>
      </c>
      <c r="H4768" t="n">
        <v>0</v>
      </c>
      <c r="I4768" s="3" t="n">
        <v>27</v>
      </c>
      <c r="J4768" s="3" t="n">
        <v>34</v>
      </c>
      <c r="K4768" s="3" t="n">
        <v>-7</v>
      </c>
      <c r="L4768" s="3" t="inlineStr">
        <is>
          <t>CRÍTICO</t>
        </is>
      </c>
      <c r="M4768" t="n">
        <v>27</v>
      </c>
      <c r="N4768" t="n">
        <v>100</v>
      </c>
      <c r="O4768" t="n">
        <v>18.51851851851852</v>
      </c>
    </row>
    <row r="4769">
      <c r="A4769" s="10" t="n">
        <v>46175</v>
      </c>
      <c r="B4769" t="inlineStr">
        <is>
          <t>Emilly Kamilly Medeiros Miranda</t>
        </is>
      </c>
      <c r="C4769" t="inlineStr">
        <is>
          <t>Técnico II</t>
        </is>
      </c>
      <c r="D4769" t="n">
        <v>26</v>
      </c>
      <c r="E4769" t="n">
        <v>25</v>
      </c>
      <c r="F4769" t="n">
        <v>15.07</v>
      </c>
      <c r="G4769" t="n">
        <v>6</v>
      </c>
      <c r="H4769" t="n">
        <v>0</v>
      </c>
      <c r="I4769" s="3" t="n">
        <v>31</v>
      </c>
      <c r="J4769" s="3" t="n">
        <v>27</v>
      </c>
      <c r="K4769" s="3" t="n">
        <v>4</v>
      </c>
      <c r="L4769" s="3" t="inlineStr">
        <is>
          <t>BOM</t>
        </is>
      </c>
      <c r="M4769" t="n">
        <v>22</v>
      </c>
      <c r="N4769" t="n">
        <v>100</v>
      </c>
      <c r="O4769" t="n">
        <v>3.508771929824561</v>
      </c>
    </row>
    <row r="4770">
      <c r="A4770" s="10" t="n">
        <v>46175</v>
      </c>
      <c r="B4770" t="inlineStr">
        <is>
          <t>Francielson de Oliveira</t>
        </is>
      </c>
      <c r="C4770" t="inlineStr">
        <is>
          <t>Técnico III</t>
        </is>
      </c>
      <c r="D4770" t="n">
        <v>31</v>
      </c>
      <c r="E4770" t="n">
        <v>31</v>
      </c>
      <c r="F4770" t="n">
        <v>14.02</v>
      </c>
      <c r="G4770" t="n">
        <v>4</v>
      </c>
      <c r="H4770" t="n">
        <v>0</v>
      </c>
      <c r="I4770" s="3" t="n">
        <v>35</v>
      </c>
      <c r="J4770" s="3" t="n">
        <v>34</v>
      </c>
      <c r="K4770" s="3" t="n">
        <v>1</v>
      </c>
      <c r="L4770" s="3" t="inlineStr">
        <is>
          <t>BOM</t>
        </is>
      </c>
      <c r="M4770" t="n">
        <v>35</v>
      </c>
      <c r="N4770" t="n">
        <v>100</v>
      </c>
      <c r="O4770" t="n">
        <v>2.941176470588235</v>
      </c>
    </row>
    <row r="4771">
      <c r="A4771" s="10" t="n">
        <v>46175</v>
      </c>
      <c r="B4771" t="inlineStr">
        <is>
          <t>Francilene Ferreira de Jesus</t>
        </is>
      </c>
      <c r="C4771" t="inlineStr">
        <is>
          <t>Técnico II</t>
        </is>
      </c>
      <c r="D4771" t="n">
        <v>0</v>
      </c>
      <c r="E4771" t="n">
        <v>0</v>
      </c>
      <c r="F4771" t="n">
        <v>0</v>
      </c>
      <c r="G4771" t="n">
        <v>0</v>
      </c>
      <c r="H4771" t="n">
        <v>0</v>
      </c>
      <c r="I4771" s="3" t="n">
        <v>0</v>
      </c>
      <c r="J4771" s="3" t="n">
        <v>0</v>
      </c>
      <c r="K4771" s="3" t="n">
        <v>0</v>
      </c>
      <c r="L4771" s="3" t="inlineStr">
        <is>
          <t>BOM</t>
        </is>
      </c>
      <c r="M4771" t="n">
        <v>0</v>
      </c>
      <c r="N4771" t="n">
        <v>0</v>
      </c>
      <c r="O4771" t="n">
        <v>0</v>
      </c>
    </row>
    <row r="4772">
      <c r="A4772" s="10" t="n">
        <v>46175</v>
      </c>
      <c r="B4772" t="inlineStr">
        <is>
          <t>Gabriel Gomes de Andrade</t>
        </is>
      </c>
      <c r="C4772" t="inlineStr">
        <is>
          <t>Técnico I</t>
        </is>
      </c>
      <c r="D4772" t="n">
        <v>15</v>
      </c>
      <c r="E4772" t="n">
        <v>15</v>
      </c>
      <c r="F4772" t="n">
        <v>20.12</v>
      </c>
      <c r="G4772" t="n">
        <v>0</v>
      </c>
      <c r="H4772" t="n">
        <v>0</v>
      </c>
      <c r="I4772" s="3" t="n">
        <v>15</v>
      </c>
      <c r="J4772" s="3" t="n">
        <v>22</v>
      </c>
      <c r="K4772" s="3" t="n">
        <v>-7</v>
      </c>
      <c r="L4772" s="3" t="inlineStr">
        <is>
          <t>CRÍTICO</t>
        </is>
      </c>
      <c r="M4772" t="n">
        <v>23</v>
      </c>
      <c r="N4772" t="n">
        <v>100</v>
      </c>
      <c r="O4772" t="n">
        <v>13.63636363636363</v>
      </c>
    </row>
    <row r="4773">
      <c r="A4773" s="10" t="n">
        <v>46175</v>
      </c>
      <c r="B4773" t="inlineStr">
        <is>
          <t>Isabella Borges de Oliveira</t>
        </is>
      </c>
      <c r="C4773" t="inlineStr">
        <is>
          <t>Técnico II</t>
        </is>
      </c>
      <c r="D4773" t="n">
        <v>36</v>
      </c>
      <c r="E4773" t="n">
        <v>34</v>
      </c>
      <c r="F4773" t="n">
        <v>16.4</v>
      </c>
      <c r="G4773" t="n">
        <v>2</v>
      </c>
      <c r="H4773" t="n">
        <v>0</v>
      </c>
      <c r="I4773" s="3" t="n">
        <v>36</v>
      </c>
      <c r="J4773" s="3" t="n">
        <v>27</v>
      </c>
      <c r="K4773" s="3" t="n">
        <v>9</v>
      </c>
      <c r="L4773" s="3" t="inlineStr">
        <is>
          <t>EXCELENTE</t>
        </is>
      </c>
      <c r="M4773" t="n">
        <v>33</v>
      </c>
      <c r="N4773" t="n">
        <v>100</v>
      </c>
      <c r="O4773" t="n">
        <v>6.666666666666667</v>
      </c>
    </row>
    <row r="4774">
      <c r="A4774" s="10" t="n">
        <v>46175</v>
      </c>
      <c r="B4774" t="inlineStr">
        <is>
          <t>Janaina Lima dos Reis Urany</t>
        </is>
      </c>
      <c r="C4774" t="inlineStr">
        <is>
          <t>Técnico III</t>
        </is>
      </c>
      <c r="D4774" t="n">
        <v>0</v>
      </c>
      <c r="E4774" t="n">
        <v>0</v>
      </c>
      <c r="F4774" t="n">
        <v>0</v>
      </c>
      <c r="G4774" t="n">
        <v>0</v>
      </c>
      <c r="H4774" t="n">
        <v>0</v>
      </c>
      <c r="I4774" s="3" t="n">
        <v>0</v>
      </c>
      <c r="J4774" s="3" t="n">
        <v>0</v>
      </c>
      <c r="K4774" s="3" t="n">
        <v>0</v>
      </c>
      <c r="L4774" s="3" t="inlineStr">
        <is>
          <t>BOM</t>
        </is>
      </c>
      <c r="M4774" t="n">
        <v>0</v>
      </c>
      <c r="N4774" t="n">
        <v>100</v>
      </c>
      <c r="O4774" t="n">
        <v>0</v>
      </c>
    </row>
    <row r="4775">
      <c r="A4775" s="10" t="n">
        <v>46175</v>
      </c>
      <c r="B4775" t="inlineStr">
        <is>
          <t>Jaqueline Evangelista da Silva Martins</t>
        </is>
      </c>
      <c r="C4775" t="inlineStr">
        <is>
          <t>Técnico III</t>
        </is>
      </c>
      <c r="D4775" t="n">
        <v>49</v>
      </c>
      <c r="E4775" t="n">
        <v>48</v>
      </c>
      <c r="F4775" t="n">
        <v>10.11</v>
      </c>
      <c r="G4775" t="n">
        <v>7</v>
      </c>
      <c r="H4775" t="n">
        <v>0</v>
      </c>
      <c r="I4775" s="3" t="n">
        <v>55</v>
      </c>
      <c r="J4775" s="3" t="n">
        <v>34</v>
      </c>
      <c r="K4775" s="3" t="n">
        <v>21</v>
      </c>
      <c r="L4775" s="3" t="inlineStr">
        <is>
          <t>EXCELENTE</t>
        </is>
      </c>
      <c r="M4775" t="n">
        <v>45</v>
      </c>
      <c r="N4775" t="n">
        <v>100</v>
      </c>
      <c r="O4775" t="n">
        <v>2.325581395348837</v>
      </c>
    </row>
    <row r="4776">
      <c r="A4776" s="10" t="n">
        <v>46175</v>
      </c>
      <c r="B4776" t="inlineStr">
        <is>
          <t>Jessica Faria da Silveira</t>
        </is>
      </c>
      <c r="C4776" t="inlineStr">
        <is>
          <t>Técnico II</t>
        </is>
      </c>
      <c r="D4776" t="n">
        <v>0</v>
      </c>
      <c r="E4776" t="n">
        <v>0</v>
      </c>
      <c r="F4776" t="n">
        <v>0</v>
      </c>
      <c r="G4776" t="n">
        <v>0</v>
      </c>
      <c r="H4776" t="n">
        <v>0</v>
      </c>
      <c r="I4776" s="3" t="n">
        <v>0</v>
      </c>
      <c r="J4776" s="3" t="n">
        <v>0</v>
      </c>
      <c r="K4776" s="3" t="n">
        <v>0</v>
      </c>
      <c r="L4776" s="3" t="inlineStr">
        <is>
          <t>BOM</t>
        </is>
      </c>
      <c r="M4776" t="n">
        <v>0</v>
      </c>
      <c r="N4776" t="n">
        <v>100</v>
      </c>
      <c r="O4776" t="n">
        <v>0</v>
      </c>
    </row>
    <row r="4777">
      <c r="A4777" s="10" t="n">
        <v>46175</v>
      </c>
      <c r="B4777" t="inlineStr">
        <is>
          <t>Jéssica Fé Moura</t>
        </is>
      </c>
      <c r="C4777" t="inlineStr">
        <is>
          <t>Técnico III</t>
        </is>
      </c>
      <c r="D4777" t="n">
        <v>0</v>
      </c>
      <c r="E4777" t="n">
        <v>0</v>
      </c>
      <c r="F4777" t="n">
        <v>0</v>
      </c>
      <c r="G4777" t="n">
        <v>0</v>
      </c>
      <c r="H4777" t="n">
        <v>0</v>
      </c>
      <c r="I4777" s="3" t="n">
        <v>0</v>
      </c>
      <c r="J4777" s="3" t="n">
        <v>0</v>
      </c>
      <c r="K4777" s="3" t="n">
        <v>0</v>
      </c>
      <c r="L4777" s="3" t="inlineStr">
        <is>
          <t>BOM</t>
        </is>
      </c>
      <c r="M4777" t="n">
        <v>0</v>
      </c>
      <c r="N4777" t="n">
        <v>0</v>
      </c>
      <c r="O4777" t="n">
        <v>0</v>
      </c>
    </row>
    <row r="4778">
      <c r="A4778" s="10" t="n">
        <v>46175</v>
      </c>
      <c r="B4778" t="inlineStr">
        <is>
          <t>Kerollen Cristielly de Jesus Siqueira</t>
        </is>
      </c>
      <c r="C4778" t="inlineStr">
        <is>
          <t>Técnico III</t>
        </is>
      </c>
      <c r="D4778" t="n">
        <v>0</v>
      </c>
      <c r="E4778" t="n">
        <v>0</v>
      </c>
      <c r="F4778" t="n">
        <v>0</v>
      </c>
      <c r="G4778" t="n">
        <v>0</v>
      </c>
      <c r="H4778" t="n">
        <v>0</v>
      </c>
      <c r="I4778" s="3" t="n">
        <v>0</v>
      </c>
      <c r="J4778" s="3" t="n">
        <v>0</v>
      </c>
      <c r="K4778" s="3" t="n">
        <v>0</v>
      </c>
      <c r="L4778" s="3" t="inlineStr">
        <is>
          <t>BOM</t>
        </is>
      </c>
      <c r="M4778" t="n">
        <v>0</v>
      </c>
      <c r="N4778" t="n">
        <v>100</v>
      </c>
      <c r="O4778" t="n">
        <v>0</v>
      </c>
    </row>
    <row r="4779">
      <c r="A4779" s="10" t="n">
        <v>46175</v>
      </c>
      <c r="B4779" t="inlineStr">
        <is>
          <t>Leandro Oliveira de Sousa</t>
        </is>
      </c>
      <c r="C4779" t="inlineStr">
        <is>
          <t>Técnico III</t>
        </is>
      </c>
      <c r="D4779" t="n">
        <v>37</v>
      </c>
      <c r="E4779" t="n">
        <v>37</v>
      </c>
      <c r="F4779" t="n">
        <v>13.46</v>
      </c>
      <c r="G4779" t="n">
        <v>4</v>
      </c>
      <c r="H4779" t="n">
        <v>0</v>
      </c>
      <c r="I4779" s="3" t="n">
        <v>41</v>
      </c>
      <c r="J4779" s="3" t="n">
        <v>34</v>
      </c>
      <c r="K4779" s="3" t="n">
        <v>7</v>
      </c>
      <c r="L4779" s="3" t="inlineStr">
        <is>
          <t>EXCELENTE</t>
        </is>
      </c>
      <c r="M4779" t="n">
        <v>38</v>
      </c>
      <c r="N4779" t="n">
        <v>100</v>
      </c>
      <c r="O4779" t="n">
        <v>5.555555555555555</v>
      </c>
    </row>
    <row r="4780">
      <c r="A4780" s="10" t="n">
        <v>46175</v>
      </c>
      <c r="B4780" t="inlineStr">
        <is>
          <t>Lizandra Gomes Duarte</t>
        </is>
      </c>
      <c r="C4780" t="inlineStr">
        <is>
          <t>Técnico II</t>
        </is>
      </c>
      <c r="D4780" t="n">
        <v>27</v>
      </c>
      <c r="E4780" t="n">
        <v>22</v>
      </c>
      <c r="F4780" t="n">
        <v>21.52</v>
      </c>
      <c r="G4780" t="n">
        <v>4</v>
      </c>
      <c r="H4780" t="n">
        <v>0</v>
      </c>
      <c r="I4780" s="3" t="n">
        <v>26</v>
      </c>
      <c r="J4780" s="3" t="n">
        <v>27</v>
      </c>
      <c r="K4780" s="3" t="n">
        <v>-1</v>
      </c>
      <c r="L4780" s="3" t="inlineStr">
        <is>
          <t>ATENÇÃO</t>
        </is>
      </c>
      <c r="M4780" t="n">
        <v>8</v>
      </c>
      <c r="N4780" t="n">
        <v>100</v>
      </c>
      <c r="O4780" t="n">
        <v>4.545454545454546</v>
      </c>
    </row>
    <row r="4781">
      <c r="A4781" s="10" t="n">
        <v>46175</v>
      </c>
      <c r="B4781" t="inlineStr">
        <is>
          <t>Lorena Dias de Araujo</t>
        </is>
      </c>
      <c r="C4781" t="inlineStr">
        <is>
          <t>Técnico II</t>
        </is>
      </c>
      <c r="D4781" t="n">
        <v>0</v>
      </c>
      <c r="E4781" t="n">
        <v>0</v>
      </c>
      <c r="F4781" t="n">
        <v>0</v>
      </c>
      <c r="G4781" t="n">
        <v>0</v>
      </c>
      <c r="H4781" t="n">
        <v>0</v>
      </c>
      <c r="I4781" s="3" t="n">
        <v>0</v>
      </c>
      <c r="J4781" s="3" t="n">
        <v>0</v>
      </c>
      <c r="K4781" s="3" t="n">
        <v>0</v>
      </c>
      <c r="L4781" s="3" t="inlineStr">
        <is>
          <t>BOM</t>
        </is>
      </c>
      <c r="M4781" t="n">
        <v>0</v>
      </c>
      <c r="N4781" t="n">
        <v>100</v>
      </c>
      <c r="O4781" t="n">
        <v>15.78947368421053</v>
      </c>
    </row>
    <row r="4782">
      <c r="A4782" s="10" t="n">
        <v>46175</v>
      </c>
      <c r="B4782" t="inlineStr">
        <is>
          <t>Lucas Luiz Romero</t>
        </is>
      </c>
      <c r="C4782" t="inlineStr">
        <is>
          <t>Técnico III</t>
        </is>
      </c>
      <c r="D4782" t="n">
        <v>0</v>
      </c>
      <c r="E4782" t="n">
        <v>0</v>
      </c>
      <c r="F4782" t="n">
        <v>0</v>
      </c>
      <c r="G4782" t="n">
        <v>0</v>
      </c>
      <c r="H4782" t="n">
        <v>0</v>
      </c>
      <c r="I4782" s="3" t="n">
        <v>0</v>
      </c>
      <c r="J4782" s="3" t="n">
        <v>0</v>
      </c>
      <c r="K4782" s="3" t="n">
        <v>0</v>
      </c>
      <c r="L4782" s="3" t="inlineStr">
        <is>
          <t>BOM</t>
        </is>
      </c>
      <c r="M4782" t="n">
        <v>14</v>
      </c>
      <c r="N4782" t="n">
        <v>72.73</v>
      </c>
      <c r="O4782" t="n">
        <v>13.33333333333333</v>
      </c>
    </row>
    <row r="4783">
      <c r="A4783" s="10" t="n">
        <v>46175</v>
      </c>
      <c r="B4783" t="inlineStr">
        <is>
          <t>Luiz Fernando de Carvalho Junior</t>
        </is>
      </c>
      <c r="C4783" t="inlineStr">
        <is>
          <t>Técnico I</t>
        </is>
      </c>
      <c r="D4783" t="n">
        <v>23</v>
      </c>
      <c r="E4783" t="n">
        <v>20</v>
      </c>
      <c r="F4783" t="n">
        <v>15.42</v>
      </c>
      <c r="G4783" t="n">
        <v>0</v>
      </c>
      <c r="H4783" t="n">
        <v>0</v>
      </c>
      <c r="I4783" s="3" t="n">
        <v>20</v>
      </c>
      <c r="J4783" s="3" t="n">
        <v>22</v>
      </c>
      <c r="K4783" s="3" t="n">
        <v>-2</v>
      </c>
      <c r="L4783" s="3" t="inlineStr">
        <is>
          <t>ATENÇÃO</t>
        </is>
      </c>
      <c r="M4783" t="n">
        <v>26</v>
      </c>
      <c r="N4783" t="n">
        <v>100</v>
      </c>
      <c r="O4783" t="n">
        <v>1.96078431372549</v>
      </c>
    </row>
    <row r="4784">
      <c r="A4784" s="10" t="n">
        <v>46175</v>
      </c>
      <c r="B4784" t="inlineStr">
        <is>
          <t>Matheus Farias De Souza</t>
        </is>
      </c>
      <c r="C4784" t="inlineStr">
        <is>
          <t>Técnico III</t>
        </is>
      </c>
      <c r="D4784" t="n">
        <v>0</v>
      </c>
      <c r="E4784" t="n">
        <v>0</v>
      </c>
      <c r="F4784" t="n">
        <v>0</v>
      </c>
      <c r="G4784" t="n">
        <v>0</v>
      </c>
      <c r="H4784" t="n">
        <v>0</v>
      </c>
      <c r="I4784" s="3" t="n">
        <v>0</v>
      </c>
      <c r="J4784" s="3" t="n">
        <v>0</v>
      </c>
      <c r="K4784" s="3" t="n">
        <v>0</v>
      </c>
      <c r="L4784" s="3" t="inlineStr">
        <is>
          <t>BOM</t>
        </is>
      </c>
      <c r="M4784" t="n">
        <v>10</v>
      </c>
      <c r="N4784" t="n">
        <v>0</v>
      </c>
      <c r="O4784" t="n">
        <v>0</v>
      </c>
    </row>
    <row r="4785">
      <c r="A4785" s="10" t="n">
        <v>46175</v>
      </c>
      <c r="B4785" t="inlineStr">
        <is>
          <t>Maysa Victoria Dias Moura</t>
        </is>
      </c>
      <c r="C4785" t="inlineStr">
        <is>
          <t>Técnico III</t>
        </is>
      </c>
      <c r="D4785" t="n">
        <v>34</v>
      </c>
      <c r="E4785" t="n">
        <v>32</v>
      </c>
      <c r="F4785" t="n">
        <v>14.02</v>
      </c>
      <c r="G4785" t="n">
        <v>8</v>
      </c>
      <c r="H4785" t="n">
        <v>0</v>
      </c>
      <c r="I4785" s="3" t="n">
        <v>40</v>
      </c>
      <c r="J4785" s="3" t="n">
        <v>34</v>
      </c>
      <c r="K4785" s="3" t="n">
        <v>6</v>
      </c>
      <c r="L4785" s="3" t="inlineStr">
        <is>
          <t>EXCELENTE</t>
        </is>
      </c>
      <c r="M4785" t="n">
        <v>24</v>
      </c>
      <c r="N4785" t="n">
        <v>90</v>
      </c>
      <c r="O4785" t="n">
        <v>10</v>
      </c>
    </row>
    <row r="4786">
      <c r="A4786" s="10" t="n">
        <v>46175</v>
      </c>
      <c r="B4786" t="inlineStr">
        <is>
          <t>Patrícia Karla de Sousa Araújo</t>
        </is>
      </c>
      <c r="C4786" t="inlineStr">
        <is>
          <t>Técnico II</t>
        </is>
      </c>
      <c r="D4786" t="n">
        <v>0</v>
      </c>
      <c r="E4786" t="n">
        <v>0</v>
      </c>
      <c r="F4786" t="n">
        <v>0</v>
      </c>
      <c r="G4786" t="n">
        <v>0</v>
      </c>
      <c r="H4786" t="n">
        <v>0</v>
      </c>
      <c r="I4786" s="3" t="n">
        <v>0</v>
      </c>
      <c r="J4786" s="3" t="n">
        <v>0</v>
      </c>
      <c r="K4786" s="3" t="n">
        <v>0</v>
      </c>
      <c r="L4786" s="3" t="inlineStr">
        <is>
          <t>BOM</t>
        </is>
      </c>
      <c r="M4786" t="n">
        <v>0</v>
      </c>
      <c r="N4786" t="n">
        <v>100</v>
      </c>
      <c r="O4786" t="n">
        <v>0</v>
      </c>
    </row>
    <row r="4787">
      <c r="A4787" s="10" t="n">
        <v>46175</v>
      </c>
      <c r="B4787" t="inlineStr">
        <is>
          <t>Raane Batista Matos</t>
        </is>
      </c>
      <c r="C4787" t="inlineStr">
        <is>
          <t>Técnico I</t>
        </is>
      </c>
      <c r="D4787" t="n">
        <v>30</v>
      </c>
      <c r="E4787" t="n">
        <v>28</v>
      </c>
      <c r="F4787" t="n">
        <v>17.38</v>
      </c>
      <c r="G4787" t="n">
        <v>7</v>
      </c>
      <c r="H4787" t="n">
        <v>0</v>
      </c>
      <c r="I4787" s="3" t="n">
        <v>35</v>
      </c>
      <c r="J4787" s="3" t="n">
        <v>22</v>
      </c>
      <c r="K4787" s="3" t="n">
        <v>13</v>
      </c>
      <c r="L4787" s="3" t="inlineStr">
        <is>
          <t>EXCELENTE</t>
        </is>
      </c>
      <c r="M4787" t="n">
        <v>17</v>
      </c>
      <c r="N4787" t="n">
        <v>88.89</v>
      </c>
      <c r="O4787" t="n">
        <v>4.25531914893617</v>
      </c>
    </row>
    <row r="4788">
      <c r="A4788" s="10" t="n">
        <v>46175</v>
      </c>
      <c r="B4788" t="inlineStr">
        <is>
          <t>Rafael Gomes de Morais</t>
        </is>
      </c>
      <c r="C4788" t="inlineStr">
        <is>
          <t>Técnico III</t>
        </is>
      </c>
      <c r="D4788" t="n">
        <v>48</v>
      </c>
      <c r="E4788" t="n">
        <v>44</v>
      </c>
      <c r="F4788" t="n">
        <v>12.01</v>
      </c>
      <c r="G4788" t="n">
        <v>6</v>
      </c>
      <c r="H4788" t="n">
        <v>0</v>
      </c>
      <c r="I4788" s="3" t="n">
        <v>50</v>
      </c>
      <c r="J4788" s="3" t="n">
        <v>34</v>
      </c>
      <c r="K4788" s="3" t="n">
        <v>16</v>
      </c>
      <c r="L4788" s="3" t="inlineStr">
        <is>
          <t>EXCELENTE</t>
        </is>
      </c>
      <c r="M4788" t="n">
        <v>48</v>
      </c>
      <c r="N4788" t="n">
        <v>100</v>
      </c>
      <c r="O4788" t="n">
        <v>10.43478260869565</v>
      </c>
    </row>
    <row r="4789">
      <c r="A4789" s="10" t="n">
        <v>46175</v>
      </c>
      <c r="B4789" t="inlineStr">
        <is>
          <t>Sara Maria Monteiro Lopes</t>
        </is>
      </c>
      <c r="C4789" t="inlineStr">
        <is>
          <t>Técnico I</t>
        </is>
      </c>
      <c r="D4789" t="n">
        <v>27</v>
      </c>
      <c r="E4789" t="n">
        <v>26</v>
      </c>
      <c r="F4789" t="n">
        <v>20.29</v>
      </c>
      <c r="G4789" t="n">
        <v>7</v>
      </c>
      <c r="H4789" t="n">
        <v>0</v>
      </c>
      <c r="I4789" s="3" t="n">
        <v>33</v>
      </c>
      <c r="J4789" s="3" t="n">
        <v>22</v>
      </c>
      <c r="K4789" s="3" t="n">
        <v>11</v>
      </c>
      <c r="L4789" s="3" t="inlineStr">
        <is>
          <t>EXCELENTE</t>
        </is>
      </c>
      <c r="M4789" t="n">
        <v>19</v>
      </c>
      <c r="N4789" t="n">
        <v>100</v>
      </c>
      <c r="O4789" t="n">
        <v>3.225806451612903</v>
      </c>
    </row>
    <row r="4790">
      <c r="A4790" s="10" t="n">
        <v>46175</v>
      </c>
      <c r="B4790" t="inlineStr">
        <is>
          <t>Sarah Steffanie de Lima Borges</t>
        </is>
      </c>
      <c r="C4790" t="inlineStr">
        <is>
          <t>Técnico III</t>
        </is>
      </c>
      <c r="D4790" t="n">
        <v>0</v>
      </c>
      <c r="E4790" t="n">
        <v>0</v>
      </c>
      <c r="F4790" t="n">
        <v>0</v>
      </c>
      <c r="G4790" t="n">
        <v>0</v>
      </c>
      <c r="H4790" t="n">
        <v>0</v>
      </c>
      <c r="I4790" s="3" t="n">
        <v>0</v>
      </c>
      <c r="J4790" s="3" t="n">
        <v>0</v>
      </c>
      <c r="K4790" s="3" t="n">
        <v>0</v>
      </c>
      <c r="L4790" s="3" t="inlineStr">
        <is>
          <t>BOM</t>
        </is>
      </c>
      <c r="M4790" t="n">
        <v>0</v>
      </c>
      <c r="N4790" t="n">
        <v>100</v>
      </c>
      <c r="O4790" t="n">
        <v>0</v>
      </c>
    </row>
    <row r="4791">
      <c r="A4791" s="10" t="n">
        <v>46176</v>
      </c>
      <c r="B4791" t="inlineStr">
        <is>
          <t>Anna Luiza Rezende Tavares</t>
        </is>
      </c>
      <c r="C4791" t="inlineStr">
        <is>
          <t>JR</t>
        </is>
      </c>
      <c r="D4791" t="n">
        <v>34</v>
      </c>
      <c r="E4791" t="n">
        <v>31</v>
      </c>
      <c r="F4791" t="n">
        <v>18.51</v>
      </c>
      <c r="G4791" t="n">
        <v>1</v>
      </c>
      <c r="H4791" t="n">
        <v>0</v>
      </c>
      <c r="I4791" s="3" t="n">
        <v>32</v>
      </c>
      <c r="J4791" s="3" t="n">
        <v>19</v>
      </c>
      <c r="K4791" s="3" t="n">
        <v>13</v>
      </c>
      <c r="L4791" s="3" t="inlineStr">
        <is>
          <t>EXCELENTE</t>
        </is>
      </c>
      <c r="M4791" t="n">
        <v>35</v>
      </c>
      <c r="N4791" t="n">
        <v>100</v>
      </c>
      <c r="O4791" t="n">
        <v>6.329113924050633</v>
      </c>
    </row>
    <row r="4792">
      <c r="A4792" s="10" t="n">
        <v>46176</v>
      </c>
      <c r="B4792" t="inlineStr">
        <is>
          <t>Claudio de Sousa Velasco Filho</t>
        </is>
      </c>
      <c r="C4792" t="inlineStr">
        <is>
          <t>Estágio</t>
        </is>
      </c>
      <c r="D4792" t="n">
        <v>24</v>
      </c>
      <c r="E4792" t="n">
        <v>21</v>
      </c>
      <c r="F4792" t="n">
        <v>18.28</v>
      </c>
      <c r="G4792" t="n">
        <v>0</v>
      </c>
      <c r="H4792" t="n">
        <v>0</v>
      </c>
      <c r="I4792" s="3" t="n">
        <v>21</v>
      </c>
      <c r="J4792" s="3" t="n">
        <v>9</v>
      </c>
      <c r="K4792" s="3" t="n">
        <v>12</v>
      </c>
      <c r="L4792" s="3" t="inlineStr">
        <is>
          <t>EXCELENTE</t>
        </is>
      </c>
      <c r="M4792" t="n">
        <v>17</v>
      </c>
      <c r="N4792" t="n">
        <v>100</v>
      </c>
      <c r="O4792" t="n">
        <v>0</v>
      </c>
    </row>
    <row r="4793">
      <c r="A4793" s="10" t="n">
        <v>46176</v>
      </c>
      <c r="B4793" t="inlineStr">
        <is>
          <t>Emilly Caylane Costa</t>
        </is>
      </c>
      <c r="C4793" t="inlineStr">
        <is>
          <t>Estágio</t>
        </is>
      </c>
      <c r="D4793" t="n">
        <v>8</v>
      </c>
      <c r="E4793" t="n">
        <v>6</v>
      </c>
      <c r="F4793" t="n">
        <v>30.53</v>
      </c>
      <c r="G4793" t="n">
        <v>0</v>
      </c>
      <c r="H4793" t="n">
        <v>0</v>
      </c>
      <c r="I4793" s="3" t="n">
        <v>6</v>
      </c>
      <c r="J4793" s="3" t="n">
        <v>9</v>
      </c>
      <c r="K4793" s="3" t="n">
        <v>-3</v>
      </c>
      <c r="L4793" s="3" t="inlineStr">
        <is>
          <t>ATENÇÃO</t>
        </is>
      </c>
      <c r="M4793" t="n">
        <v>6</v>
      </c>
      <c r="N4793" t="n">
        <v>66.67</v>
      </c>
      <c r="O4793" t="n">
        <v>14.28571428571428</v>
      </c>
    </row>
    <row r="4794">
      <c r="A4794" s="10" t="n">
        <v>46176</v>
      </c>
      <c r="B4794" t="inlineStr">
        <is>
          <t>Gabriel Alves</t>
        </is>
      </c>
      <c r="C4794" t="inlineStr">
        <is>
          <t>Estágio</t>
        </is>
      </c>
      <c r="D4794" t="n">
        <v>13</v>
      </c>
      <c r="E4794" t="n">
        <v>12</v>
      </c>
      <c r="F4794" t="n">
        <v>53.46</v>
      </c>
      <c r="G4794" t="n">
        <v>0</v>
      </c>
      <c r="H4794" t="n">
        <v>0</v>
      </c>
      <c r="I4794" s="3" t="n">
        <v>12</v>
      </c>
      <c r="J4794" s="3" t="n">
        <v>9</v>
      </c>
      <c r="K4794" s="3" t="n">
        <v>3</v>
      </c>
      <c r="L4794" s="3" t="inlineStr">
        <is>
          <t>BOM</t>
        </is>
      </c>
      <c r="M4794" t="n">
        <v>9</v>
      </c>
      <c r="N4794" t="n">
        <v>100</v>
      </c>
      <c r="O4794" t="n">
        <v>7.142857142857142</v>
      </c>
    </row>
    <row r="4795">
      <c r="A4795" s="10" t="n">
        <v>46176</v>
      </c>
      <c r="B4795" t="inlineStr">
        <is>
          <t>Karina Gonçalves Martins</t>
        </is>
      </c>
      <c r="C4795" t="inlineStr">
        <is>
          <t>JR</t>
        </is>
      </c>
      <c r="D4795" t="n">
        <v>23</v>
      </c>
      <c r="E4795" t="n">
        <v>22</v>
      </c>
      <c r="F4795" t="n">
        <v>20.4</v>
      </c>
      <c r="G4795" t="n">
        <v>1</v>
      </c>
      <c r="H4795" t="n">
        <v>0</v>
      </c>
      <c r="I4795" s="3" t="n">
        <v>23</v>
      </c>
      <c r="J4795" s="3" t="n">
        <v>19</v>
      </c>
      <c r="K4795" s="3" t="n">
        <v>4</v>
      </c>
      <c r="L4795" s="3" t="inlineStr">
        <is>
          <t>BOM</t>
        </is>
      </c>
      <c r="M4795" t="n">
        <v>23</v>
      </c>
      <c r="N4795" t="n">
        <v>100</v>
      </c>
      <c r="O4795" t="n">
        <v>3.92156862745098</v>
      </c>
    </row>
    <row r="4796">
      <c r="A4796" s="10" t="n">
        <v>46176</v>
      </c>
      <c r="B4796" t="inlineStr">
        <is>
          <t>Leandro de Souza Silva</t>
        </is>
      </c>
      <c r="C4796" t="inlineStr">
        <is>
          <t>Técnico I</t>
        </is>
      </c>
      <c r="D4796" t="n">
        <v>12</v>
      </c>
      <c r="E4796" t="n">
        <v>11</v>
      </c>
      <c r="F4796" t="n">
        <v>22.35</v>
      </c>
      <c r="G4796" t="n">
        <v>1</v>
      </c>
      <c r="H4796" t="n">
        <v>0</v>
      </c>
      <c r="I4796" s="3" t="n">
        <v>12</v>
      </c>
      <c r="J4796" s="3" t="n">
        <v>22</v>
      </c>
      <c r="K4796" s="3" t="n">
        <v>-10</v>
      </c>
      <c r="L4796" s="3" t="inlineStr">
        <is>
          <t>CRÍTICO</t>
        </is>
      </c>
      <c r="M4796" t="n">
        <v>12</v>
      </c>
      <c r="N4796" t="n">
        <v>100</v>
      </c>
      <c r="O4796" t="n">
        <v>10</v>
      </c>
    </row>
    <row r="4797">
      <c r="A4797" s="10" t="n">
        <v>46176</v>
      </c>
      <c r="B4797" t="inlineStr">
        <is>
          <t>Maria Eduarda Sousa Costa</t>
        </is>
      </c>
      <c r="C4797" t="inlineStr">
        <is>
          <t>Estágio</t>
        </is>
      </c>
      <c r="D4797" t="n">
        <v>29</v>
      </c>
      <c r="E4797" t="n">
        <v>29</v>
      </c>
      <c r="F4797" t="n">
        <v>23.37</v>
      </c>
      <c r="G4797" t="n">
        <v>0</v>
      </c>
      <c r="H4797" t="n">
        <v>0</v>
      </c>
      <c r="I4797" s="3" t="n">
        <v>29</v>
      </c>
      <c r="J4797" s="3" t="n">
        <v>9</v>
      </c>
      <c r="K4797" s="3" t="n">
        <v>20</v>
      </c>
      <c r="L4797" s="3" t="inlineStr">
        <is>
          <t>EXCELENTE</t>
        </is>
      </c>
      <c r="M4797" t="n">
        <v>23</v>
      </c>
      <c r="N4797" t="n">
        <v>100</v>
      </c>
      <c r="O4797" t="n">
        <v>9.333333333333334</v>
      </c>
    </row>
    <row r="4798">
      <c r="A4798" s="10" t="n">
        <v>46176</v>
      </c>
      <c r="B4798" t="inlineStr">
        <is>
          <t>Michelle G Santos</t>
        </is>
      </c>
      <c r="C4798" t="inlineStr">
        <is>
          <t>Estágio</t>
        </is>
      </c>
      <c r="D4798" t="n">
        <v>20</v>
      </c>
      <c r="E4798" t="n">
        <v>20</v>
      </c>
      <c r="F4798" t="n">
        <v>28.52</v>
      </c>
      <c r="G4798" t="n">
        <v>0</v>
      </c>
      <c r="H4798" t="n">
        <v>0</v>
      </c>
      <c r="I4798" s="3" t="n">
        <v>20</v>
      </c>
      <c r="J4798" s="3" t="n">
        <v>9</v>
      </c>
      <c r="K4798" s="3" t="n">
        <v>11</v>
      </c>
      <c r="L4798" s="3" t="inlineStr">
        <is>
          <t>EXCELENTE</t>
        </is>
      </c>
      <c r="M4798" t="n">
        <v>12</v>
      </c>
      <c r="N4798" t="n">
        <v>100</v>
      </c>
      <c r="O4798" t="n">
        <v>3.703703703703703</v>
      </c>
    </row>
    <row r="4799">
      <c r="A4799" s="10" t="n">
        <v>46176</v>
      </c>
      <c r="B4799" t="inlineStr">
        <is>
          <t>Milena Sales</t>
        </is>
      </c>
      <c r="C4799" t="inlineStr">
        <is>
          <t>JR</t>
        </is>
      </c>
      <c r="D4799" t="n">
        <v>46</v>
      </c>
      <c r="E4799" t="n">
        <v>34</v>
      </c>
      <c r="F4799" t="n">
        <v>13.25</v>
      </c>
      <c r="G4799" t="n">
        <v>2</v>
      </c>
      <c r="H4799" t="n">
        <v>0</v>
      </c>
      <c r="I4799" s="3" t="n">
        <v>36</v>
      </c>
      <c r="J4799" s="3" t="n">
        <v>19</v>
      </c>
      <c r="K4799" s="3" t="n">
        <v>17</v>
      </c>
      <c r="L4799" s="3" t="inlineStr">
        <is>
          <t>EXCELENTE</t>
        </is>
      </c>
      <c r="M4799" t="n">
        <v>27</v>
      </c>
      <c r="N4799" t="n">
        <v>100</v>
      </c>
      <c r="O4799" t="n">
        <v>1.612903225806452</v>
      </c>
    </row>
    <row r="4800">
      <c r="A4800" s="10" t="n">
        <v>46176</v>
      </c>
      <c r="B4800" t="inlineStr">
        <is>
          <t>Paulo Ricardo Santos</t>
        </is>
      </c>
      <c r="C4800" t="inlineStr">
        <is>
          <t>Técnico I</t>
        </is>
      </c>
      <c r="D4800" t="n">
        <v>17</v>
      </c>
      <c r="E4800" t="n">
        <v>17</v>
      </c>
      <c r="F4800" t="n">
        <v>16.46</v>
      </c>
      <c r="G4800" t="n">
        <v>4</v>
      </c>
      <c r="H4800" t="n">
        <v>0</v>
      </c>
      <c r="I4800" s="3" t="n">
        <v>21</v>
      </c>
      <c r="J4800" s="3" t="n">
        <v>22</v>
      </c>
      <c r="K4800" s="3" t="n">
        <v>-1</v>
      </c>
      <c r="L4800" s="3" t="inlineStr">
        <is>
          <t>ATENÇÃO</t>
        </is>
      </c>
      <c r="M4800" t="n">
        <v>15</v>
      </c>
      <c r="N4800" t="n">
        <v>100</v>
      </c>
      <c r="O4800" t="n">
        <v>4.545454545454546</v>
      </c>
    </row>
    <row r="4801">
      <c r="A4801" s="10" t="n">
        <v>46176</v>
      </c>
      <c r="B4801" t="inlineStr">
        <is>
          <t>Pedro Luiz Mota Sousa</t>
        </is>
      </c>
      <c r="C4801" t="inlineStr">
        <is>
          <t>Técnico I</t>
        </is>
      </c>
      <c r="D4801" t="n">
        <v>23</v>
      </c>
      <c r="E4801" t="n">
        <v>21</v>
      </c>
      <c r="F4801" t="n">
        <v>20.04</v>
      </c>
      <c r="G4801" t="n">
        <v>1</v>
      </c>
      <c r="H4801" t="n">
        <v>0</v>
      </c>
      <c r="I4801" s="3" t="n">
        <v>22</v>
      </c>
      <c r="J4801" s="3" t="n">
        <v>22</v>
      </c>
      <c r="K4801" s="3" t="n">
        <v>0</v>
      </c>
      <c r="L4801" s="3" t="inlineStr">
        <is>
          <t>BOM</t>
        </is>
      </c>
      <c r="M4801" t="n">
        <v>20</v>
      </c>
      <c r="N4801" t="n">
        <v>100</v>
      </c>
      <c r="O4801" t="n">
        <v>7.042253521126761</v>
      </c>
    </row>
    <row r="4802">
      <c r="A4802" s="10" t="n">
        <v>46176</v>
      </c>
      <c r="B4802" t="inlineStr">
        <is>
          <t>Quirino Diogo Leite Torres</t>
        </is>
      </c>
      <c r="C4802" t="inlineStr">
        <is>
          <t>Estágio</t>
        </is>
      </c>
      <c r="D4802" t="n">
        <v>19</v>
      </c>
      <c r="E4802" t="n">
        <v>16</v>
      </c>
      <c r="F4802" t="n">
        <v>25.28</v>
      </c>
      <c r="G4802" t="n">
        <v>3</v>
      </c>
      <c r="H4802" t="n">
        <v>0</v>
      </c>
      <c r="I4802" s="3" t="n">
        <v>19</v>
      </c>
      <c r="J4802" s="3" t="n">
        <v>9</v>
      </c>
      <c r="K4802" s="3" t="n">
        <v>10</v>
      </c>
      <c r="L4802" s="3" t="inlineStr">
        <is>
          <t>EXCELENTE</t>
        </is>
      </c>
      <c r="M4802" t="n">
        <v>14</v>
      </c>
      <c r="N4802" t="n">
        <v>100</v>
      </c>
      <c r="O4802" t="n">
        <v>3.92156862745098</v>
      </c>
    </row>
    <row r="4803">
      <c r="A4803" s="10" t="n">
        <v>46176</v>
      </c>
      <c r="B4803" t="inlineStr">
        <is>
          <t>Alisson de Freitas Silva</t>
        </is>
      </c>
      <c r="C4803" t="inlineStr">
        <is>
          <t>Técnico II</t>
        </is>
      </c>
      <c r="D4803" t="n">
        <v>34</v>
      </c>
      <c r="E4803" t="n">
        <v>29</v>
      </c>
      <c r="F4803" t="n">
        <v>11.5</v>
      </c>
      <c r="G4803" t="n">
        <v>4</v>
      </c>
      <c r="H4803" t="n">
        <v>0</v>
      </c>
      <c r="I4803" s="3" t="n">
        <v>33</v>
      </c>
      <c r="J4803" s="3" t="n">
        <v>27</v>
      </c>
      <c r="K4803" s="3" t="n">
        <v>6</v>
      </c>
      <c r="L4803" s="3" t="inlineStr">
        <is>
          <t>EXCELENTE</t>
        </is>
      </c>
      <c r="M4803" t="n">
        <v>40</v>
      </c>
      <c r="N4803" t="n">
        <v>100</v>
      </c>
      <c r="O4803" t="n">
        <v>1.5625</v>
      </c>
    </row>
    <row r="4804">
      <c r="A4804" s="10" t="n">
        <v>46176</v>
      </c>
      <c r="B4804" t="inlineStr">
        <is>
          <t>Amanda Moura Ferreira</t>
        </is>
      </c>
      <c r="C4804" t="inlineStr">
        <is>
          <t>Técnico III</t>
        </is>
      </c>
      <c r="D4804" t="n">
        <v>27</v>
      </c>
      <c r="E4804" t="n">
        <v>27</v>
      </c>
      <c r="F4804" t="n">
        <v>17.33</v>
      </c>
      <c r="G4804" t="n">
        <v>0</v>
      </c>
      <c r="H4804" t="n">
        <v>0</v>
      </c>
      <c r="I4804" s="3" t="n">
        <v>27</v>
      </c>
      <c r="J4804" s="3" t="n">
        <v>33</v>
      </c>
      <c r="K4804" s="3" t="n">
        <v>-6</v>
      </c>
      <c r="L4804" s="3" t="inlineStr">
        <is>
          <t>CRÍTICO</t>
        </is>
      </c>
      <c r="M4804" t="n">
        <v>23</v>
      </c>
      <c r="N4804" t="n">
        <v>100</v>
      </c>
      <c r="O4804" t="n">
        <v>8.450704225352112</v>
      </c>
    </row>
    <row r="4805">
      <c r="A4805" s="10" t="n">
        <v>46176</v>
      </c>
      <c r="B4805" t="inlineStr">
        <is>
          <t>Ana Karollyne Souza Faria</t>
        </is>
      </c>
      <c r="C4805" t="inlineStr">
        <is>
          <t>Técnico I</t>
        </is>
      </c>
      <c r="D4805" t="n">
        <v>32</v>
      </c>
      <c r="E4805" t="n">
        <v>32</v>
      </c>
      <c r="F4805" t="n">
        <v>18.31</v>
      </c>
      <c r="G4805" t="n">
        <v>2</v>
      </c>
      <c r="H4805" t="n">
        <v>0</v>
      </c>
      <c r="I4805" s="3" t="n">
        <v>34</v>
      </c>
      <c r="J4805" s="3" t="n">
        <v>22</v>
      </c>
      <c r="K4805" s="3" t="n">
        <v>12</v>
      </c>
      <c r="L4805" s="3" t="inlineStr">
        <is>
          <t>EXCELENTE</t>
        </is>
      </c>
      <c r="M4805" t="n">
        <v>32</v>
      </c>
      <c r="N4805" t="n">
        <v>100</v>
      </c>
      <c r="O4805" t="n">
        <v>3.333333333333333</v>
      </c>
    </row>
    <row r="4806">
      <c r="A4806" s="10" t="n">
        <v>46176</v>
      </c>
      <c r="B4806" t="inlineStr">
        <is>
          <t>Ana Paula Da Luz Silva Aleixo</t>
        </is>
      </c>
      <c r="C4806" t="inlineStr">
        <is>
          <t>Técnico III</t>
        </is>
      </c>
      <c r="D4806" t="n">
        <v>27</v>
      </c>
      <c r="E4806" t="n">
        <v>23</v>
      </c>
      <c r="F4806" t="n">
        <v>15.55</v>
      </c>
      <c r="G4806" t="n">
        <v>1</v>
      </c>
      <c r="H4806" t="n">
        <v>0</v>
      </c>
      <c r="I4806" s="3" t="n">
        <v>24</v>
      </c>
      <c r="J4806" s="3" t="n">
        <v>33</v>
      </c>
      <c r="K4806" s="3" t="n">
        <v>-9</v>
      </c>
      <c r="L4806" s="3" t="inlineStr">
        <is>
          <t>CRÍTICO</t>
        </is>
      </c>
      <c r="M4806" t="n">
        <v>22</v>
      </c>
      <c r="N4806" t="n">
        <v>100</v>
      </c>
      <c r="O4806" t="n">
        <v>4.95049504950495</v>
      </c>
    </row>
    <row r="4807">
      <c r="A4807" s="10" t="n">
        <v>46176</v>
      </c>
      <c r="B4807" t="inlineStr">
        <is>
          <t>Brenda de Menezes Silva</t>
        </is>
      </c>
      <c r="C4807" t="inlineStr">
        <is>
          <t>Técnico II</t>
        </is>
      </c>
      <c r="D4807" t="n">
        <v>45</v>
      </c>
      <c r="E4807" t="n">
        <v>43</v>
      </c>
      <c r="F4807" t="n">
        <v>15.37</v>
      </c>
      <c r="G4807" t="n">
        <v>4</v>
      </c>
      <c r="H4807" t="n">
        <v>0</v>
      </c>
      <c r="I4807" s="3" t="n">
        <v>47</v>
      </c>
      <c r="J4807" s="3" t="n">
        <v>27</v>
      </c>
      <c r="K4807" s="3" t="n">
        <v>20</v>
      </c>
      <c r="L4807" s="3" t="inlineStr">
        <is>
          <t>EXCELENTE</t>
        </is>
      </c>
      <c r="M4807" t="n">
        <v>44</v>
      </c>
      <c r="N4807" t="n">
        <v>100</v>
      </c>
      <c r="O4807" t="n">
        <v>7.482993197278912</v>
      </c>
    </row>
    <row r="4808">
      <c r="A4808" s="10" t="n">
        <v>46176</v>
      </c>
      <c r="B4808" t="inlineStr">
        <is>
          <t>Carlos Mateus Cassimiro Nunes</t>
        </is>
      </c>
      <c r="C4808" t="inlineStr">
        <is>
          <t>Técnico II</t>
        </is>
      </c>
      <c r="D4808" t="n">
        <v>36</v>
      </c>
      <c r="E4808" t="n">
        <v>34</v>
      </c>
      <c r="F4808" t="n">
        <v>17.28</v>
      </c>
      <c r="G4808" t="n">
        <v>2</v>
      </c>
      <c r="H4808" t="n">
        <v>0</v>
      </c>
      <c r="I4808" s="3" t="n">
        <v>36</v>
      </c>
      <c r="J4808" s="3" t="n">
        <v>27</v>
      </c>
      <c r="K4808" s="3" t="n">
        <v>9</v>
      </c>
      <c r="L4808" s="3" t="inlineStr">
        <is>
          <t>EXCELENTE</t>
        </is>
      </c>
      <c r="M4808" t="n">
        <v>34</v>
      </c>
      <c r="N4808" t="n">
        <v>100</v>
      </c>
      <c r="O4808" t="n">
        <v>5.309734513274337</v>
      </c>
    </row>
    <row r="4809">
      <c r="A4809" s="10" t="n">
        <v>46176</v>
      </c>
      <c r="B4809" t="inlineStr">
        <is>
          <t>Clessiane Pereira dos Santos</t>
        </is>
      </c>
      <c r="C4809" t="inlineStr">
        <is>
          <t>Técnico I</t>
        </is>
      </c>
      <c r="D4809" t="n">
        <v>34</v>
      </c>
      <c r="E4809" t="n">
        <v>33</v>
      </c>
      <c r="F4809" t="n">
        <v>15.53</v>
      </c>
      <c r="G4809" t="n">
        <v>2</v>
      </c>
      <c r="H4809" t="n">
        <v>0</v>
      </c>
      <c r="I4809" s="3" t="n">
        <v>35</v>
      </c>
      <c r="J4809" s="3" t="n">
        <v>22</v>
      </c>
      <c r="K4809" s="3" t="n">
        <v>13</v>
      </c>
      <c r="L4809" s="3" t="inlineStr">
        <is>
          <t>EXCELENTE</t>
        </is>
      </c>
      <c r="M4809" t="n">
        <v>28</v>
      </c>
      <c r="N4809" t="n">
        <v>100</v>
      </c>
      <c r="O4809" t="n">
        <v>12.19512195121951</v>
      </c>
    </row>
    <row r="4810">
      <c r="A4810" s="10" t="n">
        <v>46176</v>
      </c>
      <c r="B4810" t="inlineStr">
        <is>
          <t>Cristiane Ramos da Silva Rocha</t>
        </is>
      </c>
      <c r="C4810" t="inlineStr">
        <is>
          <t>Técnico III</t>
        </is>
      </c>
      <c r="D4810" t="n">
        <v>41</v>
      </c>
      <c r="E4810" t="n">
        <v>38</v>
      </c>
      <c r="F4810" t="n">
        <v>10.46</v>
      </c>
      <c r="G4810" t="n">
        <v>6</v>
      </c>
      <c r="H4810" t="n">
        <v>0</v>
      </c>
      <c r="I4810" s="3" t="n">
        <v>44</v>
      </c>
      <c r="J4810" s="3" t="n">
        <v>33</v>
      </c>
      <c r="K4810" s="3" t="n">
        <v>11</v>
      </c>
      <c r="L4810" s="3" t="inlineStr">
        <is>
          <t>EXCELENTE</t>
        </is>
      </c>
      <c r="M4810" t="n">
        <v>32</v>
      </c>
      <c r="N4810" t="n">
        <v>87.5</v>
      </c>
      <c r="O4810" t="n">
        <v>10.14492753623188</v>
      </c>
    </row>
    <row r="4811">
      <c r="A4811" s="10" t="n">
        <v>46176</v>
      </c>
      <c r="B4811" t="inlineStr">
        <is>
          <t>Damyllis Lorraine de Oliveira Gonçalves</t>
        </is>
      </c>
      <c r="C4811" t="inlineStr">
        <is>
          <t>Técnico II</t>
        </is>
      </c>
      <c r="D4811" t="n">
        <v>44</v>
      </c>
      <c r="E4811" t="n">
        <v>38</v>
      </c>
      <c r="F4811" t="n">
        <v>15.29</v>
      </c>
      <c r="G4811" t="n">
        <v>0</v>
      </c>
      <c r="H4811" t="n">
        <v>0</v>
      </c>
      <c r="I4811" s="3" t="n">
        <v>38</v>
      </c>
      <c r="J4811" s="3" t="n">
        <v>27</v>
      </c>
      <c r="K4811" s="3" t="n">
        <v>11</v>
      </c>
      <c r="L4811" s="3" t="inlineStr">
        <is>
          <t>EXCELENTE</t>
        </is>
      </c>
      <c r="M4811" t="n">
        <v>26</v>
      </c>
      <c r="N4811" t="n">
        <v>100</v>
      </c>
      <c r="O4811" t="n">
        <v>3.703703703703703</v>
      </c>
    </row>
    <row r="4812">
      <c r="A4812" s="10" t="n">
        <v>46176</v>
      </c>
      <c r="B4812" t="inlineStr">
        <is>
          <t>Daniel Gomes da Silva</t>
        </is>
      </c>
      <c r="C4812" t="inlineStr">
        <is>
          <t>Técnico I</t>
        </is>
      </c>
      <c r="D4812" t="n">
        <v>20</v>
      </c>
      <c r="E4812" t="n">
        <v>19</v>
      </c>
      <c r="F4812" t="n">
        <v>24.19</v>
      </c>
      <c r="G4812" t="n">
        <v>0</v>
      </c>
      <c r="H4812" t="n">
        <v>0</v>
      </c>
      <c r="I4812" s="3" t="n">
        <v>19</v>
      </c>
      <c r="J4812" s="3" t="n">
        <v>22</v>
      </c>
      <c r="K4812" s="3" t="n">
        <v>-3</v>
      </c>
      <c r="L4812" s="3" t="inlineStr">
        <is>
          <t>ATENÇÃO</t>
        </is>
      </c>
      <c r="M4812" t="n">
        <v>14</v>
      </c>
      <c r="N4812" t="n">
        <v>100</v>
      </c>
      <c r="O4812" t="n">
        <v>7.142857142857142</v>
      </c>
    </row>
    <row r="4813">
      <c r="A4813" s="10" t="n">
        <v>46176</v>
      </c>
      <c r="B4813" t="inlineStr">
        <is>
          <t>Davylla Rodrigues Freitas Silva</t>
        </is>
      </c>
      <c r="C4813" t="inlineStr">
        <is>
          <t>Técnico III</t>
        </is>
      </c>
      <c r="D4813" t="n">
        <v>30</v>
      </c>
      <c r="E4813" t="n">
        <v>29</v>
      </c>
      <c r="F4813" t="n">
        <v>24.01</v>
      </c>
      <c r="G4813" t="n">
        <v>1</v>
      </c>
      <c r="H4813" t="n">
        <v>0</v>
      </c>
      <c r="I4813" s="3" t="n">
        <v>30</v>
      </c>
      <c r="J4813" s="3" t="n">
        <v>33</v>
      </c>
      <c r="K4813" s="3" t="n">
        <v>-3</v>
      </c>
      <c r="L4813" s="3" t="inlineStr">
        <is>
          <t>ATENÇÃO</t>
        </is>
      </c>
      <c r="M4813" t="n">
        <v>30</v>
      </c>
      <c r="N4813" t="n">
        <v>100</v>
      </c>
      <c r="O4813" t="n">
        <v>8.771929824561402</v>
      </c>
    </row>
    <row r="4814">
      <c r="A4814" s="10" t="n">
        <v>46176</v>
      </c>
      <c r="B4814" t="inlineStr">
        <is>
          <t>Emilly Kamilly Medeiros Miranda</t>
        </is>
      </c>
      <c r="C4814" t="inlineStr">
        <is>
          <t>Técnico II</t>
        </is>
      </c>
      <c r="D4814" t="n">
        <v>39</v>
      </c>
      <c r="E4814" t="n">
        <v>35</v>
      </c>
      <c r="F4814" t="n">
        <v>15.12</v>
      </c>
      <c r="G4814" t="n">
        <v>6</v>
      </c>
      <c r="H4814" t="n">
        <v>0</v>
      </c>
      <c r="I4814" s="3" t="n">
        <v>41</v>
      </c>
      <c r="J4814" s="3" t="n">
        <v>27</v>
      </c>
      <c r="K4814" s="3" t="n">
        <v>14</v>
      </c>
      <c r="L4814" s="3" t="inlineStr">
        <is>
          <t>EXCELENTE</t>
        </is>
      </c>
      <c r="M4814" t="n">
        <v>30</v>
      </c>
      <c r="N4814" t="n">
        <v>100</v>
      </c>
      <c r="O4814" t="n">
        <v>2.298850574712644</v>
      </c>
    </row>
    <row r="4815">
      <c r="A4815" s="10" t="n">
        <v>46176</v>
      </c>
      <c r="B4815" t="inlineStr">
        <is>
          <t>Francielson de Oliveira</t>
        </is>
      </c>
      <c r="C4815" t="inlineStr">
        <is>
          <t>Técnico III</t>
        </is>
      </c>
      <c r="D4815" t="n">
        <v>41</v>
      </c>
      <c r="E4815" t="n">
        <v>39</v>
      </c>
      <c r="F4815" t="n">
        <v>15.37</v>
      </c>
      <c r="G4815" t="n">
        <v>3</v>
      </c>
      <c r="H4815" t="n">
        <v>0</v>
      </c>
      <c r="I4815" s="3" t="n">
        <v>42</v>
      </c>
      <c r="J4815" s="3" t="n">
        <v>33</v>
      </c>
      <c r="K4815" s="3" t="n">
        <v>9</v>
      </c>
      <c r="L4815" s="3" t="inlineStr">
        <is>
          <t>EXCELENTE</t>
        </is>
      </c>
      <c r="M4815" t="n">
        <v>38</v>
      </c>
      <c r="N4815" t="n">
        <v>100</v>
      </c>
      <c r="O4815" t="n">
        <v>3.571428571428571</v>
      </c>
    </row>
    <row r="4816">
      <c r="A4816" s="10" t="n">
        <v>46176</v>
      </c>
      <c r="B4816" t="inlineStr">
        <is>
          <t>Francilene Ferreira de Jesus</t>
        </is>
      </c>
      <c r="C4816" t="inlineStr">
        <is>
          <t>Técnico II</t>
        </is>
      </c>
      <c r="D4816" t="n">
        <v>0</v>
      </c>
      <c r="E4816" t="n">
        <v>0</v>
      </c>
      <c r="F4816" t="n">
        <v>0</v>
      </c>
      <c r="G4816" t="n">
        <v>0</v>
      </c>
      <c r="H4816" t="n">
        <v>0</v>
      </c>
      <c r="I4816" s="3" t="n">
        <v>0</v>
      </c>
      <c r="J4816" s="3" t="n">
        <v>0</v>
      </c>
      <c r="K4816" s="3" t="n">
        <v>0</v>
      </c>
      <c r="L4816" s="3" t="inlineStr">
        <is>
          <t>BOM</t>
        </is>
      </c>
      <c r="M4816" t="n">
        <v>0</v>
      </c>
      <c r="N4816" t="n">
        <v>100</v>
      </c>
      <c r="O4816" t="n">
        <v>0</v>
      </c>
    </row>
    <row r="4817">
      <c r="A4817" s="10" t="n">
        <v>46176</v>
      </c>
      <c r="B4817" t="inlineStr">
        <is>
          <t>Gabriel Gomes de Andrade</t>
        </is>
      </c>
      <c r="C4817" t="inlineStr">
        <is>
          <t>Técnico I</t>
        </is>
      </c>
      <c r="D4817" t="n">
        <v>20</v>
      </c>
      <c r="E4817" t="n">
        <v>19</v>
      </c>
      <c r="F4817" t="n">
        <v>20.42</v>
      </c>
      <c r="G4817" t="n">
        <v>5</v>
      </c>
      <c r="H4817" t="n">
        <v>0</v>
      </c>
      <c r="I4817" s="3" t="n">
        <v>24</v>
      </c>
      <c r="J4817" s="3" t="n">
        <v>22</v>
      </c>
      <c r="K4817" s="3" t="n">
        <v>2</v>
      </c>
      <c r="L4817" s="3" t="inlineStr">
        <is>
          <t>BOM</t>
        </is>
      </c>
      <c r="M4817" t="n">
        <v>19</v>
      </c>
      <c r="N4817" t="n">
        <v>100</v>
      </c>
      <c r="O4817" t="n">
        <v>11.11111111111111</v>
      </c>
    </row>
    <row r="4818">
      <c r="A4818" s="10" t="n">
        <v>46176</v>
      </c>
      <c r="B4818" t="inlineStr">
        <is>
          <t>Isabella Borges de Oliveira</t>
        </is>
      </c>
      <c r="C4818" t="inlineStr">
        <is>
          <t>Técnico II</t>
        </is>
      </c>
      <c r="D4818" t="n">
        <v>33</v>
      </c>
      <c r="E4818" t="n">
        <v>32</v>
      </c>
      <c r="F4818" t="n">
        <v>20.35</v>
      </c>
      <c r="G4818" t="n">
        <v>3</v>
      </c>
      <c r="H4818" t="n">
        <v>0</v>
      </c>
      <c r="I4818" s="3" t="n">
        <v>35</v>
      </c>
      <c r="J4818" s="3" t="n">
        <v>27</v>
      </c>
      <c r="K4818" s="3" t="n">
        <v>8</v>
      </c>
      <c r="L4818" s="3" t="inlineStr">
        <is>
          <t>EXCELENTE</t>
        </is>
      </c>
      <c r="M4818" t="n">
        <v>31</v>
      </c>
      <c r="N4818" t="n">
        <v>100</v>
      </c>
      <c r="O4818" t="n">
        <v>4.444444444444445</v>
      </c>
    </row>
    <row r="4819">
      <c r="A4819" s="10" t="n">
        <v>46176</v>
      </c>
      <c r="B4819" t="inlineStr">
        <is>
          <t>Janaina Lima dos Reis Urany</t>
        </is>
      </c>
      <c r="C4819" t="inlineStr">
        <is>
          <t>Técnico III</t>
        </is>
      </c>
      <c r="D4819" t="n">
        <v>0</v>
      </c>
      <c r="E4819" t="n">
        <v>0</v>
      </c>
      <c r="F4819" t="n">
        <v>0</v>
      </c>
      <c r="G4819" t="n">
        <v>0</v>
      </c>
      <c r="H4819" t="n">
        <v>0</v>
      </c>
      <c r="I4819" s="3" t="n">
        <v>0</v>
      </c>
      <c r="J4819" s="3" t="n">
        <v>0</v>
      </c>
      <c r="K4819" s="3" t="n">
        <v>0</v>
      </c>
      <c r="L4819" s="3" t="inlineStr">
        <is>
          <t>BOM</t>
        </is>
      </c>
      <c r="M4819" t="n">
        <v>0</v>
      </c>
      <c r="N4819" t="n">
        <v>100</v>
      </c>
      <c r="O4819" t="n">
        <v>0</v>
      </c>
    </row>
    <row r="4820">
      <c r="A4820" s="10" t="n">
        <v>46176</v>
      </c>
      <c r="B4820" t="inlineStr">
        <is>
          <t>Jaqueline Evangelista da Silva Martins</t>
        </is>
      </c>
      <c r="C4820" t="inlineStr">
        <is>
          <t>Técnico III</t>
        </is>
      </c>
      <c r="D4820" t="n">
        <v>35</v>
      </c>
      <c r="E4820" t="n">
        <v>33</v>
      </c>
      <c r="F4820" t="n">
        <v>15.01</v>
      </c>
      <c r="G4820" t="n">
        <v>2</v>
      </c>
      <c r="H4820" t="n">
        <v>0</v>
      </c>
      <c r="I4820" s="3" t="n">
        <v>35</v>
      </c>
      <c r="J4820" s="3" t="n">
        <v>33</v>
      </c>
      <c r="K4820" s="3" t="n">
        <v>2</v>
      </c>
      <c r="L4820" s="3" t="inlineStr">
        <is>
          <t>BOM</t>
        </is>
      </c>
      <c r="M4820" t="n">
        <v>39</v>
      </c>
      <c r="N4820" t="n">
        <v>100</v>
      </c>
      <c r="O4820" t="n">
        <v>2.4</v>
      </c>
    </row>
    <row r="4821">
      <c r="A4821" s="10" t="n">
        <v>46176</v>
      </c>
      <c r="B4821" t="inlineStr">
        <is>
          <t>Jessica Faria da Silveira</t>
        </is>
      </c>
      <c r="C4821" t="inlineStr">
        <is>
          <t>Técnico II</t>
        </is>
      </c>
      <c r="D4821" t="n">
        <v>0</v>
      </c>
      <c r="E4821" t="n">
        <v>0</v>
      </c>
      <c r="F4821" t="n">
        <v>0</v>
      </c>
      <c r="G4821" t="n">
        <v>0</v>
      </c>
      <c r="H4821" t="n">
        <v>0</v>
      </c>
      <c r="I4821" s="3" t="n">
        <v>0</v>
      </c>
      <c r="J4821" s="3" t="n">
        <v>0</v>
      </c>
      <c r="K4821" s="3" t="n">
        <v>0</v>
      </c>
      <c r="L4821" s="3" t="inlineStr">
        <is>
          <t>BOM</t>
        </is>
      </c>
      <c r="M4821" t="n">
        <v>0</v>
      </c>
      <c r="N4821" t="n">
        <v>100</v>
      </c>
      <c r="O4821" t="n">
        <v>0</v>
      </c>
    </row>
    <row r="4822">
      <c r="A4822" s="10" t="n">
        <v>46176</v>
      </c>
      <c r="B4822" t="inlineStr">
        <is>
          <t>Jéssica Fé Moura</t>
        </is>
      </c>
      <c r="C4822" t="inlineStr">
        <is>
          <t>Técnico III</t>
        </is>
      </c>
      <c r="D4822" t="n">
        <v>0</v>
      </c>
      <c r="E4822" t="n">
        <v>0</v>
      </c>
      <c r="F4822" t="n">
        <v>0</v>
      </c>
      <c r="G4822" t="n">
        <v>0</v>
      </c>
      <c r="H4822" t="n">
        <v>0</v>
      </c>
      <c r="I4822" s="3" t="n">
        <v>0</v>
      </c>
      <c r="J4822" s="3" t="n">
        <v>0</v>
      </c>
      <c r="K4822" s="3" t="n">
        <v>0</v>
      </c>
      <c r="L4822" s="3" t="inlineStr">
        <is>
          <t>BOM</t>
        </is>
      </c>
      <c r="M4822" t="n">
        <v>0</v>
      </c>
      <c r="N4822" t="n">
        <v>0</v>
      </c>
      <c r="O4822" t="n">
        <v>0</v>
      </c>
    </row>
    <row r="4823">
      <c r="A4823" s="10" t="n">
        <v>46176</v>
      </c>
      <c r="B4823" t="inlineStr">
        <is>
          <t>Kerollen Cristielly de Jesus Siqueira</t>
        </is>
      </c>
      <c r="C4823" t="inlineStr">
        <is>
          <t>Técnico III</t>
        </is>
      </c>
      <c r="D4823" t="n">
        <v>0</v>
      </c>
      <c r="E4823" t="n">
        <v>0</v>
      </c>
      <c r="F4823" t="n">
        <v>0</v>
      </c>
      <c r="G4823" t="n">
        <v>0</v>
      </c>
      <c r="H4823" t="n">
        <v>0</v>
      </c>
      <c r="I4823" s="3" t="n">
        <v>0</v>
      </c>
      <c r="J4823" s="3" t="n">
        <v>0</v>
      </c>
      <c r="K4823" s="3" t="n">
        <v>0</v>
      </c>
      <c r="L4823" s="3" t="inlineStr">
        <is>
          <t>BOM</t>
        </is>
      </c>
      <c r="M4823" t="n">
        <v>0</v>
      </c>
      <c r="N4823" t="n">
        <v>100</v>
      </c>
      <c r="O4823" t="n">
        <v>0</v>
      </c>
    </row>
    <row r="4824">
      <c r="A4824" s="10" t="n">
        <v>46176</v>
      </c>
      <c r="B4824" t="inlineStr">
        <is>
          <t>Leandro Oliveira de Sousa</t>
        </is>
      </c>
      <c r="C4824" t="inlineStr">
        <is>
          <t>Técnico III</t>
        </is>
      </c>
      <c r="D4824" t="n">
        <v>35</v>
      </c>
      <c r="E4824" t="n">
        <v>33</v>
      </c>
      <c r="F4824" t="n">
        <v>16.58</v>
      </c>
      <c r="G4824" t="n">
        <v>1</v>
      </c>
      <c r="H4824" t="n">
        <v>0</v>
      </c>
      <c r="I4824" s="3" t="n">
        <v>34</v>
      </c>
      <c r="J4824" s="3" t="n">
        <v>33</v>
      </c>
      <c r="K4824" s="3" t="n">
        <v>1</v>
      </c>
      <c r="L4824" s="3" t="inlineStr">
        <is>
          <t>BOM</t>
        </is>
      </c>
      <c r="M4824" t="n">
        <v>31</v>
      </c>
      <c r="N4824" t="n">
        <v>100</v>
      </c>
      <c r="O4824" t="n">
        <v>4.132231404958678</v>
      </c>
    </row>
    <row r="4825">
      <c r="A4825" s="10" t="n">
        <v>46176</v>
      </c>
      <c r="B4825" t="inlineStr">
        <is>
          <t>Lizandra Gomes Duarte</t>
        </is>
      </c>
      <c r="C4825" t="inlineStr">
        <is>
          <t>Técnico II</t>
        </is>
      </c>
      <c r="D4825" t="n">
        <v>28</v>
      </c>
      <c r="E4825" t="n">
        <v>27</v>
      </c>
      <c r="F4825" t="n">
        <v>22.07</v>
      </c>
      <c r="G4825" t="n">
        <v>1</v>
      </c>
      <c r="H4825" t="n">
        <v>0</v>
      </c>
      <c r="I4825" s="3" t="n">
        <v>28</v>
      </c>
      <c r="J4825" s="3" t="n">
        <v>27</v>
      </c>
      <c r="K4825" s="3" t="n">
        <v>1</v>
      </c>
      <c r="L4825" s="3" t="inlineStr">
        <is>
          <t>BOM</t>
        </is>
      </c>
      <c r="M4825" t="n">
        <v>23</v>
      </c>
      <c r="N4825" t="n">
        <v>100</v>
      </c>
      <c r="O4825" t="n">
        <v>2.222222222222222</v>
      </c>
    </row>
    <row r="4826">
      <c r="A4826" s="10" t="n">
        <v>46176</v>
      </c>
      <c r="B4826" t="inlineStr">
        <is>
          <t>Lorena Dias de Araujo</t>
        </is>
      </c>
      <c r="C4826" t="inlineStr">
        <is>
          <t>Técnico II</t>
        </is>
      </c>
      <c r="D4826" t="n">
        <v>36</v>
      </c>
      <c r="E4826" t="n">
        <v>34</v>
      </c>
      <c r="F4826" t="n">
        <v>14.19</v>
      </c>
      <c r="G4826" t="n">
        <v>0</v>
      </c>
      <c r="H4826" t="n">
        <v>0</v>
      </c>
      <c r="I4826" s="3" t="n">
        <v>34</v>
      </c>
      <c r="J4826" s="3" t="n">
        <v>27</v>
      </c>
      <c r="K4826" s="3" t="n">
        <v>7</v>
      </c>
      <c r="L4826" s="3" t="inlineStr">
        <is>
          <t>EXCELENTE</t>
        </is>
      </c>
      <c r="M4826" t="n">
        <v>30</v>
      </c>
      <c r="N4826" t="n">
        <v>100</v>
      </c>
      <c r="O4826" t="n">
        <v>8.823529411764707</v>
      </c>
    </row>
    <row r="4827">
      <c r="A4827" s="10" t="n">
        <v>46176</v>
      </c>
      <c r="B4827" t="inlineStr">
        <is>
          <t>Lucas Luiz Romero</t>
        </is>
      </c>
      <c r="C4827" t="inlineStr">
        <is>
          <t>Técnico III</t>
        </is>
      </c>
      <c r="D4827" t="n">
        <v>0</v>
      </c>
      <c r="E4827" t="n">
        <v>0</v>
      </c>
      <c r="F4827" t="n">
        <v>0</v>
      </c>
      <c r="G4827" t="n">
        <v>0</v>
      </c>
      <c r="H4827" t="n">
        <v>0</v>
      </c>
      <c r="I4827" s="3" t="n">
        <v>0</v>
      </c>
      <c r="J4827" s="3" t="n">
        <v>0</v>
      </c>
      <c r="K4827" s="3" t="n">
        <v>0</v>
      </c>
      <c r="L4827" s="3" t="inlineStr">
        <is>
          <t>BOM</t>
        </is>
      </c>
      <c r="M4827" t="n">
        <v>13</v>
      </c>
      <c r="N4827" t="n">
        <v>81.25</v>
      </c>
      <c r="O4827" t="n">
        <v>13.95348837209302</v>
      </c>
    </row>
    <row r="4828">
      <c r="A4828" s="10" t="n">
        <v>46176</v>
      </c>
      <c r="B4828" t="inlineStr">
        <is>
          <t>Luiz Fernando de Carvalho Junior</t>
        </is>
      </c>
      <c r="C4828" t="inlineStr">
        <is>
          <t>Técnico I</t>
        </is>
      </c>
      <c r="D4828" t="n">
        <v>28</v>
      </c>
      <c r="E4828" t="n">
        <v>26</v>
      </c>
      <c r="F4828" t="n">
        <v>13.41</v>
      </c>
      <c r="G4828" t="n">
        <v>0</v>
      </c>
      <c r="H4828" t="n">
        <v>0</v>
      </c>
      <c r="I4828" s="3" t="n">
        <v>26</v>
      </c>
      <c r="J4828" s="3" t="n">
        <v>22</v>
      </c>
      <c r="K4828" s="3" t="n">
        <v>4</v>
      </c>
      <c r="L4828" s="3" t="inlineStr">
        <is>
          <t>BOM</t>
        </is>
      </c>
      <c r="M4828" t="n">
        <v>26</v>
      </c>
      <c r="N4828" t="n">
        <v>100</v>
      </c>
      <c r="O4828" t="n">
        <v>2.597402597402597</v>
      </c>
    </row>
    <row r="4829">
      <c r="A4829" s="10" t="n">
        <v>46176</v>
      </c>
      <c r="B4829" t="inlineStr">
        <is>
          <t>Matheus Farias De Souza</t>
        </is>
      </c>
      <c r="C4829" t="inlineStr">
        <is>
          <t>Técnico III</t>
        </is>
      </c>
      <c r="D4829" t="n">
        <v>0</v>
      </c>
      <c r="E4829" t="n">
        <v>0</v>
      </c>
      <c r="F4829" t="n">
        <v>0</v>
      </c>
      <c r="G4829" t="n">
        <v>0</v>
      </c>
      <c r="H4829" t="n">
        <v>0</v>
      </c>
      <c r="I4829" s="3" t="n">
        <v>0</v>
      </c>
      <c r="J4829" s="3" t="n">
        <v>0</v>
      </c>
      <c r="K4829" s="3" t="n">
        <v>0</v>
      </c>
      <c r="L4829" s="3" t="inlineStr">
        <is>
          <t>BOM</t>
        </is>
      </c>
      <c r="M4829" t="n">
        <v>22</v>
      </c>
      <c r="N4829" t="n">
        <v>0</v>
      </c>
      <c r="O4829" t="n">
        <v>0</v>
      </c>
    </row>
    <row r="4830">
      <c r="A4830" s="10" t="n">
        <v>46176</v>
      </c>
      <c r="B4830" t="inlineStr">
        <is>
          <t>Maysa Victoria Dias Moura</t>
        </is>
      </c>
      <c r="C4830" t="inlineStr">
        <is>
          <t>Técnico III</t>
        </is>
      </c>
      <c r="D4830" t="n">
        <v>32</v>
      </c>
      <c r="E4830" t="n">
        <v>30</v>
      </c>
      <c r="F4830" t="n">
        <v>18.21</v>
      </c>
      <c r="G4830" t="n">
        <v>5</v>
      </c>
      <c r="H4830" t="n">
        <v>0</v>
      </c>
      <c r="I4830" s="3" t="n">
        <v>35</v>
      </c>
      <c r="J4830" s="3" t="n">
        <v>33</v>
      </c>
      <c r="K4830" s="3" t="n">
        <v>2</v>
      </c>
      <c r="L4830" s="3" t="inlineStr">
        <is>
          <t>BOM</t>
        </is>
      </c>
      <c r="M4830" t="n">
        <v>45</v>
      </c>
      <c r="N4830" t="n">
        <v>93.33</v>
      </c>
      <c r="O4830" t="n">
        <v>6.956521739130435</v>
      </c>
    </row>
    <row r="4831">
      <c r="A4831" s="10" t="n">
        <v>46176</v>
      </c>
      <c r="B4831" t="inlineStr">
        <is>
          <t>Patrícia Karla de Sousa Araújo</t>
        </is>
      </c>
      <c r="C4831" t="inlineStr">
        <is>
          <t>Técnico II</t>
        </is>
      </c>
      <c r="D4831" t="n">
        <v>0</v>
      </c>
      <c r="E4831" t="n">
        <v>0</v>
      </c>
      <c r="F4831" t="n">
        <v>0</v>
      </c>
      <c r="G4831" t="n">
        <v>0</v>
      </c>
      <c r="H4831" t="n">
        <v>0</v>
      </c>
      <c r="I4831" s="3" t="n">
        <v>0</v>
      </c>
      <c r="J4831" s="3" t="n">
        <v>0</v>
      </c>
      <c r="K4831" s="3" t="n">
        <v>0</v>
      </c>
      <c r="L4831" s="3" t="inlineStr">
        <is>
          <t>BOM</t>
        </is>
      </c>
      <c r="M4831" t="n">
        <v>0</v>
      </c>
      <c r="N4831" t="n">
        <v>100</v>
      </c>
      <c r="O4831" t="n">
        <v>0</v>
      </c>
    </row>
    <row r="4832">
      <c r="A4832" s="10" t="n">
        <v>46176</v>
      </c>
      <c r="B4832" t="inlineStr">
        <is>
          <t>Raane Batista Matos</t>
        </is>
      </c>
      <c r="C4832" t="inlineStr">
        <is>
          <t>Técnico I</t>
        </is>
      </c>
      <c r="D4832" t="n">
        <v>30</v>
      </c>
      <c r="E4832" t="n">
        <v>28</v>
      </c>
      <c r="F4832" t="n">
        <v>20.13</v>
      </c>
      <c r="G4832" t="n">
        <v>4</v>
      </c>
      <c r="H4832" t="n">
        <v>0</v>
      </c>
      <c r="I4832" s="3" t="n">
        <v>32</v>
      </c>
      <c r="J4832" s="3" t="n">
        <v>22</v>
      </c>
      <c r="K4832" s="3" t="n">
        <v>10</v>
      </c>
      <c r="L4832" s="3" t="inlineStr">
        <is>
          <t>EXCELENTE</t>
        </is>
      </c>
      <c r="M4832" t="n">
        <v>23</v>
      </c>
      <c r="N4832" t="n">
        <v>91.67</v>
      </c>
      <c r="O4832" t="n">
        <v>4.285714285714286</v>
      </c>
    </row>
    <row r="4833">
      <c r="A4833" s="10" t="n">
        <v>46176</v>
      </c>
      <c r="B4833" t="inlineStr">
        <is>
          <t>Rafael Gomes de Morais</t>
        </is>
      </c>
      <c r="C4833" t="inlineStr">
        <is>
          <t>Técnico III</t>
        </is>
      </c>
      <c r="D4833" t="n">
        <v>48</v>
      </c>
      <c r="E4833" t="n">
        <v>46</v>
      </c>
      <c r="F4833" t="n">
        <v>12.17</v>
      </c>
      <c r="G4833" t="n">
        <v>1</v>
      </c>
      <c r="H4833" t="n">
        <v>0</v>
      </c>
      <c r="I4833" s="3" t="n">
        <v>47</v>
      </c>
      <c r="J4833" s="3" t="n">
        <v>33</v>
      </c>
      <c r="K4833" s="3" t="n">
        <v>14</v>
      </c>
      <c r="L4833" s="3" t="inlineStr">
        <is>
          <t>EXCELENTE</t>
        </is>
      </c>
      <c r="M4833" t="n">
        <v>47</v>
      </c>
      <c r="N4833" t="n">
        <v>100</v>
      </c>
      <c r="O4833" t="n">
        <v>9.25925925925926</v>
      </c>
    </row>
    <row r="4834">
      <c r="A4834" s="10" t="n">
        <v>46176</v>
      </c>
      <c r="B4834" t="inlineStr">
        <is>
          <t>Sara Maria Monteiro Lopes</t>
        </is>
      </c>
      <c r="C4834" t="inlineStr">
        <is>
          <t>Técnico I</t>
        </is>
      </c>
      <c r="D4834" t="n">
        <v>21</v>
      </c>
      <c r="E4834" t="n">
        <v>20</v>
      </c>
      <c r="F4834" t="n">
        <v>28.58</v>
      </c>
      <c r="G4834" t="n">
        <v>2</v>
      </c>
      <c r="H4834" t="n">
        <v>0</v>
      </c>
      <c r="I4834" s="3" t="n">
        <v>22</v>
      </c>
      <c r="J4834" s="3" t="n">
        <v>22</v>
      </c>
      <c r="K4834" s="3" t="n">
        <v>0</v>
      </c>
      <c r="L4834" s="3" t="inlineStr">
        <is>
          <t>BOM</t>
        </is>
      </c>
      <c r="M4834" t="n">
        <v>13</v>
      </c>
      <c r="N4834" t="n">
        <v>100</v>
      </c>
      <c r="O4834" t="n">
        <v>4.545454545454546</v>
      </c>
    </row>
    <row r="4835">
      <c r="A4835" s="10" t="n">
        <v>46176</v>
      </c>
      <c r="B4835" t="inlineStr">
        <is>
          <t>Sarah Steffanie de Lima Borges</t>
        </is>
      </c>
      <c r="C4835" t="inlineStr">
        <is>
          <t>Técnico III</t>
        </is>
      </c>
      <c r="D4835" t="n">
        <v>0</v>
      </c>
      <c r="E4835" t="n">
        <v>0</v>
      </c>
      <c r="F4835" t="n">
        <v>0</v>
      </c>
      <c r="G4835" t="n">
        <v>0</v>
      </c>
      <c r="H4835" t="n">
        <v>0</v>
      </c>
      <c r="I4835" s="3" t="n">
        <v>0</v>
      </c>
      <c r="J4835" s="3" t="n">
        <v>0</v>
      </c>
      <c r="K4835" s="3" t="n">
        <v>0</v>
      </c>
      <c r="L4835" s="3" t="inlineStr">
        <is>
          <t>BOM</t>
        </is>
      </c>
      <c r="M4835" t="n">
        <v>0</v>
      </c>
      <c r="N4835" t="n">
        <v>100</v>
      </c>
      <c r="O4835" t="n">
        <v>0</v>
      </c>
    </row>
    <row r="4836">
      <c r="A4836" s="10" t="n">
        <v>46177</v>
      </c>
      <c r="B4836" t="inlineStr">
        <is>
          <t>Anna Luiza Rezende Tavares</t>
        </is>
      </c>
      <c r="C4836" t="inlineStr">
        <is>
          <t>JR</t>
        </is>
      </c>
      <c r="D4836" t="n">
        <v>0</v>
      </c>
      <c r="E4836" t="n">
        <v>0</v>
      </c>
      <c r="F4836" t="n">
        <v>0</v>
      </c>
      <c r="G4836" t="n">
        <v>0</v>
      </c>
      <c r="H4836" t="n">
        <v>0</v>
      </c>
      <c r="I4836" s="3" t="n">
        <v>0</v>
      </c>
      <c r="J4836" s="3" t="n">
        <v>0</v>
      </c>
      <c r="K4836" s="3" t="n">
        <v>0</v>
      </c>
      <c r="L4836" s="3" t="inlineStr">
        <is>
          <t>BOM</t>
        </is>
      </c>
    </row>
    <row r="4837">
      <c r="A4837" s="10" t="n">
        <v>46177</v>
      </c>
      <c r="B4837" t="inlineStr">
        <is>
          <t>Claudio de Sousa Velasco Filho</t>
        </is>
      </c>
      <c r="C4837" t="inlineStr">
        <is>
          <t>Estágio</t>
        </is>
      </c>
      <c r="D4837" t="n">
        <v>0</v>
      </c>
      <c r="E4837" t="n">
        <v>0</v>
      </c>
      <c r="F4837" t="n">
        <v>0</v>
      </c>
      <c r="G4837" t="n">
        <v>0</v>
      </c>
      <c r="H4837" t="n">
        <v>0</v>
      </c>
      <c r="I4837" s="3" t="n">
        <v>0</v>
      </c>
      <c r="J4837" s="3" t="n">
        <v>0</v>
      </c>
      <c r="K4837" s="3" t="n">
        <v>0</v>
      </c>
      <c r="L4837" s="3" t="inlineStr">
        <is>
          <t>BOM</t>
        </is>
      </c>
    </row>
    <row r="4838">
      <c r="A4838" s="10" t="n">
        <v>46177</v>
      </c>
      <c r="B4838" t="inlineStr">
        <is>
          <t>Emilly Caylane Costa</t>
        </is>
      </c>
      <c r="C4838" t="inlineStr">
        <is>
          <t>Estágio</t>
        </is>
      </c>
      <c r="D4838" t="n">
        <v>0</v>
      </c>
      <c r="E4838" t="n">
        <v>0</v>
      </c>
      <c r="F4838" t="n">
        <v>0</v>
      </c>
      <c r="G4838" t="n">
        <v>0</v>
      </c>
      <c r="H4838" t="n">
        <v>0</v>
      </c>
      <c r="I4838" s="3" t="n">
        <v>0</v>
      </c>
      <c r="J4838" s="3" t="n">
        <v>0</v>
      </c>
      <c r="K4838" s="3" t="n">
        <v>0</v>
      </c>
      <c r="L4838" s="3" t="inlineStr">
        <is>
          <t>BOM</t>
        </is>
      </c>
    </row>
    <row r="4839">
      <c r="A4839" s="10" t="n">
        <v>46177</v>
      </c>
      <c r="B4839" t="inlineStr">
        <is>
          <t>Gabriel Alves</t>
        </is>
      </c>
      <c r="C4839" t="inlineStr">
        <is>
          <t>Estágio</t>
        </is>
      </c>
      <c r="D4839" t="n">
        <v>0</v>
      </c>
      <c r="E4839" t="n">
        <v>0</v>
      </c>
      <c r="F4839" t="n">
        <v>0</v>
      </c>
      <c r="G4839" t="n">
        <v>0</v>
      </c>
      <c r="H4839" t="n">
        <v>0</v>
      </c>
      <c r="I4839" s="3" t="n">
        <v>0</v>
      </c>
      <c r="J4839" s="3" t="n">
        <v>0</v>
      </c>
      <c r="K4839" s="3" t="n">
        <v>0</v>
      </c>
      <c r="L4839" s="3" t="inlineStr">
        <is>
          <t>BOM</t>
        </is>
      </c>
    </row>
    <row r="4840">
      <c r="A4840" s="10" t="n">
        <v>46177</v>
      </c>
      <c r="B4840" t="inlineStr">
        <is>
          <t>Karina Gonçalves Martins</t>
        </is>
      </c>
      <c r="C4840" t="inlineStr">
        <is>
          <t>JR</t>
        </is>
      </c>
      <c r="D4840" t="n">
        <v>0</v>
      </c>
      <c r="E4840" t="n">
        <v>0</v>
      </c>
      <c r="F4840" t="n">
        <v>0</v>
      </c>
      <c r="G4840" t="n">
        <v>0</v>
      </c>
      <c r="H4840" t="n">
        <v>0</v>
      </c>
      <c r="I4840" s="3" t="n">
        <v>0</v>
      </c>
      <c r="J4840" s="3" t="n">
        <v>0</v>
      </c>
      <c r="K4840" s="3" t="n">
        <v>0</v>
      </c>
      <c r="L4840" s="3" t="inlineStr">
        <is>
          <t>BOM</t>
        </is>
      </c>
    </row>
    <row r="4841">
      <c r="A4841" s="10" t="n">
        <v>46177</v>
      </c>
      <c r="B4841" t="inlineStr">
        <is>
          <t>Leandro de Souza Silva</t>
        </is>
      </c>
      <c r="C4841" t="inlineStr">
        <is>
          <t>Técnico I</t>
        </is>
      </c>
      <c r="D4841" t="n">
        <v>0</v>
      </c>
      <c r="E4841" t="n">
        <v>0</v>
      </c>
      <c r="F4841" t="n">
        <v>0</v>
      </c>
      <c r="G4841" t="n">
        <v>0</v>
      </c>
      <c r="H4841" t="n">
        <v>0</v>
      </c>
      <c r="I4841" s="3" t="n">
        <v>0</v>
      </c>
      <c r="J4841" s="3" t="n">
        <v>0</v>
      </c>
      <c r="K4841" s="3" t="n">
        <v>0</v>
      </c>
      <c r="L4841" s="3" t="inlineStr">
        <is>
          <t>BOM</t>
        </is>
      </c>
    </row>
    <row r="4842">
      <c r="A4842" s="10" t="n">
        <v>46177</v>
      </c>
      <c r="B4842" t="inlineStr">
        <is>
          <t>Maria Eduarda Sousa Costa</t>
        </is>
      </c>
      <c r="C4842" t="inlineStr">
        <is>
          <t>Estágio</t>
        </is>
      </c>
      <c r="D4842" t="n">
        <v>0</v>
      </c>
      <c r="E4842" t="n">
        <v>0</v>
      </c>
      <c r="F4842" t="n">
        <v>0</v>
      </c>
      <c r="G4842" t="n">
        <v>0</v>
      </c>
      <c r="H4842" t="n">
        <v>0</v>
      </c>
      <c r="I4842" s="3" t="n">
        <v>0</v>
      </c>
      <c r="J4842" s="3" t="n">
        <v>0</v>
      </c>
      <c r="K4842" s="3" t="n">
        <v>0</v>
      </c>
      <c r="L4842" s="3" t="inlineStr">
        <is>
          <t>BOM</t>
        </is>
      </c>
    </row>
    <row r="4843">
      <c r="A4843" s="10" t="n">
        <v>46177</v>
      </c>
      <c r="B4843" t="inlineStr">
        <is>
          <t>Michelle G Santos</t>
        </is>
      </c>
      <c r="C4843" t="inlineStr">
        <is>
          <t>Estágio</t>
        </is>
      </c>
      <c r="D4843" t="n">
        <v>0</v>
      </c>
      <c r="E4843" t="n">
        <v>0</v>
      </c>
      <c r="F4843" t="n">
        <v>0</v>
      </c>
      <c r="G4843" t="n">
        <v>0</v>
      </c>
      <c r="H4843" t="n">
        <v>0</v>
      </c>
      <c r="I4843" s="3" t="n">
        <v>0</v>
      </c>
      <c r="J4843" s="3" t="n">
        <v>0</v>
      </c>
      <c r="K4843" s="3" t="n">
        <v>0</v>
      </c>
      <c r="L4843" s="3" t="inlineStr">
        <is>
          <t>BOM</t>
        </is>
      </c>
    </row>
    <row r="4844">
      <c r="A4844" s="10" t="n">
        <v>46177</v>
      </c>
      <c r="B4844" t="inlineStr">
        <is>
          <t>Milena Sales</t>
        </is>
      </c>
      <c r="C4844" t="inlineStr">
        <is>
          <t>JR</t>
        </is>
      </c>
      <c r="D4844" t="n">
        <v>0</v>
      </c>
      <c r="E4844" t="n">
        <v>0</v>
      </c>
      <c r="F4844" t="n">
        <v>0</v>
      </c>
      <c r="G4844" t="n">
        <v>0</v>
      </c>
      <c r="H4844" t="n">
        <v>0</v>
      </c>
      <c r="I4844" s="3" t="n">
        <v>0</v>
      </c>
      <c r="J4844" s="3" t="n">
        <v>0</v>
      </c>
      <c r="K4844" s="3" t="n">
        <v>0</v>
      </c>
      <c r="L4844" s="3" t="inlineStr">
        <is>
          <t>BOM</t>
        </is>
      </c>
    </row>
    <row r="4845">
      <c r="A4845" s="10" t="n">
        <v>46177</v>
      </c>
      <c r="B4845" t="inlineStr">
        <is>
          <t>Paulo Ricardo Santos</t>
        </is>
      </c>
      <c r="C4845" t="inlineStr">
        <is>
          <t>Técnico I</t>
        </is>
      </c>
      <c r="D4845" t="n">
        <v>0</v>
      </c>
      <c r="E4845" t="n">
        <v>0</v>
      </c>
      <c r="F4845" t="n">
        <v>0</v>
      </c>
      <c r="G4845" t="n">
        <v>0</v>
      </c>
      <c r="H4845" t="n">
        <v>0</v>
      </c>
      <c r="I4845" s="3" t="n">
        <v>0</v>
      </c>
      <c r="J4845" s="3" t="n">
        <v>0</v>
      </c>
      <c r="K4845" s="3" t="n">
        <v>0</v>
      </c>
      <c r="L4845" s="3" t="inlineStr">
        <is>
          <t>BOM</t>
        </is>
      </c>
    </row>
    <row r="4846">
      <c r="A4846" s="10" t="n">
        <v>46177</v>
      </c>
      <c r="B4846" t="inlineStr">
        <is>
          <t>Pedro Luiz Mota Sousa</t>
        </is>
      </c>
      <c r="C4846" t="inlineStr">
        <is>
          <t>Técnico I</t>
        </is>
      </c>
      <c r="D4846" t="n">
        <v>0</v>
      </c>
      <c r="E4846" t="n">
        <v>0</v>
      </c>
      <c r="F4846" t="n">
        <v>0</v>
      </c>
      <c r="G4846" t="n">
        <v>0</v>
      </c>
      <c r="H4846" t="n">
        <v>0</v>
      </c>
      <c r="I4846" s="3" t="n">
        <v>0</v>
      </c>
      <c r="J4846" s="3" t="n">
        <v>0</v>
      </c>
      <c r="K4846" s="3" t="n">
        <v>0</v>
      </c>
      <c r="L4846" s="3" t="inlineStr">
        <is>
          <t>BOM</t>
        </is>
      </c>
    </row>
    <row r="4847">
      <c r="A4847" s="10" t="n">
        <v>46177</v>
      </c>
      <c r="B4847" t="inlineStr">
        <is>
          <t>Quirino Diogo Leite Torres</t>
        </is>
      </c>
      <c r="C4847" t="inlineStr">
        <is>
          <t>Estágio</t>
        </is>
      </c>
      <c r="D4847" t="n">
        <v>0</v>
      </c>
      <c r="E4847" t="n">
        <v>0</v>
      </c>
      <c r="F4847" t="n">
        <v>0</v>
      </c>
      <c r="G4847" t="n">
        <v>0</v>
      </c>
      <c r="H4847" t="n">
        <v>0</v>
      </c>
      <c r="I4847" s="3" t="n">
        <v>0</v>
      </c>
      <c r="J4847" s="3" t="n">
        <v>0</v>
      </c>
      <c r="K4847" s="3" t="n">
        <v>0</v>
      </c>
      <c r="L4847" s="3" t="inlineStr">
        <is>
          <t>BOM</t>
        </is>
      </c>
    </row>
    <row r="4848">
      <c r="A4848" s="10" t="n">
        <v>46177</v>
      </c>
      <c r="B4848" t="inlineStr">
        <is>
          <t>Alisson de Freitas Silva</t>
        </is>
      </c>
      <c r="C4848" t="inlineStr">
        <is>
          <t>Técnico II</t>
        </is>
      </c>
      <c r="D4848" t="n">
        <v>0</v>
      </c>
      <c r="E4848" t="n">
        <v>0</v>
      </c>
      <c r="F4848" t="n">
        <v>0</v>
      </c>
      <c r="G4848" t="n">
        <v>0</v>
      </c>
      <c r="H4848" t="n">
        <v>0</v>
      </c>
      <c r="I4848" s="3" t="n">
        <v>0</v>
      </c>
      <c r="J4848" s="3" t="n">
        <v>0</v>
      </c>
      <c r="K4848" s="3" t="n">
        <v>0</v>
      </c>
      <c r="L4848" s="3" t="inlineStr">
        <is>
          <t>BOM</t>
        </is>
      </c>
    </row>
    <row r="4849">
      <c r="A4849" s="10" t="n">
        <v>46177</v>
      </c>
      <c r="B4849" t="inlineStr">
        <is>
          <t>Amanda Moura Ferreira</t>
        </is>
      </c>
      <c r="C4849" t="inlineStr">
        <is>
          <t>Técnico III</t>
        </is>
      </c>
      <c r="D4849" t="n">
        <v>0</v>
      </c>
      <c r="E4849" t="n">
        <v>0</v>
      </c>
      <c r="F4849" t="n">
        <v>0</v>
      </c>
      <c r="G4849" t="n">
        <v>0</v>
      </c>
      <c r="H4849" t="n">
        <v>0</v>
      </c>
      <c r="I4849" s="3" t="n">
        <v>0</v>
      </c>
      <c r="J4849" s="3" t="n">
        <v>0</v>
      </c>
      <c r="K4849" s="3" t="n">
        <v>0</v>
      </c>
      <c r="L4849" s="3" t="inlineStr">
        <is>
          <t>BOM</t>
        </is>
      </c>
    </row>
    <row r="4850">
      <c r="A4850" s="10" t="n">
        <v>46177</v>
      </c>
      <c r="B4850" t="inlineStr">
        <is>
          <t>Ana Karollyne Souza Faria</t>
        </is>
      </c>
      <c r="C4850" t="inlineStr">
        <is>
          <t>Técnico I</t>
        </is>
      </c>
      <c r="D4850" t="n">
        <v>0</v>
      </c>
      <c r="E4850" t="n">
        <v>0</v>
      </c>
      <c r="F4850" t="n">
        <v>0</v>
      </c>
      <c r="G4850" t="n">
        <v>1</v>
      </c>
      <c r="H4850" t="n">
        <v>0</v>
      </c>
      <c r="I4850" s="3" t="n">
        <v>1</v>
      </c>
      <c r="J4850" s="3" t="n">
        <v>0</v>
      </c>
      <c r="K4850" s="3" t="n">
        <v>1</v>
      </c>
      <c r="L4850" s="3" t="inlineStr">
        <is>
          <t>BOM</t>
        </is>
      </c>
    </row>
    <row r="4851">
      <c r="A4851" s="10" t="n">
        <v>46177</v>
      </c>
      <c r="B4851" t="inlineStr">
        <is>
          <t>Ana Paula Da Luz Silva Aleixo</t>
        </is>
      </c>
      <c r="C4851" t="inlineStr">
        <is>
          <t>Técnico III</t>
        </is>
      </c>
      <c r="D4851" t="n">
        <v>0</v>
      </c>
      <c r="E4851" t="n">
        <v>0</v>
      </c>
      <c r="F4851" t="n">
        <v>0</v>
      </c>
      <c r="G4851" t="n">
        <v>0</v>
      </c>
      <c r="H4851" t="n">
        <v>0</v>
      </c>
      <c r="I4851" s="3" t="n">
        <v>0</v>
      </c>
      <c r="J4851" s="3" t="n">
        <v>0</v>
      </c>
      <c r="K4851" s="3" t="n">
        <v>0</v>
      </c>
      <c r="L4851" s="3" t="inlineStr">
        <is>
          <t>BOM</t>
        </is>
      </c>
    </row>
    <row r="4852">
      <c r="A4852" s="10" t="n">
        <v>46177</v>
      </c>
      <c r="B4852" t="inlineStr">
        <is>
          <t>Brenda de Menezes Silva</t>
        </is>
      </c>
      <c r="C4852" t="inlineStr">
        <is>
          <t>Técnico II</t>
        </is>
      </c>
      <c r="D4852" t="n">
        <v>0</v>
      </c>
      <c r="E4852" t="n">
        <v>0</v>
      </c>
      <c r="F4852" t="n">
        <v>0</v>
      </c>
      <c r="G4852" t="n">
        <v>0</v>
      </c>
      <c r="H4852" t="n">
        <v>0</v>
      </c>
      <c r="I4852" s="3" t="n">
        <v>0</v>
      </c>
      <c r="J4852" s="3" t="n">
        <v>0</v>
      </c>
      <c r="K4852" s="3" t="n">
        <v>0</v>
      </c>
      <c r="L4852" s="3" t="inlineStr">
        <is>
          <t>BOM</t>
        </is>
      </c>
    </row>
    <row r="4853">
      <c r="A4853" s="10" t="n">
        <v>46177</v>
      </c>
      <c r="B4853" t="inlineStr">
        <is>
          <t>Carlos Mateus Cassimiro Nunes</t>
        </is>
      </c>
      <c r="C4853" t="inlineStr">
        <is>
          <t>Técnico II</t>
        </is>
      </c>
      <c r="D4853" t="n">
        <v>0</v>
      </c>
      <c r="E4853" t="n">
        <v>0</v>
      </c>
      <c r="F4853" t="n">
        <v>0</v>
      </c>
      <c r="G4853" t="n">
        <v>0</v>
      </c>
      <c r="H4853" t="n">
        <v>0</v>
      </c>
      <c r="I4853" s="3" t="n">
        <v>0</v>
      </c>
      <c r="J4853" s="3" t="n">
        <v>0</v>
      </c>
      <c r="K4853" s="3" t="n">
        <v>0</v>
      </c>
      <c r="L4853" s="3" t="inlineStr">
        <is>
          <t>BOM</t>
        </is>
      </c>
    </row>
    <row r="4854">
      <c r="A4854" s="10" t="n">
        <v>46177</v>
      </c>
      <c r="B4854" t="inlineStr">
        <is>
          <t>Clessiane Pereira dos Santos</t>
        </is>
      </c>
      <c r="C4854" t="inlineStr">
        <is>
          <t>Técnico I</t>
        </is>
      </c>
      <c r="D4854" t="n">
        <v>0</v>
      </c>
      <c r="E4854" t="n">
        <v>0</v>
      </c>
      <c r="F4854" t="n">
        <v>0</v>
      </c>
      <c r="G4854" t="n">
        <v>0</v>
      </c>
      <c r="H4854" t="n">
        <v>0</v>
      </c>
      <c r="I4854" s="3" t="n">
        <v>0</v>
      </c>
      <c r="J4854" s="3" t="n">
        <v>0</v>
      </c>
      <c r="K4854" s="3" t="n">
        <v>0</v>
      </c>
      <c r="L4854" s="3" t="inlineStr">
        <is>
          <t>BOM</t>
        </is>
      </c>
    </row>
    <row r="4855">
      <c r="A4855" s="10" t="n">
        <v>46177</v>
      </c>
      <c r="B4855" t="inlineStr">
        <is>
          <t>Cristiane Ramos da Silva Rocha</t>
        </is>
      </c>
      <c r="C4855" t="inlineStr">
        <is>
          <t>Técnico III</t>
        </is>
      </c>
      <c r="D4855" t="n">
        <v>0</v>
      </c>
      <c r="E4855" t="n">
        <v>0</v>
      </c>
      <c r="F4855" t="n">
        <v>0</v>
      </c>
      <c r="G4855" t="n">
        <v>0</v>
      </c>
      <c r="H4855" t="n">
        <v>0</v>
      </c>
      <c r="I4855" s="3" t="n">
        <v>0</v>
      </c>
      <c r="J4855" s="3" t="n">
        <v>0</v>
      </c>
      <c r="K4855" s="3" t="n">
        <v>0</v>
      </c>
      <c r="L4855" s="3" t="inlineStr">
        <is>
          <t>BOM</t>
        </is>
      </c>
    </row>
    <row r="4856">
      <c r="A4856" s="10" t="n">
        <v>46177</v>
      </c>
      <c r="B4856" t="inlineStr">
        <is>
          <t>Damyllis Lorraine de Oliveira Gonçalves</t>
        </is>
      </c>
      <c r="C4856" t="inlineStr">
        <is>
          <t>Técnico II</t>
        </is>
      </c>
      <c r="D4856" t="n">
        <v>0</v>
      </c>
      <c r="E4856" t="n">
        <v>0</v>
      </c>
      <c r="F4856" t="n">
        <v>0</v>
      </c>
      <c r="G4856" t="n">
        <v>0</v>
      </c>
      <c r="H4856" t="n">
        <v>0</v>
      </c>
      <c r="I4856" s="3" t="n">
        <v>0</v>
      </c>
      <c r="J4856" s="3" t="n">
        <v>0</v>
      </c>
      <c r="K4856" s="3" t="n">
        <v>0</v>
      </c>
      <c r="L4856" s="3" t="inlineStr">
        <is>
          <t>BOM</t>
        </is>
      </c>
    </row>
    <row r="4857">
      <c r="A4857" s="10" t="n">
        <v>46177</v>
      </c>
      <c r="B4857" t="inlineStr">
        <is>
          <t>Daniel Gomes da Silva</t>
        </is>
      </c>
      <c r="C4857" t="inlineStr">
        <is>
          <t>Técnico I</t>
        </is>
      </c>
      <c r="D4857" t="n">
        <v>0</v>
      </c>
      <c r="E4857" t="n">
        <v>0</v>
      </c>
      <c r="F4857" t="n">
        <v>0</v>
      </c>
      <c r="G4857" t="n">
        <v>0</v>
      </c>
      <c r="H4857" t="n">
        <v>0</v>
      </c>
      <c r="I4857" s="3" t="n">
        <v>0</v>
      </c>
      <c r="J4857" s="3" t="n">
        <v>0</v>
      </c>
      <c r="K4857" s="3" t="n">
        <v>0</v>
      </c>
      <c r="L4857" s="3" t="inlineStr">
        <is>
          <t>BOM</t>
        </is>
      </c>
    </row>
    <row r="4858">
      <c r="A4858" s="10" t="n">
        <v>46177</v>
      </c>
      <c r="B4858" t="inlineStr">
        <is>
          <t>Davylla Rodrigues Freitas Silva</t>
        </is>
      </c>
      <c r="C4858" t="inlineStr">
        <is>
          <t>Técnico III</t>
        </is>
      </c>
      <c r="D4858" t="n">
        <v>0</v>
      </c>
      <c r="E4858" t="n">
        <v>0</v>
      </c>
      <c r="F4858" t="n">
        <v>0</v>
      </c>
      <c r="G4858" t="n">
        <v>0</v>
      </c>
      <c r="H4858" t="n">
        <v>0</v>
      </c>
      <c r="I4858" s="3" t="n">
        <v>0</v>
      </c>
      <c r="J4858" s="3" t="n">
        <v>0</v>
      </c>
      <c r="K4858" s="3" t="n">
        <v>0</v>
      </c>
      <c r="L4858" s="3" t="inlineStr">
        <is>
          <t>BOM</t>
        </is>
      </c>
    </row>
    <row r="4859">
      <c r="A4859" s="10" t="n">
        <v>46177</v>
      </c>
      <c r="B4859" t="inlineStr">
        <is>
          <t>Emilly Kamilly Medeiros Miranda</t>
        </is>
      </c>
      <c r="C4859" t="inlineStr">
        <is>
          <t>Técnico II</t>
        </is>
      </c>
      <c r="D4859" t="n">
        <v>0</v>
      </c>
      <c r="E4859" t="n">
        <v>0</v>
      </c>
      <c r="F4859" t="n">
        <v>0</v>
      </c>
      <c r="G4859" t="n">
        <v>0</v>
      </c>
      <c r="H4859" t="n">
        <v>0</v>
      </c>
      <c r="I4859" s="3" t="n">
        <v>0</v>
      </c>
      <c r="J4859" s="3" t="n">
        <v>0</v>
      </c>
      <c r="K4859" s="3" t="n">
        <v>0</v>
      </c>
      <c r="L4859" s="3" t="inlineStr">
        <is>
          <t>BOM</t>
        </is>
      </c>
    </row>
    <row r="4860">
      <c r="A4860" s="10" t="n">
        <v>46177</v>
      </c>
      <c r="B4860" t="inlineStr">
        <is>
          <t>Francielson de Oliveira</t>
        </is>
      </c>
      <c r="C4860" t="inlineStr">
        <is>
          <t>Técnico III</t>
        </is>
      </c>
      <c r="D4860" t="n">
        <v>0</v>
      </c>
      <c r="E4860" t="n">
        <v>0</v>
      </c>
      <c r="F4860" t="n">
        <v>0</v>
      </c>
      <c r="G4860" t="n">
        <v>0</v>
      </c>
      <c r="H4860" t="n">
        <v>0</v>
      </c>
      <c r="I4860" s="3" t="n">
        <v>0</v>
      </c>
      <c r="J4860" s="3" t="n">
        <v>0</v>
      </c>
      <c r="K4860" s="3" t="n">
        <v>0</v>
      </c>
      <c r="L4860" s="3" t="inlineStr">
        <is>
          <t>BOM</t>
        </is>
      </c>
    </row>
    <row r="4861">
      <c r="A4861" s="10" t="n">
        <v>46177</v>
      </c>
      <c r="B4861" t="inlineStr">
        <is>
          <t>Francilene Ferreira de Jesus</t>
        </is>
      </c>
      <c r="C4861" t="inlineStr">
        <is>
          <t>Técnico II</t>
        </is>
      </c>
      <c r="D4861" t="n">
        <v>0</v>
      </c>
      <c r="E4861" t="n">
        <v>0</v>
      </c>
      <c r="F4861" t="n">
        <v>0</v>
      </c>
      <c r="G4861" t="n">
        <v>0</v>
      </c>
      <c r="H4861" t="n">
        <v>0</v>
      </c>
      <c r="I4861" s="3" t="n">
        <v>0</v>
      </c>
      <c r="J4861" s="3" t="n">
        <v>0</v>
      </c>
      <c r="K4861" s="3" t="n">
        <v>0</v>
      </c>
      <c r="L4861" s="3" t="inlineStr">
        <is>
          <t>BOM</t>
        </is>
      </c>
    </row>
    <row r="4862">
      <c r="A4862" s="10" t="n">
        <v>46177</v>
      </c>
      <c r="B4862" t="inlineStr">
        <is>
          <t>Gabriel Gomes de Andrade</t>
        </is>
      </c>
      <c r="C4862" t="inlineStr">
        <is>
          <t>Técnico I</t>
        </is>
      </c>
      <c r="D4862" t="n">
        <v>0</v>
      </c>
      <c r="E4862" t="n">
        <v>0</v>
      </c>
      <c r="F4862" t="n">
        <v>0</v>
      </c>
      <c r="G4862" t="n">
        <v>0</v>
      </c>
      <c r="H4862" t="n">
        <v>0</v>
      </c>
      <c r="I4862" s="3" t="n">
        <v>0</v>
      </c>
      <c r="J4862" s="3" t="n">
        <v>0</v>
      </c>
      <c r="K4862" s="3" t="n">
        <v>0</v>
      </c>
      <c r="L4862" s="3" t="inlineStr">
        <is>
          <t>BOM</t>
        </is>
      </c>
    </row>
    <row r="4863">
      <c r="A4863" s="10" t="n">
        <v>46177</v>
      </c>
      <c r="B4863" t="inlineStr">
        <is>
          <t>Isabella Borges de Oliveira</t>
        </is>
      </c>
      <c r="C4863" t="inlineStr">
        <is>
          <t>Técnico II</t>
        </is>
      </c>
      <c r="D4863" t="n">
        <v>0</v>
      </c>
      <c r="E4863" t="n">
        <v>0</v>
      </c>
      <c r="F4863" t="n">
        <v>0</v>
      </c>
      <c r="G4863" t="n">
        <v>0</v>
      </c>
      <c r="H4863" t="n">
        <v>0</v>
      </c>
      <c r="I4863" s="3" t="n">
        <v>0</v>
      </c>
      <c r="J4863" s="3" t="n">
        <v>0</v>
      </c>
      <c r="K4863" s="3" t="n">
        <v>0</v>
      </c>
      <c r="L4863" s="3" t="inlineStr">
        <is>
          <t>BOM</t>
        </is>
      </c>
    </row>
    <row r="4864">
      <c r="A4864" s="10" t="n">
        <v>46177</v>
      </c>
      <c r="B4864" t="inlineStr">
        <is>
          <t>Janaina Lima dos Reis Urany</t>
        </is>
      </c>
      <c r="C4864" t="inlineStr">
        <is>
          <t>Técnico III</t>
        </is>
      </c>
      <c r="D4864" t="n">
        <v>0</v>
      </c>
      <c r="E4864" t="n">
        <v>0</v>
      </c>
      <c r="F4864" t="n">
        <v>0</v>
      </c>
      <c r="G4864" t="n">
        <v>0</v>
      </c>
      <c r="H4864" t="n">
        <v>0</v>
      </c>
      <c r="I4864" s="3" t="n">
        <v>0</v>
      </c>
      <c r="J4864" s="3" t="n">
        <v>0</v>
      </c>
      <c r="K4864" s="3" t="n">
        <v>0</v>
      </c>
      <c r="L4864" s="3" t="inlineStr">
        <is>
          <t>BOM</t>
        </is>
      </c>
    </row>
    <row r="4865">
      <c r="A4865" s="10" t="n">
        <v>46177</v>
      </c>
      <c r="B4865" t="inlineStr">
        <is>
          <t>Jaqueline Evangelista da Silva Martins</t>
        </is>
      </c>
      <c r="C4865" t="inlineStr">
        <is>
          <t>Técnico III</t>
        </is>
      </c>
      <c r="D4865" t="n">
        <v>0</v>
      </c>
      <c r="E4865" t="n">
        <v>0</v>
      </c>
      <c r="F4865" t="n">
        <v>0</v>
      </c>
      <c r="G4865" t="n">
        <v>0</v>
      </c>
      <c r="H4865" t="n">
        <v>0</v>
      </c>
      <c r="I4865" s="3" t="n">
        <v>0</v>
      </c>
      <c r="J4865" s="3" t="n">
        <v>0</v>
      </c>
      <c r="K4865" s="3" t="n">
        <v>0</v>
      </c>
      <c r="L4865" s="3" t="inlineStr">
        <is>
          <t>BOM</t>
        </is>
      </c>
    </row>
    <row r="4866">
      <c r="A4866" s="10" t="n">
        <v>46177</v>
      </c>
      <c r="B4866" t="inlineStr">
        <is>
          <t>Jessica Faria da Silveira</t>
        </is>
      </c>
      <c r="C4866" t="inlineStr">
        <is>
          <t>Técnico II</t>
        </is>
      </c>
      <c r="D4866" t="n">
        <v>0</v>
      </c>
      <c r="E4866" t="n">
        <v>0</v>
      </c>
      <c r="F4866" t="n">
        <v>0</v>
      </c>
      <c r="G4866" t="n">
        <v>0</v>
      </c>
      <c r="H4866" t="n">
        <v>0</v>
      </c>
      <c r="I4866" s="3" t="n">
        <v>0</v>
      </c>
      <c r="J4866" s="3" t="n">
        <v>0</v>
      </c>
      <c r="K4866" s="3" t="n">
        <v>0</v>
      </c>
      <c r="L4866" s="3" t="inlineStr">
        <is>
          <t>BOM</t>
        </is>
      </c>
    </row>
    <row r="4867">
      <c r="A4867" s="10" t="n">
        <v>46177</v>
      </c>
      <c r="B4867" t="inlineStr">
        <is>
          <t>Jéssica Fé Moura</t>
        </is>
      </c>
      <c r="C4867" t="inlineStr">
        <is>
          <t>Técnico III</t>
        </is>
      </c>
      <c r="D4867" t="n">
        <v>0</v>
      </c>
      <c r="E4867" t="n">
        <v>0</v>
      </c>
      <c r="F4867" t="n">
        <v>0</v>
      </c>
      <c r="G4867" t="n">
        <v>0</v>
      </c>
      <c r="H4867" t="n">
        <v>0</v>
      </c>
      <c r="I4867" s="3" t="n">
        <v>0</v>
      </c>
      <c r="J4867" s="3" t="n">
        <v>0</v>
      </c>
      <c r="K4867" s="3" t="n">
        <v>0</v>
      </c>
      <c r="L4867" s="3" t="inlineStr">
        <is>
          <t>BOM</t>
        </is>
      </c>
    </row>
    <row r="4868">
      <c r="A4868" s="10" t="n">
        <v>46177</v>
      </c>
      <c r="B4868" t="inlineStr">
        <is>
          <t>Kerollen Cristielly de Jesus Siqueira</t>
        </is>
      </c>
      <c r="C4868" t="inlineStr">
        <is>
          <t>Técnico III</t>
        </is>
      </c>
      <c r="D4868" t="n">
        <v>0</v>
      </c>
      <c r="E4868" t="n">
        <v>0</v>
      </c>
      <c r="F4868" t="n">
        <v>0</v>
      </c>
      <c r="G4868" t="n">
        <v>0</v>
      </c>
      <c r="H4868" t="n">
        <v>0</v>
      </c>
      <c r="I4868" s="3" t="n">
        <v>0</v>
      </c>
      <c r="J4868" s="3" t="n">
        <v>0</v>
      </c>
      <c r="K4868" s="3" t="n">
        <v>0</v>
      </c>
      <c r="L4868" s="3" t="inlineStr">
        <is>
          <t>BOM</t>
        </is>
      </c>
    </row>
    <row r="4869">
      <c r="A4869" s="10" t="n">
        <v>46177</v>
      </c>
      <c r="B4869" t="inlineStr">
        <is>
          <t>Leandro Oliveira de Sousa</t>
        </is>
      </c>
      <c r="C4869" t="inlineStr">
        <is>
          <t>Técnico III</t>
        </is>
      </c>
      <c r="D4869" t="n">
        <v>0</v>
      </c>
      <c r="E4869" t="n">
        <v>0</v>
      </c>
      <c r="F4869" t="n">
        <v>0</v>
      </c>
      <c r="G4869" t="n">
        <v>0</v>
      </c>
      <c r="H4869" t="n">
        <v>0</v>
      </c>
      <c r="I4869" s="3" t="n">
        <v>0</v>
      </c>
      <c r="J4869" s="3" t="n">
        <v>0</v>
      </c>
      <c r="K4869" s="3" t="n">
        <v>0</v>
      </c>
      <c r="L4869" s="3" t="inlineStr">
        <is>
          <t>BOM</t>
        </is>
      </c>
    </row>
    <row r="4870">
      <c r="A4870" s="10" t="n">
        <v>46177</v>
      </c>
      <c r="B4870" t="inlineStr">
        <is>
          <t>Lizandra Gomes Duarte</t>
        </is>
      </c>
      <c r="C4870" t="inlineStr">
        <is>
          <t>Técnico II</t>
        </is>
      </c>
      <c r="D4870" t="n">
        <v>0</v>
      </c>
      <c r="E4870" t="n">
        <v>0</v>
      </c>
      <c r="F4870" t="n">
        <v>0</v>
      </c>
      <c r="G4870" t="n">
        <v>0</v>
      </c>
      <c r="H4870" t="n">
        <v>0</v>
      </c>
      <c r="I4870" s="3" t="n">
        <v>0</v>
      </c>
      <c r="J4870" s="3" t="n">
        <v>0</v>
      </c>
      <c r="K4870" s="3" t="n">
        <v>0</v>
      </c>
      <c r="L4870" s="3" t="inlineStr">
        <is>
          <t>BOM</t>
        </is>
      </c>
    </row>
    <row r="4871">
      <c r="A4871" s="10" t="n">
        <v>46177</v>
      </c>
      <c r="B4871" t="inlineStr">
        <is>
          <t>Lorena Dias de Araujo</t>
        </is>
      </c>
      <c r="C4871" t="inlineStr">
        <is>
          <t>Técnico II</t>
        </is>
      </c>
      <c r="D4871" t="n">
        <v>0</v>
      </c>
      <c r="E4871" t="n">
        <v>0</v>
      </c>
      <c r="F4871" t="n">
        <v>0</v>
      </c>
      <c r="G4871" t="n">
        <v>0</v>
      </c>
      <c r="H4871" t="n">
        <v>0</v>
      </c>
      <c r="I4871" s="3" t="n">
        <v>0</v>
      </c>
      <c r="J4871" s="3" t="n">
        <v>0</v>
      </c>
      <c r="K4871" s="3" t="n">
        <v>0</v>
      </c>
      <c r="L4871" s="3" t="inlineStr">
        <is>
          <t>BOM</t>
        </is>
      </c>
    </row>
    <row r="4872">
      <c r="A4872" s="10" t="n">
        <v>46177</v>
      </c>
      <c r="B4872" t="inlineStr">
        <is>
          <t>Lucas Luiz Romero</t>
        </is>
      </c>
      <c r="C4872" t="inlineStr">
        <is>
          <t>Técnico III</t>
        </is>
      </c>
      <c r="D4872" t="n">
        <v>0</v>
      </c>
      <c r="E4872" t="n">
        <v>0</v>
      </c>
      <c r="F4872" t="n">
        <v>0</v>
      </c>
      <c r="G4872" t="n">
        <v>0</v>
      </c>
      <c r="H4872" t="n">
        <v>0</v>
      </c>
      <c r="I4872" s="3" t="n">
        <v>0</v>
      </c>
      <c r="J4872" s="3" t="n">
        <v>0</v>
      </c>
      <c r="K4872" s="3" t="n">
        <v>0</v>
      </c>
      <c r="L4872" s="3" t="inlineStr">
        <is>
          <t>BOM</t>
        </is>
      </c>
    </row>
    <row r="4873">
      <c r="A4873" s="10" t="n">
        <v>46177</v>
      </c>
      <c r="B4873" t="inlineStr">
        <is>
          <t>Luiz Fernando de Carvalho Junior</t>
        </is>
      </c>
      <c r="C4873" t="inlineStr">
        <is>
          <t>Técnico I</t>
        </is>
      </c>
      <c r="D4873" t="n">
        <v>0</v>
      </c>
      <c r="E4873" t="n">
        <v>0</v>
      </c>
      <c r="F4873" t="n">
        <v>0</v>
      </c>
      <c r="G4873" t="n">
        <v>0</v>
      </c>
      <c r="H4873" t="n">
        <v>0</v>
      </c>
      <c r="I4873" s="3" t="n">
        <v>0</v>
      </c>
      <c r="J4873" s="3" t="n">
        <v>0</v>
      </c>
      <c r="K4873" s="3" t="n">
        <v>0</v>
      </c>
      <c r="L4873" s="3" t="inlineStr">
        <is>
          <t>BOM</t>
        </is>
      </c>
    </row>
    <row r="4874">
      <c r="A4874" s="10" t="n">
        <v>46177</v>
      </c>
      <c r="B4874" t="inlineStr">
        <is>
          <t>Matheus Farias De Souza</t>
        </is>
      </c>
      <c r="C4874" t="inlineStr">
        <is>
          <t>Técnico III</t>
        </is>
      </c>
      <c r="D4874" t="n">
        <v>0</v>
      </c>
      <c r="E4874" t="n">
        <v>0</v>
      </c>
      <c r="F4874" t="n">
        <v>0</v>
      </c>
      <c r="G4874" t="n">
        <v>0</v>
      </c>
      <c r="H4874" t="n">
        <v>0</v>
      </c>
      <c r="I4874" s="3" t="n">
        <v>0</v>
      </c>
      <c r="J4874" s="3" t="n">
        <v>0</v>
      </c>
      <c r="K4874" s="3" t="n">
        <v>0</v>
      </c>
      <c r="L4874" s="3" t="inlineStr">
        <is>
          <t>BOM</t>
        </is>
      </c>
    </row>
    <row r="4875">
      <c r="A4875" s="10" t="n">
        <v>46177</v>
      </c>
      <c r="B4875" t="inlineStr">
        <is>
          <t>Maysa Victoria Dias Moura</t>
        </is>
      </c>
      <c r="C4875" t="inlineStr">
        <is>
          <t>Técnico III</t>
        </is>
      </c>
      <c r="D4875" t="n">
        <v>0</v>
      </c>
      <c r="E4875" t="n">
        <v>0</v>
      </c>
      <c r="F4875" t="n">
        <v>0</v>
      </c>
      <c r="G4875" t="n">
        <v>0</v>
      </c>
      <c r="H4875" t="n">
        <v>0</v>
      </c>
      <c r="I4875" s="3" t="n">
        <v>0</v>
      </c>
      <c r="J4875" s="3" t="n">
        <v>0</v>
      </c>
      <c r="K4875" s="3" t="n">
        <v>0</v>
      </c>
      <c r="L4875" s="3" t="inlineStr">
        <is>
          <t>BOM</t>
        </is>
      </c>
    </row>
    <row r="4876">
      <c r="A4876" s="10" t="n">
        <v>46177</v>
      </c>
      <c r="B4876" t="inlineStr">
        <is>
          <t>Patrícia Karla de Sousa Araújo</t>
        </is>
      </c>
      <c r="C4876" t="inlineStr">
        <is>
          <t>Técnico II</t>
        </is>
      </c>
      <c r="D4876" t="n">
        <v>0</v>
      </c>
      <c r="E4876" t="n">
        <v>0</v>
      </c>
      <c r="F4876" t="n">
        <v>0</v>
      </c>
      <c r="G4876" t="n">
        <v>0</v>
      </c>
      <c r="H4876" t="n">
        <v>0</v>
      </c>
      <c r="I4876" s="3" t="n">
        <v>0</v>
      </c>
      <c r="J4876" s="3" t="n">
        <v>0</v>
      </c>
      <c r="K4876" s="3" t="n">
        <v>0</v>
      </c>
      <c r="L4876" s="3" t="inlineStr">
        <is>
          <t>BOM</t>
        </is>
      </c>
    </row>
    <row r="4877">
      <c r="A4877" s="10" t="n">
        <v>46177</v>
      </c>
      <c r="B4877" t="inlineStr">
        <is>
          <t>Raane Batista Matos</t>
        </is>
      </c>
      <c r="C4877" t="inlineStr">
        <is>
          <t>Técnico I</t>
        </is>
      </c>
      <c r="D4877" t="n">
        <v>0</v>
      </c>
      <c r="E4877" t="n">
        <v>0</v>
      </c>
      <c r="F4877" t="n">
        <v>0</v>
      </c>
      <c r="G4877" t="n">
        <v>0</v>
      </c>
      <c r="H4877" t="n">
        <v>0</v>
      </c>
      <c r="I4877" s="3" t="n">
        <v>0</v>
      </c>
      <c r="J4877" s="3" t="n">
        <v>0</v>
      </c>
      <c r="K4877" s="3" t="n">
        <v>0</v>
      </c>
      <c r="L4877" s="3" t="inlineStr">
        <is>
          <t>BOM</t>
        </is>
      </c>
    </row>
    <row r="4878">
      <c r="A4878" s="10" t="n">
        <v>46177</v>
      </c>
      <c r="B4878" t="inlineStr">
        <is>
          <t>Rafael Gomes de Morais</t>
        </is>
      </c>
      <c r="C4878" t="inlineStr">
        <is>
          <t>Técnico III</t>
        </is>
      </c>
      <c r="D4878" t="n">
        <v>0</v>
      </c>
      <c r="E4878" t="n">
        <v>0</v>
      </c>
      <c r="F4878" t="n">
        <v>0</v>
      </c>
      <c r="G4878" t="n">
        <v>0</v>
      </c>
      <c r="H4878" t="n">
        <v>0</v>
      </c>
      <c r="I4878" s="3" t="n">
        <v>0</v>
      </c>
      <c r="J4878" s="3" t="n">
        <v>0</v>
      </c>
      <c r="K4878" s="3" t="n">
        <v>0</v>
      </c>
      <c r="L4878" s="3" t="inlineStr">
        <is>
          <t>BOM</t>
        </is>
      </c>
    </row>
    <row r="4879">
      <c r="A4879" s="10" t="n">
        <v>46177</v>
      </c>
      <c r="B4879" t="inlineStr">
        <is>
          <t>Sara Maria Monteiro Lopes</t>
        </is>
      </c>
      <c r="C4879" t="inlineStr">
        <is>
          <t>Técnico I</t>
        </is>
      </c>
      <c r="D4879" t="n">
        <v>0</v>
      </c>
      <c r="E4879" t="n">
        <v>0</v>
      </c>
      <c r="F4879" t="n">
        <v>0</v>
      </c>
      <c r="G4879" t="n">
        <v>0</v>
      </c>
      <c r="H4879" t="n">
        <v>0</v>
      </c>
      <c r="I4879" s="3" t="n">
        <v>0</v>
      </c>
      <c r="J4879" s="3" t="n">
        <v>0</v>
      </c>
      <c r="K4879" s="3" t="n">
        <v>0</v>
      </c>
      <c r="L4879" s="3" t="inlineStr">
        <is>
          <t>BOM</t>
        </is>
      </c>
    </row>
    <row r="4880">
      <c r="A4880" s="10" t="n">
        <v>46177</v>
      </c>
      <c r="B4880" t="inlineStr">
        <is>
          <t>Sarah Steffanie de Lima Borges</t>
        </is>
      </c>
      <c r="C4880" t="inlineStr">
        <is>
          <t>Técnico III</t>
        </is>
      </c>
      <c r="D4880" t="n">
        <v>0</v>
      </c>
      <c r="E4880" t="n">
        <v>0</v>
      </c>
      <c r="F4880" t="n">
        <v>0</v>
      </c>
      <c r="G4880" t="n">
        <v>0</v>
      </c>
      <c r="H4880" t="n">
        <v>0</v>
      </c>
      <c r="I4880" s="3" t="n">
        <v>0</v>
      </c>
      <c r="J4880" s="3" t="n">
        <v>0</v>
      </c>
      <c r="K4880" s="3" t="n">
        <v>0</v>
      </c>
      <c r="L4880" s="3" t="inlineStr">
        <is>
          <t>BOM</t>
        </is>
      </c>
    </row>
    <row r="4881">
      <c r="I4881" s="3">
        <f>E4881+G4881+H4881</f>
        <v/>
      </c>
      <c r="J4881" s="3">
        <f>ROUND(MIN(IF(C4881="Técnico III",35,IF(C4881="Técnico II",28,IF(C4881="Técnico I",23,IF(C4881="JR",20,IF(C4881="Estágio",10,0))))),IF(C4881="Técnico III",SUMIFS($D:$D,$A:$A,$A4881,$B:$B,"&lt;&gt;Patrícia Karla de Sousa Araújo",$B:$B,"&lt;&gt;Lorena Dias de Araujo",$B:$B,"&lt;&gt;Lucas Luiz Romero")*(35/1083),IF(C4881="Técnico II",SUMIFS($D:$D,$A:$A,$A4881,$B:$B,"&lt;&gt;Patrícia Karla de Sousa Araújo",$B:$B,"&lt;&gt;Lorena Dias de Araujo",$B:$B,"&lt;&gt;Lucas Luiz Romero")*(28/1083),IF(C4881="Técnico I",SUMIFS($D:$D,$A:$A,$A4881,$B:$B,"&lt;&gt;Patrícia Karla de Sousa Araújo",$B:$B,"&lt;&gt;Lorena Dias de Araujo",$B:$B,"&lt;&gt;Lucas Luiz Romero")*(23/1083),IF(C4881="JR",SUMIFS($D:$D,$A:$A,$A4881,$B:$B,"&lt;&gt;Patrícia Karla de Sousa Araújo",$B:$B,"&lt;&gt;Lorena Dias de Araujo",$B:$B,"&lt;&gt;Lucas Luiz Romero")*(20/1083),IF(C4881="Estágio",SUMIFS($D:$D,$A:$A,$A4881,$B:$B,"&lt;&gt;Patrícia Karla de Sousa Araújo",$B:$B,"&lt;&gt;Lorena Dias de Araujo",$B:$B,"&lt;&gt;Lucas Luiz Romero")*(10/1083),0)))))),0)</f>
        <v/>
      </c>
      <c r="K4881" s="3">
        <f>I4881-J4881</f>
        <v/>
      </c>
      <c r="L4881" s="3">
        <f>IF(K4881&lt;-5,"CRÍTICO",IF(K4881&lt;0,"ATENÇÃO",IF(K4881&lt;=5,"OPORTUNO","MUITO BOM")))</f>
        <v/>
      </c>
    </row>
    <row r="4882">
      <c r="I4882" s="3">
        <f>E4882+G4882+H4882</f>
        <v/>
      </c>
      <c r="J4882" s="3">
        <f>ROUND(MIN(IF(C4882="Técnico III",35,IF(C4882="Técnico II",28,IF(C4882="Técnico I",23,IF(C4882="JR",20,IF(C4882="Estágio",10,0))))),IF(C4882="Técnico III",SUMIFS($D:$D,$A:$A,$A4882,$B:$B,"&lt;&gt;Patrícia Karla de Sousa Araújo",$B:$B,"&lt;&gt;Lorena Dias de Araujo",$B:$B,"&lt;&gt;Lucas Luiz Romero")*(35/1083),IF(C4882="Técnico II",SUMIFS($D:$D,$A:$A,$A4882,$B:$B,"&lt;&gt;Patrícia Karla de Sousa Araújo",$B:$B,"&lt;&gt;Lorena Dias de Araujo",$B:$B,"&lt;&gt;Lucas Luiz Romero")*(28/1083),IF(C4882="Técnico I",SUMIFS($D:$D,$A:$A,$A4882,$B:$B,"&lt;&gt;Patrícia Karla de Sousa Araújo",$B:$B,"&lt;&gt;Lorena Dias de Araujo",$B:$B,"&lt;&gt;Lucas Luiz Romero")*(23/1083),IF(C4882="JR",SUMIFS($D:$D,$A:$A,$A4882,$B:$B,"&lt;&gt;Patrícia Karla de Sousa Araújo",$B:$B,"&lt;&gt;Lorena Dias de Araujo",$B:$B,"&lt;&gt;Lucas Luiz Romero")*(20/1083),IF(C4882="Estágio",SUMIFS($D:$D,$A:$A,$A4882,$B:$B,"&lt;&gt;Patrícia Karla de Sousa Araújo",$B:$B,"&lt;&gt;Lorena Dias de Araujo",$B:$B,"&lt;&gt;Lucas Luiz Romero")*(10/1083),0)))))),0)</f>
        <v/>
      </c>
      <c r="K4882" s="3">
        <f>I4882-J4882</f>
        <v/>
      </c>
      <c r="L4882" s="3">
        <f>IF(K4882&lt;-5,"CRÍTICO",IF(K4882&lt;0,"ATENÇÃO",IF(K4882&lt;=5,"OPORTUNO","MUITO BOM")))</f>
        <v/>
      </c>
    </row>
    <row r="4883">
      <c r="I4883" s="3">
        <f>E4883+G4883+H4883</f>
        <v/>
      </c>
      <c r="J4883" s="3">
        <f>ROUND(MIN(IF(C4883="Técnico III",35,IF(C4883="Técnico II",28,IF(C4883="Técnico I",23,IF(C4883="JR",20,IF(C4883="Estágio",10,0))))),IF(C4883="Técnico III",SUMIFS($D:$D,$A:$A,$A4883,$B:$B,"&lt;&gt;Patrícia Karla de Sousa Araújo",$B:$B,"&lt;&gt;Lorena Dias de Araujo",$B:$B,"&lt;&gt;Lucas Luiz Romero")*(35/1083),IF(C4883="Técnico II",SUMIFS($D:$D,$A:$A,$A4883,$B:$B,"&lt;&gt;Patrícia Karla de Sousa Araújo",$B:$B,"&lt;&gt;Lorena Dias de Araujo",$B:$B,"&lt;&gt;Lucas Luiz Romero")*(28/1083),IF(C4883="Técnico I",SUMIFS($D:$D,$A:$A,$A4883,$B:$B,"&lt;&gt;Patrícia Karla de Sousa Araújo",$B:$B,"&lt;&gt;Lorena Dias de Araujo",$B:$B,"&lt;&gt;Lucas Luiz Romero")*(23/1083),IF(C4883="JR",SUMIFS($D:$D,$A:$A,$A4883,$B:$B,"&lt;&gt;Patrícia Karla de Sousa Araújo",$B:$B,"&lt;&gt;Lorena Dias de Araujo",$B:$B,"&lt;&gt;Lucas Luiz Romero")*(20/1083),IF(C4883="Estágio",SUMIFS($D:$D,$A:$A,$A4883,$B:$B,"&lt;&gt;Patrícia Karla de Sousa Araújo",$B:$B,"&lt;&gt;Lorena Dias de Araujo",$B:$B,"&lt;&gt;Lucas Luiz Romero")*(10/1083),0)))))),0)</f>
        <v/>
      </c>
      <c r="K4883" s="3">
        <f>I4883-J4883</f>
        <v/>
      </c>
      <c r="L4883" s="3">
        <f>IF(K4883&lt;-5,"CRÍTICO",IF(K4883&lt;0,"ATENÇÃO",IF(K4883&lt;=5,"OPORTUNO","MUITO BOM")))</f>
        <v/>
      </c>
    </row>
    <row r="4884">
      <c r="I4884" s="3">
        <f>E4884+G4884+H4884</f>
        <v/>
      </c>
      <c r="J4884" s="3">
        <f>ROUND(MIN(IF(C4884="Técnico III",35,IF(C4884="Técnico II",28,IF(C4884="Técnico I",23,IF(C4884="JR",20,IF(C4884="Estágio",10,0))))),IF(C4884="Técnico III",SUMIFS($D:$D,$A:$A,$A4884,$B:$B,"&lt;&gt;Patrícia Karla de Sousa Araújo",$B:$B,"&lt;&gt;Lorena Dias de Araujo",$B:$B,"&lt;&gt;Lucas Luiz Romero")*(35/1083),IF(C4884="Técnico II",SUMIFS($D:$D,$A:$A,$A4884,$B:$B,"&lt;&gt;Patrícia Karla de Sousa Araújo",$B:$B,"&lt;&gt;Lorena Dias de Araujo",$B:$B,"&lt;&gt;Lucas Luiz Romero")*(28/1083),IF(C4884="Técnico I",SUMIFS($D:$D,$A:$A,$A4884,$B:$B,"&lt;&gt;Patrícia Karla de Sousa Araújo",$B:$B,"&lt;&gt;Lorena Dias de Araujo",$B:$B,"&lt;&gt;Lucas Luiz Romero")*(23/1083),IF(C4884="JR",SUMIFS($D:$D,$A:$A,$A4884,$B:$B,"&lt;&gt;Patrícia Karla de Sousa Araújo",$B:$B,"&lt;&gt;Lorena Dias de Araujo",$B:$B,"&lt;&gt;Lucas Luiz Romero")*(20/1083),IF(C4884="Estágio",SUMIFS($D:$D,$A:$A,$A4884,$B:$B,"&lt;&gt;Patrícia Karla de Sousa Araújo",$B:$B,"&lt;&gt;Lorena Dias de Araujo",$B:$B,"&lt;&gt;Lucas Luiz Romero")*(10/1083),0)))))),0)</f>
        <v/>
      </c>
      <c r="K4884" s="3">
        <f>I4884-J4884</f>
        <v/>
      </c>
      <c r="L4884" s="3">
        <f>IF(K4884&lt;-5,"CRÍTICO",IF(K4884&lt;0,"ATENÇÃO",IF(K4884&lt;=5,"OPORTUNO","MUITO BOM")))</f>
        <v/>
      </c>
    </row>
    <row r="4885">
      <c r="I4885" s="3">
        <f>E4885+G4885+H4885</f>
        <v/>
      </c>
      <c r="J4885" s="3">
        <f>ROUND(MIN(IF(C4885="Técnico III",35,IF(C4885="Técnico II",28,IF(C4885="Técnico I",23,IF(C4885="JR",20,IF(C4885="Estágio",10,0))))),IF(C4885="Técnico III",SUMIFS($D:$D,$A:$A,$A4885,$B:$B,"&lt;&gt;Patrícia Karla de Sousa Araújo",$B:$B,"&lt;&gt;Lorena Dias de Araujo",$B:$B,"&lt;&gt;Lucas Luiz Romero")*(35/1083),IF(C4885="Técnico II",SUMIFS($D:$D,$A:$A,$A4885,$B:$B,"&lt;&gt;Patrícia Karla de Sousa Araújo",$B:$B,"&lt;&gt;Lorena Dias de Araujo",$B:$B,"&lt;&gt;Lucas Luiz Romero")*(28/1083),IF(C4885="Técnico I",SUMIFS($D:$D,$A:$A,$A4885,$B:$B,"&lt;&gt;Patrícia Karla de Sousa Araújo",$B:$B,"&lt;&gt;Lorena Dias de Araujo",$B:$B,"&lt;&gt;Lucas Luiz Romero")*(23/1083),IF(C4885="JR",SUMIFS($D:$D,$A:$A,$A4885,$B:$B,"&lt;&gt;Patrícia Karla de Sousa Araújo",$B:$B,"&lt;&gt;Lorena Dias de Araujo",$B:$B,"&lt;&gt;Lucas Luiz Romero")*(20/1083),IF(C4885="Estágio",SUMIFS($D:$D,$A:$A,$A4885,$B:$B,"&lt;&gt;Patrícia Karla de Sousa Araújo",$B:$B,"&lt;&gt;Lorena Dias de Araujo",$B:$B,"&lt;&gt;Lucas Luiz Romero")*(10/1083),0)))))),0)</f>
        <v/>
      </c>
      <c r="K4885" s="3">
        <f>I4885-J4885</f>
        <v/>
      </c>
      <c r="L4885" s="3">
        <f>IF(K4885&lt;-5,"CRÍTICO",IF(K4885&lt;0,"ATENÇÃO",IF(K4885&lt;=5,"OPORTUNO","MUITO BOM")))</f>
        <v/>
      </c>
    </row>
    <row r="4886">
      <c r="I4886" s="3">
        <f>E4886+G4886+H4886</f>
        <v/>
      </c>
      <c r="J4886" s="3">
        <f>ROUND(MIN(IF(C4886="Técnico III",35,IF(C4886="Técnico II",28,IF(C4886="Técnico I",23,IF(C4886="JR",20,IF(C4886="Estágio",10,0))))),IF(C4886="Técnico III",SUMIFS($D:$D,$A:$A,$A4886,$B:$B,"&lt;&gt;Patrícia Karla de Sousa Araújo",$B:$B,"&lt;&gt;Lorena Dias de Araujo",$B:$B,"&lt;&gt;Lucas Luiz Romero")*(35/1083),IF(C4886="Técnico II",SUMIFS($D:$D,$A:$A,$A4886,$B:$B,"&lt;&gt;Patrícia Karla de Sousa Araújo",$B:$B,"&lt;&gt;Lorena Dias de Araujo",$B:$B,"&lt;&gt;Lucas Luiz Romero")*(28/1083),IF(C4886="Técnico I",SUMIFS($D:$D,$A:$A,$A4886,$B:$B,"&lt;&gt;Patrícia Karla de Sousa Araújo",$B:$B,"&lt;&gt;Lorena Dias de Araujo",$B:$B,"&lt;&gt;Lucas Luiz Romero")*(23/1083),IF(C4886="JR",SUMIFS($D:$D,$A:$A,$A4886,$B:$B,"&lt;&gt;Patrícia Karla de Sousa Araújo",$B:$B,"&lt;&gt;Lorena Dias de Araujo",$B:$B,"&lt;&gt;Lucas Luiz Romero")*(20/1083),IF(C4886="Estágio",SUMIFS($D:$D,$A:$A,$A4886,$B:$B,"&lt;&gt;Patrícia Karla de Sousa Araújo",$B:$B,"&lt;&gt;Lorena Dias de Araujo",$B:$B,"&lt;&gt;Lucas Luiz Romero")*(10/1083),0)))))),0)</f>
        <v/>
      </c>
      <c r="K4886" s="3">
        <f>I4886-J4886</f>
        <v/>
      </c>
      <c r="L4886" s="3">
        <f>IF(K4886&lt;-5,"CRÍTICO",IF(K4886&lt;0,"ATENÇÃO",IF(K4886&lt;=5,"OPORTUNO","MUITO BOM")))</f>
        <v/>
      </c>
    </row>
    <row r="4887">
      <c r="I4887" s="3">
        <f>E4887+G4887+H4887</f>
        <v/>
      </c>
      <c r="J4887" s="3">
        <f>ROUND(MIN(IF(C4887="Técnico III",35,IF(C4887="Técnico II",28,IF(C4887="Técnico I",23,IF(C4887="JR",20,IF(C4887="Estágio",10,0))))),IF(C4887="Técnico III",SUMIFS($D:$D,$A:$A,$A4887,$B:$B,"&lt;&gt;Patrícia Karla de Sousa Araújo",$B:$B,"&lt;&gt;Lorena Dias de Araujo",$B:$B,"&lt;&gt;Lucas Luiz Romero")*(35/1083),IF(C4887="Técnico II",SUMIFS($D:$D,$A:$A,$A4887,$B:$B,"&lt;&gt;Patrícia Karla de Sousa Araújo",$B:$B,"&lt;&gt;Lorena Dias de Araujo",$B:$B,"&lt;&gt;Lucas Luiz Romero")*(28/1083),IF(C4887="Técnico I",SUMIFS($D:$D,$A:$A,$A4887,$B:$B,"&lt;&gt;Patrícia Karla de Sousa Araújo",$B:$B,"&lt;&gt;Lorena Dias de Araujo",$B:$B,"&lt;&gt;Lucas Luiz Romero")*(23/1083),IF(C4887="JR",SUMIFS($D:$D,$A:$A,$A4887,$B:$B,"&lt;&gt;Patrícia Karla de Sousa Araújo",$B:$B,"&lt;&gt;Lorena Dias de Araujo",$B:$B,"&lt;&gt;Lucas Luiz Romero")*(20/1083),IF(C4887="Estágio",SUMIFS($D:$D,$A:$A,$A4887,$B:$B,"&lt;&gt;Patrícia Karla de Sousa Araújo",$B:$B,"&lt;&gt;Lorena Dias de Araujo",$B:$B,"&lt;&gt;Lucas Luiz Romero")*(10/1083),0)))))),0)</f>
        <v/>
      </c>
      <c r="K4887" s="3">
        <f>I4887-J4887</f>
        <v/>
      </c>
      <c r="L4887" s="3">
        <f>IF(K4887&lt;-5,"CRÍTICO",IF(K4887&lt;0,"ATENÇÃO",IF(K4887&lt;=5,"OPORTUNO","MUITO BOM")))</f>
        <v/>
      </c>
    </row>
    <row r="4888">
      <c r="I4888" s="3">
        <f>E4888+G4888+H4888</f>
        <v/>
      </c>
      <c r="J4888" s="3">
        <f>ROUND(MIN(IF(C4888="Técnico III",35,IF(C4888="Técnico II",28,IF(C4888="Técnico I",23,IF(C4888="JR",20,IF(C4888="Estágio",10,0))))),IF(C4888="Técnico III",SUMIFS($D:$D,$A:$A,$A4888,$B:$B,"&lt;&gt;Patrícia Karla de Sousa Araújo",$B:$B,"&lt;&gt;Lorena Dias de Araujo",$B:$B,"&lt;&gt;Lucas Luiz Romero")*(35/1083),IF(C4888="Técnico II",SUMIFS($D:$D,$A:$A,$A4888,$B:$B,"&lt;&gt;Patrícia Karla de Sousa Araújo",$B:$B,"&lt;&gt;Lorena Dias de Araujo",$B:$B,"&lt;&gt;Lucas Luiz Romero")*(28/1083),IF(C4888="Técnico I",SUMIFS($D:$D,$A:$A,$A4888,$B:$B,"&lt;&gt;Patrícia Karla de Sousa Araújo",$B:$B,"&lt;&gt;Lorena Dias de Araujo",$B:$B,"&lt;&gt;Lucas Luiz Romero")*(23/1083),IF(C4888="JR",SUMIFS($D:$D,$A:$A,$A4888,$B:$B,"&lt;&gt;Patrícia Karla de Sousa Araújo",$B:$B,"&lt;&gt;Lorena Dias de Araujo",$B:$B,"&lt;&gt;Lucas Luiz Romero")*(20/1083),IF(C4888="Estágio",SUMIFS($D:$D,$A:$A,$A4888,$B:$B,"&lt;&gt;Patrícia Karla de Sousa Araújo",$B:$B,"&lt;&gt;Lorena Dias de Araujo",$B:$B,"&lt;&gt;Lucas Luiz Romero")*(10/1083),0)))))),0)</f>
        <v/>
      </c>
      <c r="K4888" s="3">
        <f>I4888-J4888</f>
        <v/>
      </c>
      <c r="L4888" s="3">
        <f>IF(K4888&lt;-5,"CRÍTICO",IF(K4888&lt;0,"ATENÇÃO",IF(K4888&lt;=5,"OPORTUNO","MUITO BOM")))</f>
        <v/>
      </c>
    </row>
    <row r="4889">
      <c r="I4889" s="3">
        <f>E4889+G4889+H4889</f>
        <v/>
      </c>
      <c r="J4889" s="3">
        <f>ROUND(MIN(IF(C4889="Técnico III",35,IF(C4889="Técnico II",28,IF(C4889="Técnico I",23,IF(C4889="JR",20,IF(C4889="Estágio",10,0))))),IF(C4889="Técnico III",SUMIFS($D:$D,$A:$A,$A4889,$B:$B,"&lt;&gt;Patrícia Karla de Sousa Araújo",$B:$B,"&lt;&gt;Lorena Dias de Araujo",$B:$B,"&lt;&gt;Lucas Luiz Romero")*(35/1083),IF(C4889="Técnico II",SUMIFS($D:$D,$A:$A,$A4889,$B:$B,"&lt;&gt;Patrícia Karla de Sousa Araújo",$B:$B,"&lt;&gt;Lorena Dias de Araujo",$B:$B,"&lt;&gt;Lucas Luiz Romero")*(28/1083),IF(C4889="Técnico I",SUMIFS($D:$D,$A:$A,$A4889,$B:$B,"&lt;&gt;Patrícia Karla de Sousa Araújo",$B:$B,"&lt;&gt;Lorena Dias de Araujo",$B:$B,"&lt;&gt;Lucas Luiz Romero")*(23/1083),IF(C4889="JR",SUMIFS($D:$D,$A:$A,$A4889,$B:$B,"&lt;&gt;Patrícia Karla de Sousa Araújo",$B:$B,"&lt;&gt;Lorena Dias de Araujo",$B:$B,"&lt;&gt;Lucas Luiz Romero")*(20/1083),IF(C4889="Estágio",SUMIFS($D:$D,$A:$A,$A4889,$B:$B,"&lt;&gt;Patrícia Karla de Sousa Araújo",$B:$B,"&lt;&gt;Lorena Dias de Araujo",$B:$B,"&lt;&gt;Lucas Luiz Romero")*(10/1083),0)))))),0)</f>
        <v/>
      </c>
      <c r="K4889" s="3">
        <f>I4889-J4889</f>
        <v/>
      </c>
      <c r="L4889" s="3">
        <f>IF(K4889&lt;-5,"CRÍTICO",IF(K4889&lt;0,"ATENÇÃO",IF(K4889&lt;=5,"OPORTUNO","MUITO BOM")))</f>
        <v/>
      </c>
    </row>
    <row r="4890">
      <c r="I4890" s="3">
        <f>E4890+G4890+H4890</f>
        <v/>
      </c>
      <c r="J4890" s="3">
        <f>ROUND(MIN(IF(C4890="Técnico III",35,IF(C4890="Técnico II",28,IF(C4890="Técnico I",23,IF(C4890="JR",20,IF(C4890="Estágio",10,0))))),IF(C4890="Técnico III",SUMIFS($D:$D,$A:$A,$A4890,$B:$B,"&lt;&gt;Patrícia Karla de Sousa Araújo",$B:$B,"&lt;&gt;Lorena Dias de Araujo",$B:$B,"&lt;&gt;Lucas Luiz Romero")*(35/1083),IF(C4890="Técnico II",SUMIFS($D:$D,$A:$A,$A4890,$B:$B,"&lt;&gt;Patrícia Karla de Sousa Araújo",$B:$B,"&lt;&gt;Lorena Dias de Araujo",$B:$B,"&lt;&gt;Lucas Luiz Romero")*(28/1083),IF(C4890="Técnico I",SUMIFS($D:$D,$A:$A,$A4890,$B:$B,"&lt;&gt;Patrícia Karla de Sousa Araújo",$B:$B,"&lt;&gt;Lorena Dias de Araujo",$B:$B,"&lt;&gt;Lucas Luiz Romero")*(23/1083),IF(C4890="JR",SUMIFS($D:$D,$A:$A,$A4890,$B:$B,"&lt;&gt;Patrícia Karla de Sousa Araújo",$B:$B,"&lt;&gt;Lorena Dias de Araujo",$B:$B,"&lt;&gt;Lucas Luiz Romero")*(20/1083),IF(C4890="Estágio",SUMIFS($D:$D,$A:$A,$A4890,$B:$B,"&lt;&gt;Patrícia Karla de Sousa Araújo",$B:$B,"&lt;&gt;Lorena Dias de Araujo",$B:$B,"&lt;&gt;Lucas Luiz Romero")*(10/1083),0)))))),0)</f>
        <v/>
      </c>
      <c r="K4890" s="3">
        <f>I4890-J4890</f>
        <v/>
      </c>
      <c r="L4890" s="3">
        <f>IF(K4890&lt;-5,"CRÍTICO",IF(K4890&lt;0,"ATENÇÃO",IF(K4890&lt;=5,"OPORTUNO","MUITO BOM")))</f>
        <v/>
      </c>
    </row>
    <row r="4891">
      <c r="I4891" s="3">
        <f>E4891+G4891+H4891</f>
        <v/>
      </c>
      <c r="J4891" s="3">
        <f>ROUND(MIN(IF(C4891="Técnico III",35,IF(C4891="Técnico II",28,IF(C4891="Técnico I",23,IF(C4891="JR",20,IF(C4891="Estágio",10,0))))),IF(C4891="Técnico III",SUMIFS($D:$D,$A:$A,$A4891,$B:$B,"&lt;&gt;Patrícia Karla de Sousa Araújo",$B:$B,"&lt;&gt;Lorena Dias de Araujo",$B:$B,"&lt;&gt;Lucas Luiz Romero")*(35/1083),IF(C4891="Técnico II",SUMIFS($D:$D,$A:$A,$A4891,$B:$B,"&lt;&gt;Patrícia Karla de Sousa Araújo",$B:$B,"&lt;&gt;Lorena Dias de Araujo",$B:$B,"&lt;&gt;Lucas Luiz Romero")*(28/1083),IF(C4891="Técnico I",SUMIFS($D:$D,$A:$A,$A4891,$B:$B,"&lt;&gt;Patrícia Karla de Sousa Araújo",$B:$B,"&lt;&gt;Lorena Dias de Araujo",$B:$B,"&lt;&gt;Lucas Luiz Romero")*(23/1083),IF(C4891="JR",SUMIFS($D:$D,$A:$A,$A4891,$B:$B,"&lt;&gt;Patrícia Karla de Sousa Araújo",$B:$B,"&lt;&gt;Lorena Dias de Araujo",$B:$B,"&lt;&gt;Lucas Luiz Romero")*(20/1083),IF(C4891="Estágio",SUMIFS($D:$D,$A:$A,$A4891,$B:$B,"&lt;&gt;Patrícia Karla de Sousa Araújo",$B:$B,"&lt;&gt;Lorena Dias de Araujo",$B:$B,"&lt;&gt;Lucas Luiz Romero")*(10/1083),0)))))),0)</f>
        <v/>
      </c>
      <c r="K4891" s="3">
        <f>I4891-J4891</f>
        <v/>
      </c>
      <c r="L4891" s="3">
        <f>IF(K4891&lt;-5,"CRÍTICO",IF(K4891&lt;0,"ATENÇÃO",IF(K4891&lt;=5,"OPORTUNO","MUITO BOM")))</f>
        <v/>
      </c>
    </row>
    <row r="4892">
      <c r="I4892" s="3">
        <f>E4892+G4892+H4892</f>
        <v/>
      </c>
      <c r="J4892" s="3">
        <f>ROUND(MIN(IF(C4892="Técnico III",35,IF(C4892="Técnico II",28,IF(C4892="Técnico I",23,IF(C4892="JR",20,IF(C4892="Estágio",10,0))))),IF(C4892="Técnico III",SUMIFS($D:$D,$A:$A,$A4892,$B:$B,"&lt;&gt;Patrícia Karla de Sousa Araújo",$B:$B,"&lt;&gt;Lorena Dias de Araujo",$B:$B,"&lt;&gt;Lucas Luiz Romero")*(35/1083),IF(C4892="Técnico II",SUMIFS($D:$D,$A:$A,$A4892,$B:$B,"&lt;&gt;Patrícia Karla de Sousa Araújo",$B:$B,"&lt;&gt;Lorena Dias de Araujo",$B:$B,"&lt;&gt;Lucas Luiz Romero")*(28/1083),IF(C4892="Técnico I",SUMIFS($D:$D,$A:$A,$A4892,$B:$B,"&lt;&gt;Patrícia Karla de Sousa Araújo",$B:$B,"&lt;&gt;Lorena Dias de Araujo",$B:$B,"&lt;&gt;Lucas Luiz Romero")*(23/1083),IF(C4892="JR",SUMIFS($D:$D,$A:$A,$A4892,$B:$B,"&lt;&gt;Patrícia Karla de Sousa Araújo",$B:$B,"&lt;&gt;Lorena Dias de Araujo",$B:$B,"&lt;&gt;Lucas Luiz Romero")*(20/1083),IF(C4892="Estágio",SUMIFS($D:$D,$A:$A,$A4892,$B:$B,"&lt;&gt;Patrícia Karla de Sousa Araújo",$B:$B,"&lt;&gt;Lorena Dias de Araujo",$B:$B,"&lt;&gt;Lucas Luiz Romero")*(10/1083),0)))))),0)</f>
        <v/>
      </c>
      <c r="K4892" s="3">
        <f>I4892-J4892</f>
        <v/>
      </c>
      <c r="L4892" s="3">
        <f>IF(K4892&lt;-5,"CRÍTICO",IF(K4892&lt;0,"ATENÇÃO",IF(K4892&lt;=5,"OPORTUNO","MUITO BOM")))</f>
        <v/>
      </c>
    </row>
    <row r="4893">
      <c r="I4893" s="3">
        <f>E4893+G4893+H4893</f>
        <v/>
      </c>
      <c r="J4893" s="3">
        <f>ROUND(MIN(IF(C4893="Técnico III",35,IF(C4893="Técnico II",28,IF(C4893="Técnico I",23,IF(C4893="JR",20,IF(C4893="Estágio",10,0))))),IF(C4893="Técnico III",SUMIFS($D:$D,$A:$A,$A4893,$B:$B,"&lt;&gt;Patrícia Karla de Sousa Araújo",$B:$B,"&lt;&gt;Lorena Dias de Araujo",$B:$B,"&lt;&gt;Lucas Luiz Romero")*(35/1083),IF(C4893="Técnico II",SUMIFS($D:$D,$A:$A,$A4893,$B:$B,"&lt;&gt;Patrícia Karla de Sousa Araújo",$B:$B,"&lt;&gt;Lorena Dias de Araujo",$B:$B,"&lt;&gt;Lucas Luiz Romero")*(28/1083),IF(C4893="Técnico I",SUMIFS($D:$D,$A:$A,$A4893,$B:$B,"&lt;&gt;Patrícia Karla de Sousa Araújo",$B:$B,"&lt;&gt;Lorena Dias de Araujo",$B:$B,"&lt;&gt;Lucas Luiz Romero")*(23/1083),IF(C4893="JR",SUMIFS($D:$D,$A:$A,$A4893,$B:$B,"&lt;&gt;Patrícia Karla de Sousa Araújo",$B:$B,"&lt;&gt;Lorena Dias de Araujo",$B:$B,"&lt;&gt;Lucas Luiz Romero")*(20/1083),IF(C4893="Estágio",SUMIFS($D:$D,$A:$A,$A4893,$B:$B,"&lt;&gt;Patrícia Karla de Sousa Araújo",$B:$B,"&lt;&gt;Lorena Dias de Araujo",$B:$B,"&lt;&gt;Lucas Luiz Romero")*(10/1083),0)))))),0)</f>
        <v/>
      </c>
      <c r="K4893" s="3">
        <f>I4893-J4893</f>
        <v/>
      </c>
      <c r="L4893" s="3">
        <f>IF(K4893&lt;-5,"CRÍTICO",IF(K4893&lt;0,"ATENÇÃO",IF(K4893&lt;=5,"OPORTUNO","MUITO BOM")))</f>
        <v/>
      </c>
    </row>
    <row r="4894">
      <c r="I4894" s="3">
        <f>E4894+G4894+H4894</f>
        <v/>
      </c>
      <c r="J4894" s="3">
        <f>ROUND(MIN(IF(C4894="Técnico III",35,IF(C4894="Técnico II",28,IF(C4894="Técnico I",23,IF(C4894="JR",20,IF(C4894="Estágio",10,0))))),IF(C4894="Técnico III",SUMIFS($D:$D,$A:$A,$A4894,$B:$B,"&lt;&gt;Patrícia Karla de Sousa Araújo",$B:$B,"&lt;&gt;Lorena Dias de Araujo",$B:$B,"&lt;&gt;Lucas Luiz Romero")*(35/1083),IF(C4894="Técnico II",SUMIFS($D:$D,$A:$A,$A4894,$B:$B,"&lt;&gt;Patrícia Karla de Sousa Araújo",$B:$B,"&lt;&gt;Lorena Dias de Araujo",$B:$B,"&lt;&gt;Lucas Luiz Romero")*(28/1083),IF(C4894="Técnico I",SUMIFS($D:$D,$A:$A,$A4894,$B:$B,"&lt;&gt;Patrícia Karla de Sousa Araújo",$B:$B,"&lt;&gt;Lorena Dias de Araujo",$B:$B,"&lt;&gt;Lucas Luiz Romero")*(23/1083),IF(C4894="JR",SUMIFS($D:$D,$A:$A,$A4894,$B:$B,"&lt;&gt;Patrícia Karla de Sousa Araújo",$B:$B,"&lt;&gt;Lorena Dias de Araujo",$B:$B,"&lt;&gt;Lucas Luiz Romero")*(20/1083),IF(C4894="Estágio",SUMIFS($D:$D,$A:$A,$A4894,$B:$B,"&lt;&gt;Patrícia Karla de Sousa Araújo",$B:$B,"&lt;&gt;Lorena Dias de Araujo",$B:$B,"&lt;&gt;Lucas Luiz Romero")*(10/1083),0)))))),0)</f>
        <v/>
      </c>
      <c r="K4894" s="3">
        <f>I4894-J4894</f>
        <v/>
      </c>
      <c r="L4894" s="3">
        <f>IF(K4894&lt;-5,"CRÍTICO",IF(K4894&lt;0,"ATENÇÃO",IF(K4894&lt;=5,"OPORTUNO","MUITO BOM")))</f>
        <v/>
      </c>
    </row>
    <row r="4895">
      <c r="I4895" s="3">
        <f>E4895+G4895+H4895</f>
        <v/>
      </c>
      <c r="J4895" s="3">
        <f>ROUND(MIN(IF(C4895="Técnico III",35,IF(C4895="Técnico II",28,IF(C4895="Técnico I",23,IF(C4895="JR",20,IF(C4895="Estágio",10,0))))),IF(C4895="Técnico III",SUMIFS($D:$D,$A:$A,$A4895,$B:$B,"&lt;&gt;Patrícia Karla de Sousa Araújo",$B:$B,"&lt;&gt;Lorena Dias de Araujo",$B:$B,"&lt;&gt;Lucas Luiz Romero")*(35/1083),IF(C4895="Técnico II",SUMIFS($D:$D,$A:$A,$A4895,$B:$B,"&lt;&gt;Patrícia Karla de Sousa Araújo",$B:$B,"&lt;&gt;Lorena Dias de Araujo",$B:$B,"&lt;&gt;Lucas Luiz Romero")*(28/1083),IF(C4895="Técnico I",SUMIFS($D:$D,$A:$A,$A4895,$B:$B,"&lt;&gt;Patrícia Karla de Sousa Araújo",$B:$B,"&lt;&gt;Lorena Dias de Araujo",$B:$B,"&lt;&gt;Lucas Luiz Romero")*(23/1083),IF(C4895="JR",SUMIFS($D:$D,$A:$A,$A4895,$B:$B,"&lt;&gt;Patrícia Karla de Sousa Araújo",$B:$B,"&lt;&gt;Lorena Dias de Araujo",$B:$B,"&lt;&gt;Lucas Luiz Romero")*(20/1083),IF(C4895="Estágio",SUMIFS($D:$D,$A:$A,$A4895,$B:$B,"&lt;&gt;Patrícia Karla de Sousa Araújo",$B:$B,"&lt;&gt;Lorena Dias de Araujo",$B:$B,"&lt;&gt;Lucas Luiz Romero")*(10/1083),0)))))),0)</f>
        <v/>
      </c>
      <c r="K4895" s="3">
        <f>I4895-J4895</f>
        <v/>
      </c>
      <c r="L4895" s="3">
        <f>IF(K4895&lt;-5,"CRÍTICO",IF(K4895&lt;0,"ATENÇÃO",IF(K4895&lt;=5,"OPORTUNO","MUITO BOM")))</f>
        <v/>
      </c>
    </row>
    <row r="4896">
      <c r="I4896" s="3">
        <f>E4896+G4896+H4896</f>
        <v/>
      </c>
      <c r="J4896" s="3">
        <f>ROUND(MIN(IF(C4896="Técnico III",35,IF(C4896="Técnico II",28,IF(C4896="Técnico I",23,IF(C4896="JR",20,IF(C4896="Estágio",10,0))))),IF(C4896="Técnico III",SUMIFS($D:$D,$A:$A,$A4896,$B:$B,"&lt;&gt;Patrícia Karla de Sousa Araújo",$B:$B,"&lt;&gt;Lorena Dias de Araujo",$B:$B,"&lt;&gt;Lucas Luiz Romero")*(35/1083),IF(C4896="Técnico II",SUMIFS($D:$D,$A:$A,$A4896,$B:$B,"&lt;&gt;Patrícia Karla de Sousa Araújo",$B:$B,"&lt;&gt;Lorena Dias de Araujo",$B:$B,"&lt;&gt;Lucas Luiz Romero")*(28/1083),IF(C4896="Técnico I",SUMIFS($D:$D,$A:$A,$A4896,$B:$B,"&lt;&gt;Patrícia Karla de Sousa Araújo",$B:$B,"&lt;&gt;Lorena Dias de Araujo",$B:$B,"&lt;&gt;Lucas Luiz Romero")*(23/1083),IF(C4896="JR",SUMIFS($D:$D,$A:$A,$A4896,$B:$B,"&lt;&gt;Patrícia Karla de Sousa Araújo",$B:$B,"&lt;&gt;Lorena Dias de Araujo",$B:$B,"&lt;&gt;Lucas Luiz Romero")*(20/1083),IF(C4896="Estágio",SUMIFS($D:$D,$A:$A,$A4896,$B:$B,"&lt;&gt;Patrícia Karla de Sousa Araújo",$B:$B,"&lt;&gt;Lorena Dias de Araujo",$B:$B,"&lt;&gt;Lucas Luiz Romero")*(10/1083),0)))))),0)</f>
        <v/>
      </c>
      <c r="K4896" s="3">
        <f>I4896-J4896</f>
        <v/>
      </c>
      <c r="L4896" s="3">
        <f>IF(K4896&lt;-5,"CRÍTICO",IF(K4896&lt;0,"ATENÇÃO",IF(K4896&lt;=5,"OPORTUNO","MUITO BOM")))</f>
        <v/>
      </c>
    </row>
    <row r="4897">
      <c r="I4897" s="3">
        <f>E4897+G4897+H4897</f>
        <v/>
      </c>
      <c r="J4897" s="3">
        <f>ROUND(MIN(IF(C4897="Técnico III",35,IF(C4897="Técnico II",28,IF(C4897="Técnico I",23,IF(C4897="JR",20,IF(C4897="Estágio",10,0))))),IF(C4897="Técnico III",SUMIFS($D:$D,$A:$A,$A4897,$B:$B,"&lt;&gt;Patrícia Karla de Sousa Araújo",$B:$B,"&lt;&gt;Lorena Dias de Araujo",$B:$B,"&lt;&gt;Lucas Luiz Romero")*(35/1083),IF(C4897="Técnico II",SUMIFS($D:$D,$A:$A,$A4897,$B:$B,"&lt;&gt;Patrícia Karla de Sousa Araújo",$B:$B,"&lt;&gt;Lorena Dias de Araujo",$B:$B,"&lt;&gt;Lucas Luiz Romero")*(28/1083),IF(C4897="Técnico I",SUMIFS($D:$D,$A:$A,$A4897,$B:$B,"&lt;&gt;Patrícia Karla de Sousa Araújo",$B:$B,"&lt;&gt;Lorena Dias de Araujo",$B:$B,"&lt;&gt;Lucas Luiz Romero")*(23/1083),IF(C4897="JR",SUMIFS($D:$D,$A:$A,$A4897,$B:$B,"&lt;&gt;Patrícia Karla de Sousa Araújo",$B:$B,"&lt;&gt;Lorena Dias de Araujo",$B:$B,"&lt;&gt;Lucas Luiz Romero")*(20/1083),IF(C4897="Estágio",SUMIFS($D:$D,$A:$A,$A4897,$B:$B,"&lt;&gt;Patrícia Karla de Sousa Araújo",$B:$B,"&lt;&gt;Lorena Dias de Araujo",$B:$B,"&lt;&gt;Lucas Luiz Romero")*(10/1083),0)))))),0)</f>
        <v/>
      </c>
      <c r="K4897" s="3">
        <f>I4897-J4897</f>
        <v/>
      </c>
      <c r="L4897" s="3">
        <f>IF(K4897&lt;-5,"CRÍTICO",IF(K4897&lt;0,"ATENÇÃO",IF(K4897&lt;=5,"OPORTUNO","MUITO BOM")))</f>
        <v/>
      </c>
    </row>
    <row r="4898">
      <c r="I4898" s="3">
        <f>E4898+G4898+H4898</f>
        <v/>
      </c>
      <c r="J4898" s="3">
        <f>ROUND(MIN(IF(C4898="Técnico III",35,IF(C4898="Técnico II",28,IF(C4898="Técnico I",23,IF(C4898="JR",20,IF(C4898="Estágio",10,0))))),IF(C4898="Técnico III",SUMIFS($D:$D,$A:$A,$A4898,$B:$B,"&lt;&gt;Patrícia Karla de Sousa Araújo",$B:$B,"&lt;&gt;Lorena Dias de Araujo",$B:$B,"&lt;&gt;Lucas Luiz Romero")*(35/1083),IF(C4898="Técnico II",SUMIFS($D:$D,$A:$A,$A4898,$B:$B,"&lt;&gt;Patrícia Karla de Sousa Araújo",$B:$B,"&lt;&gt;Lorena Dias de Araujo",$B:$B,"&lt;&gt;Lucas Luiz Romero")*(28/1083),IF(C4898="Técnico I",SUMIFS($D:$D,$A:$A,$A4898,$B:$B,"&lt;&gt;Patrícia Karla de Sousa Araújo",$B:$B,"&lt;&gt;Lorena Dias de Araujo",$B:$B,"&lt;&gt;Lucas Luiz Romero")*(23/1083),IF(C4898="JR",SUMIFS($D:$D,$A:$A,$A4898,$B:$B,"&lt;&gt;Patrícia Karla de Sousa Araújo",$B:$B,"&lt;&gt;Lorena Dias de Araujo",$B:$B,"&lt;&gt;Lucas Luiz Romero")*(20/1083),IF(C4898="Estágio",SUMIFS($D:$D,$A:$A,$A4898,$B:$B,"&lt;&gt;Patrícia Karla de Sousa Araújo",$B:$B,"&lt;&gt;Lorena Dias de Araujo",$B:$B,"&lt;&gt;Lucas Luiz Romero")*(10/1083),0)))))),0)</f>
        <v/>
      </c>
      <c r="K4898" s="3">
        <f>I4898-J4898</f>
        <v/>
      </c>
      <c r="L4898" s="3">
        <f>IF(K4898&lt;-5,"CRÍTICO",IF(K4898&lt;0,"ATENÇÃO",IF(K4898&lt;=5,"OPORTUNO","MUITO BOM")))</f>
        <v/>
      </c>
    </row>
    <row r="4899">
      <c r="I4899" s="3">
        <f>E4899+G4899+H4899</f>
        <v/>
      </c>
      <c r="J4899" s="3">
        <f>ROUND(MIN(IF(C4899="Técnico III",35,IF(C4899="Técnico II",28,IF(C4899="Técnico I",23,IF(C4899="JR",20,IF(C4899="Estágio",10,0))))),IF(C4899="Técnico III",SUMIFS($D:$D,$A:$A,$A4899,$B:$B,"&lt;&gt;Patrícia Karla de Sousa Araújo",$B:$B,"&lt;&gt;Lorena Dias de Araujo",$B:$B,"&lt;&gt;Lucas Luiz Romero")*(35/1083),IF(C4899="Técnico II",SUMIFS($D:$D,$A:$A,$A4899,$B:$B,"&lt;&gt;Patrícia Karla de Sousa Araújo",$B:$B,"&lt;&gt;Lorena Dias de Araujo",$B:$B,"&lt;&gt;Lucas Luiz Romero")*(28/1083),IF(C4899="Técnico I",SUMIFS($D:$D,$A:$A,$A4899,$B:$B,"&lt;&gt;Patrícia Karla de Sousa Araújo",$B:$B,"&lt;&gt;Lorena Dias de Araujo",$B:$B,"&lt;&gt;Lucas Luiz Romero")*(23/1083),IF(C4899="JR",SUMIFS($D:$D,$A:$A,$A4899,$B:$B,"&lt;&gt;Patrícia Karla de Sousa Araújo",$B:$B,"&lt;&gt;Lorena Dias de Araujo",$B:$B,"&lt;&gt;Lucas Luiz Romero")*(20/1083),IF(C4899="Estágio",SUMIFS($D:$D,$A:$A,$A4899,$B:$B,"&lt;&gt;Patrícia Karla de Sousa Araújo",$B:$B,"&lt;&gt;Lorena Dias de Araujo",$B:$B,"&lt;&gt;Lucas Luiz Romero")*(10/1083),0)))))),0)</f>
        <v/>
      </c>
      <c r="K4899" s="3">
        <f>I4899-J4899</f>
        <v/>
      </c>
      <c r="L4899" s="3">
        <f>IF(K4899&lt;-5,"CRÍTICO",IF(K4899&lt;0,"ATENÇÃO",IF(K4899&lt;=5,"OPORTUNO","MUITO BOM")))</f>
        <v/>
      </c>
    </row>
    <row r="4900">
      <c r="I4900" s="3">
        <f>E4900+G4900+H4900</f>
        <v/>
      </c>
      <c r="J4900" s="3">
        <f>ROUND(MIN(IF(C4900="Técnico III",35,IF(C4900="Técnico II",28,IF(C4900="Técnico I",23,IF(C4900="JR",20,IF(C4900="Estágio",10,0))))),IF(C4900="Técnico III",SUMIFS($D:$D,$A:$A,$A4900,$B:$B,"&lt;&gt;Patrícia Karla de Sousa Araújo",$B:$B,"&lt;&gt;Lorena Dias de Araujo",$B:$B,"&lt;&gt;Lucas Luiz Romero")*(35/1083),IF(C4900="Técnico II",SUMIFS($D:$D,$A:$A,$A4900,$B:$B,"&lt;&gt;Patrícia Karla de Sousa Araújo",$B:$B,"&lt;&gt;Lorena Dias de Araujo",$B:$B,"&lt;&gt;Lucas Luiz Romero")*(28/1083),IF(C4900="Técnico I",SUMIFS($D:$D,$A:$A,$A4900,$B:$B,"&lt;&gt;Patrícia Karla de Sousa Araújo",$B:$B,"&lt;&gt;Lorena Dias de Araujo",$B:$B,"&lt;&gt;Lucas Luiz Romero")*(23/1083),IF(C4900="JR",SUMIFS($D:$D,$A:$A,$A4900,$B:$B,"&lt;&gt;Patrícia Karla de Sousa Araújo",$B:$B,"&lt;&gt;Lorena Dias de Araujo",$B:$B,"&lt;&gt;Lucas Luiz Romero")*(20/1083),IF(C4900="Estágio",SUMIFS($D:$D,$A:$A,$A4900,$B:$B,"&lt;&gt;Patrícia Karla de Sousa Araújo",$B:$B,"&lt;&gt;Lorena Dias de Araujo",$B:$B,"&lt;&gt;Lucas Luiz Romero")*(10/1083),0)))))),0)</f>
        <v/>
      </c>
      <c r="K4900" s="3">
        <f>I4900-J4900</f>
        <v/>
      </c>
      <c r="L4900" s="3">
        <f>IF(K4900&lt;-5,"CRÍTICO",IF(K4900&lt;0,"ATENÇÃO",IF(K4900&lt;=5,"OPORTUNO","MUITO BOM")))</f>
        <v/>
      </c>
    </row>
    <row r="4901">
      <c r="I4901" s="3">
        <f>E4901+G4901+H4901</f>
        <v/>
      </c>
      <c r="J4901" s="3">
        <f>ROUND(MIN(IF(C4901="Técnico III",35,IF(C4901="Técnico II",28,IF(C4901="Técnico I",23,IF(C4901="JR",20,IF(C4901="Estágio",10,0))))),IF(C4901="Técnico III",SUMIFS($D:$D,$A:$A,$A4901,$B:$B,"&lt;&gt;Patrícia Karla de Sousa Araújo",$B:$B,"&lt;&gt;Lorena Dias de Araujo",$B:$B,"&lt;&gt;Lucas Luiz Romero")*(35/1083),IF(C4901="Técnico II",SUMIFS($D:$D,$A:$A,$A4901,$B:$B,"&lt;&gt;Patrícia Karla de Sousa Araújo",$B:$B,"&lt;&gt;Lorena Dias de Araujo",$B:$B,"&lt;&gt;Lucas Luiz Romero")*(28/1083),IF(C4901="Técnico I",SUMIFS($D:$D,$A:$A,$A4901,$B:$B,"&lt;&gt;Patrícia Karla de Sousa Araújo",$B:$B,"&lt;&gt;Lorena Dias de Araujo",$B:$B,"&lt;&gt;Lucas Luiz Romero")*(23/1083),IF(C4901="JR",SUMIFS($D:$D,$A:$A,$A4901,$B:$B,"&lt;&gt;Patrícia Karla de Sousa Araújo",$B:$B,"&lt;&gt;Lorena Dias de Araujo",$B:$B,"&lt;&gt;Lucas Luiz Romero")*(20/1083),IF(C4901="Estágio",SUMIFS($D:$D,$A:$A,$A4901,$B:$B,"&lt;&gt;Patrícia Karla de Sousa Araújo",$B:$B,"&lt;&gt;Lorena Dias de Araujo",$B:$B,"&lt;&gt;Lucas Luiz Romero")*(10/1083),0)))))),0)</f>
        <v/>
      </c>
      <c r="K4901" s="3">
        <f>I4901-J4901</f>
        <v/>
      </c>
      <c r="L4901" s="3">
        <f>IF(K4901&lt;-5,"CRÍTICO",IF(K4901&lt;0,"ATENÇÃO",IF(K4901&lt;=5,"OPORTUNO","MUITO BOM")))</f>
        <v/>
      </c>
    </row>
    <row r="4902">
      <c r="I4902" s="3">
        <f>E4902+G4902+H4902</f>
        <v/>
      </c>
      <c r="J4902" s="3">
        <f>ROUND(MIN(IF(C4902="Técnico III",35,IF(C4902="Técnico II",28,IF(C4902="Técnico I",23,IF(C4902="JR",20,IF(C4902="Estágio",10,0))))),IF(C4902="Técnico III",SUMIFS($D:$D,$A:$A,$A4902,$B:$B,"&lt;&gt;Patrícia Karla de Sousa Araújo",$B:$B,"&lt;&gt;Lorena Dias de Araujo",$B:$B,"&lt;&gt;Lucas Luiz Romero")*(35/1083),IF(C4902="Técnico II",SUMIFS($D:$D,$A:$A,$A4902,$B:$B,"&lt;&gt;Patrícia Karla de Sousa Araújo",$B:$B,"&lt;&gt;Lorena Dias de Araujo",$B:$B,"&lt;&gt;Lucas Luiz Romero")*(28/1083),IF(C4902="Técnico I",SUMIFS($D:$D,$A:$A,$A4902,$B:$B,"&lt;&gt;Patrícia Karla de Sousa Araújo",$B:$B,"&lt;&gt;Lorena Dias de Araujo",$B:$B,"&lt;&gt;Lucas Luiz Romero")*(23/1083),IF(C4902="JR",SUMIFS($D:$D,$A:$A,$A4902,$B:$B,"&lt;&gt;Patrícia Karla de Sousa Araújo",$B:$B,"&lt;&gt;Lorena Dias de Araujo",$B:$B,"&lt;&gt;Lucas Luiz Romero")*(20/1083),IF(C4902="Estágio",SUMIFS($D:$D,$A:$A,$A4902,$B:$B,"&lt;&gt;Patrícia Karla de Sousa Araújo",$B:$B,"&lt;&gt;Lorena Dias de Araujo",$B:$B,"&lt;&gt;Lucas Luiz Romero")*(10/1083),0)))))),0)</f>
        <v/>
      </c>
      <c r="K4902" s="3">
        <f>I4902-J4902</f>
        <v/>
      </c>
      <c r="L4902" s="3">
        <f>IF(K4902&lt;-5,"CRÍTICO",IF(K4902&lt;0,"ATENÇÃO",IF(K4902&lt;=5,"OPORTUNO","MUITO BOM")))</f>
        <v/>
      </c>
    </row>
    <row r="4903">
      <c r="I4903" s="3">
        <f>E4903+G4903+H4903</f>
        <v/>
      </c>
      <c r="J4903" s="3">
        <f>ROUND(MIN(IF(C4903="Técnico III",35,IF(C4903="Técnico II",28,IF(C4903="Técnico I",23,IF(C4903="JR",20,IF(C4903="Estágio",10,0))))),IF(C4903="Técnico III",SUMIFS($D:$D,$A:$A,$A4903,$B:$B,"&lt;&gt;Patrícia Karla de Sousa Araújo",$B:$B,"&lt;&gt;Lorena Dias de Araujo",$B:$B,"&lt;&gt;Lucas Luiz Romero")*(35/1083),IF(C4903="Técnico II",SUMIFS($D:$D,$A:$A,$A4903,$B:$B,"&lt;&gt;Patrícia Karla de Sousa Araújo",$B:$B,"&lt;&gt;Lorena Dias de Araujo",$B:$B,"&lt;&gt;Lucas Luiz Romero")*(28/1083),IF(C4903="Técnico I",SUMIFS($D:$D,$A:$A,$A4903,$B:$B,"&lt;&gt;Patrícia Karla de Sousa Araújo",$B:$B,"&lt;&gt;Lorena Dias de Araujo",$B:$B,"&lt;&gt;Lucas Luiz Romero")*(23/1083),IF(C4903="JR",SUMIFS($D:$D,$A:$A,$A4903,$B:$B,"&lt;&gt;Patrícia Karla de Sousa Araújo",$B:$B,"&lt;&gt;Lorena Dias de Araujo",$B:$B,"&lt;&gt;Lucas Luiz Romero")*(20/1083),IF(C4903="Estágio",SUMIFS($D:$D,$A:$A,$A4903,$B:$B,"&lt;&gt;Patrícia Karla de Sousa Araújo",$B:$B,"&lt;&gt;Lorena Dias de Araujo",$B:$B,"&lt;&gt;Lucas Luiz Romero")*(10/1083),0)))))),0)</f>
        <v/>
      </c>
      <c r="K4903" s="3">
        <f>I4903-J4903</f>
        <v/>
      </c>
      <c r="L4903" s="3">
        <f>IF(K4903&lt;-5,"CRÍTICO",IF(K4903&lt;0,"ATENÇÃO",IF(K4903&lt;=5,"OPORTUNO","MUITO BOM")))</f>
        <v/>
      </c>
    </row>
    <row r="4904">
      <c r="I4904" s="3">
        <f>E4904+G4904+H4904</f>
        <v/>
      </c>
      <c r="J4904" s="3">
        <f>ROUND(MIN(IF(C4904="Técnico III",35,IF(C4904="Técnico II",28,IF(C4904="Técnico I",23,IF(C4904="JR",20,IF(C4904="Estágio",10,0))))),IF(C4904="Técnico III",SUMIFS($D:$D,$A:$A,$A4904,$B:$B,"&lt;&gt;Patrícia Karla de Sousa Araújo",$B:$B,"&lt;&gt;Lorena Dias de Araujo",$B:$B,"&lt;&gt;Lucas Luiz Romero")*(35/1083),IF(C4904="Técnico II",SUMIFS($D:$D,$A:$A,$A4904,$B:$B,"&lt;&gt;Patrícia Karla de Sousa Araújo",$B:$B,"&lt;&gt;Lorena Dias de Araujo",$B:$B,"&lt;&gt;Lucas Luiz Romero")*(28/1083),IF(C4904="Técnico I",SUMIFS($D:$D,$A:$A,$A4904,$B:$B,"&lt;&gt;Patrícia Karla de Sousa Araújo",$B:$B,"&lt;&gt;Lorena Dias de Araujo",$B:$B,"&lt;&gt;Lucas Luiz Romero")*(23/1083),IF(C4904="JR",SUMIFS($D:$D,$A:$A,$A4904,$B:$B,"&lt;&gt;Patrícia Karla de Sousa Araújo",$B:$B,"&lt;&gt;Lorena Dias de Araujo",$B:$B,"&lt;&gt;Lucas Luiz Romero")*(20/1083),IF(C4904="Estágio",SUMIFS($D:$D,$A:$A,$A4904,$B:$B,"&lt;&gt;Patrícia Karla de Sousa Araújo",$B:$B,"&lt;&gt;Lorena Dias de Araujo",$B:$B,"&lt;&gt;Lucas Luiz Romero")*(10/1083),0)))))),0)</f>
        <v/>
      </c>
      <c r="K4904" s="3">
        <f>I4904-J4904</f>
        <v/>
      </c>
      <c r="L4904" s="3">
        <f>IF(K4904&lt;-5,"CRÍTICO",IF(K4904&lt;0,"ATENÇÃO",IF(K4904&lt;=5,"OPORTUNO","MUITO BOM")))</f>
        <v/>
      </c>
    </row>
    <row r="4905">
      <c r="I4905" s="3">
        <f>E4905+G4905+H4905</f>
        <v/>
      </c>
      <c r="J4905" s="3">
        <f>ROUND(MIN(IF(C4905="Técnico III",35,IF(C4905="Técnico II",28,IF(C4905="Técnico I",23,IF(C4905="JR",20,IF(C4905="Estágio",10,0))))),IF(C4905="Técnico III",SUMIFS($D:$D,$A:$A,$A4905,$B:$B,"&lt;&gt;Patrícia Karla de Sousa Araújo",$B:$B,"&lt;&gt;Lorena Dias de Araujo",$B:$B,"&lt;&gt;Lucas Luiz Romero")*(35/1083),IF(C4905="Técnico II",SUMIFS($D:$D,$A:$A,$A4905,$B:$B,"&lt;&gt;Patrícia Karla de Sousa Araújo",$B:$B,"&lt;&gt;Lorena Dias de Araujo",$B:$B,"&lt;&gt;Lucas Luiz Romero")*(28/1083),IF(C4905="Técnico I",SUMIFS($D:$D,$A:$A,$A4905,$B:$B,"&lt;&gt;Patrícia Karla de Sousa Araújo",$B:$B,"&lt;&gt;Lorena Dias de Araujo",$B:$B,"&lt;&gt;Lucas Luiz Romero")*(23/1083),IF(C4905="JR",SUMIFS($D:$D,$A:$A,$A4905,$B:$B,"&lt;&gt;Patrícia Karla de Sousa Araújo",$B:$B,"&lt;&gt;Lorena Dias de Araujo",$B:$B,"&lt;&gt;Lucas Luiz Romero")*(20/1083),IF(C4905="Estágio",SUMIFS($D:$D,$A:$A,$A4905,$B:$B,"&lt;&gt;Patrícia Karla de Sousa Araújo",$B:$B,"&lt;&gt;Lorena Dias de Araujo",$B:$B,"&lt;&gt;Lucas Luiz Romero")*(10/1083),0)))))),0)</f>
        <v/>
      </c>
      <c r="K4905" s="3">
        <f>I4905-J4905</f>
        <v/>
      </c>
      <c r="L4905" s="3">
        <f>IF(K4905&lt;-5,"CRÍTICO",IF(K4905&lt;0,"ATENÇÃO",IF(K4905&lt;=5,"OPORTUNO","MUITO BOM")))</f>
        <v/>
      </c>
    </row>
    <row r="4906">
      <c r="I4906" s="3">
        <f>E4906+G4906+H4906</f>
        <v/>
      </c>
      <c r="J4906" s="3">
        <f>ROUND(MIN(IF(C4906="Técnico III",35,IF(C4906="Técnico II",28,IF(C4906="Técnico I",23,IF(C4906="JR",20,IF(C4906="Estágio",10,0))))),IF(C4906="Técnico III",SUMIFS($D:$D,$A:$A,$A4906,$B:$B,"&lt;&gt;Patrícia Karla de Sousa Araújo",$B:$B,"&lt;&gt;Lorena Dias de Araujo",$B:$B,"&lt;&gt;Lucas Luiz Romero")*(35/1083),IF(C4906="Técnico II",SUMIFS($D:$D,$A:$A,$A4906,$B:$B,"&lt;&gt;Patrícia Karla de Sousa Araújo",$B:$B,"&lt;&gt;Lorena Dias de Araujo",$B:$B,"&lt;&gt;Lucas Luiz Romero")*(28/1083),IF(C4906="Técnico I",SUMIFS($D:$D,$A:$A,$A4906,$B:$B,"&lt;&gt;Patrícia Karla de Sousa Araújo",$B:$B,"&lt;&gt;Lorena Dias de Araujo",$B:$B,"&lt;&gt;Lucas Luiz Romero")*(23/1083),IF(C4906="JR",SUMIFS($D:$D,$A:$A,$A4906,$B:$B,"&lt;&gt;Patrícia Karla de Sousa Araújo",$B:$B,"&lt;&gt;Lorena Dias de Araujo",$B:$B,"&lt;&gt;Lucas Luiz Romero")*(20/1083),IF(C4906="Estágio",SUMIFS($D:$D,$A:$A,$A4906,$B:$B,"&lt;&gt;Patrícia Karla de Sousa Araújo",$B:$B,"&lt;&gt;Lorena Dias de Araujo",$B:$B,"&lt;&gt;Lucas Luiz Romero")*(10/1083),0)))))),0)</f>
        <v/>
      </c>
      <c r="K4906" s="3">
        <f>I4906-J4906</f>
        <v/>
      </c>
      <c r="L4906" s="3">
        <f>IF(K4906&lt;-5,"CRÍTICO",IF(K4906&lt;0,"ATENÇÃO",IF(K4906&lt;=5,"OPORTUNO","MUITO BOM")))</f>
        <v/>
      </c>
    </row>
    <row r="4907">
      <c r="I4907" s="3">
        <f>E4907+G4907+H4907</f>
        <v/>
      </c>
      <c r="J4907" s="3">
        <f>ROUND(MIN(IF(C4907="Técnico III",35,IF(C4907="Técnico II",28,IF(C4907="Técnico I",23,IF(C4907="JR",20,IF(C4907="Estágio",10,0))))),IF(C4907="Técnico III",SUMIFS($D:$D,$A:$A,$A4907,$B:$B,"&lt;&gt;Patrícia Karla de Sousa Araújo",$B:$B,"&lt;&gt;Lorena Dias de Araujo",$B:$B,"&lt;&gt;Lucas Luiz Romero")*(35/1083),IF(C4907="Técnico II",SUMIFS($D:$D,$A:$A,$A4907,$B:$B,"&lt;&gt;Patrícia Karla de Sousa Araújo",$B:$B,"&lt;&gt;Lorena Dias de Araujo",$B:$B,"&lt;&gt;Lucas Luiz Romero")*(28/1083),IF(C4907="Técnico I",SUMIFS($D:$D,$A:$A,$A4907,$B:$B,"&lt;&gt;Patrícia Karla de Sousa Araújo",$B:$B,"&lt;&gt;Lorena Dias de Araujo",$B:$B,"&lt;&gt;Lucas Luiz Romero")*(23/1083),IF(C4907="JR",SUMIFS($D:$D,$A:$A,$A4907,$B:$B,"&lt;&gt;Patrícia Karla de Sousa Araújo",$B:$B,"&lt;&gt;Lorena Dias de Araujo",$B:$B,"&lt;&gt;Lucas Luiz Romero")*(20/1083),IF(C4907="Estágio",SUMIFS($D:$D,$A:$A,$A4907,$B:$B,"&lt;&gt;Patrícia Karla de Sousa Araújo",$B:$B,"&lt;&gt;Lorena Dias de Araujo",$B:$B,"&lt;&gt;Lucas Luiz Romero")*(10/1083),0)))))),0)</f>
        <v/>
      </c>
      <c r="K4907" s="3">
        <f>I4907-J4907</f>
        <v/>
      </c>
      <c r="L4907" s="3">
        <f>IF(K4907&lt;-5,"CRÍTICO",IF(K4907&lt;0,"ATENÇÃO",IF(K4907&lt;=5,"OPORTUNO","MUITO BOM")))</f>
        <v/>
      </c>
    </row>
    <row r="4908">
      <c r="I4908" s="3">
        <f>E4908+G4908+H4908</f>
        <v/>
      </c>
      <c r="J4908" s="3">
        <f>ROUND(MIN(IF(C4908="Técnico III",35,IF(C4908="Técnico II",28,IF(C4908="Técnico I",23,IF(C4908="JR",20,IF(C4908="Estágio",10,0))))),IF(C4908="Técnico III",SUMIFS($D:$D,$A:$A,$A4908,$B:$B,"&lt;&gt;Patrícia Karla de Sousa Araújo",$B:$B,"&lt;&gt;Lorena Dias de Araujo",$B:$B,"&lt;&gt;Lucas Luiz Romero")*(35/1083),IF(C4908="Técnico II",SUMIFS($D:$D,$A:$A,$A4908,$B:$B,"&lt;&gt;Patrícia Karla de Sousa Araújo",$B:$B,"&lt;&gt;Lorena Dias de Araujo",$B:$B,"&lt;&gt;Lucas Luiz Romero")*(28/1083),IF(C4908="Técnico I",SUMIFS($D:$D,$A:$A,$A4908,$B:$B,"&lt;&gt;Patrícia Karla de Sousa Araújo",$B:$B,"&lt;&gt;Lorena Dias de Araujo",$B:$B,"&lt;&gt;Lucas Luiz Romero")*(23/1083),IF(C4908="JR",SUMIFS($D:$D,$A:$A,$A4908,$B:$B,"&lt;&gt;Patrícia Karla de Sousa Araújo",$B:$B,"&lt;&gt;Lorena Dias de Araujo",$B:$B,"&lt;&gt;Lucas Luiz Romero")*(20/1083),IF(C4908="Estágio",SUMIFS($D:$D,$A:$A,$A4908,$B:$B,"&lt;&gt;Patrícia Karla de Sousa Araújo",$B:$B,"&lt;&gt;Lorena Dias de Araujo",$B:$B,"&lt;&gt;Lucas Luiz Romero")*(10/1083),0)))))),0)</f>
        <v/>
      </c>
      <c r="K4908" s="3">
        <f>I4908-J4908</f>
        <v/>
      </c>
      <c r="L4908" s="3">
        <f>IF(K4908&lt;-5,"CRÍTICO",IF(K4908&lt;0,"ATENÇÃO",IF(K4908&lt;=5,"OPORTUNO","MUITO BOM")))</f>
        <v/>
      </c>
    </row>
    <row r="4909">
      <c r="I4909" s="3">
        <f>E4909+G4909+H4909</f>
        <v/>
      </c>
      <c r="J4909" s="3">
        <f>ROUND(MIN(IF(C4909="Técnico III",35,IF(C4909="Técnico II",28,IF(C4909="Técnico I",23,IF(C4909="JR",20,IF(C4909="Estágio",10,0))))),IF(C4909="Técnico III",SUMIFS($D:$D,$A:$A,$A4909,$B:$B,"&lt;&gt;Patrícia Karla de Sousa Araújo",$B:$B,"&lt;&gt;Lorena Dias de Araujo",$B:$B,"&lt;&gt;Lucas Luiz Romero")*(35/1083),IF(C4909="Técnico II",SUMIFS($D:$D,$A:$A,$A4909,$B:$B,"&lt;&gt;Patrícia Karla de Sousa Araújo",$B:$B,"&lt;&gt;Lorena Dias de Araujo",$B:$B,"&lt;&gt;Lucas Luiz Romero")*(28/1083),IF(C4909="Técnico I",SUMIFS($D:$D,$A:$A,$A4909,$B:$B,"&lt;&gt;Patrícia Karla de Sousa Araújo",$B:$B,"&lt;&gt;Lorena Dias de Araujo",$B:$B,"&lt;&gt;Lucas Luiz Romero")*(23/1083),IF(C4909="JR",SUMIFS($D:$D,$A:$A,$A4909,$B:$B,"&lt;&gt;Patrícia Karla de Sousa Araújo",$B:$B,"&lt;&gt;Lorena Dias de Araujo",$B:$B,"&lt;&gt;Lucas Luiz Romero")*(20/1083),IF(C4909="Estágio",SUMIFS($D:$D,$A:$A,$A4909,$B:$B,"&lt;&gt;Patrícia Karla de Sousa Araújo",$B:$B,"&lt;&gt;Lorena Dias de Araujo",$B:$B,"&lt;&gt;Lucas Luiz Romero")*(10/1083),0)))))),0)</f>
        <v/>
      </c>
      <c r="K4909" s="3">
        <f>I4909-J4909</f>
        <v/>
      </c>
      <c r="L4909" s="3">
        <f>IF(K4909&lt;-5,"CRÍTICO",IF(K4909&lt;0,"ATENÇÃO",IF(K4909&lt;=5,"OPORTUNO","MUITO BOM")))</f>
        <v/>
      </c>
    </row>
    <row r="4910">
      <c r="I4910" s="3">
        <f>E4910+G4910+H4910</f>
        <v/>
      </c>
      <c r="J4910" s="3">
        <f>ROUND(MIN(IF(C4910="Técnico III",35,IF(C4910="Técnico II",28,IF(C4910="Técnico I",23,IF(C4910="JR",20,IF(C4910="Estágio",10,0))))),IF(C4910="Técnico III",SUMIFS($D:$D,$A:$A,$A4910,$B:$B,"&lt;&gt;Patrícia Karla de Sousa Araújo",$B:$B,"&lt;&gt;Lorena Dias de Araujo",$B:$B,"&lt;&gt;Lucas Luiz Romero")*(35/1083),IF(C4910="Técnico II",SUMIFS($D:$D,$A:$A,$A4910,$B:$B,"&lt;&gt;Patrícia Karla de Sousa Araújo",$B:$B,"&lt;&gt;Lorena Dias de Araujo",$B:$B,"&lt;&gt;Lucas Luiz Romero")*(28/1083),IF(C4910="Técnico I",SUMIFS($D:$D,$A:$A,$A4910,$B:$B,"&lt;&gt;Patrícia Karla de Sousa Araújo",$B:$B,"&lt;&gt;Lorena Dias de Araujo",$B:$B,"&lt;&gt;Lucas Luiz Romero")*(23/1083),IF(C4910="JR",SUMIFS($D:$D,$A:$A,$A4910,$B:$B,"&lt;&gt;Patrícia Karla de Sousa Araújo",$B:$B,"&lt;&gt;Lorena Dias de Araujo",$B:$B,"&lt;&gt;Lucas Luiz Romero")*(20/1083),IF(C4910="Estágio",SUMIFS($D:$D,$A:$A,$A4910,$B:$B,"&lt;&gt;Patrícia Karla de Sousa Araújo",$B:$B,"&lt;&gt;Lorena Dias de Araujo",$B:$B,"&lt;&gt;Lucas Luiz Romero")*(10/1083),0)))))),0)</f>
        <v/>
      </c>
      <c r="K4910" s="3">
        <f>I4910-J4910</f>
        <v/>
      </c>
      <c r="L4910" s="3">
        <f>IF(K4910&lt;-5,"CRÍTICO",IF(K4910&lt;0,"ATENÇÃO",IF(K4910&lt;=5,"OPORTUNO","MUITO BOM")))</f>
        <v/>
      </c>
    </row>
    <row r="4911">
      <c r="I4911" s="3">
        <f>E4911+G4911+H4911</f>
        <v/>
      </c>
      <c r="J4911" s="3">
        <f>ROUND(MIN(IF(C4911="Técnico III",35,IF(C4911="Técnico II",28,IF(C4911="Técnico I",23,IF(C4911="JR",20,IF(C4911="Estágio",10,0))))),IF(C4911="Técnico III",SUMIFS($D:$D,$A:$A,$A4911,$B:$B,"&lt;&gt;Patrícia Karla de Sousa Araújo",$B:$B,"&lt;&gt;Lorena Dias de Araujo",$B:$B,"&lt;&gt;Lucas Luiz Romero")*(35/1083),IF(C4911="Técnico II",SUMIFS($D:$D,$A:$A,$A4911,$B:$B,"&lt;&gt;Patrícia Karla de Sousa Araújo",$B:$B,"&lt;&gt;Lorena Dias de Araujo",$B:$B,"&lt;&gt;Lucas Luiz Romero")*(28/1083),IF(C4911="Técnico I",SUMIFS($D:$D,$A:$A,$A4911,$B:$B,"&lt;&gt;Patrícia Karla de Sousa Araújo",$B:$B,"&lt;&gt;Lorena Dias de Araujo",$B:$B,"&lt;&gt;Lucas Luiz Romero")*(23/1083),IF(C4911="JR",SUMIFS($D:$D,$A:$A,$A4911,$B:$B,"&lt;&gt;Patrícia Karla de Sousa Araújo",$B:$B,"&lt;&gt;Lorena Dias de Araujo",$B:$B,"&lt;&gt;Lucas Luiz Romero")*(20/1083),IF(C4911="Estágio",SUMIFS($D:$D,$A:$A,$A4911,$B:$B,"&lt;&gt;Patrícia Karla de Sousa Araújo",$B:$B,"&lt;&gt;Lorena Dias de Araujo",$B:$B,"&lt;&gt;Lucas Luiz Romero")*(10/1083),0)))))),0)</f>
        <v/>
      </c>
      <c r="K4911" s="3">
        <f>I4911-J4911</f>
        <v/>
      </c>
      <c r="L4911" s="3">
        <f>IF(K4911&lt;-5,"CRÍTICO",IF(K4911&lt;0,"ATENÇÃO",IF(K4911&lt;=5,"OPORTUNO","MUITO BOM")))</f>
        <v/>
      </c>
    </row>
    <row r="4912">
      <c r="I4912" s="3">
        <f>E4912+G4912+H4912</f>
        <v/>
      </c>
      <c r="J4912" s="3">
        <f>ROUND(MIN(IF(C4912="Técnico III",35,IF(C4912="Técnico II",28,IF(C4912="Técnico I",23,IF(C4912="JR",20,IF(C4912="Estágio",10,0))))),IF(C4912="Técnico III",SUMIFS($D:$D,$A:$A,$A4912,$B:$B,"&lt;&gt;Patrícia Karla de Sousa Araújo",$B:$B,"&lt;&gt;Lorena Dias de Araujo",$B:$B,"&lt;&gt;Lucas Luiz Romero")*(35/1083),IF(C4912="Técnico II",SUMIFS($D:$D,$A:$A,$A4912,$B:$B,"&lt;&gt;Patrícia Karla de Sousa Araújo",$B:$B,"&lt;&gt;Lorena Dias de Araujo",$B:$B,"&lt;&gt;Lucas Luiz Romero")*(28/1083),IF(C4912="Técnico I",SUMIFS($D:$D,$A:$A,$A4912,$B:$B,"&lt;&gt;Patrícia Karla de Sousa Araújo",$B:$B,"&lt;&gt;Lorena Dias de Araujo",$B:$B,"&lt;&gt;Lucas Luiz Romero")*(23/1083),IF(C4912="JR",SUMIFS($D:$D,$A:$A,$A4912,$B:$B,"&lt;&gt;Patrícia Karla de Sousa Araújo",$B:$B,"&lt;&gt;Lorena Dias de Araujo",$B:$B,"&lt;&gt;Lucas Luiz Romero")*(20/1083),IF(C4912="Estágio",SUMIFS($D:$D,$A:$A,$A4912,$B:$B,"&lt;&gt;Patrícia Karla de Sousa Araújo",$B:$B,"&lt;&gt;Lorena Dias de Araujo",$B:$B,"&lt;&gt;Lucas Luiz Romero")*(10/1083),0)))))),0)</f>
        <v/>
      </c>
      <c r="K4912" s="3">
        <f>I4912-J4912</f>
        <v/>
      </c>
      <c r="L4912" s="3">
        <f>IF(K4912&lt;-5,"CRÍTICO",IF(K4912&lt;0,"ATENÇÃO",IF(K4912&lt;=5,"OPORTUNO","MUITO BOM")))</f>
        <v/>
      </c>
    </row>
    <row r="4913">
      <c r="I4913" s="3">
        <f>E4913+G4913+H4913</f>
        <v/>
      </c>
      <c r="J4913" s="3">
        <f>ROUND(MIN(IF(C4913="Técnico III",35,IF(C4913="Técnico II",28,IF(C4913="Técnico I",23,IF(C4913="JR",20,IF(C4913="Estágio",10,0))))),IF(C4913="Técnico III",SUMIFS($D:$D,$A:$A,$A4913,$B:$B,"&lt;&gt;Patrícia Karla de Sousa Araújo",$B:$B,"&lt;&gt;Lorena Dias de Araujo",$B:$B,"&lt;&gt;Lucas Luiz Romero")*(35/1083),IF(C4913="Técnico II",SUMIFS($D:$D,$A:$A,$A4913,$B:$B,"&lt;&gt;Patrícia Karla de Sousa Araújo",$B:$B,"&lt;&gt;Lorena Dias de Araujo",$B:$B,"&lt;&gt;Lucas Luiz Romero")*(28/1083),IF(C4913="Técnico I",SUMIFS($D:$D,$A:$A,$A4913,$B:$B,"&lt;&gt;Patrícia Karla de Sousa Araújo",$B:$B,"&lt;&gt;Lorena Dias de Araujo",$B:$B,"&lt;&gt;Lucas Luiz Romero")*(23/1083),IF(C4913="JR",SUMIFS($D:$D,$A:$A,$A4913,$B:$B,"&lt;&gt;Patrícia Karla de Sousa Araújo",$B:$B,"&lt;&gt;Lorena Dias de Araujo",$B:$B,"&lt;&gt;Lucas Luiz Romero")*(20/1083),IF(C4913="Estágio",SUMIFS($D:$D,$A:$A,$A4913,$B:$B,"&lt;&gt;Patrícia Karla de Sousa Araújo",$B:$B,"&lt;&gt;Lorena Dias de Araujo",$B:$B,"&lt;&gt;Lucas Luiz Romero")*(10/1083),0)))))),0)</f>
        <v/>
      </c>
      <c r="K4913" s="3">
        <f>I4913-J4913</f>
        <v/>
      </c>
      <c r="L4913" s="3">
        <f>IF(K4913&lt;-5,"CRÍTICO",IF(K4913&lt;0,"ATENÇÃO",IF(K4913&lt;=5,"OPORTUNO","MUITO BOM")))</f>
        <v/>
      </c>
    </row>
    <row r="4914">
      <c r="I4914" s="3">
        <f>E4914+G4914+H4914</f>
        <v/>
      </c>
      <c r="J4914" s="3">
        <f>ROUND(MIN(IF(C4914="Técnico III",35,IF(C4914="Técnico II",28,IF(C4914="Técnico I",23,IF(C4914="JR",20,IF(C4914="Estágio",10,0))))),IF(C4914="Técnico III",SUMIFS($D:$D,$A:$A,$A4914,$B:$B,"&lt;&gt;Patrícia Karla de Sousa Araújo",$B:$B,"&lt;&gt;Lorena Dias de Araujo",$B:$B,"&lt;&gt;Lucas Luiz Romero")*(35/1083),IF(C4914="Técnico II",SUMIFS($D:$D,$A:$A,$A4914,$B:$B,"&lt;&gt;Patrícia Karla de Sousa Araújo",$B:$B,"&lt;&gt;Lorena Dias de Araujo",$B:$B,"&lt;&gt;Lucas Luiz Romero")*(28/1083),IF(C4914="Técnico I",SUMIFS($D:$D,$A:$A,$A4914,$B:$B,"&lt;&gt;Patrícia Karla de Sousa Araújo",$B:$B,"&lt;&gt;Lorena Dias de Araujo",$B:$B,"&lt;&gt;Lucas Luiz Romero")*(23/1083),IF(C4914="JR",SUMIFS($D:$D,$A:$A,$A4914,$B:$B,"&lt;&gt;Patrícia Karla de Sousa Araújo",$B:$B,"&lt;&gt;Lorena Dias de Araujo",$B:$B,"&lt;&gt;Lucas Luiz Romero")*(20/1083),IF(C4914="Estágio",SUMIFS($D:$D,$A:$A,$A4914,$B:$B,"&lt;&gt;Patrícia Karla de Sousa Araújo",$B:$B,"&lt;&gt;Lorena Dias de Araujo",$B:$B,"&lt;&gt;Lucas Luiz Romero")*(10/1083),0)))))),0)</f>
        <v/>
      </c>
      <c r="K4914" s="3">
        <f>I4914-J4914</f>
        <v/>
      </c>
      <c r="L4914" s="3">
        <f>IF(K4914&lt;-5,"CRÍTICO",IF(K4914&lt;0,"ATENÇÃO",IF(K4914&lt;=5,"OPORTUNO","MUITO BOM")))</f>
        <v/>
      </c>
    </row>
    <row r="4915">
      <c r="I4915" s="3">
        <f>E4915+G4915+H4915</f>
        <v/>
      </c>
      <c r="J4915" s="3">
        <f>ROUND(MIN(IF(C4915="Técnico III",35,IF(C4915="Técnico II",28,IF(C4915="Técnico I",23,IF(C4915="JR",20,IF(C4915="Estágio",10,0))))),IF(C4915="Técnico III",SUMIFS($D:$D,$A:$A,$A4915,$B:$B,"&lt;&gt;Patrícia Karla de Sousa Araújo",$B:$B,"&lt;&gt;Lorena Dias de Araujo",$B:$B,"&lt;&gt;Lucas Luiz Romero")*(35/1083),IF(C4915="Técnico II",SUMIFS($D:$D,$A:$A,$A4915,$B:$B,"&lt;&gt;Patrícia Karla de Sousa Araújo",$B:$B,"&lt;&gt;Lorena Dias de Araujo",$B:$B,"&lt;&gt;Lucas Luiz Romero")*(28/1083),IF(C4915="Técnico I",SUMIFS($D:$D,$A:$A,$A4915,$B:$B,"&lt;&gt;Patrícia Karla de Sousa Araújo",$B:$B,"&lt;&gt;Lorena Dias de Araujo",$B:$B,"&lt;&gt;Lucas Luiz Romero")*(23/1083),IF(C4915="JR",SUMIFS($D:$D,$A:$A,$A4915,$B:$B,"&lt;&gt;Patrícia Karla de Sousa Araújo",$B:$B,"&lt;&gt;Lorena Dias de Araujo",$B:$B,"&lt;&gt;Lucas Luiz Romero")*(20/1083),IF(C4915="Estágio",SUMIFS($D:$D,$A:$A,$A4915,$B:$B,"&lt;&gt;Patrícia Karla de Sousa Araújo",$B:$B,"&lt;&gt;Lorena Dias de Araujo",$B:$B,"&lt;&gt;Lucas Luiz Romero")*(10/1083),0)))))),0)</f>
        <v/>
      </c>
      <c r="K4915" s="3">
        <f>I4915-J4915</f>
        <v/>
      </c>
      <c r="L4915" s="3">
        <f>IF(K4915&lt;-5,"CRÍTICO",IF(K4915&lt;0,"ATENÇÃO",IF(K4915&lt;=5,"OPORTUNO","MUITO BOM")))</f>
        <v/>
      </c>
    </row>
    <row r="4916">
      <c r="I4916" s="3">
        <f>E4916+G4916+H4916</f>
        <v/>
      </c>
      <c r="J4916" s="3">
        <f>ROUND(MIN(IF(C4916="Técnico III",35,IF(C4916="Técnico II",28,IF(C4916="Técnico I",23,IF(C4916="JR",20,IF(C4916="Estágio",10,0))))),IF(C4916="Técnico III",SUMIFS($D:$D,$A:$A,$A4916,$B:$B,"&lt;&gt;Patrícia Karla de Sousa Araújo",$B:$B,"&lt;&gt;Lorena Dias de Araujo",$B:$B,"&lt;&gt;Lucas Luiz Romero")*(35/1083),IF(C4916="Técnico II",SUMIFS($D:$D,$A:$A,$A4916,$B:$B,"&lt;&gt;Patrícia Karla de Sousa Araújo",$B:$B,"&lt;&gt;Lorena Dias de Araujo",$B:$B,"&lt;&gt;Lucas Luiz Romero")*(28/1083),IF(C4916="Técnico I",SUMIFS($D:$D,$A:$A,$A4916,$B:$B,"&lt;&gt;Patrícia Karla de Sousa Araújo",$B:$B,"&lt;&gt;Lorena Dias de Araujo",$B:$B,"&lt;&gt;Lucas Luiz Romero")*(23/1083),IF(C4916="JR",SUMIFS($D:$D,$A:$A,$A4916,$B:$B,"&lt;&gt;Patrícia Karla de Sousa Araújo",$B:$B,"&lt;&gt;Lorena Dias de Araujo",$B:$B,"&lt;&gt;Lucas Luiz Romero")*(20/1083),IF(C4916="Estágio",SUMIFS($D:$D,$A:$A,$A4916,$B:$B,"&lt;&gt;Patrícia Karla de Sousa Araújo",$B:$B,"&lt;&gt;Lorena Dias de Araujo",$B:$B,"&lt;&gt;Lucas Luiz Romero")*(10/1083),0)))))),0)</f>
        <v/>
      </c>
      <c r="K4916" s="3">
        <f>I4916-J4916</f>
        <v/>
      </c>
      <c r="L4916" s="3">
        <f>IF(K4916&lt;-5,"CRÍTICO",IF(K4916&lt;0,"ATENÇÃO",IF(K4916&lt;=5,"OPORTUNO","MUITO BOM")))</f>
        <v/>
      </c>
    </row>
    <row r="4917">
      <c r="I4917" s="3">
        <f>E4917+G4917+H4917</f>
        <v/>
      </c>
      <c r="J4917" s="3">
        <f>ROUND(MIN(IF(C4917="Técnico III",35,IF(C4917="Técnico II",28,IF(C4917="Técnico I",23,IF(C4917="JR",20,IF(C4917="Estágio",10,0))))),IF(C4917="Técnico III",SUMIFS($D:$D,$A:$A,$A4917,$B:$B,"&lt;&gt;Patrícia Karla de Sousa Araújo",$B:$B,"&lt;&gt;Lorena Dias de Araujo",$B:$B,"&lt;&gt;Lucas Luiz Romero")*(35/1083),IF(C4917="Técnico II",SUMIFS($D:$D,$A:$A,$A4917,$B:$B,"&lt;&gt;Patrícia Karla de Sousa Araújo",$B:$B,"&lt;&gt;Lorena Dias de Araujo",$B:$B,"&lt;&gt;Lucas Luiz Romero")*(28/1083),IF(C4917="Técnico I",SUMIFS($D:$D,$A:$A,$A4917,$B:$B,"&lt;&gt;Patrícia Karla de Sousa Araújo",$B:$B,"&lt;&gt;Lorena Dias de Araujo",$B:$B,"&lt;&gt;Lucas Luiz Romero")*(23/1083),IF(C4917="JR",SUMIFS($D:$D,$A:$A,$A4917,$B:$B,"&lt;&gt;Patrícia Karla de Sousa Araújo",$B:$B,"&lt;&gt;Lorena Dias de Araujo",$B:$B,"&lt;&gt;Lucas Luiz Romero")*(20/1083),IF(C4917="Estágio",SUMIFS($D:$D,$A:$A,$A4917,$B:$B,"&lt;&gt;Patrícia Karla de Sousa Araújo",$B:$B,"&lt;&gt;Lorena Dias de Araujo",$B:$B,"&lt;&gt;Lucas Luiz Romero")*(10/1083),0)))))),0)</f>
        <v/>
      </c>
      <c r="K4917" s="3">
        <f>I4917-J4917</f>
        <v/>
      </c>
      <c r="L4917" s="3">
        <f>IF(K4917&lt;-5,"CRÍTICO",IF(K4917&lt;0,"ATENÇÃO",IF(K4917&lt;=5,"OPORTUNO","MUITO BOM")))</f>
        <v/>
      </c>
    </row>
    <row r="4918">
      <c r="I4918" s="3">
        <f>E4918+G4918+H4918</f>
        <v/>
      </c>
      <c r="J4918" s="3">
        <f>ROUND(MIN(IF(C4918="Técnico III",35,IF(C4918="Técnico II",28,IF(C4918="Técnico I",23,IF(C4918="JR",20,IF(C4918="Estágio",10,0))))),IF(C4918="Técnico III",SUMIFS($D:$D,$A:$A,$A4918,$B:$B,"&lt;&gt;Patrícia Karla de Sousa Araújo",$B:$B,"&lt;&gt;Lorena Dias de Araujo",$B:$B,"&lt;&gt;Lucas Luiz Romero")*(35/1083),IF(C4918="Técnico II",SUMIFS($D:$D,$A:$A,$A4918,$B:$B,"&lt;&gt;Patrícia Karla de Sousa Araújo",$B:$B,"&lt;&gt;Lorena Dias de Araujo",$B:$B,"&lt;&gt;Lucas Luiz Romero")*(28/1083),IF(C4918="Técnico I",SUMIFS($D:$D,$A:$A,$A4918,$B:$B,"&lt;&gt;Patrícia Karla de Sousa Araújo",$B:$B,"&lt;&gt;Lorena Dias de Araujo",$B:$B,"&lt;&gt;Lucas Luiz Romero")*(23/1083),IF(C4918="JR",SUMIFS($D:$D,$A:$A,$A4918,$B:$B,"&lt;&gt;Patrícia Karla de Sousa Araújo",$B:$B,"&lt;&gt;Lorena Dias de Araujo",$B:$B,"&lt;&gt;Lucas Luiz Romero")*(20/1083),IF(C4918="Estágio",SUMIFS($D:$D,$A:$A,$A4918,$B:$B,"&lt;&gt;Patrícia Karla de Sousa Araújo",$B:$B,"&lt;&gt;Lorena Dias de Araujo",$B:$B,"&lt;&gt;Lucas Luiz Romero")*(10/1083),0)))))),0)</f>
        <v/>
      </c>
      <c r="K4918" s="3">
        <f>I4918-J4918</f>
        <v/>
      </c>
      <c r="L4918" s="3">
        <f>IF(K4918&lt;-5,"CRÍTICO",IF(K4918&lt;0,"ATENÇÃO",IF(K4918&lt;=5,"OPORTUNO","MUITO BOM")))</f>
        <v/>
      </c>
    </row>
    <row r="4919">
      <c r="I4919" s="3">
        <f>E4919+G4919+H4919</f>
        <v/>
      </c>
      <c r="J4919" s="3">
        <f>ROUND(MIN(IF(C4919="Técnico III",35,IF(C4919="Técnico II",28,IF(C4919="Técnico I",23,IF(C4919="JR",20,IF(C4919="Estágio",10,0))))),IF(C4919="Técnico III",SUMIFS($D:$D,$A:$A,$A4919,$B:$B,"&lt;&gt;Patrícia Karla de Sousa Araújo",$B:$B,"&lt;&gt;Lorena Dias de Araujo",$B:$B,"&lt;&gt;Lucas Luiz Romero")*(35/1083),IF(C4919="Técnico II",SUMIFS($D:$D,$A:$A,$A4919,$B:$B,"&lt;&gt;Patrícia Karla de Sousa Araújo",$B:$B,"&lt;&gt;Lorena Dias de Araujo",$B:$B,"&lt;&gt;Lucas Luiz Romero")*(28/1083),IF(C4919="Técnico I",SUMIFS($D:$D,$A:$A,$A4919,$B:$B,"&lt;&gt;Patrícia Karla de Sousa Araújo",$B:$B,"&lt;&gt;Lorena Dias de Araujo",$B:$B,"&lt;&gt;Lucas Luiz Romero")*(23/1083),IF(C4919="JR",SUMIFS($D:$D,$A:$A,$A4919,$B:$B,"&lt;&gt;Patrícia Karla de Sousa Araújo",$B:$B,"&lt;&gt;Lorena Dias de Araujo",$B:$B,"&lt;&gt;Lucas Luiz Romero")*(20/1083),IF(C4919="Estágio",SUMIFS($D:$D,$A:$A,$A4919,$B:$B,"&lt;&gt;Patrícia Karla de Sousa Araújo",$B:$B,"&lt;&gt;Lorena Dias de Araujo",$B:$B,"&lt;&gt;Lucas Luiz Romero")*(10/1083),0)))))),0)</f>
        <v/>
      </c>
      <c r="K4919" s="3">
        <f>I4919-J4919</f>
        <v/>
      </c>
      <c r="L4919" s="3">
        <f>IF(K4919&lt;-5,"CRÍTICO",IF(K4919&lt;0,"ATENÇÃO",IF(K4919&lt;=5,"OPORTUNO","MUITO BOM")))</f>
        <v/>
      </c>
    </row>
    <row r="4920">
      <c r="I4920" s="3">
        <f>E4920+G4920+H4920</f>
        <v/>
      </c>
      <c r="J4920" s="3">
        <f>ROUND(MIN(IF(C4920="Técnico III",35,IF(C4920="Técnico II",28,IF(C4920="Técnico I",23,IF(C4920="JR",20,IF(C4920="Estágio",10,0))))),IF(C4920="Técnico III",SUMIFS($D:$D,$A:$A,$A4920,$B:$B,"&lt;&gt;Patrícia Karla de Sousa Araújo",$B:$B,"&lt;&gt;Lorena Dias de Araujo",$B:$B,"&lt;&gt;Lucas Luiz Romero")*(35/1083),IF(C4920="Técnico II",SUMIFS($D:$D,$A:$A,$A4920,$B:$B,"&lt;&gt;Patrícia Karla de Sousa Araújo",$B:$B,"&lt;&gt;Lorena Dias de Araujo",$B:$B,"&lt;&gt;Lucas Luiz Romero")*(28/1083),IF(C4920="Técnico I",SUMIFS($D:$D,$A:$A,$A4920,$B:$B,"&lt;&gt;Patrícia Karla de Sousa Araújo",$B:$B,"&lt;&gt;Lorena Dias de Araujo",$B:$B,"&lt;&gt;Lucas Luiz Romero")*(23/1083),IF(C4920="JR",SUMIFS($D:$D,$A:$A,$A4920,$B:$B,"&lt;&gt;Patrícia Karla de Sousa Araújo",$B:$B,"&lt;&gt;Lorena Dias de Araujo",$B:$B,"&lt;&gt;Lucas Luiz Romero")*(20/1083),IF(C4920="Estágio",SUMIFS($D:$D,$A:$A,$A4920,$B:$B,"&lt;&gt;Patrícia Karla de Sousa Araújo",$B:$B,"&lt;&gt;Lorena Dias de Araujo",$B:$B,"&lt;&gt;Lucas Luiz Romero")*(10/1083),0)))))),0)</f>
        <v/>
      </c>
      <c r="K4920" s="3">
        <f>I4920-J4920</f>
        <v/>
      </c>
      <c r="L4920" s="3">
        <f>IF(K4920&lt;-5,"CRÍTICO",IF(K4920&lt;0,"ATENÇÃO",IF(K4920&lt;=5,"OPORTUNO","MUITO BOM")))</f>
        <v/>
      </c>
    </row>
    <row r="4921">
      <c r="I4921" s="3">
        <f>E4921+G4921+H4921</f>
        <v/>
      </c>
      <c r="J4921" s="3">
        <f>ROUND(MIN(IF(C4921="Técnico III",35,IF(C4921="Técnico II",28,IF(C4921="Técnico I",23,IF(C4921="JR",20,IF(C4921="Estágio",10,0))))),IF(C4921="Técnico III",SUMIFS($D:$D,$A:$A,$A4921,$B:$B,"&lt;&gt;Patrícia Karla de Sousa Araújo",$B:$B,"&lt;&gt;Lorena Dias de Araujo",$B:$B,"&lt;&gt;Lucas Luiz Romero")*(35/1083),IF(C4921="Técnico II",SUMIFS($D:$D,$A:$A,$A4921,$B:$B,"&lt;&gt;Patrícia Karla de Sousa Araújo",$B:$B,"&lt;&gt;Lorena Dias de Araujo",$B:$B,"&lt;&gt;Lucas Luiz Romero")*(28/1083),IF(C4921="Técnico I",SUMIFS($D:$D,$A:$A,$A4921,$B:$B,"&lt;&gt;Patrícia Karla de Sousa Araújo",$B:$B,"&lt;&gt;Lorena Dias de Araujo",$B:$B,"&lt;&gt;Lucas Luiz Romero")*(23/1083),IF(C4921="JR",SUMIFS($D:$D,$A:$A,$A4921,$B:$B,"&lt;&gt;Patrícia Karla de Sousa Araújo",$B:$B,"&lt;&gt;Lorena Dias de Araujo",$B:$B,"&lt;&gt;Lucas Luiz Romero")*(20/1083),IF(C4921="Estágio",SUMIFS($D:$D,$A:$A,$A4921,$B:$B,"&lt;&gt;Patrícia Karla de Sousa Araújo",$B:$B,"&lt;&gt;Lorena Dias de Araujo",$B:$B,"&lt;&gt;Lucas Luiz Romero")*(10/1083),0)))))),0)</f>
        <v/>
      </c>
      <c r="K4921" s="3">
        <f>I4921-J4921</f>
        <v/>
      </c>
      <c r="L4921" s="3">
        <f>IF(K4921&lt;-5,"CRÍTICO",IF(K4921&lt;0,"ATENÇÃO",IF(K4921&lt;=5,"OPORTUNO","MUITO BOM")))</f>
        <v/>
      </c>
    </row>
    <row r="4922">
      <c r="I4922" s="3">
        <f>E4922+G4922+H4922</f>
        <v/>
      </c>
      <c r="J4922" s="3">
        <f>ROUND(MIN(IF(C4922="Técnico III",35,IF(C4922="Técnico II",28,IF(C4922="Técnico I",23,IF(C4922="JR",20,IF(C4922="Estágio",10,0))))),IF(C4922="Técnico III",SUMIFS($D:$D,$A:$A,$A4922,$B:$B,"&lt;&gt;Patrícia Karla de Sousa Araújo",$B:$B,"&lt;&gt;Lorena Dias de Araujo",$B:$B,"&lt;&gt;Lucas Luiz Romero")*(35/1083),IF(C4922="Técnico II",SUMIFS($D:$D,$A:$A,$A4922,$B:$B,"&lt;&gt;Patrícia Karla de Sousa Araújo",$B:$B,"&lt;&gt;Lorena Dias de Araujo",$B:$B,"&lt;&gt;Lucas Luiz Romero")*(28/1083),IF(C4922="Técnico I",SUMIFS($D:$D,$A:$A,$A4922,$B:$B,"&lt;&gt;Patrícia Karla de Sousa Araújo",$B:$B,"&lt;&gt;Lorena Dias de Araujo",$B:$B,"&lt;&gt;Lucas Luiz Romero")*(23/1083),IF(C4922="JR",SUMIFS($D:$D,$A:$A,$A4922,$B:$B,"&lt;&gt;Patrícia Karla de Sousa Araújo",$B:$B,"&lt;&gt;Lorena Dias de Araujo",$B:$B,"&lt;&gt;Lucas Luiz Romero")*(20/1083),IF(C4922="Estágio",SUMIFS($D:$D,$A:$A,$A4922,$B:$B,"&lt;&gt;Patrícia Karla de Sousa Araújo",$B:$B,"&lt;&gt;Lorena Dias de Araujo",$B:$B,"&lt;&gt;Lucas Luiz Romero")*(10/1083),0)))))),0)</f>
        <v/>
      </c>
      <c r="K4922" s="3">
        <f>I4922-J4922</f>
        <v/>
      </c>
      <c r="L4922" s="3">
        <f>IF(K4922&lt;-5,"CRÍTICO",IF(K4922&lt;0,"ATENÇÃO",IF(K4922&lt;=5,"OPORTUNO","MUITO BOM")))</f>
        <v/>
      </c>
    </row>
    <row r="4923">
      <c r="I4923" s="3">
        <f>E4923+G4923+H4923</f>
        <v/>
      </c>
      <c r="J4923" s="3">
        <f>ROUND(MIN(IF(C4923="Técnico III",35,IF(C4923="Técnico II",28,IF(C4923="Técnico I",23,IF(C4923="JR",20,IF(C4923="Estágio",10,0))))),IF(C4923="Técnico III",SUMIFS($D:$D,$A:$A,$A4923,$B:$B,"&lt;&gt;Patrícia Karla de Sousa Araújo",$B:$B,"&lt;&gt;Lorena Dias de Araujo",$B:$B,"&lt;&gt;Lucas Luiz Romero")*(35/1083),IF(C4923="Técnico II",SUMIFS($D:$D,$A:$A,$A4923,$B:$B,"&lt;&gt;Patrícia Karla de Sousa Araújo",$B:$B,"&lt;&gt;Lorena Dias de Araujo",$B:$B,"&lt;&gt;Lucas Luiz Romero")*(28/1083),IF(C4923="Técnico I",SUMIFS($D:$D,$A:$A,$A4923,$B:$B,"&lt;&gt;Patrícia Karla de Sousa Araújo",$B:$B,"&lt;&gt;Lorena Dias de Araujo",$B:$B,"&lt;&gt;Lucas Luiz Romero")*(23/1083),IF(C4923="JR",SUMIFS($D:$D,$A:$A,$A4923,$B:$B,"&lt;&gt;Patrícia Karla de Sousa Araújo",$B:$B,"&lt;&gt;Lorena Dias de Araujo",$B:$B,"&lt;&gt;Lucas Luiz Romero")*(20/1083),IF(C4923="Estágio",SUMIFS($D:$D,$A:$A,$A4923,$B:$B,"&lt;&gt;Patrícia Karla de Sousa Araújo",$B:$B,"&lt;&gt;Lorena Dias de Araujo",$B:$B,"&lt;&gt;Lucas Luiz Romero")*(10/1083),0)))))),0)</f>
        <v/>
      </c>
      <c r="K4923" s="3">
        <f>I4923-J4923</f>
        <v/>
      </c>
      <c r="L4923" s="3">
        <f>IF(K4923&lt;-5,"CRÍTICO",IF(K4923&lt;0,"ATENÇÃO",IF(K4923&lt;=5,"OPORTUNO","MUITO BOM")))</f>
        <v/>
      </c>
    </row>
    <row r="4924">
      <c r="I4924" s="3">
        <f>E4924+G4924+H4924</f>
        <v/>
      </c>
      <c r="J4924" s="3">
        <f>ROUND(MIN(IF(C4924="Técnico III",35,IF(C4924="Técnico II",28,IF(C4924="Técnico I",23,IF(C4924="JR",20,IF(C4924="Estágio",10,0))))),IF(C4924="Técnico III",SUMIFS($D:$D,$A:$A,$A4924,$B:$B,"&lt;&gt;Patrícia Karla de Sousa Araújo",$B:$B,"&lt;&gt;Lorena Dias de Araujo",$B:$B,"&lt;&gt;Lucas Luiz Romero")*(35/1083),IF(C4924="Técnico II",SUMIFS($D:$D,$A:$A,$A4924,$B:$B,"&lt;&gt;Patrícia Karla de Sousa Araújo",$B:$B,"&lt;&gt;Lorena Dias de Araujo",$B:$B,"&lt;&gt;Lucas Luiz Romero")*(28/1083),IF(C4924="Técnico I",SUMIFS($D:$D,$A:$A,$A4924,$B:$B,"&lt;&gt;Patrícia Karla de Sousa Araújo",$B:$B,"&lt;&gt;Lorena Dias de Araujo",$B:$B,"&lt;&gt;Lucas Luiz Romero")*(23/1083),IF(C4924="JR",SUMIFS($D:$D,$A:$A,$A4924,$B:$B,"&lt;&gt;Patrícia Karla de Sousa Araújo",$B:$B,"&lt;&gt;Lorena Dias de Araujo",$B:$B,"&lt;&gt;Lucas Luiz Romero")*(20/1083),IF(C4924="Estágio",SUMIFS($D:$D,$A:$A,$A4924,$B:$B,"&lt;&gt;Patrícia Karla de Sousa Araújo",$B:$B,"&lt;&gt;Lorena Dias de Araujo",$B:$B,"&lt;&gt;Lucas Luiz Romero")*(10/1083),0)))))),0)</f>
        <v/>
      </c>
      <c r="K4924" s="3">
        <f>I4924-J4924</f>
        <v/>
      </c>
      <c r="L4924" s="3">
        <f>IF(K4924&lt;-5,"CRÍTICO",IF(K4924&lt;0,"ATENÇÃO",IF(K4924&lt;=5,"OPORTUNO","MUITO BOM")))</f>
        <v/>
      </c>
    </row>
    <row r="4925">
      <c r="I4925" s="3">
        <f>E4925+G4925+H4925</f>
        <v/>
      </c>
      <c r="J4925" s="3">
        <f>ROUND(MIN(IF(C4925="Técnico III",35,IF(C4925="Técnico II",28,IF(C4925="Técnico I",23,IF(C4925="JR",20,IF(C4925="Estágio",10,0))))),IF(C4925="Técnico III",SUMIFS($D:$D,$A:$A,$A4925,$B:$B,"&lt;&gt;Patrícia Karla de Sousa Araújo",$B:$B,"&lt;&gt;Lorena Dias de Araujo",$B:$B,"&lt;&gt;Lucas Luiz Romero")*(35/1083),IF(C4925="Técnico II",SUMIFS($D:$D,$A:$A,$A4925,$B:$B,"&lt;&gt;Patrícia Karla de Sousa Araújo",$B:$B,"&lt;&gt;Lorena Dias de Araujo",$B:$B,"&lt;&gt;Lucas Luiz Romero")*(28/1083),IF(C4925="Técnico I",SUMIFS($D:$D,$A:$A,$A4925,$B:$B,"&lt;&gt;Patrícia Karla de Sousa Araújo",$B:$B,"&lt;&gt;Lorena Dias de Araujo",$B:$B,"&lt;&gt;Lucas Luiz Romero")*(23/1083),IF(C4925="JR",SUMIFS($D:$D,$A:$A,$A4925,$B:$B,"&lt;&gt;Patrícia Karla de Sousa Araújo",$B:$B,"&lt;&gt;Lorena Dias de Araujo",$B:$B,"&lt;&gt;Lucas Luiz Romero")*(20/1083),IF(C4925="Estágio",SUMIFS($D:$D,$A:$A,$A4925,$B:$B,"&lt;&gt;Patrícia Karla de Sousa Araújo",$B:$B,"&lt;&gt;Lorena Dias de Araujo",$B:$B,"&lt;&gt;Lucas Luiz Romero")*(10/1083),0)))))),0)</f>
        <v/>
      </c>
      <c r="K4925" s="3">
        <f>I4925-J4925</f>
        <v/>
      </c>
      <c r="L4925" s="3">
        <f>IF(K4925&lt;-5,"CRÍTICO",IF(K4925&lt;0,"ATENÇÃO",IF(K4925&lt;=5,"OPORTUNO","MUITO BOM")))</f>
        <v/>
      </c>
    </row>
    <row r="4926">
      <c r="I4926" s="3">
        <f>E4926+G4926+H4926</f>
        <v/>
      </c>
      <c r="J4926" s="3">
        <f>ROUND(MIN(IF(C4926="Técnico III",35,IF(C4926="Técnico II",28,IF(C4926="Técnico I",23,IF(C4926="JR",20,IF(C4926="Estágio",10,0))))),IF(C4926="Técnico III",SUMIFS($D:$D,$A:$A,$A4926,$B:$B,"&lt;&gt;Patrícia Karla de Sousa Araújo",$B:$B,"&lt;&gt;Lorena Dias de Araujo",$B:$B,"&lt;&gt;Lucas Luiz Romero")*(35/1083),IF(C4926="Técnico II",SUMIFS($D:$D,$A:$A,$A4926,$B:$B,"&lt;&gt;Patrícia Karla de Sousa Araújo",$B:$B,"&lt;&gt;Lorena Dias de Araujo",$B:$B,"&lt;&gt;Lucas Luiz Romero")*(28/1083),IF(C4926="Técnico I",SUMIFS($D:$D,$A:$A,$A4926,$B:$B,"&lt;&gt;Patrícia Karla de Sousa Araújo",$B:$B,"&lt;&gt;Lorena Dias de Araujo",$B:$B,"&lt;&gt;Lucas Luiz Romero")*(23/1083),IF(C4926="JR",SUMIFS($D:$D,$A:$A,$A4926,$B:$B,"&lt;&gt;Patrícia Karla de Sousa Araújo",$B:$B,"&lt;&gt;Lorena Dias de Araujo",$B:$B,"&lt;&gt;Lucas Luiz Romero")*(20/1083),IF(C4926="Estágio",SUMIFS($D:$D,$A:$A,$A4926,$B:$B,"&lt;&gt;Patrícia Karla de Sousa Araújo",$B:$B,"&lt;&gt;Lorena Dias de Araujo",$B:$B,"&lt;&gt;Lucas Luiz Romero")*(10/1083),0)))))),0)</f>
        <v/>
      </c>
      <c r="K4926" s="3">
        <f>I4926-J4926</f>
        <v/>
      </c>
      <c r="L4926" s="3">
        <f>IF(K4926&lt;-5,"CRÍTICO",IF(K4926&lt;0,"ATENÇÃO",IF(K4926&lt;=5,"OPORTUNO","MUITO BOM")))</f>
        <v/>
      </c>
    </row>
    <row r="4927">
      <c r="I4927" s="3">
        <f>E4927+G4927+H4927</f>
        <v/>
      </c>
      <c r="J4927" s="3">
        <f>ROUND(MIN(IF(C4927="Técnico III",35,IF(C4927="Técnico II",28,IF(C4927="Técnico I",23,IF(C4927="JR",20,IF(C4927="Estágio",10,0))))),IF(C4927="Técnico III",SUMIFS($D:$D,$A:$A,$A4927,$B:$B,"&lt;&gt;Patrícia Karla de Sousa Araújo",$B:$B,"&lt;&gt;Lorena Dias de Araujo",$B:$B,"&lt;&gt;Lucas Luiz Romero")*(35/1083),IF(C4927="Técnico II",SUMIFS($D:$D,$A:$A,$A4927,$B:$B,"&lt;&gt;Patrícia Karla de Sousa Araújo",$B:$B,"&lt;&gt;Lorena Dias de Araujo",$B:$B,"&lt;&gt;Lucas Luiz Romero")*(28/1083),IF(C4927="Técnico I",SUMIFS($D:$D,$A:$A,$A4927,$B:$B,"&lt;&gt;Patrícia Karla de Sousa Araújo",$B:$B,"&lt;&gt;Lorena Dias de Araujo",$B:$B,"&lt;&gt;Lucas Luiz Romero")*(23/1083),IF(C4927="JR",SUMIFS($D:$D,$A:$A,$A4927,$B:$B,"&lt;&gt;Patrícia Karla de Sousa Araújo",$B:$B,"&lt;&gt;Lorena Dias de Araujo",$B:$B,"&lt;&gt;Lucas Luiz Romero")*(20/1083),IF(C4927="Estágio",SUMIFS($D:$D,$A:$A,$A4927,$B:$B,"&lt;&gt;Patrícia Karla de Sousa Araújo",$B:$B,"&lt;&gt;Lorena Dias de Araujo",$B:$B,"&lt;&gt;Lucas Luiz Romero")*(10/1083),0)))))),0)</f>
        <v/>
      </c>
      <c r="K4927" s="3">
        <f>I4927-J4927</f>
        <v/>
      </c>
      <c r="L4927" s="3">
        <f>IF(K4927&lt;-5,"CRÍTICO",IF(K4927&lt;0,"ATENÇÃO",IF(K4927&lt;=5,"OPORTUNO","MUITO BOM")))</f>
        <v/>
      </c>
    </row>
    <row r="4928">
      <c r="I4928" s="3">
        <f>E4928+G4928+H4928</f>
        <v/>
      </c>
      <c r="J4928" s="3">
        <f>ROUND(MIN(IF(C4928="Técnico III",35,IF(C4928="Técnico II",28,IF(C4928="Técnico I",23,IF(C4928="JR",20,IF(C4928="Estágio",10,0))))),IF(C4928="Técnico III",SUMIFS($D:$D,$A:$A,$A4928,$B:$B,"&lt;&gt;Patrícia Karla de Sousa Araújo",$B:$B,"&lt;&gt;Lorena Dias de Araujo",$B:$B,"&lt;&gt;Lucas Luiz Romero")*(35/1083),IF(C4928="Técnico II",SUMIFS($D:$D,$A:$A,$A4928,$B:$B,"&lt;&gt;Patrícia Karla de Sousa Araújo",$B:$B,"&lt;&gt;Lorena Dias de Araujo",$B:$B,"&lt;&gt;Lucas Luiz Romero")*(28/1083),IF(C4928="Técnico I",SUMIFS($D:$D,$A:$A,$A4928,$B:$B,"&lt;&gt;Patrícia Karla de Sousa Araújo",$B:$B,"&lt;&gt;Lorena Dias de Araujo",$B:$B,"&lt;&gt;Lucas Luiz Romero")*(23/1083),IF(C4928="JR",SUMIFS($D:$D,$A:$A,$A4928,$B:$B,"&lt;&gt;Patrícia Karla de Sousa Araújo",$B:$B,"&lt;&gt;Lorena Dias de Araujo",$B:$B,"&lt;&gt;Lucas Luiz Romero")*(20/1083),IF(C4928="Estágio",SUMIFS($D:$D,$A:$A,$A4928,$B:$B,"&lt;&gt;Patrícia Karla de Sousa Araújo",$B:$B,"&lt;&gt;Lorena Dias de Araujo",$B:$B,"&lt;&gt;Lucas Luiz Romero")*(10/1083),0)))))),0)</f>
        <v/>
      </c>
      <c r="K4928" s="3">
        <f>I4928-J4928</f>
        <v/>
      </c>
      <c r="L4928" s="3">
        <f>IF(K4928&lt;-5,"CRÍTICO",IF(K4928&lt;0,"ATENÇÃO",IF(K4928&lt;=5,"OPORTUNO","MUITO BOM")))</f>
        <v/>
      </c>
    </row>
    <row r="4929">
      <c r="I4929" s="3">
        <f>E4929+G4929+H4929</f>
        <v/>
      </c>
      <c r="J4929" s="3">
        <f>ROUND(MIN(IF(C4929="Técnico III",35,IF(C4929="Técnico II",28,IF(C4929="Técnico I",23,IF(C4929="JR",20,IF(C4929="Estágio",10,0))))),IF(C4929="Técnico III",SUMIFS($D:$D,$A:$A,$A4929,$B:$B,"&lt;&gt;Patrícia Karla de Sousa Araújo",$B:$B,"&lt;&gt;Lorena Dias de Araujo",$B:$B,"&lt;&gt;Lucas Luiz Romero")*(35/1083),IF(C4929="Técnico II",SUMIFS($D:$D,$A:$A,$A4929,$B:$B,"&lt;&gt;Patrícia Karla de Sousa Araújo",$B:$B,"&lt;&gt;Lorena Dias de Araujo",$B:$B,"&lt;&gt;Lucas Luiz Romero")*(28/1083),IF(C4929="Técnico I",SUMIFS($D:$D,$A:$A,$A4929,$B:$B,"&lt;&gt;Patrícia Karla de Sousa Araújo",$B:$B,"&lt;&gt;Lorena Dias de Araujo",$B:$B,"&lt;&gt;Lucas Luiz Romero")*(23/1083),IF(C4929="JR",SUMIFS($D:$D,$A:$A,$A4929,$B:$B,"&lt;&gt;Patrícia Karla de Sousa Araújo",$B:$B,"&lt;&gt;Lorena Dias de Araujo",$B:$B,"&lt;&gt;Lucas Luiz Romero")*(20/1083),IF(C4929="Estágio",SUMIFS($D:$D,$A:$A,$A4929,$B:$B,"&lt;&gt;Patrícia Karla de Sousa Araújo",$B:$B,"&lt;&gt;Lorena Dias de Araujo",$B:$B,"&lt;&gt;Lucas Luiz Romero")*(10/1083),0)))))),0)</f>
        <v/>
      </c>
      <c r="K4929" s="3">
        <f>I4929-J4929</f>
        <v/>
      </c>
      <c r="L4929" s="3">
        <f>IF(K4929&lt;-5,"CRÍTICO",IF(K4929&lt;0,"ATENÇÃO",IF(K4929&lt;=5,"OPORTUNO","MUITO BOM")))</f>
        <v/>
      </c>
    </row>
    <row r="4930">
      <c r="I4930" s="3">
        <f>E4930+G4930+H4930</f>
        <v/>
      </c>
      <c r="J4930" s="3">
        <f>ROUND(MIN(IF(C4930="Técnico III",35,IF(C4930="Técnico II",28,IF(C4930="Técnico I",23,IF(C4930="JR",20,IF(C4930="Estágio",10,0))))),IF(C4930="Técnico III",SUMIFS($D:$D,$A:$A,$A4930,$B:$B,"&lt;&gt;Patrícia Karla de Sousa Araújo",$B:$B,"&lt;&gt;Lorena Dias de Araujo",$B:$B,"&lt;&gt;Lucas Luiz Romero")*(35/1083),IF(C4930="Técnico II",SUMIFS($D:$D,$A:$A,$A4930,$B:$B,"&lt;&gt;Patrícia Karla de Sousa Araújo",$B:$B,"&lt;&gt;Lorena Dias de Araujo",$B:$B,"&lt;&gt;Lucas Luiz Romero")*(28/1083),IF(C4930="Técnico I",SUMIFS($D:$D,$A:$A,$A4930,$B:$B,"&lt;&gt;Patrícia Karla de Sousa Araújo",$B:$B,"&lt;&gt;Lorena Dias de Araujo",$B:$B,"&lt;&gt;Lucas Luiz Romero")*(23/1083),IF(C4930="JR",SUMIFS($D:$D,$A:$A,$A4930,$B:$B,"&lt;&gt;Patrícia Karla de Sousa Araújo",$B:$B,"&lt;&gt;Lorena Dias de Araujo",$B:$B,"&lt;&gt;Lucas Luiz Romero")*(20/1083),IF(C4930="Estágio",SUMIFS($D:$D,$A:$A,$A4930,$B:$B,"&lt;&gt;Patrícia Karla de Sousa Araújo",$B:$B,"&lt;&gt;Lorena Dias de Araujo",$B:$B,"&lt;&gt;Lucas Luiz Romero")*(10/1083),0)))))),0)</f>
        <v/>
      </c>
      <c r="K4930" s="3">
        <f>I4930-J4930</f>
        <v/>
      </c>
      <c r="L4930" s="3">
        <f>IF(K4930&lt;-5,"CRÍTICO",IF(K4930&lt;0,"ATENÇÃO",IF(K4930&lt;=5,"OPORTUNO","MUITO BOM")))</f>
        <v/>
      </c>
    </row>
    <row r="4931">
      <c r="I4931" s="3">
        <f>E4931+G4931+H4931</f>
        <v/>
      </c>
      <c r="J4931" s="3">
        <f>ROUND(MIN(IF(C4931="Técnico III",35,IF(C4931="Técnico II",28,IF(C4931="Técnico I",23,IF(C4931="JR",20,IF(C4931="Estágio",10,0))))),IF(C4931="Técnico III",SUMIFS($D:$D,$A:$A,$A4931,$B:$B,"&lt;&gt;Patrícia Karla de Sousa Araújo",$B:$B,"&lt;&gt;Lorena Dias de Araujo",$B:$B,"&lt;&gt;Lucas Luiz Romero")*(35/1083),IF(C4931="Técnico II",SUMIFS($D:$D,$A:$A,$A4931,$B:$B,"&lt;&gt;Patrícia Karla de Sousa Araújo",$B:$B,"&lt;&gt;Lorena Dias de Araujo",$B:$B,"&lt;&gt;Lucas Luiz Romero")*(28/1083),IF(C4931="Técnico I",SUMIFS($D:$D,$A:$A,$A4931,$B:$B,"&lt;&gt;Patrícia Karla de Sousa Araújo",$B:$B,"&lt;&gt;Lorena Dias de Araujo",$B:$B,"&lt;&gt;Lucas Luiz Romero")*(23/1083),IF(C4931="JR",SUMIFS($D:$D,$A:$A,$A4931,$B:$B,"&lt;&gt;Patrícia Karla de Sousa Araújo",$B:$B,"&lt;&gt;Lorena Dias de Araujo",$B:$B,"&lt;&gt;Lucas Luiz Romero")*(20/1083),IF(C4931="Estágio",SUMIFS($D:$D,$A:$A,$A4931,$B:$B,"&lt;&gt;Patrícia Karla de Sousa Araújo",$B:$B,"&lt;&gt;Lorena Dias de Araujo",$B:$B,"&lt;&gt;Lucas Luiz Romero")*(10/1083),0)))))),0)</f>
        <v/>
      </c>
      <c r="K4931" s="3">
        <f>I4931-J4931</f>
        <v/>
      </c>
      <c r="L4931" s="3">
        <f>IF(K4931&lt;-5,"CRÍTICO",IF(K4931&lt;0,"ATENÇÃO",IF(K4931&lt;=5,"OPORTUNO","MUITO BOM")))</f>
        <v/>
      </c>
    </row>
    <row r="4932">
      <c r="I4932" s="3">
        <f>E4932+G4932+H4932</f>
        <v/>
      </c>
      <c r="J4932" s="3">
        <f>ROUND(MIN(IF(C4932="Técnico III",35,IF(C4932="Técnico II",28,IF(C4932="Técnico I",23,IF(C4932="JR",20,IF(C4932="Estágio",10,0))))),IF(C4932="Técnico III",SUMIFS($D:$D,$A:$A,$A4932,$B:$B,"&lt;&gt;Patrícia Karla de Sousa Araújo",$B:$B,"&lt;&gt;Lorena Dias de Araujo",$B:$B,"&lt;&gt;Lucas Luiz Romero")*(35/1083),IF(C4932="Técnico II",SUMIFS($D:$D,$A:$A,$A4932,$B:$B,"&lt;&gt;Patrícia Karla de Sousa Araújo",$B:$B,"&lt;&gt;Lorena Dias de Araujo",$B:$B,"&lt;&gt;Lucas Luiz Romero")*(28/1083),IF(C4932="Técnico I",SUMIFS($D:$D,$A:$A,$A4932,$B:$B,"&lt;&gt;Patrícia Karla de Sousa Araújo",$B:$B,"&lt;&gt;Lorena Dias de Araujo",$B:$B,"&lt;&gt;Lucas Luiz Romero")*(23/1083),IF(C4932="JR",SUMIFS($D:$D,$A:$A,$A4932,$B:$B,"&lt;&gt;Patrícia Karla de Sousa Araújo",$B:$B,"&lt;&gt;Lorena Dias de Araujo",$B:$B,"&lt;&gt;Lucas Luiz Romero")*(20/1083),IF(C4932="Estágio",SUMIFS($D:$D,$A:$A,$A4932,$B:$B,"&lt;&gt;Patrícia Karla de Sousa Araújo",$B:$B,"&lt;&gt;Lorena Dias de Araujo",$B:$B,"&lt;&gt;Lucas Luiz Romero")*(10/1083),0)))))),0)</f>
        <v/>
      </c>
      <c r="K4932" s="3">
        <f>I4932-J4932</f>
        <v/>
      </c>
      <c r="L4932" s="3">
        <f>IF(K4932&lt;-5,"CRÍTICO",IF(K4932&lt;0,"ATENÇÃO",IF(K4932&lt;=5,"OPORTUNO","MUITO BOM")))</f>
        <v/>
      </c>
    </row>
    <row r="4933">
      <c r="I4933" s="3">
        <f>E4933+G4933+H4933</f>
        <v/>
      </c>
      <c r="J4933" s="3">
        <f>ROUND(MIN(IF(C4933="Técnico III",35,IF(C4933="Técnico II",28,IF(C4933="Técnico I",23,IF(C4933="JR",20,IF(C4933="Estágio",10,0))))),IF(C4933="Técnico III",SUMIFS($D:$D,$A:$A,$A4933,$B:$B,"&lt;&gt;Patrícia Karla de Sousa Araújo",$B:$B,"&lt;&gt;Lorena Dias de Araujo",$B:$B,"&lt;&gt;Lucas Luiz Romero")*(35/1083),IF(C4933="Técnico II",SUMIFS($D:$D,$A:$A,$A4933,$B:$B,"&lt;&gt;Patrícia Karla de Sousa Araújo",$B:$B,"&lt;&gt;Lorena Dias de Araujo",$B:$B,"&lt;&gt;Lucas Luiz Romero")*(28/1083),IF(C4933="Técnico I",SUMIFS($D:$D,$A:$A,$A4933,$B:$B,"&lt;&gt;Patrícia Karla de Sousa Araújo",$B:$B,"&lt;&gt;Lorena Dias de Araujo",$B:$B,"&lt;&gt;Lucas Luiz Romero")*(23/1083),IF(C4933="JR",SUMIFS($D:$D,$A:$A,$A4933,$B:$B,"&lt;&gt;Patrícia Karla de Sousa Araújo",$B:$B,"&lt;&gt;Lorena Dias de Araujo",$B:$B,"&lt;&gt;Lucas Luiz Romero")*(20/1083),IF(C4933="Estágio",SUMIFS($D:$D,$A:$A,$A4933,$B:$B,"&lt;&gt;Patrícia Karla de Sousa Araújo",$B:$B,"&lt;&gt;Lorena Dias de Araujo",$B:$B,"&lt;&gt;Lucas Luiz Romero")*(10/1083),0)))))),0)</f>
        <v/>
      </c>
      <c r="K4933" s="3">
        <f>I4933-J4933</f>
        <v/>
      </c>
      <c r="L4933" s="3">
        <f>IF(K4933&lt;-5,"CRÍTICO",IF(K4933&lt;0,"ATENÇÃO",IF(K4933&lt;=5,"OPORTUNO","MUITO BOM")))</f>
        <v/>
      </c>
    </row>
    <row r="4934">
      <c r="I4934" s="3">
        <f>E4934+G4934+H4934</f>
        <v/>
      </c>
      <c r="J4934" s="3">
        <f>ROUND(MIN(IF(C4934="Técnico III",35,IF(C4934="Técnico II",28,IF(C4934="Técnico I",23,IF(C4934="JR",20,IF(C4934="Estágio",10,0))))),IF(C4934="Técnico III",SUMIFS($D:$D,$A:$A,$A4934,$B:$B,"&lt;&gt;Patrícia Karla de Sousa Araújo",$B:$B,"&lt;&gt;Lorena Dias de Araujo",$B:$B,"&lt;&gt;Lucas Luiz Romero")*(35/1083),IF(C4934="Técnico II",SUMIFS($D:$D,$A:$A,$A4934,$B:$B,"&lt;&gt;Patrícia Karla de Sousa Araújo",$B:$B,"&lt;&gt;Lorena Dias de Araujo",$B:$B,"&lt;&gt;Lucas Luiz Romero")*(28/1083),IF(C4934="Técnico I",SUMIFS($D:$D,$A:$A,$A4934,$B:$B,"&lt;&gt;Patrícia Karla de Sousa Araújo",$B:$B,"&lt;&gt;Lorena Dias de Araujo",$B:$B,"&lt;&gt;Lucas Luiz Romero")*(23/1083),IF(C4934="JR",SUMIFS($D:$D,$A:$A,$A4934,$B:$B,"&lt;&gt;Patrícia Karla de Sousa Araújo",$B:$B,"&lt;&gt;Lorena Dias de Araujo",$B:$B,"&lt;&gt;Lucas Luiz Romero")*(20/1083),IF(C4934="Estágio",SUMIFS($D:$D,$A:$A,$A4934,$B:$B,"&lt;&gt;Patrícia Karla de Sousa Araújo",$B:$B,"&lt;&gt;Lorena Dias de Araujo",$B:$B,"&lt;&gt;Lucas Luiz Romero")*(10/1083),0)))))),0)</f>
        <v/>
      </c>
      <c r="K4934" s="3">
        <f>I4934-J4934</f>
        <v/>
      </c>
      <c r="L4934" s="3">
        <f>IF(K4934&lt;-5,"CRÍTICO",IF(K4934&lt;0,"ATENÇÃO",IF(K4934&lt;=5,"OPORTUNO","MUITO BOM")))</f>
        <v/>
      </c>
    </row>
    <row r="4935">
      <c r="I4935" s="3">
        <f>E4935+G4935+H4935</f>
        <v/>
      </c>
      <c r="J4935" s="3">
        <f>ROUND(MIN(IF(C4935="Técnico III",35,IF(C4935="Técnico II",28,IF(C4935="Técnico I",23,IF(C4935="JR",20,IF(C4935="Estágio",10,0))))),IF(C4935="Técnico III",SUMIFS($D:$D,$A:$A,$A4935,$B:$B,"&lt;&gt;Patrícia Karla de Sousa Araújo",$B:$B,"&lt;&gt;Lorena Dias de Araujo",$B:$B,"&lt;&gt;Lucas Luiz Romero")*(35/1083),IF(C4935="Técnico II",SUMIFS($D:$D,$A:$A,$A4935,$B:$B,"&lt;&gt;Patrícia Karla de Sousa Araújo",$B:$B,"&lt;&gt;Lorena Dias de Araujo",$B:$B,"&lt;&gt;Lucas Luiz Romero")*(28/1083),IF(C4935="Técnico I",SUMIFS($D:$D,$A:$A,$A4935,$B:$B,"&lt;&gt;Patrícia Karla de Sousa Araújo",$B:$B,"&lt;&gt;Lorena Dias de Araujo",$B:$B,"&lt;&gt;Lucas Luiz Romero")*(23/1083),IF(C4935="JR",SUMIFS($D:$D,$A:$A,$A4935,$B:$B,"&lt;&gt;Patrícia Karla de Sousa Araújo",$B:$B,"&lt;&gt;Lorena Dias de Araujo",$B:$B,"&lt;&gt;Lucas Luiz Romero")*(20/1083),IF(C4935="Estágio",SUMIFS($D:$D,$A:$A,$A4935,$B:$B,"&lt;&gt;Patrícia Karla de Sousa Araújo",$B:$B,"&lt;&gt;Lorena Dias de Araujo",$B:$B,"&lt;&gt;Lucas Luiz Romero")*(10/1083),0)))))),0)</f>
        <v/>
      </c>
      <c r="K4935" s="3">
        <f>I4935-J4935</f>
        <v/>
      </c>
      <c r="L4935" s="3">
        <f>IF(K4935&lt;-5,"CRÍTICO",IF(K4935&lt;0,"ATENÇÃO",IF(K4935&lt;=5,"OPORTUNO","MUITO BOM")))</f>
        <v/>
      </c>
    </row>
    <row r="4936">
      <c r="I4936" s="3">
        <f>E4936+G4936+H4936</f>
        <v/>
      </c>
      <c r="J4936" s="3">
        <f>ROUND(MIN(IF(C4936="Técnico III",35,IF(C4936="Técnico II",28,IF(C4936="Técnico I",23,IF(C4936="JR",20,IF(C4936="Estágio",10,0))))),IF(C4936="Técnico III",SUMIFS($D:$D,$A:$A,$A4936,$B:$B,"&lt;&gt;Patrícia Karla de Sousa Araújo",$B:$B,"&lt;&gt;Lorena Dias de Araujo",$B:$B,"&lt;&gt;Lucas Luiz Romero")*(35/1083),IF(C4936="Técnico II",SUMIFS($D:$D,$A:$A,$A4936,$B:$B,"&lt;&gt;Patrícia Karla de Sousa Araújo",$B:$B,"&lt;&gt;Lorena Dias de Araujo",$B:$B,"&lt;&gt;Lucas Luiz Romero")*(28/1083),IF(C4936="Técnico I",SUMIFS($D:$D,$A:$A,$A4936,$B:$B,"&lt;&gt;Patrícia Karla de Sousa Araújo",$B:$B,"&lt;&gt;Lorena Dias de Araujo",$B:$B,"&lt;&gt;Lucas Luiz Romero")*(23/1083),IF(C4936="JR",SUMIFS($D:$D,$A:$A,$A4936,$B:$B,"&lt;&gt;Patrícia Karla de Sousa Araújo",$B:$B,"&lt;&gt;Lorena Dias de Araujo",$B:$B,"&lt;&gt;Lucas Luiz Romero")*(20/1083),IF(C4936="Estágio",SUMIFS($D:$D,$A:$A,$A4936,$B:$B,"&lt;&gt;Patrícia Karla de Sousa Araújo",$B:$B,"&lt;&gt;Lorena Dias de Araujo",$B:$B,"&lt;&gt;Lucas Luiz Romero")*(10/1083),0)))))),0)</f>
        <v/>
      </c>
      <c r="K4936" s="3">
        <f>I4936-J4936</f>
        <v/>
      </c>
      <c r="L4936" s="3">
        <f>IF(K4936&lt;-5,"CRÍTICO",IF(K4936&lt;0,"ATENÇÃO",IF(K4936&lt;=5,"OPORTUNO","MUITO BOM")))</f>
        <v/>
      </c>
    </row>
    <row r="4937">
      <c r="I4937" s="3">
        <f>E4937+G4937+H4937</f>
        <v/>
      </c>
      <c r="J4937" s="3">
        <f>ROUND(MIN(IF(C4937="Técnico III",35,IF(C4937="Técnico II",28,IF(C4937="Técnico I",23,IF(C4937="JR",20,IF(C4937="Estágio",10,0))))),IF(C4937="Técnico III",SUMIFS($D:$D,$A:$A,$A4937,$B:$B,"&lt;&gt;Patrícia Karla de Sousa Araújo",$B:$B,"&lt;&gt;Lorena Dias de Araujo",$B:$B,"&lt;&gt;Lucas Luiz Romero")*(35/1083),IF(C4937="Técnico II",SUMIFS($D:$D,$A:$A,$A4937,$B:$B,"&lt;&gt;Patrícia Karla de Sousa Araújo",$B:$B,"&lt;&gt;Lorena Dias de Araujo",$B:$B,"&lt;&gt;Lucas Luiz Romero")*(28/1083),IF(C4937="Técnico I",SUMIFS($D:$D,$A:$A,$A4937,$B:$B,"&lt;&gt;Patrícia Karla de Sousa Araújo",$B:$B,"&lt;&gt;Lorena Dias de Araujo",$B:$B,"&lt;&gt;Lucas Luiz Romero")*(23/1083),IF(C4937="JR",SUMIFS($D:$D,$A:$A,$A4937,$B:$B,"&lt;&gt;Patrícia Karla de Sousa Araújo",$B:$B,"&lt;&gt;Lorena Dias de Araujo",$B:$B,"&lt;&gt;Lucas Luiz Romero")*(20/1083),IF(C4937="Estágio",SUMIFS($D:$D,$A:$A,$A4937,$B:$B,"&lt;&gt;Patrícia Karla de Sousa Araújo",$B:$B,"&lt;&gt;Lorena Dias de Araujo",$B:$B,"&lt;&gt;Lucas Luiz Romero")*(10/1083),0)))))),0)</f>
        <v/>
      </c>
      <c r="K4937" s="3">
        <f>I4937-J4937</f>
        <v/>
      </c>
      <c r="L4937" s="3">
        <f>IF(K4937&lt;-5,"CRÍTICO",IF(K4937&lt;0,"ATENÇÃO",IF(K4937&lt;=5,"OPORTUNO","MUITO BOM")))</f>
        <v/>
      </c>
    </row>
    <row r="4938">
      <c r="I4938" s="3">
        <f>E4938+G4938+H4938</f>
        <v/>
      </c>
      <c r="J4938" s="3">
        <f>ROUND(MIN(IF(C4938="Técnico III",35,IF(C4938="Técnico II",28,IF(C4938="Técnico I",23,IF(C4938="JR",20,IF(C4938="Estágio",10,0))))),IF(C4938="Técnico III",SUMIFS($D:$D,$A:$A,$A4938,$B:$B,"&lt;&gt;Patrícia Karla de Sousa Araújo",$B:$B,"&lt;&gt;Lorena Dias de Araujo",$B:$B,"&lt;&gt;Lucas Luiz Romero")*(35/1083),IF(C4938="Técnico II",SUMIFS($D:$D,$A:$A,$A4938,$B:$B,"&lt;&gt;Patrícia Karla de Sousa Araújo",$B:$B,"&lt;&gt;Lorena Dias de Araujo",$B:$B,"&lt;&gt;Lucas Luiz Romero")*(28/1083),IF(C4938="Técnico I",SUMIFS($D:$D,$A:$A,$A4938,$B:$B,"&lt;&gt;Patrícia Karla de Sousa Araújo",$B:$B,"&lt;&gt;Lorena Dias de Araujo",$B:$B,"&lt;&gt;Lucas Luiz Romero")*(23/1083),IF(C4938="JR",SUMIFS($D:$D,$A:$A,$A4938,$B:$B,"&lt;&gt;Patrícia Karla de Sousa Araújo",$B:$B,"&lt;&gt;Lorena Dias de Araujo",$B:$B,"&lt;&gt;Lucas Luiz Romero")*(20/1083),IF(C4938="Estágio",SUMIFS($D:$D,$A:$A,$A4938,$B:$B,"&lt;&gt;Patrícia Karla de Sousa Araújo",$B:$B,"&lt;&gt;Lorena Dias de Araujo",$B:$B,"&lt;&gt;Lucas Luiz Romero")*(10/1083),0)))))),0)</f>
        <v/>
      </c>
      <c r="K4938" s="3">
        <f>I4938-J4938</f>
        <v/>
      </c>
      <c r="L4938" s="3">
        <f>IF(K4938&lt;-5,"CRÍTICO",IF(K4938&lt;0,"ATENÇÃO",IF(K4938&lt;=5,"OPORTUNO","MUITO BOM")))</f>
        <v/>
      </c>
    </row>
    <row r="4939">
      <c r="I4939" s="3">
        <f>E4939+G4939+H4939</f>
        <v/>
      </c>
      <c r="J4939" s="3">
        <f>ROUND(MIN(IF(C4939="Técnico III",35,IF(C4939="Técnico II",28,IF(C4939="Técnico I",23,IF(C4939="JR",20,IF(C4939="Estágio",10,0))))),IF(C4939="Técnico III",SUMIFS($D:$D,$A:$A,$A4939,$B:$B,"&lt;&gt;Patrícia Karla de Sousa Araújo",$B:$B,"&lt;&gt;Lorena Dias de Araujo",$B:$B,"&lt;&gt;Lucas Luiz Romero")*(35/1083),IF(C4939="Técnico II",SUMIFS($D:$D,$A:$A,$A4939,$B:$B,"&lt;&gt;Patrícia Karla de Sousa Araújo",$B:$B,"&lt;&gt;Lorena Dias de Araujo",$B:$B,"&lt;&gt;Lucas Luiz Romero")*(28/1083),IF(C4939="Técnico I",SUMIFS($D:$D,$A:$A,$A4939,$B:$B,"&lt;&gt;Patrícia Karla de Sousa Araújo",$B:$B,"&lt;&gt;Lorena Dias de Araujo",$B:$B,"&lt;&gt;Lucas Luiz Romero")*(23/1083),IF(C4939="JR",SUMIFS($D:$D,$A:$A,$A4939,$B:$B,"&lt;&gt;Patrícia Karla de Sousa Araújo",$B:$B,"&lt;&gt;Lorena Dias de Araujo",$B:$B,"&lt;&gt;Lucas Luiz Romero")*(20/1083),IF(C4939="Estágio",SUMIFS($D:$D,$A:$A,$A4939,$B:$B,"&lt;&gt;Patrícia Karla de Sousa Araújo",$B:$B,"&lt;&gt;Lorena Dias de Araujo",$B:$B,"&lt;&gt;Lucas Luiz Romero")*(10/1083),0)))))),0)</f>
        <v/>
      </c>
      <c r="K4939" s="3">
        <f>I4939-J4939</f>
        <v/>
      </c>
      <c r="L4939" s="3">
        <f>IF(K4939&lt;-5,"CRÍTICO",IF(K4939&lt;0,"ATENÇÃO",IF(K4939&lt;=5,"OPORTUNO","MUITO BOM")))</f>
        <v/>
      </c>
    </row>
    <row r="4940">
      <c r="I4940" s="3">
        <f>E4940+G4940+H4940</f>
        <v/>
      </c>
      <c r="J4940" s="3">
        <f>ROUND(MIN(IF(C4940="Técnico III",35,IF(C4940="Técnico II",28,IF(C4940="Técnico I",23,IF(C4940="JR",20,IF(C4940="Estágio",10,0))))),IF(C4940="Técnico III",SUMIFS($D:$D,$A:$A,$A4940,$B:$B,"&lt;&gt;Patrícia Karla de Sousa Araújo",$B:$B,"&lt;&gt;Lorena Dias de Araujo",$B:$B,"&lt;&gt;Lucas Luiz Romero")*(35/1083),IF(C4940="Técnico II",SUMIFS($D:$D,$A:$A,$A4940,$B:$B,"&lt;&gt;Patrícia Karla de Sousa Araújo",$B:$B,"&lt;&gt;Lorena Dias de Araujo",$B:$B,"&lt;&gt;Lucas Luiz Romero")*(28/1083),IF(C4940="Técnico I",SUMIFS($D:$D,$A:$A,$A4940,$B:$B,"&lt;&gt;Patrícia Karla de Sousa Araújo",$B:$B,"&lt;&gt;Lorena Dias de Araujo",$B:$B,"&lt;&gt;Lucas Luiz Romero")*(23/1083),IF(C4940="JR",SUMIFS($D:$D,$A:$A,$A4940,$B:$B,"&lt;&gt;Patrícia Karla de Sousa Araújo",$B:$B,"&lt;&gt;Lorena Dias de Araujo",$B:$B,"&lt;&gt;Lucas Luiz Romero")*(20/1083),IF(C4940="Estágio",SUMIFS($D:$D,$A:$A,$A4940,$B:$B,"&lt;&gt;Patrícia Karla de Sousa Araújo",$B:$B,"&lt;&gt;Lorena Dias de Araujo",$B:$B,"&lt;&gt;Lucas Luiz Romero")*(10/1083),0)))))),0)</f>
        <v/>
      </c>
      <c r="K4940" s="3">
        <f>I4940-J4940</f>
        <v/>
      </c>
      <c r="L4940" s="3">
        <f>IF(K4940&lt;-5,"CRÍTICO",IF(K4940&lt;0,"ATENÇÃO",IF(K4940&lt;=5,"OPORTUNO","MUITO BOM")))</f>
        <v/>
      </c>
    </row>
    <row r="4941">
      <c r="I4941" s="3">
        <f>E4941+G4941+H4941</f>
        <v/>
      </c>
      <c r="J4941" s="3">
        <f>ROUND(MIN(IF(C4941="Técnico III",35,IF(C4941="Técnico II",28,IF(C4941="Técnico I",23,IF(C4941="JR",20,IF(C4941="Estágio",10,0))))),IF(C4941="Técnico III",SUMIFS($D:$D,$A:$A,$A4941,$B:$B,"&lt;&gt;Patrícia Karla de Sousa Araújo",$B:$B,"&lt;&gt;Lorena Dias de Araujo",$B:$B,"&lt;&gt;Lucas Luiz Romero")*(35/1083),IF(C4941="Técnico II",SUMIFS($D:$D,$A:$A,$A4941,$B:$B,"&lt;&gt;Patrícia Karla de Sousa Araújo",$B:$B,"&lt;&gt;Lorena Dias de Araujo",$B:$B,"&lt;&gt;Lucas Luiz Romero")*(28/1083),IF(C4941="Técnico I",SUMIFS($D:$D,$A:$A,$A4941,$B:$B,"&lt;&gt;Patrícia Karla de Sousa Araújo",$B:$B,"&lt;&gt;Lorena Dias de Araujo",$B:$B,"&lt;&gt;Lucas Luiz Romero")*(23/1083),IF(C4941="JR",SUMIFS($D:$D,$A:$A,$A4941,$B:$B,"&lt;&gt;Patrícia Karla de Sousa Araújo",$B:$B,"&lt;&gt;Lorena Dias de Araujo",$B:$B,"&lt;&gt;Lucas Luiz Romero")*(20/1083),IF(C4941="Estágio",SUMIFS($D:$D,$A:$A,$A4941,$B:$B,"&lt;&gt;Patrícia Karla de Sousa Araújo",$B:$B,"&lt;&gt;Lorena Dias de Araujo",$B:$B,"&lt;&gt;Lucas Luiz Romero")*(10/1083),0)))))),0)</f>
        <v/>
      </c>
      <c r="K4941" s="3">
        <f>I4941-J4941</f>
        <v/>
      </c>
      <c r="L4941" s="3">
        <f>IF(K4941&lt;-5,"CRÍTICO",IF(K4941&lt;0,"ATENÇÃO",IF(K4941&lt;=5,"OPORTUNO","MUITO BOM")))</f>
        <v/>
      </c>
    </row>
    <row r="4942">
      <c r="I4942" s="3">
        <f>E4942+G4942+H4942</f>
        <v/>
      </c>
      <c r="J4942" s="3">
        <f>ROUND(MIN(IF(C4942="Técnico III",35,IF(C4942="Técnico II",28,IF(C4942="Técnico I",23,IF(C4942="JR",20,IF(C4942="Estágio",10,0))))),IF(C4942="Técnico III",SUMIFS($D:$D,$A:$A,$A4942,$B:$B,"&lt;&gt;Patrícia Karla de Sousa Araújo",$B:$B,"&lt;&gt;Lorena Dias de Araujo",$B:$B,"&lt;&gt;Lucas Luiz Romero")*(35/1083),IF(C4942="Técnico II",SUMIFS($D:$D,$A:$A,$A4942,$B:$B,"&lt;&gt;Patrícia Karla de Sousa Araújo",$B:$B,"&lt;&gt;Lorena Dias de Araujo",$B:$B,"&lt;&gt;Lucas Luiz Romero")*(28/1083),IF(C4942="Técnico I",SUMIFS($D:$D,$A:$A,$A4942,$B:$B,"&lt;&gt;Patrícia Karla de Sousa Araújo",$B:$B,"&lt;&gt;Lorena Dias de Araujo",$B:$B,"&lt;&gt;Lucas Luiz Romero")*(23/1083),IF(C4942="JR",SUMIFS($D:$D,$A:$A,$A4942,$B:$B,"&lt;&gt;Patrícia Karla de Sousa Araújo",$B:$B,"&lt;&gt;Lorena Dias de Araujo",$B:$B,"&lt;&gt;Lucas Luiz Romero")*(20/1083),IF(C4942="Estágio",SUMIFS($D:$D,$A:$A,$A4942,$B:$B,"&lt;&gt;Patrícia Karla de Sousa Araújo",$B:$B,"&lt;&gt;Lorena Dias de Araujo",$B:$B,"&lt;&gt;Lucas Luiz Romero")*(10/1083),0)))))),0)</f>
        <v/>
      </c>
      <c r="K4942" s="3">
        <f>I4942-J4942</f>
        <v/>
      </c>
      <c r="L4942" s="3">
        <f>IF(K4942&lt;-5,"CRÍTICO",IF(K4942&lt;0,"ATENÇÃO",IF(K4942&lt;=5,"OPORTUNO","MUITO BOM")))</f>
        <v/>
      </c>
    </row>
    <row r="4943">
      <c r="I4943" s="3">
        <f>E4943+G4943+H4943</f>
        <v/>
      </c>
      <c r="J4943" s="3">
        <f>ROUND(MIN(IF(C4943="Técnico III",35,IF(C4943="Técnico II",28,IF(C4943="Técnico I",23,IF(C4943="JR",20,IF(C4943="Estágio",10,0))))),IF(C4943="Técnico III",SUMIFS($D:$D,$A:$A,$A4943,$B:$B,"&lt;&gt;Patrícia Karla de Sousa Araújo",$B:$B,"&lt;&gt;Lorena Dias de Araujo",$B:$B,"&lt;&gt;Lucas Luiz Romero")*(35/1083),IF(C4943="Técnico II",SUMIFS($D:$D,$A:$A,$A4943,$B:$B,"&lt;&gt;Patrícia Karla de Sousa Araújo",$B:$B,"&lt;&gt;Lorena Dias de Araujo",$B:$B,"&lt;&gt;Lucas Luiz Romero")*(28/1083),IF(C4943="Técnico I",SUMIFS($D:$D,$A:$A,$A4943,$B:$B,"&lt;&gt;Patrícia Karla de Sousa Araújo",$B:$B,"&lt;&gt;Lorena Dias de Araujo",$B:$B,"&lt;&gt;Lucas Luiz Romero")*(23/1083),IF(C4943="JR",SUMIFS($D:$D,$A:$A,$A4943,$B:$B,"&lt;&gt;Patrícia Karla de Sousa Araújo",$B:$B,"&lt;&gt;Lorena Dias de Araujo",$B:$B,"&lt;&gt;Lucas Luiz Romero")*(20/1083),IF(C4943="Estágio",SUMIFS($D:$D,$A:$A,$A4943,$B:$B,"&lt;&gt;Patrícia Karla de Sousa Araújo",$B:$B,"&lt;&gt;Lorena Dias de Araujo",$B:$B,"&lt;&gt;Lucas Luiz Romero")*(10/1083),0)))))),0)</f>
        <v/>
      </c>
      <c r="K4943" s="3">
        <f>I4943-J4943</f>
        <v/>
      </c>
      <c r="L4943" s="3">
        <f>IF(K4943&lt;-5,"CRÍTICO",IF(K4943&lt;0,"ATENÇÃO",IF(K4943&lt;=5,"OPORTUNO","MUITO BOM")))</f>
        <v/>
      </c>
    </row>
    <row r="4944">
      <c r="I4944" s="3">
        <f>E4944+G4944+H4944</f>
        <v/>
      </c>
      <c r="J4944" s="3">
        <f>ROUND(MIN(IF(C4944="Técnico III",35,IF(C4944="Técnico II",28,IF(C4944="Técnico I",23,IF(C4944="JR",20,IF(C4944="Estágio",10,0))))),IF(C4944="Técnico III",SUMIFS($D:$D,$A:$A,$A4944,$B:$B,"&lt;&gt;Patrícia Karla de Sousa Araújo",$B:$B,"&lt;&gt;Lorena Dias de Araujo",$B:$B,"&lt;&gt;Lucas Luiz Romero")*(35/1083),IF(C4944="Técnico II",SUMIFS($D:$D,$A:$A,$A4944,$B:$B,"&lt;&gt;Patrícia Karla de Sousa Araújo",$B:$B,"&lt;&gt;Lorena Dias de Araujo",$B:$B,"&lt;&gt;Lucas Luiz Romero")*(28/1083),IF(C4944="Técnico I",SUMIFS($D:$D,$A:$A,$A4944,$B:$B,"&lt;&gt;Patrícia Karla de Sousa Araújo",$B:$B,"&lt;&gt;Lorena Dias de Araujo",$B:$B,"&lt;&gt;Lucas Luiz Romero")*(23/1083),IF(C4944="JR",SUMIFS($D:$D,$A:$A,$A4944,$B:$B,"&lt;&gt;Patrícia Karla de Sousa Araújo",$B:$B,"&lt;&gt;Lorena Dias de Araujo",$B:$B,"&lt;&gt;Lucas Luiz Romero")*(20/1083),IF(C4944="Estágio",SUMIFS($D:$D,$A:$A,$A4944,$B:$B,"&lt;&gt;Patrícia Karla de Sousa Araújo",$B:$B,"&lt;&gt;Lorena Dias de Araujo",$B:$B,"&lt;&gt;Lucas Luiz Romero")*(10/1083),0)))))),0)</f>
        <v/>
      </c>
      <c r="K4944" s="3">
        <f>I4944-J4944</f>
        <v/>
      </c>
      <c r="L4944" s="3">
        <f>IF(K4944&lt;-5,"CRÍTICO",IF(K4944&lt;0,"ATENÇÃO",IF(K4944&lt;=5,"OPORTUNO","MUITO BOM")))</f>
        <v/>
      </c>
    </row>
    <row r="4945">
      <c r="I4945" s="3">
        <f>E4945+G4945+H4945</f>
        <v/>
      </c>
      <c r="J4945" s="3">
        <f>ROUND(MIN(IF(C4945="Técnico III",35,IF(C4945="Técnico II",28,IF(C4945="Técnico I",23,IF(C4945="JR",20,IF(C4945="Estágio",10,0))))),IF(C4945="Técnico III",SUMIFS($D:$D,$A:$A,$A4945,$B:$B,"&lt;&gt;Patrícia Karla de Sousa Araújo",$B:$B,"&lt;&gt;Lorena Dias de Araujo",$B:$B,"&lt;&gt;Lucas Luiz Romero")*(35/1083),IF(C4945="Técnico II",SUMIFS($D:$D,$A:$A,$A4945,$B:$B,"&lt;&gt;Patrícia Karla de Sousa Araújo",$B:$B,"&lt;&gt;Lorena Dias de Araujo",$B:$B,"&lt;&gt;Lucas Luiz Romero")*(28/1083),IF(C4945="Técnico I",SUMIFS($D:$D,$A:$A,$A4945,$B:$B,"&lt;&gt;Patrícia Karla de Sousa Araújo",$B:$B,"&lt;&gt;Lorena Dias de Araujo",$B:$B,"&lt;&gt;Lucas Luiz Romero")*(23/1083),IF(C4945="JR",SUMIFS($D:$D,$A:$A,$A4945,$B:$B,"&lt;&gt;Patrícia Karla de Sousa Araújo",$B:$B,"&lt;&gt;Lorena Dias de Araujo",$B:$B,"&lt;&gt;Lucas Luiz Romero")*(20/1083),IF(C4945="Estágio",SUMIFS($D:$D,$A:$A,$A4945,$B:$B,"&lt;&gt;Patrícia Karla de Sousa Araújo",$B:$B,"&lt;&gt;Lorena Dias de Araujo",$B:$B,"&lt;&gt;Lucas Luiz Romero")*(10/1083),0)))))),0)</f>
        <v/>
      </c>
      <c r="K4945" s="3">
        <f>I4945-J4945</f>
        <v/>
      </c>
      <c r="L4945" s="3">
        <f>IF(K4945&lt;-5,"CRÍTICO",IF(K4945&lt;0,"ATENÇÃO",IF(K4945&lt;=5,"OPORTUNO","MUITO BOM")))</f>
        <v/>
      </c>
    </row>
    <row r="4946">
      <c r="I4946" s="3">
        <f>E4946+G4946+H4946</f>
        <v/>
      </c>
      <c r="J4946" s="3">
        <f>ROUND(MIN(IF(C4946="Técnico III",35,IF(C4946="Técnico II",28,IF(C4946="Técnico I",23,IF(C4946="JR",20,IF(C4946="Estágio",10,0))))),IF(C4946="Técnico III",SUMIFS($D:$D,$A:$A,$A4946,$B:$B,"&lt;&gt;Patrícia Karla de Sousa Araújo",$B:$B,"&lt;&gt;Lorena Dias de Araujo",$B:$B,"&lt;&gt;Lucas Luiz Romero")*(35/1083),IF(C4946="Técnico II",SUMIFS($D:$D,$A:$A,$A4946,$B:$B,"&lt;&gt;Patrícia Karla de Sousa Araújo",$B:$B,"&lt;&gt;Lorena Dias de Araujo",$B:$B,"&lt;&gt;Lucas Luiz Romero")*(28/1083),IF(C4946="Técnico I",SUMIFS($D:$D,$A:$A,$A4946,$B:$B,"&lt;&gt;Patrícia Karla de Sousa Araújo",$B:$B,"&lt;&gt;Lorena Dias de Araujo",$B:$B,"&lt;&gt;Lucas Luiz Romero")*(23/1083),IF(C4946="JR",SUMIFS($D:$D,$A:$A,$A4946,$B:$B,"&lt;&gt;Patrícia Karla de Sousa Araújo",$B:$B,"&lt;&gt;Lorena Dias de Araujo",$B:$B,"&lt;&gt;Lucas Luiz Romero")*(20/1083),IF(C4946="Estágio",SUMIFS($D:$D,$A:$A,$A4946,$B:$B,"&lt;&gt;Patrícia Karla de Sousa Araújo",$B:$B,"&lt;&gt;Lorena Dias de Araujo",$B:$B,"&lt;&gt;Lucas Luiz Romero")*(10/1083),0)))))),0)</f>
        <v/>
      </c>
      <c r="K4946" s="3">
        <f>I4946-J4946</f>
        <v/>
      </c>
      <c r="L4946" s="3">
        <f>IF(K4946&lt;-5,"CRÍTICO",IF(K4946&lt;0,"ATENÇÃO",IF(K4946&lt;=5,"OPORTUNO","MUITO BOM")))</f>
        <v/>
      </c>
    </row>
    <row r="4947">
      <c r="I4947" s="3">
        <f>E4947+G4947+H4947</f>
        <v/>
      </c>
      <c r="J4947" s="3">
        <f>ROUND(MIN(IF(C4947="Técnico III",35,IF(C4947="Técnico II",28,IF(C4947="Técnico I",23,IF(C4947="JR",20,IF(C4947="Estágio",10,0))))),IF(C4947="Técnico III",SUMIFS($D:$D,$A:$A,$A4947,$B:$B,"&lt;&gt;Patrícia Karla de Sousa Araújo",$B:$B,"&lt;&gt;Lorena Dias de Araujo",$B:$B,"&lt;&gt;Lucas Luiz Romero")*(35/1083),IF(C4947="Técnico II",SUMIFS($D:$D,$A:$A,$A4947,$B:$B,"&lt;&gt;Patrícia Karla de Sousa Araújo",$B:$B,"&lt;&gt;Lorena Dias de Araujo",$B:$B,"&lt;&gt;Lucas Luiz Romero")*(28/1083),IF(C4947="Técnico I",SUMIFS($D:$D,$A:$A,$A4947,$B:$B,"&lt;&gt;Patrícia Karla de Sousa Araújo",$B:$B,"&lt;&gt;Lorena Dias de Araujo",$B:$B,"&lt;&gt;Lucas Luiz Romero")*(23/1083),IF(C4947="JR",SUMIFS($D:$D,$A:$A,$A4947,$B:$B,"&lt;&gt;Patrícia Karla de Sousa Araújo",$B:$B,"&lt;&gt;Lorena Dias de Araujo",$B:$B,"&lt;&gt;Lucas Luiz Romero")*(20/1083),IF(C4947="Estágio",SUMIFS($D:$D,$A:$A,$A4947,$B:$B,"&lt;&gt;Patrícia Karla de Sousa Araújo",$B:$B,"&lt;&gt;Lorena Dias de Araujo",$B:$B,"&lt;&gt;Lucas Luiz Romero")*(10/1083),0)))))),0)</f>
        <v/>
      </c>
      <c r="K4947" s="3">
        <f>I4947-J4947</f>
        <v/>
      </c>
      <c r="L4947" s="3">
        <f>IF(K4947&lt;-5,"CRÍTICO",IF(K4947&lt;0,"ATENÇÃO",IF(K4947&lt;=5,"OPORTUNO","MUITO BOM")))</f>
        <v/>
      </c>
    </row>
    <row r="4948">
      <c r="I4948" s="3">
        <f>E4948+G4948+H4948</f>
        <v/>
      </c>
      <c r="J4948" s="3">
        <f>ROUND(MIN(IF(C4948="Técnico III",35,IF(C4948="Técnico II",28,IF(C4948="Técnico I",23,IF(C4948="JR",20,IF(C4948="Estágio",10,0))))),IF(C4948="Técnico III",SUMIFS($D:$D,$A:$A,$A4948,$B:$B,"&lt;&gt;Patrícia Karla de Sousa Araújo",$B:$B,"&lt;&gt;Lorena Dias de Araujo",$B:$B,"&lt;&gt;Lucas Luiz Romero")*(35/1083),IF(C4948="Técnico II",SUMIFS($D:$D,$A:$A,$A4948,$B:$B,"&lt;&gt;Patrícia Karla de Sousa Araújo",$B:$B,"&lt;&gt;Lorena Dias de Araujo",$B:$B,"&lt;&gt;Lucas Luiz Romero")*(28/1083),IF(C4948="Técnico I",SUMIFS($D:$D,$A:$A,$A4948,$B:$B,"&lt;&gt;Patrícia Karla de Sousa Araújo",$B:$B,"&lt;&gt;Lorena Dias de Araujo",$B:$B,"&lt;&gt;Lucas Luiz Romero")*(23/1083),IF(C4948="JR",SUMIFS($D:$D,$A:$A,$A4948,$B:$B,"&lt;&gt;Patrícia Karla de Sousa Araújo",$B:$B,"&lt;&gt;Lorena Dias de Araujo",$B:$B,"&lt;&gt;Lucas Luiz Romero")*(20/1083),IF(C4948="Estágio",SUMIFS($D:$D,$A:$A,$A4948,$B:$B,"&lt;&gt;Patrícia Karla de Sousa Araújo",$B:$B,"&lt;&gt;Lorena Dias de Araujo",$B:$B,"&lt;&gt;Lucas Luiz Romero")*(10/1083),0)))))),0)</f>
        <v/>
      </c>
      <c r="K4948" s="3">
        <f>I4948-J4948</f>
        <v/>
      </c>
      <c r="L4948" s="3">
        <f>IF(K4948&lt;-5,"CRÍTICO",IF(K4948&lt;0,"ATENÇÃO",IF(K4948&lt;=5,"OPORTUNO","MUITO BOM")))</f>
        <v/>
      </c>
    </row>
    <row r="4949">
      <c r="I4949" s="3">
        <f>E4949+G4949+H4949</f>
        <v/>
      </c>
      <c r="J4949" s="3">
        <f>ROUND(MIN(IF(C4949="Técnico III",35,IF(C4949="Técnico II",28,IF(C4949="Técnico I",23,IF(C4949="JR",20,IF(C4949="Estágio",10,0))))),IF(C4949="Técnico III",SUMIFS($D:$D,$A:$A,$A4949,$B:$B,"&lt;&gt;Patrícia Karla de Sousa Araújo",$B:$B,"&lt;&gt;Lorena Dias de Araujo",$B:$B,"&lt;&gt;Lucas Luiz Romero")*(35/1083),IF(C4949="Técnico II",SUMIFS($D:$D,$A:$A,$A4949,$B:$B,"&lt;&gt;Patrícia Karla de Sousa Araújo",$B:$B,"&lt;&gt;Lorena Dias de Araujo",$B:$B,"&lt;&gt;Lucas Luiz Romero")*(28/1083),IF(C4949="Técnico I",SUMIFS($D:$D,$A:$A,$A4949,$B:$B,"&lt;&gt;Patrícia Karla de Sousa Araújo",$B:$B,"&lt;&gt;Lorena Dias de Araujo",$B:$B,"&lt;&gt;Lucas Luiz Romero")*(23/1083),IF(C4949="JR",SUMIFS($D:$D,$A:$A,$A4949,$B:$B,"&lt;&gt;Patrícia Karla de Sousa Araújo",$B:$B,"&lt;&gt;Lorena Dias de Araujo",$B:$B,"&lt;&gt;Lucas Luiz Romero")*(20/1083),IF(C4949="Estágio",SUMIFS($D:$D,$A:$A,$A4949,$B:$B,"&lt;&gt;Patrícia Karla de Sousa Araújo",$B:$B,"&lt;&gt;Lorena Dias de Araujo",$B:$B,"&lt;&gt;Lucas Luiz Romero")*(10/1083),0)))))),0)</f>
        <v/>
      </c>
      <c r="K4949" s="3">
        <f>I4949-J4949</f>
        <v/>
      </c>
      <c r="L4949" s="3">
        <f>IF(K4949&lt;-5,"CRÍTICO",IF(K4949&lt;0,"ATENÇÃO",IF(K4949&lt;=5,"OPORTUNO","MUITO BOM")))</f>
        <v/>
      </c>
    </row>
    <row r="4950">
      <c r="I4950" s="3">
        <f>E4950+G4950+H4950</f>
        <v/>
      </c>
      <c r="J4950" s="3">
        <f>ROUND(MIN(IF(C4950="Técnico III",35,IF(C4950="Técnico II",28,IF(C4950="Técnico I",23,IF(C4950="JR",20,IF(C4950="Estágio",10,0))))),IF(C4950="Técnico III",SUMIFS($D:$D,$A:$A,$A4950,$B:$B,"&lt;&gt;Patrícia Karla de Sousa Araújo",$B:$B,"&lt;&gt;Lorena Dias de Araujo",$B:$B,"&lt;&gt;Lucas Luiz Romero")*(35/1083),IF(C4950="Técnico II",SUMIFS($D:$D,$A:$A,$A4950,$B:$B,"&lt;&gt;Patrícia Karla de Sousa Araújo",$B:$B,"&lt;&gt;Lorena Dias de Araujo",$B:$B,"&lt;&gt;Lucas Luiz Romero")*(28/1083),IF(C4950="Técnico I",SUMIFS($D:$D,$A:$A,$A4950,$B:$B,"&lt;&gt;Patrícia Karla de Sousa Araújo",$B:$B,"&lt;&gt;Lorena Dias de Araujo",$B:$B,"&lt;&gt;Lucas Luiz Romero")*(23/1083),IF(C4950="JR",SUMIFS($D:$D,$A:$A,$A4950,$B:$B,"&lt;&gt;Patrícia Karla de Sousa Araújo",$B:$B,"&lt;&gt;Lorena Dias de Araujo",$B:$B,"&lt;&gt;Lucas Luiz Romero")*(20/1083),IF(C4950="Estágio",SUMIFS($D:$D,$A:$A,$A4950,$B:$B,"&lt;&gt;Patrícia Karla de Sousa Araújo",$B:$B,"&lt;&gt;Lorena Dias de Araujo",$B:$B,"&lt;&gt;Lucas Luiz Romero")*(10/1083),0)))))),0)</f>
        <v/>
      </c>
      <c r="K4950" s="3">
        <f>I4950-J4950</f>
        <v/>
      </c>
      <c r="L4950" s="3">
        <f>IF(K4950&lt;-5,"CRÍTICO",IF(K4950&lt;0,"ATENÇÃO",IF(K4950&lt;=5,"OPORTUNO","MUITO BOM")))</f>
        <v/>
      </c>
    </row>
    <row r="4951">
      <c r="I4951" s="3">
        <f>E4951+G4951+H4951</f>
        <v/>
      </c>
      <c r="J4951" s="3">
        <f>ROUND(MIN(IF(C4951="Técnico III",35,IF(C4951="Técnico II",28,IF(C4951="Técnico I",23,IF(C4951="JR",20,IF(C4951="Estágio",10,0))))),IF(C4951="Técnico III",SUMIFS($D:$D,$A:$A,$A4951,$B:$B,"&lt;&gt;Patrícia Karla de Sousa Araújo",$B:$B,"&lt;&gt;Lorena Dias de Araujo",$B:$B,"&lt;&gt;Lucas Luiz Romero")*(35/1083),IF(C4951="Técnico II",SUMIFS($D:$D,$A:$A,$A4951,$B:$B,"&lt;&gt;Patrícia Karla de Sousa Araújo",$B:$B,"&lt;&gt;Lorena Dias de Araujo",$B:$B,"&lt;&gt;Lucas Luiz Romero")*(28/1083),IF(C4951="Técnico I",SUMIFS($D:$D,$A:$A,$A4951,$B:$B,"&lt;&gt;Patrícia Karla de Sousa Araújo",$B:$B,"&lt;&gt;Lorena Dias de Araujo",$B:$B,"&lt;&gt;Lucas Luiz Romero")*(23/1083),IF(C4951="JR",SUMIFS($D:$D,$A:$A,$A4951,$B:$B,"&lt;&gt;Patrícia Karla de Sousa Araújo",$B:$B,"&lt;&gt;Lorena Dias de Araujo",$B:$B,"&lt;&gt;Lucas Luiz Romero")*(20/1083),IF(C4951="Estágio",SUMIFS($D:$D,$A:$A,$A4951,$B:$B,"&lt;&gt;Patrícia Karla de Sousa Araújo",$B:$B,"&lt;&gt;Lorena Dias de Araujo",$B:$B,"&lt;&gt;Lucas Luiz Romero")*(10/1083),0)))))),0)</f>
        <v/>
      </c>
      <c r="K4951" s="3">
        <f>I4951-J4951</f>
        <v/>
      </c>
      <c r="L4951" s="3">
        <f>IF(K4951&lt;-5,"CRÍTICO",IF(K4951&lt;0,"ATENÇÃO",IF(K4951&lt;=5,"OPORTUNO","MUITO BOM")))</f>
        <v/>
      </c>
    </row>
    <row r="4952">
      <c r="I4952" s="3">
        <f>E4952+G4952+H4952</f>
        <v/>
      </c>
      <c r="J4952" s="3">
        <f>ROUND(MIN(IF(C4952="Técnico III",35,IF(C4952="Técnico II",28,IF(C4952="Técnico I",23,IF(C4952="JR",20,IF(C4952="Estágio",10,0))))),IF(C4952="Técnico III",SUMIFS($D:$D,$A:$A,$A4952,$B:$B,"&lt;&gt;Patrícia Karla de Sousa Araújo",$B:$B,"&lt;&gt;Lorena Dias de Araujo",$B:$B,"&lt;&gt;Lucas Luiz Romero")*(35/1083),IF(C4952="Técnico II",SUMIFS($D:$D,$A:$A,$A4952,$B:$B,"&lt;&gt;Patrícia Karla de Sousa Araújo",$B:$B,"&lt;&gt;Lorena Dias de Araujo",$B:$B,"&lt;&gt;Lucas Luiz Romero")*(28/1083),IF(C4952="Técnico I",SUMIFS($D:$D,$A:$A,$A4952,$B:$B,"&lt;&gt;Patrícia Karla de Sousa Araújo",$B:$B,"&lt;&gt;Lorena Dias de Araujo",$B:$B,"&lt;&gt;Lucas Luiz Romero")*(23/1083),IF(C4952="JR",SUMIFS($D:$D,$A:$A,$A4952,$B:$B,"&lt;&gt;Patrícia Karla de Sousa Araújo",$B:$B,"&lt;&gt;Lorena Dias de Araujo",$B:$B,"&lt;&gt;Lucas Luiz Romero")*(20/1083),IF(C4952="Estágio",SUMIFS($D:$D,$A:$A,$A4952,$B:$B,"&lt;&gt;Patrícia Karla de Sousa Araújo",$B:$B,"&lt;&gt;Lorena Dias de Araujo",$B:$B,"&lt;&gt;Lucas Luiz Romero")*(10/1083),0)))))),0)</f>
        <v/>
      </c>
      <c r="K4952" s="3">
        <f>I4952-J4952</f>
        <v/>
      </c>
      <c r="L4952" s="3">
        <f>IF(K4952&lt;-5,"CRÍTICO",IF(K4952&lt;0,"ATENÇÃO",IF(K4952&lt;=5,"OPORTUNO","MUITO BOM")))</f>
        <v/>
      </c>
    </row>
    <row r="4953">
      <c r="I4953" s="3">
        <f>E4953+G4953+H4953</f>
        <v/>
      </c>
      <c r="J4953" s="3">
        <f>ROUND(MIN(IF(C4953="Técnico III",35,IF(C4953="Técnico II",28,IF(C4953="Técnico I",23,IF(C4953="JR",20,IF(C4953="Estágio",10,0))))),IF(C4953="Técnico III",SUMIFS($D:$D,$A:$A,$A4953,$B:$B,"&lt;&gt;Patrícia Karla de Sousa Araújo",$B:$B,"&lt;&gt;Lorena Dias de Araujo",$B:$B,"&lt;&gt;Lucas Luiz Romero")*(35/1083),IF(C4953="Técnico II",SUMIFS($D:$D,$A:$A,$A4953,$B:$B,"&lt;&gt;Patrícia Karla de Sousa Araújo",$B:$B,"&lt;&gt;Lorena Dias de Araujo",$B:$B,"&lt;&gt;Lucas Luiz Romero")*(28/1083),IF(C4953="Técnico I",SUMIFS($D:$D,$A:$A,$A4953,$B:$B,"&lt;&gt;Patrícia Karla de Sousa Araújo",$B:$B,"&lt;&gt;Lorena Dias de Araujo",$B:$B,"&lt;&gt;Lucas Luiz Romero")*(23/1083),IF(C4953="JR",SUMIFS($D:$D,$A:$A,$A4953,$B:$B,"&lt;&gt;Patrícia Karla de Sousa Araújo",$B:$B,"&lt;&gt;Lorena Dias de Araujo",$B:$B,"&lt;&gt;Lucas Luiz Romero")*(20/1083),IF(C4953="Estágio",SUMIFS($D:$D,$A:$A,$A4953,$B:$B,"&lt;&gt;Patrícia Karla de Sousa Araújo",$B:$B,"&lt;&gt;Lorena Dias de Araujo",$B:$B,"&lt;&gt;Lucas Luiz Romero")*(10/1083),0)))))),0)</f>
        <v/>
      </c>
      <c r="K4953" s="3">
        <f>I4953-J4953</f>
        <v/>
      </c>
      <c r="L4953" s="3">
        <f>IF(K4953&lt;-5,"CRÍTICO",IF(K4953&lt;0,"ATENÇÃO",IF(K4953&lt;=5,"OPORTUNO","MUITO BOM")))</f>
        <v/>
      </c>
    </row>
    <row r="4954">
      <c r="I4954" s="3">
        <f>E4954+G4954+H4954</f>
        <v/>
      </c>
      <c r="J4954" s="3">
        <f>ROUND(MIN(IF(C4954="Técnico III",35,IF(C4954="Técnico II",28,IF(C4954="Técnico I",23,IF(C4954="JR",20,IF(C4954="Estágio",10,0))))),IF(C4954="Técnico III",SUMIFS($D:$D,$A:$A,$A4954,$B:$B,"&lt;&gt;Patrícia Karla de Sousa Araújo",$B:$B,"&lt;&gt;Lorena Dias de Araujo",$B:$B,"&lt;&gt;Lucas Luiz Romero")*(35/1083),IF(C4954="Técnico II",SUMIFS($D:$D,$A:$A,$A4954,$B:$B,"&lt;&gt;Patrícia Karla de Sousa Araújo",$B:$B,"&lt;&gt;Lorena Dias de Araujo",$B:$B,"&lt;&gt;Lucas Luiz Romero")*(28/1083),IF(C4954="Técnico I",SUMIFS($D:$D,$A:$A,$A4954,$B:$B,"&lt;&gt;Patrícia Karla de Sousa Araújo",$B:$B,"&lt;&gt;Lorena Dias de Araujo",$B:$B,"&lt;&gt;Lucas Luiz Romero")*(23/1083),IF(C4954="JR",SUMIFS($D:$D,$A:$A,$A4954,$B:$B,"&lt;&gt;Patrícia Karla de Sousa Araújo",$B:$B,"&lt;&gt;Lorena Dias de Araujo",$B:$B,"&lt;&gt;Lucas Luiz Romero")*(20/1083),IF(C4954="Estágio",SUMIFS($D:$D,$A:$A,$A4954,$B:$B,"&lt;&gt;Patrícia Karla de Sousa Araújo",$B:$B,"&lt;&gt;Lorena Dias de Araujo",$B:$B,"&lt;&gt;Lucas Luiz Romero")*(10/1083),0)))))),0)</f>
        <v/>
      </c>
      <c r="K4954" s="3">
        <f>I4954-J4954</f>
        <v/>
      </c>
      <c r="L4954" s="3">
        <f>IF(K4954&lt;-5,"CRÍTICO",IF(K4954&lt;0,"ATENÇÃO",IF(K4954&lt;=5,"OPORTUNO","MUITO BOM")))</f>
        <v/>
      </c>
    </row>
    <row r="4955">
      <c r="I4955" s="3">
        <f>E4955+G4955+H4955</f>
        <v/>
      </c>
      <c r="J4955" s="3">
        <f>ROUND(MIN(IF(C4955="Técnico III",35,IF(C4955="Técnico II",28,IF(C4955="Técnico I",23,IF(C4955="JR",20,IF(C4955="Estágio",10,0))))),IF(C4955="Técnico III",SUMIFS($D:$D,$A:$A,$A4955,$B:$B,"&lt;&gt;Patrícia Karla de Sousa Araújo",$B:$B,"&lt;&gt;Lorena Dias de Araujo",$B:$B,"&lt;&gt;Lucas Luiz Romero")*(35/1083),IF(C4955="Técnico II",SUMIFS($D:$D,$A:$A,$A4955,$B:$B,"&lt;&gt;Patrícia Karla de Sousa Araújo",$B:$B,"&lt;&gt;Lorena Dias de Araujo",$B:$B,"&lt;&gt;Lucas Luiz Romero")*(28/1083),IF(C4955="Técnico I",SUMIFS($D:$D,$A:$A,$A4955,$B:$B,"&lt;&gt;Patrícia Karla de Sousa Araújo",$B:$B,"&lt;&gt;Lorena Dias de Araujo",$B:$B,"&lt;&gt;Lucas Luiz Romero")*(23/1083),IF(C4955="JR",SUMIFS($D:$D,$A:$A,$A4955,$B:$B,"&lt;&gt;Patrícia Karla de Sousa Araújo",$B:$B,"&lt;&gt;Lorena Dias de Araujo",$B:$B,"&lt;&gt;Lucas Luiz Romero")*(20/1083),IF(C4955="Estágio",SUMIFS($D:$D,$A:$A,$A4955,$B:$B,"&lt;&gt;Patrícia Karla de Sousa Araújo",$B:$B,"&lt;&gt;Lorena Dias de Araujo",$B:$B,"&lt;&gt;Lucas Luiz Romero")*(10/1083),0)))))),0)</f>
        <v/>
      </c>
      <c r="K4955" s="3">
        <f>I4955-J4955</f>
        <v/>
      </c>
      <c r="L4955" s="3">
        <f>IF(K4955&lt;-5,"CRÍTICO",IF(K4955&lt;0,"ATENÇÃO",IF(K4955&lt;=5,"OPORTUNO","MUITO BOM")))</f>
        <v/>
      </c>
    </row>
  </sheetData>
  <autoFilter ref="A1:O4700">
    <sortState ref="A2:O4667">
      <sortCondition ref="B1:B4700"/>
    </sortState>
  </autoFilter>
  <pageMargins left="0.511811024" right="0.511811024" top="0.787401575" bottom="0.787401575" header="0.31496062" footer="0.31496062"/>
  <pageSetup orientation="portrait" paperSize="9" horizontalDpi="10" verticalDpi="15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T??cnico Planilha</t>
        </is>
      </c>
      <c r="B1" t="inlineStr">
        <is>
          <t>Agente BI</t>
        </is>
      </c>
      <c r="C1" t="inlineStr">
        <is>
          <t>Agente SGD</t>
        </is>
      </c>
      <c r="D1" t="inlineStr">
        <is>
          <t>Agente Ponto</t>
        </is>
      </c>
      <c r="E1" t="inlineStr">
        <is>
          <t>Agente Chat</t>
        </is>
      </c>
      <c r="F1" t="inlineStr">
        <is>
          <t>Agente RO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  <c r="F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Ferreira</t>
        </is>
      </c>
      <c r="C3" t="inlineStr">
        <is>
          <t>Amanda Moura Ferreira</t>
        </is>
      </c>
      <c r="F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  <c r="F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  <c r="F5" t="inlineStr">
        <is>
          <t>ana paula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  <c r="F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  <c r="F7" t="inlineStr">
        <is>
          <t>brenda menezes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  <c r="F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  <c r="F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  <c r="F11" t="inlineStr">
        <is>
          <t>cristiane ramos silva rocha</t>
        </is>
      </c>
    </row>
    <row r="12">
      <c r="A12" t="inlineStr">
        <is>
          <t>Damyllis Lorraine de Oliveira Gonçalves</t>
        </is>
      </c>
      <c r="B12" t="inlineStr">
        <is>
          <t>Damyllis</t>
        </is>
      </c>
      <c r="C12" t="inlineStr">
        <is>
          <t>Damyllis Lorraine de Oliveira Gonçalves</t>
        </is>
      </c>
      <c r="F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  <c r="F13" t="inlineStr">
        <is>
          <t>Daniel Silva</t>
        </is>
      </c>
    </row>
    <row r="14">
      <c r="A14" t="inlineStr">
        <is>
          <t>Davylla Rodrigues Freitas Silva</t>
        </is>
      </c>
      <c r="B14" t="inlineStr">
        <is>
          <t>Davylla</t>
        </is>
      </c>
      <c r="C14" t="inlineStr">
        <is>
          <t>Davylla Rodrigues Freitas Silva</t>
        </is>
      </c>
      <c r="F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  <c r="F16" t="inlineStr">
        <is>
          <t>emilly kamilly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  <c r="F17" t="inlineStr">
        <is>
          <t>francielson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  <c r="F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  <c r="F21" t="inlineStr">
        <is>
          <t>isabella borges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  <c r="F23" t="inlineStr">
        <is>
          <t>jaqueline evangelista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  <c r="C25" t="inlineStr">
        <is>
          <t>Jessica Fe Moura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  <c r="F26" t="inlineStr">
        <is>
          <t>karina goncalves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  <c r="F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  <c r="F29" t="inlineStr">
        <is>
          <t>leandro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  <c r="F30" t="inlineStr">
        <is>
          <t>lizandra gomes duarte</t>
        </is>
      </c>
    </row>
    <row r="31">
      <c r="A31" t="inlineStr">
        <is>
          <t>Lorena Dias de Araujo</t>
        </is>
      </c>
      <c r="B31" t="inlineStr">
        <is>
          <t>Lorena</t>
        </is>
      </c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  <c r="F33" t="inlineStr">
        <is>
          <t>Luiz Fernando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  <c r="F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  <c r="F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  <c r="F38" t="inlineStr">
        <is>
          <t>Milena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  <c r="F40" t="inlineStr">
        <is>
          <t>paulo ricardo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  <c r="F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  <c r="F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  <c r="F43" t="inlineStr">
        <is>
          <t>raane batista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  <c r="F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  <c r="F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2026-06-08T19:28:19Z</dcterms:modified>
  <cp:lastModifiedBy>Esther Queiroz Supervisora Folha</cp:lastModifiedBy>
</cp:coreProperties>
</file>